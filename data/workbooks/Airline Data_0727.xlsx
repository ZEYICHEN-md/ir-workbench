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zeyichen\Desktop\IR_workbench\data\workbooks\aviation-pipeline-vxy5efu3\"/>
    </mc:Choice>
  </mc:AlternateContent>
  <xr:revisionPtr revIDLastSave="0" documentId="13_ncr:1_{EA9704C5-E4E5-49C8-AC05-BEBAA0B453B6}" xr6:coauthVersionLast="47" xr6:coauthVersionMax="47" xr10:uidLastSave="{00000000-0000-0000-0000-000000000000}"/>
  <bookViews>
    <workbookView xWindow="-120" yWindow="-16320" windowWidth="29040" windowHeight="15720" activeTab="6" xr2:uid="{00000000-000D-0000-FFFF-FFFF00000000}"/>
  </bookViews>
  <sheets>
    <sheet name="Sheet1" sheetId="1" r:id="rId1"/>
    <sheet name="Summary" sheetId="2" r:id="rId2"/>
    <sheet name="CAAC Air Industry + domestic" sheetId="3" state="hidden" r:id="rId3"/>
    <sheet name="CAAC Data" sheetId="4" r:id="rId4"/>
    <sheet name="Top 4 Total" sheetId="5" r:id="rId5"/>
    <sheet name="Top4 Domestic" sheetId="6" r:id="rId6"/>
    <sheet name="Top4 Intl.+Reg" sheetId="7" r:id="rId7"/>
    <sheet name="年度数据" sheetId="8" r:id="rId8"/>
    <sheet name="Sheet2" sheetId="9" r:id="rId9"/>
    <sheet name="Travelsky Data" sheetId="10" r:id="rId10"/>
    <sheet name="出入境管理局数据" sheetId="11" r:id="rId11"/>
  </sheets>
  <externalReferences>
    <externalReference r:id="rId1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1" l="1"/>
  <c r="O11" i="11"/>
  <c r="V9" i="11"/>
  <c r="N9" i="11"/>
  <c r="J9" i="11"/>
  <c r="N7" i="11"/>
  <c r="J7" i="11"/>
  <c r="P5" i="11"/>
  <c r="N5" i="11"/>
  <c r="J5" i="11"/>
  <c r="N3" i="11"/>
  <c r="J3" i="11"/>
  <c r="R50" i="10"/>
  <c r="Q50" i="10"/>
  <c r="P50" i="10"/>
  <c r="O50" i="10"/>
  <c r="R46" i="10"/>
  <c r="Q46" i="10"/>
  <c r="P46" i="10"/>
  <c r="O46" i="10"/>
  <c r="R43" i="10"/>
  <c r="Q43" i="10"/>
  <c r="P43" i="10"/>
  <c r="O43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R37" i="10"/>
  <c r="R39" i="10" s="1"/>
  <c r="Q37" i="10"/>
  <c r="P37" i="10"/>
  <c r="O37" i="10"/>
  <c r="O38" i="10" s="1"/>
  <c r="M35" i="10"/>
  <c r="L35" i="10"/>
  <c r="K35" i="10"/>
  <c r="J35" i="10"/>
  <c r="I35" i="10"/>
  <c r="H35" i="10"/>
  <c r="G35" i="10"/>
  <c r="F35" i="10"/>
  <c r="E35" i="10"/>
  <c r="D35" i="10"/>
  <c r="C35" i="10"/>
  <c r="B35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R33" i="10"/>
  <c r="Q33" i="10"/>
  <c r="Q34" i="10" s="1"/>
  <c r="P33" i="10"/>
  <c r="O33" i="10"/>
  <c r="O34" i="10" s="1"/>
  <c r="M32" i="10"/>
  <c r="L32" i="10"/>
  <c r="K32" i="10"/>
  <c r="J32" i="10"/>
  <c r="I32" i="10"/>
  <c r="H32" i="10"/>
  <c r="G32" i="10"/>
  <c r="F32" i="10"/>
  <c r="E32" i="10"/>
  <c r="D32" i="10"/>
  <c r="C32" i="10"/>
  <c r="B32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R30" i="10"/>
  <c r="Q30" i="10"/>
  <c r="Q31" i="10" s="1"/>
  <c r="P30" i="10"/>
  <c r="O30" i="10"/>
  <c r="O32" i="10" s="1"/>
  <c r="M26" i="10"/>
  <c r="L26" i="10"/>
  <c r="K26" i="10"/>
  <c r="J26" i="10"/>
  <c r="I26" i="10"/>
  <c r="H26" i="10"/>
  <c r="G26" i="10"/>
  <c r="F26" i="10"/>
  <c r="E26" i="10"/>
  <c r="D26" i="10"/>
  <c r="C26" i="10"/>
  <c r="B26" i="10"/>
  <c r="O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R24" i="10"/>
  <c r="Q24" i="10"/>
  <c r="P24" i="10"/>
  <c r="P26" i="10" s="1"/>
  <c r="O24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R20" i="10"/>
  <c r="Q20" i="10"/>
  <c r="P20" i="10"/>
  <c r="O20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R17" i="10"/>
  <c r="Q17" i="10"/>
  <c r="Q19" i="10" s="1"/>
  <c r="P17" i="10"/>
  <c r="O17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R11" i="10"/>
  <c r="Q11" i="10"/>
  <c r="P11" i="10"/>
  <c r="O11" i="10"/>
  <c r="O12" i="10" s="1"/>
  <c r="M9" i="10"/>
  <c r="L9" i="10"/>
  <c r="K9" i="10"/>
  <c r="J9" i="10"/>
  <c r="I9" i="10"/>
  <c r="H9" i="10"/>
  <c r="G9" i="10"/>
  <c r="F9" i="10"/>
  <c r="E9" i="10"/>
  <c r="D9" i="10"/>
  <c r="C9" i="10"/>
  <c r="B9" i="10"/>
  <c r="M8" i="10"/>
  <c r="L8" i="10"/>
  <c r="K8" i="10"/>
  <c r="J8" i="10"/>
  <c r="I8" i="10"/>
  <c r="H8" i="10"/>
  <c r="G8" i="10"/>
  <c r="F8" i="10"/>
  <c r="E8" i="10"/>
  <c r="D8" i="10"/>
  <c r="C8" i="10"/>
  <c r="B8" i="10"/>
  <c r="R7" i="10"/>
  <c r="R9" i="10" s="1"/>
  <c r="Q7" i="10"/>
  <c r="P7" i="10"/>
  <c r="O7" i="10"/>
  <c r="M6" i="10"/>
  <c r="L6" i="10"/>
  <c r="K6" i="10"/>
  <c r="J6" i="10"/>
  <c r="I6" i="10"/>
  <c r="H6" i="10"/>
  <c r="G6" i="10"/>
  <c r="F6" i="10"/>
  <c r="E6" i="10"/>
  <c r="D6" i="10"/>
  <c r="C6" i="10"/>
  <c r="B6" i="10"/>
  <c r="M5" i="10"/>
  <c r="L5" i="10"/>
  <c r="K5" i="10"/>
  <c r="J5" i="10"/>
  <c r="I5" i="10"/>
  <c r="H5" i="10"/>
  <c r="G5" i="10"/>
  <c r="F5" i="10"/>
  <c r="E5" i="10"/>
  <c r="D5" i="10"/>
  <c r="C5" i="10"/>
  <c r="B5" i="10"/>
  <c r="R4" i="10"/>
  <c r="Q4" i="10"/>
  <c r="Q5" i="10" s="1"/>
  <c r="P4" i="10"/>
  <c r="O4" i="10"/>
  <c r="G6" i="8"/>
  <c r="H6" i="8" s="1"/>
  <c r="E4" i="8"/>
  <c r="D4" i="8"/>
  <c r="C4" i="8"/>
  <c r="B4" i="8"/>
  <c r="M700" i="7"/>
  <c r="L700" i="7"/>
  <c r="K700" i="7"/>
  <c r="J700" i="7"/>
  <c r="I700" i="7"/>
  <c r="H700" i="7"/>
  <c r="G700" i="7"/>
  <c r="G701" i="7" s="1"/>
  <c r="F700" i="7"/>
  <c r="E700" i="7"/>
  <c r="D700" i="7"/>
  <c r="C700" i="7"/>
  <c r="B700" i="7"/>
  <c r="R699" i="7"/>
  <c r="Q699" i="7"/>
  <c r="P699" i="7"/>
  <c r="O699" i="7"/>
  <c r="S699" i="7" s="1"/>
  <c r="Q698" i="7"/>
  <c r="P698" i="7"/>
  <c r="M698" i="7"/>
  <c r="M701" i="7" s="1"/>
  <c r="L698" i="7"/>
  <c r="K698" i="7"/>
  <c r="K670" i="7" s="1"/>
  <c r="J698" i="7"/>
  <c r="I698" i="7"/>
  <c r="H698" i="7"/>
  <c r="G698" i="7"/>
  <c r="F698" i="7"/>
  <c r="E698" i="7"/>
  <c r="D698" i="7"/>
  <c r="C698" i="7"/>
  <c r="B698" i="7"/>
  <c r="B701" i="7" s="1"/>
  <c r="R693" i="7"/>
  <c r="Q693" i="7"/>
  <c r="P693" i="7"/>
  <c r="O693" i="7"/>
  <c r="M691" i="7"/>
  <c r="L691" i="7"/>
  <c r="K691" i="7"/>
  <c r="J691" i="7"/>
  <c r="I691" i="7"/>
  <c r="H691" i="7"/>
  <c r="G691" i="7"/>
  <c r="F691" i="7"/>
  <c r="E691" i="7"/>
  <c r="D691" i="7"/>
  <c r="C691" i="7"/>
  <c r="B691" i="7"/>
  <c r="O691" i="7" s="1"/>
  <c r="M690" i="7"/>
  <c r="L690" i="7"/>
  <c r="K690" i="7"/>
  <c r="J690" i="7"/>
  <c r="I690" i="7"/>
  <c r="H690" i="7"/>
  <c r="Q690" i="7" s="1"/>
  <c r="G690" i="7"/>
  <c r="F690" i="7"/>
  <c r="E690" i="7"/>
  <c r="E647" i="7" s="1"/>
  <c r="D690" i="7"/>
  <c r="C690" i="7"/>
  <c r="B690" i="7"/>
  <c r="M689" i="7"/>
  <c r="M692" i="7" s="1"/>
  <c r="L689" i="7"/>
  <c r="K689" i="7"/>
  <c r="J689" i="7"/>
  <c r="I689" i="7"/>
  <c r="H689" i="7"/>
  <c r="G689" i="7"/>
  <c r="F689" i="7"/>
  <c r="E689" i="7"/>
  <c r="D689" i="7"/>
  <c r="C689" i="7"/>
  <c r="B689" i="7"/>
  <c r="R683" i="7"/>
  <c r="Q683" i="7"/>
  <c r="P683" i="7"/>
  <c r="O683" i="7"/>
  <c r="M681" i="7"/>
  <c r="L681" i="7"/>
  <c r="R681" i="7" s="1"/>
  <c r="K681" i="7"/>
  <c r="J681" i="7"/>
  <c r="I681" i="7"/>
  <c r="H681" i="7"/>
  <c r="G681" i="7"/>
  <c r="F681" i="7"/>
  <c r="F682" i="7" s="1"/>
  <c r="F684" i="7" s="1"/>
  <c r="E681" i="7"/>
  <c r="D681" i="7"/>
  <c r="C681" i="7"/>
  <c r="B681" i="7"/>
  <c r="M680" i="7"/>
  <c r="L680" i="7"/>
  <c r="K680" i="7"/>
  <c r="J680" i="7"/>
  <c r="I680" i="7"/>
  <c r="H680" i="7"/>
  <c r="G680" i="7"/>
  <c r="F680" i="7"/>
  <c r="E680" i="7"/>
  <c r="D680" i="7"/>
  <c r="C680" i="7"/>
  <c r="B680" i="7"/>
  <c r="P679" i="7"/>
  <c r="M679" i="7"/>
  <c r="L679" i="7"/>
  <c r="K679" i="7"/>
  <c r="J679" i="7"/>
  <c r="I679" i="7"/>
  <c r="H679" i="7"/>
  <c r="G679" i="7"/>
  <c r="G682" i="7" s="1"/>
  <c r="F679" i="7"/>
  <c r="E679" i="7"/>
  <c r="D679" i="7"/>
  <c r="C679" i="7"/>
  <c r="B679" i="7"/>
  <c r="B621" i="7" s="1"/>
  <c r="E672" i="7"/>
  <c r="H670" i="7"/>
  <c r="F670" i="7"/>
  <c r="E670" i="7"/>
  <c r="P666" i="7"/>
  <c r="M666" i="7"/>
  <c r="B608" i="7" s="1"/>
  <c r="L666" i="7"/>
  <c r="K666" i="7"/>
  <c r="J666" i="7"/>
  <c r="I666" i="7"/>
  <c r="Q666" i="7" s="1"/>
  <c r="H666" i="7"/>
  <c r="G666" i="7"/>
  <c r="F666" i="7"/>
  <c r="E666" i="7"/>
  <c r="D666" i="7"/>
  <c r="C666" i="7"/>
  <c r="B666" i="7"/>
  <c r="E665" i="7"/>
  <c r="E667" i="7" s="1"/>
  <c r="M664" i="7"/>
  <c r="M672" i="7" s="1"/>
  <c r="L664" i="7"/>
  <c r="K664" i="7"/>
  <c r="J664" i="7"/>
  <c r="I664" i="7"/>
  <c r="H664" i="7"/>
  <c r="G664" i="7"/>
  <c r="F664" i="7"/>
  <c r="E664" i="7"/>
  <c r="D664" i="7"/>
  <c r="D672" i="7" s="1"/>
  <c r="C664" i="7"/>
  <c r="B664" i="7"/>
  <c r="B672" i="7" s="1"/>
  <c r="P663" i="7"/>
  <c r="P671" i="7" s="1"/>
  <c r="M663" i="7"/>
  <c r="M671" i="7" s="1"/>
  <c r="L663" i="7"/>
  <c r="L671" i="7" s="1"/>
  <c r="K663" i="7"/>
  <c r="J663" i="7"/>
  <c r="J671" i="7" s="1"/>
  <c r="I663" i="7"/>
  <c r="I671" i="7" s="1"/>
  <c r="H663" i="7"/>
  <c r="H671" i="7" s="1"/>
  <c r="G663" i="7"/>
  <c r="G671" i="7" s="1"/>
  <c r="F663" i="7"/>
  <c r="F671" i="7" s="1"/>
  <c r="E663" i="7"/>
  <c r="E671" i="7" s="1"/>
  <c r="D663" i="7"/>
  <c r="D671" i="7" s="1"/>
  <c r="C663" i="7"/>
  <c r="B663" i="7"/>
  <c r="B671" i="7" s="1"/>
  <c r="P662" i="7"/>
  <c r="M662" i="7"/>
  <c r="L662" i="7"/>
  <c r="K662" i="7"/>
  <c r="J662" i="7"/>
  <c r="J670" i="7" s="1"/>
  <c r="I662" i="7"/>
  <c r="H662" i="7"/>
  <c r="G662" i="7"/>
  <c r="G670" i="7" s="1"/>
  <c r="F662" i="7"/>
  <c r="E662" i="7"/>
  <c r="D662" i="7"/>
  <c r="C662" i="7"/>
  <c r="B662" i="7"/>
  <c r="O662" i="7" s="1"/>
  <c r="M658" i="7"/>
  <c r="L658" i="7"/>
  <c r="K658" i="7"/>
  <c r="J658" i="7"/>
  <c r="I658" i="7"/>
  <c r="H658" i="7"/>
  <c r="G658" i="7"/>
  <c r="F658" i="7"/>
  <c r="E658" i="7"/>
  <c r="D658" i="7"/>
  <c r="C658" i="7"/>
  <c r="B658" i="7"/>
  <c r="E655" i="7"/>
  <c r="M650" i="7"/>
  <c r="L650" i="7"/>
  <c r="K650" i="7"/>
  <c r="J650" i="7"/>
  <c r="I650" i="7"/>
  <c r="H650" i="7"/>
  <c r="G650" i="7"/>
  <c r="F650" i="7"/>
  <c r="E650" i="7"/>
  <c r="D650" i="7"/>
  <c r="C650" i="7"/>
  <c r="B650" i="7"/>
  <c r="D647" i="7"/>
  <c r="M646" i="7"/>
  <c r="D646" i="7"/>
  <c r="R642" i="7"/>
  <c r="Q642" i="7"/>
  <c r="P642" i="7"/>
  <c r="O642" i="7"/>
  <c r="M641" i="7"/>
  <c r="M643" i="7" s="1"/>
  <c r="L641" i="7"/>
  <c r="L643" i="7" s="1"/>
  <c r="L640" i="7"/>
  <c r="L656" i="7" s="1"/>
  <c r="K640" i="7"/>
  <c r="K584" i="7" s="1"/>
  <c r="J640" i="7"/>
  <c r="I640" i="7"/>
  <c r="I584" i="7" s="1"/>
  <c r="H640" i="7"/>
  <c r="G640" i="7"/>
  <c r="F640" i="7"/>
  <c r="E640" i="7"/>
  <c r="E584" i="7" s="1"/>
  <c r="D640" i="7"/>
  <c r="C640" i="7"/>
  <c r="C584" i="7" s="1"/>
  <c r="B640" i="7"/>
  <c r="R639" i="7"/>
  <c r="O639" i="7"/>
  <c r="L639" i="7"/>
  <c r="L583" i="7" s="1"/>
  <c r="K639" i="7"/>
  <c r="J639" i="7"/>
  <c r="I639" i="7"/>
  <c r="H639" i="7"/>
  <c r="H583" i="7" s="1"/>
  <c r="G639" i="7"/>
  <c r="F639" i="7"/>
  <c r="F583" i="7" s="1"/>
  <c r="C639" i="7"/>
  <c r="B639" i="7"/>
  <c r="B583" i="7" s="1"/>
  <c r="L638" i="7"/>
  <c r="M654" i="7" s="1"/>
  <c r="K638" i="7"/>
  <c r="K582" i="7" s="1"/>
  <c r="J638" i="7"/>
  <c r="J582" i="7" s="1"/>
  <c r="I638" i="7"/>
  <c r="H638" i="7"/>
  <c r="G638" i="7"/>
  <c r="G641" i="7" s="1"/>
  <c r="G643" i="7" s="1"/>
  <c r="F638" i="7"/>
  <c r="E638" i="7"/>
  <c r="D638" i="7"/>
  <c r="C638" i="7"/>
  <c r="B638" i="7"/>
  <c r="B582" i="7" s="1"/>
  <c r="M633" i="7"/>
  <c r="L633" i="7"/>
  <c r="K633" i="7"/>
  <c r="J633" i="7"/>
  <c r="I633" i="7"/>
  <c r="H633" i="7"/>
  <c r="G633" i="7"/>
  <c r="F633" i="7"/>
  <c r="E633" i="7"/>
  <c r="D633" i="7"/>
  <c r="C633" i="7"/>
  <c r="B633" i="7"/>
  <c r="D629" i="7"/>
  <c r="M625" i="7"/>
  <c r="L625" i="7"/>
  <c r="K625" i="7"/>
  <c r="J625" i="7"/>
  <c r="I625" i="7"/>
  <c r="H625" i="7"/>
  <c r="G625" i="7"/>
  <c r="F625" i="7"/>
  <c r="E625" i="7"/>
  <c r="D625" i="7"/>
  <c r="C625" i="7"/>
  <c r="B625" i="7"/>
  <c r="M623" i="7"/>
  <c r="F622" i="7"/>
  <c r="M621" i="7"/>
  <c r="R617" i="7"/>
  <c r="Q617" i="7"/>
  <c r="Q625" i="7" s="1"/>
  <c r="P617" i="7"/>
  <c r="O617" i="7"/>
  <c r="M616" i="7"/>
  <c r="L615" i="7"/>
  <c r="R615" i="7" s="1"/>
  <c r="K615" i="7"/>
  <c r="J615" i="7"/>
  <c r="I615" i="7"/>
  <c r="H615" i="7"/>
  <c r="G615" i="7"/>
  <c r="F615" i="7"/>
  <c r="F631" i="7" s="1"/>
  <c r="E615" i="7"/>
  <c r="E567" i="7" s="1"/>
  <c r="D615" i="7"/>
  <c r="D567" i="7" s="1"/>
  <c r="C615" i="7"/>
  <c r="C567" i="7" s="1"/>
  <c r="B615" i="7"/>
  <c r="L614" i="7"/>
  <c r="K614" i="7"/>
  <c r="J614" i="7"/>
  <c r="I614" i="7"/>
  <c r="I566" i="7" s="1"/>
  <c r="H614" i="7"/>
  <c r="G614" i="7"/>
  <c r="G566" i="7" s="1"/>
  <c r="F614" i="7"/>
  <c r="E614" i="7"/>
  <c r="D614" i="7"/>
  <c r="D566" i="7" s="1"/>
  <c r="C614" i="7"/>
  <c r="B614" i="7"/>
  <c r="B566" i="7" s="1"/>
  <c r="L613" i="7"/>
  <c r="K613" i="7"/>
  <c r="K565" i="7" s="1"/>
  <c r="J613" i="7"/>
  <c r="I613" i="7"/>
  <c r="H613" i="7"/>
  <c r="G613" i="7"/>
  <c r="F613" i="7"/>
  <c r="E613" i="7"/>
  <c r="E616" i="7" s="1"/>
  <c r="D613" i="7"/>
  <c r="C613" i="7"/>
  <c r="C565" i="7" s="1"/>
  <c r="B613" i="7"/>
  <c r="E600" i="7"/>
  <c r="M592" i="7"/>
  <c r="L592" i="7"/>
  <c r="K592" i="7"/>
  <c r="K608" i="7" s="1"/>
  <c r="J592" i="7"/>
  <c r="I592" i="7"/>
  <c r="H592" i="7"/>
  <c r="H600" i="7" s="1"/>
  <c r="G592" i="7"/>
  <c r="F592" i="7"/>
  <c r="E592" i="7"/>
  <c r="D592" i="7"/>
  <c r="C592" i="7"/>
  <c r="B592" i="7"/>
  <c r="M590" i="7"/>
  <c r="B550" i="7" s="1"/>
  <c r="L590" i="7"/>
  <c r="K590" i="7"/>
  <c r="K542" i="7" s="1"/>
  <c r="J590" i="7"/>
  <c r="I590" i="7"/>
  <c r="I606" i="7" s="1"/>
  <c r="H590" i="7"/>
  <c r="H598" i="7" s="1"/>
  <c r="G590" i="7"/>
  <c r="F590" i="7"/>
  <c r="E590" i="7"/>
  <c r="D590" i="7"/>
  <c r="C590" i="7"/>
  <c r="B590" i="7"/>
  <c r="M589" i="7"/>
  <c r="L589" i="7"/>
  <c r="K589" i="7"/>
  <c r="J589" i="7"/>
  <c r="I589" i="7"/>
  <c r="H589" i="7"/>
  <c r="G589" i="7"/>
  <c r="G597" i="7" s="1"/>
  <c r="F589" i="7"/>
  <c r="E589" i="7"/>
  <c r="E597" i="7" s="1"/>
  <c r="D589" i="7"/>
  <c r="C589" i="7"/>
  <c r="B589" i="7"/>
  <c r="M588" i="7"/>
  <c r="L588" i="7"/>
  <c r="K588" i="7"/>
  <c r="J588" i="7"/>
  <c r="I588" i="7"/>
  <c r="H588" i="7"/>
  <c r="G588" i="7"/>
  <c r="F588" i="7"/>
  <c r="E588" i="7"/>
  <c r="D588" i="7"/>
  <c r="C588" i="7"/>
  <c r="B588" i="7"/>
  <c r="B604" i="7" s="1"/>
  <c r="M584" i="7"/>
  <c r="J584" i="7"/>
  <c r="M583" i="7"/>
  <c r="I583" i="7"/>
  <c r="E583" i="7"/>
  <c r="D583" i="7"/>
  <c r="C583" i="7"/>
  <c r="M582" i="7"/>
  <c r="L582" i="7"/>
  <c r="G582" i="7"/>
  <c r="D582" i="7"/>
  <c r="I579" i="7"/>
  <c r="R578" i="7"/>
  <c r="Q578" i="7"/>
  <c r="P578" i="7"/>
  <c r="O578" i="7"/>
  <c r="M577" i="7"/>
  <c r="L577" i="7"/>
  <c r="L579" i="7" s="1"/>
  <c r="K577" i="7"/>
  <c r="K579" i="7" s="1"/>
  <c r="J577" i="7"/>
  <c r="J579" i="7" s="1"/>
  <c r="I577" i="7"/>
  <c r="H577" i="7"/>
  <c r="G577" i="7"/>
  <c r="G579" i="7" s="1"/>
  <c r="F577" i="7"/>
  <c r="E577" i="7"/>
  <c r="D577" i="7"/>
  <c r="D579" i="7" s="1"/>
  <c r="C577" i="7"/>
  <c r="C579" i="7" s="1"/>
  <c r="B577" i="7"/>
  <c r="R576" i="7"/>
  <c r="Q576" i="7"/>
  <c r="P576" i="7"/>
  <c r="O576" i="7"/>
  <c r="R575" i="7"/>
  <c r="Q575" i="7"/>
  <c r="P575" i="7"/>
  <c r="O575" i="7"/>
  <c r="R574" i="7"/>
  <c r="Q574" i="7"/>
  <c r="P574" i="7"/>
  <c r="O574" i="7"/>
  <c r="O569" i="7"/>
  <c r="M569" i="7"/>
  <c r="L569" i="7"/>
  <c r="K569" i="7"/>
  <c r="J569" i="7"/>
  <c r="I569" i="7"/>
  <c r="H569" i="7"/>
  <c r="G569" i="7"/>
  <c r="F569" i="7"/>
  <c r="E569" i="7"/>
  <c r="D569" i="7"/>
  <c r="C569" i="7"/>
  <c r="B569" i="7"/>
  <c r="M567" i="7"/>
  <c r="I567" i="7"/>
  <c r="H567" i="7"/>
  <c r="F567" i="7"/>
  <c r="M566" i="7"/>
  <c r="H566" i="7"/>
  <c r="M565" i="7"/>
  <c r="F565" i="7"/>
  <c r="B565" i="7"/>
  <c r="J562" i="7"/>
  <c r="R561" i="7"/>
  <c r="R569" i="7" s="1"/>
  <c r="Q561" i="7"/>
  <c r="Q569" i="7" s="1"/>
  <c r="P561" i="7"/>
  <c r="O561" i="7"/>
  <c r="M560" i="7"/>
  <c r="L560" i="7"/>
  <c r="L562" i="7" s="1"/>
  <c r="K560" i="7"/>
  <c r="J560" i="7"/>
  <c r="I560" i="7"/>
  <c r="H560" i="7"/>
  <c r="G560" i="7"/>
  <c r="F560" i="7"/>
  <c r="F562" i="7" s="1"/>
  <c r="E560" i="7"/>
  <c r="E562" i="7" s="1"/>
  <c r="D560" i="7"/>
  <c r="D562" i="7" s="1"/>
  <c r="C560" i="7"/>
  <c r="C562" i="7" s="1"/>
  <c r="B560" i="7"/>
  <c r="R559" i="7"/>
  <c r="R509" i="7" s="1"/>
  <c r="Q559" i="7"/>
  <c r="P559" i="7"/>
  <c r="O559" i="7"/>
  <c r="R558" i="7"/>
  <c r="Q558" i="7"/>
  <c r="P558" i="7"/>
  <c r="O558" i="7"/>
  <c r="R557" i="7"/>
  <c r="Q557" i="7"/>
  <c r="P557" i="7"/>
  <c r="O557" i="7"/>
  <c r="K550" i="7"/>
  <c r="M549" i="7"/>
  <c r="E544" i="7"/>
  <c r="D544" i="7"/>
  <c r="M541" i="7"/>
  <c r="M536" i="7"/>
  <c r="L536" i="7"/>
  <c r="K536" i="7"/>
  <c r="J536" i="7"/>
  <c r="I536" i="7"/>
  <c r="H536" i="7"/>
  <c r="G536" i="7"/>
  <c r="P536" i="7" s="1"/>
  <c r="F536" i="7"/>
  <c r="E536" i="7"/>
  <c r="D536" i="7"/>
  <c r="C536" i="7"/>
  <c r="B536" i="7"/>
  <c r="M534" i="7"/>
  <c r="L534" i="7"/>
  <c r="K534" i="7"/>
  <c r="J534" i="7"/>
  <c r="J542" i="7" s="1"/>
  <c r="I534" i="7"/>
  <c r="H534" i="7"/>
  <c r="G534" i="7"/>
  <c r="F534" i="7"/>
  <c r="F484" i="7" s="1"/>
  <c r="E534" i="7"/>
  <c r="D534" i="7"/>
  <c r="C534" i="7"/>
  <c r="B534" i="7"/>
  <c r="M533" i="7"/>
  <c r="L533" i="7"/>
  <c r="K533" i="7"/>
  <c r="J533" i="7"/>
  <c r="I533" i="7"/>
  <c r="H533" i="7"/>
  <c r="Q533" i="7" s="1"/>
  <c r="G533" i="7"/>
  <c r="G549" i="7" s="1"/>
  <c r="F533" i="7"/>
  <c r="E533" i="7"/>
  <c r="D533" i="7"/>
  <c r="C533" i="7"/>
  <c r="B533" i="7"/>
  <c r="M532" i="7"/>
  <c r="L532" i="7"/>
  <c r="L548" i="7" s="1"/>
  <c r="K532" i="7"/>
  <c r="K535" i="7" s="1"/>
  <c r="J532" i="7"/>
  <c r="I532" i="7"/>
  <c r="H532" i="7"/>
  <c r="H540" i="7" s="1"/>
  <c r="G532" i="7"/>
  <c r="F532" i="7"/>
  <c r="P532" i="7" s="1"/>
  <c r="E532" i="7"/>
  <c r="D532" i="7"/>
  <c r="C532" i="7"/>
  <c r="C540" i="7" s="1"/>
  <c r="B532" i="7"/>
  <c r="B548" i="7" s="1"/>
  <c r="M528" i="7"/>
  <c r="L528" i="7"/>
  <c r="K528" i="7"/>
  <c r="J528" i="7"/>
  <c r="I528" i="7"/>
  <c r="H528" i="7"/>
  <c r="G528" i="7"/>
  <c r="F528" i="7"/>
  <c r="E528" i="7"/>
  <c r="D528" i="7"/>
  <c r="C528" i="7"/>
  <c r="B528" i="7"/>
  <c r="J527" i="7"/>
  <c r="M526" i="7"/>
  <c r="L526" i="7"/>
  <c r="K526" i="7"/>
  <c r="J526" i="7"/>
  <c r="I526" i="7"/>
  <c r="H526" i="7"/>
  <c r="G526" i="7"/>
  <c r="F526" i="7"/>
  <c r="E526" i="7"/>
  <c r="D526" i="7"/>
  <c r="C526" i="7"/>
  <c r="M525" i="7"/>
  <c r="L525" i="7"/>
  <c r="K525" i="7"/>
  <c r="J525" i="7"/>
  <c r="I525" i="7"/>
  <c r="H525" i="7"/>
  <c r="G525" i="7"/>
  <c r="F525" i="7"/>
  <c r="E525" i="7"/>
  <c r="D525" i="7"/>
  <c r="C525" i="7"/>
  <c r="B525" i="7"/>
  <c r="M524" i="7"/>
  <c r="L524" i="7"/>
  <c r="K524" i="7"/>
  <c r="J524" i="7"/>
  <c r="I524" i="7"/>
  <c r="H524" i="7"/>
  <c r="G524" i="7"/>
  <c r="F524" i="7"/>
  <c r="E524" i="7"/>
  <c r="D524" i="7"/>
  <c r="C524" i="7"/>
  <c r="B524" i="7"/>
  <c r="G521" i="7"/>
  <c r="R520" i="7"/>
  <c r="Q520" i="7"/>
  <c r="P520" i="7"/>
  <c r="P470" i="7" s="1"/>
  <c r="O520" i="7"/>
  <c r="O528" i="7" s="1"/>
  <c r="M519" i="7"/>
  <c r="M527" i="7" s="1"/>
  <c r="L519" i="7"/>
  <c r="K519" i="7"/>
  <c r="J519" i="7"/>
  <c r="J521" i="7" s="1"/>
  <c r="J529" i="7" s="1"/>
  <c r="I519" i="7"/>
  <c r="H519" i="7"/>
  <c r="G519" i="7"/>
  <c r="F519" i="7"/>
  <c r="E519" i="7"/>
  <c r="D519" i="7"/>
  <c r="C519" i="7"/>
  <c r="C521" i="7" s="1"/>
  <c r="R518" i="7"/>
  <c r="R526" i="7" s="1"/>
  <c r="Q518" i="7"/>
  <c r="Q526" i="7" s="1"/>
  <c r="P518" i="7"/>
  <c r="P526" i="7" s="1"/>
  <c r="O518" i="7"/>
  <c r="B518" i="7"/>
  <c r="B526" i="7" s="1"/>
  <c r="R517" i="7"/>
  <c r="Q517" i="7"/>
  <c r="P517" i="7"/>
  <c r="O517" i="7"/>
  <c r="O525" i="7" s="1"/>
  <c r="R516" i="7"/>
  <c r="Q516" i="7"/>
  <c r="P516" i="7"/>
  <c r="O516" i="7"/>
  <c r="M511" i="7"/>
  <c r="L511" i="7"/>
  <c r="K511" i="7"/>
  <c r="J511" i="7"/>
  <c r="I511" i="7"/>
  <c r="H511" i="7"/>
  <c r="G511" i="7"/>
  <c r="F511" i="7"/>
  <c r="E511" i="7"/>
  <c r="D511" i="7"/>
  <c r="C511" i="7"/>
  <c r="B511" i="7"/>
  <c r="M509" i="7"/>
  <c r="L509" i="7"/>
  <c r="K509" i="7"/>
  <c r="J509" i="7"/>
  <c r="I509" i="7"/>
  <c r="H509" i="7"/>
  <c r="G509" i="7"/>
  <c r="F509" i="7"/>
  <c r="E509" i="7"/>
  <c r="D509" i="7"/>
  <c r="C509" i="7"/>
  <c r="M508" i="7"/>
  <c r="L508" i="7"/>
  <c r="K508" i="7"/>
  <c r="J508" i="7"/>
  <c r="I508" i="7"/>
  <c r="H508" i="7"/>
  <c r="G508" i="7"/>
  <c r="F508" i="7"/>
  <c r="E508" i="7"/>
  <c r="D508" i="7"/>
  <c r="C508" i="7"/>
  <c r="B508" i="7"/>
  <c r="M507" i="7"/>
  <c r="L507" i="7"/>
  <c r="K507" i="7"/>
  <c r="J507" i="7"/>
  <c r="I507" i="7"/>
  <c r="H507" i="7"/>
  <c r="G507" i="7"/>
  <c r="F507" i="7"/>
  <c r="E507" i="7"/>
  <c r="D507" i="7"/>
  <c r="C507" i="7"/>
  <c r="B507" i="7"/>
  <c r="R503" i="7"/>
  <c r="Q503" i="7"/>
  <c r="P503" i="7"/>
  <c r="O503" i="7"/>
  <c r="M502" i="7"/>
  <c r="R502" i="7" s="1"/>
  <c r="L502" i="7"/>
  <c r="K502" i="7"/>
  <c r="K510" i="7" s="1"/>
  <c r="J502" i="7"/>
  <c r="I502" i="7"/>
  <c r="I504" i="7" s="1"/>
  <c r="H502" i="7"/>
  <c r="H504" i="7" s="1"/>
  <c r="G502" i="7"/>
  <c r="F502" i="7"/>
  <c r="E502" i="7"/>
  <c r="E504" i="7" s="1"/>
  <c r="D502" i="7"/>
  <c r="C502" i="7"/>
  <c r="C504" i="7" s="1"/>
  <c r="R501" i="7"/>
  <c r="Q501" i="7"/>
  <c r="P501" i="7"/>
  <c r="B501" i="7"/>
  <c r="R500" i="7"/>
  <c r="R508" i="7" s="1"/>
  <c r="Q500" i="7"/>
  <c r="P500" i="7"/>
  <c r="O500" i="7"/>
  <c r="R499" i="7"/>
  <c r="R507" i="7" s="1"/>
  <c r="Q499" i="7"/>
  <c r="Q507" i="7" s="1"/>
  <c r="P499" i="7"/>
  <c r="O499" i="7"/>
  <c r="G484" i="7"/>
  <c r="K482" i="7"/>
  <c r="J482" i="7"/>
  <c r="Q478" i="7"/>
  <c r="M478" i="7"/>
  <c r="M486" i="7" s="1"/>
  <c r="L478" i="7"/>
  <c r="K478" i="7"/>
  <c r="J478" i="7"/>
  <c r="I478" i="7"/>
  <c r="H478" i="7"/>
  <c r="G478" i="7"/>
  <c r="F478" i="7"/>
  <c r="F486" i="7" s="1"/>
  <c r="E478" i="7"/>
  <c r="E486" i="7" s="1"/>
  <c r="D478" i="7"/>
  <c r="C478" i="7"/>
  <c r="B478" i="7"/>
  <c r="M476" i="7"/>
  <c r="L476" i="7"/>
  <c r="L484" i="7" s="1"/>
  <c r="K476" i="7"/>
  <c r="J476" i="7"/>
  <c r="I476" i="7"/>
  <c r="H476" i="7"/>
  <c r="G476" i="7"/>
  <c r="F476" i="7"/>
  <c r="E476" i="7"/>
  <c r="E492" i="7" s="1"/>
  <c r="D476" i="7"/>
  <c r="C476" i="7"/>
  <c r="M475" i="7"/>
  <c r="L475" i="7"/>
  <c r="K475" i="7"/>
  <c r="K483" i="7" s="1"/>
  <c r="J475" i="7"/>
  <c r="J483" i="7" s="1"/>
  <c r="I475" i="7"/>
  <c r="I483" i="7" s="1"/>
  <c r="H475" i="7"/>
  <c r="G475" i="7"/>
  <c r="H491" i="7" s="1"/>
  <c r="F475" i="7"/>
  <c r="F491" i="7" s="1"/>
  <c r="E475" i="7"/>
  <c r="D475" i="7"/>
  <c r="C475" i="7"/>
  <c r="B475" i="7"/>
  <c r="M474" i="7"/>
  <c r="M482" i="7" s="1"/>
  <c r="L474" i="7"/>
  <c r="L490" i="7" s="1"/>
  <c r="K474" i="7"/>
  <c r="J474" i="7"/>
  <c r="I474" i="7"/>
  <c r="I490" i="7" s="1"/>
  <c r="H474" i="7"/>
  <c r="H477" i="7" s="1"/>
  <c r="G474" i="7"/>
  <c r="F474" i="7"/>
  <c r="E474" i="7"/>
  <c r="D474" i="7"/>
  <c r="C474" i="7"/>
  <c r="B474" i="7"/>
  <c r="M470" i="7"/>
  <c r="L470" i="7"/>
  <c r="K470" i="7"/>
  <c r="J470" i="7"/>
  <c r="I470" i="7"/>
  <c r="H470" i="7"/>
  <c r="G470" i="7"/>
  <c r="F470" i="7"/>
  <c r="E470" i="7"/>
  <c r="D470" i="7"/>
  <c r="C470" i="7"/>
  <c r="B470" i="7"/>
  <c r="M468" i="7"/>
  <c r="L468" i="7"/>
  <c r="K468" i="7"/>
  <c r="J468" i="7"/>
  <c r="I468" i="7"/>
  <c r="H468" i="7"/>
  <c r="G468" i="7"/>
  <c r="F468" i="7"/>
  <c r="E468" i="7"/>
  <c r="D468" i="7"/>
  <c r="C468" i="7"/>
  <c r="B468" i="7"/>
  <c r="M467" i="7"/>
  <c r="L467" i="7"/>
  <c r="K467" i="7"/>
  <c r="J467" i="7"/>
  <c r="I467" i="7"/>
  <c r="H467" i="7"/>
  <c r="G467" i="7"/>
  <c r="F467" i="7"/>
  <c r="E467" i="7"/>
  <c r="D467" i="7"/>
  <c r="C467" i="7"/>
  <c r="B467" i="7"/>
  <c r="M466" i="7"/>
  <c r="L466" i="7"/>
  <c r="K466" i="7"/>
  <c r="J466" i="7"/>
  <c r="I466" i="7"/>
  <c r="H466" i="7"/>
  <c r="G466" i="7"/>
  <c r="F466" i="7"/>
  <c r="E466" i="7"/>
  <c r="D466" i="7"/>
  <c r="C466" i="7"/>
  <c r="B466" i="7"/>
  <c r="L463" i="7"/>
  <c r="L412" i="7" s="1"/>
  <c r="M461" i="7"/>
  <c r="L461" i="7"/>
  <c r="K461" i="7"/>
  <c r="J461" i="7"/>
  <c r="J469" i="7" s="1"/>
  <c r="I461" i="7"/>
  <c r="I463" i="7" s="1"/>
  <c r="I412" i="7" s="1"/>
  <c r="H461" i="7"/>
  <c r="G461" i="7"/>
  <c r="G463" i="7" s="1"/>
  <c r="F461" i="7"/>
  <c r="E461" i="7"/>
  <c r="E463" i="7" s="1"/>
  <c r="E412" i="7" s="1"/>
  <c r="D461" i="7"/>
  <c r="D463" i="7" s="1"/>
  <c r="D412" i="7" s="1"/>
  <c r="C461" i="7"/>
  <c r="B461" i="7"/>
  <c r="B463" i="7" s="1"/>
  <c r="S460" i="7"/>
  <c r="R460" i="7"/>
  <c r="Q460" i="7"/>
  <c r="P460" i="7"/>
  <c r="O460" i="7"/>
  <c r="S459" i="7"/>
  <c r="R459" i="7"/>
  <c r="R109" i="7" s="1"/>
  <c r="Q459" i="7"/>
  <c r="P459" i="7"/>
  <c r="O459" i="7"/>
  <c r="S458" i="7"/>
  <c r="S108" i="7" s="1"/>
  <c r="R458" i="7"/>
  <c r="Q458" i="7"/>
  <c r="P458" i="7"/>
  <c r="O458" i="7"/>
  <c r="R453" i="7"/>
  <c r="P453" i="7"/>
  <c r="M453" i="7"/>
  <c r="L453" i="7"/>
  <c r="K453" i="7"/>
  <c r="AF30" i="2" s="1"/>
  <c r="J453" i="7"/>
  <c r="AE30" i="2" s="1"/>
  <c r="I453" i="7"/>
  <c r="H453" i="7"/>
  <c r="G453" i="7"/>
  <c r="F453" i="7"/>
  <c r="E453" i="7"/>
  <c r="D453" i="7"/>
  <c r="C453" i="7"/>
  <c r="B453" i="7"/>
  <c r="M451" i="7"/>
  <c r="L451" i="7"/>
  <c r="K451" i="7"/>
  <c r="J451" i="7"/>
  <c r="AE35" i="2" s="1"/>
  <c r="I451" i="7"/>
  <c r="AD35" i="2" s="1"/>
  <c r="H451" i="7"/>
  <c r="AC35" i="2" s="1"/>
  <c r="G451" i="7"/>
  <c r="F451" i="7"/>
  <c r="E451" i="7"/>
  <c r="D451" i="7"/>
  <c r="C451" i="7"/>
  <c r="M450" i="7"/>
  <c r="L450" i="7"/>
  <c r="K450" i="7"/>
  <c r="J450" i="7"/>
  <c r="I450" i="7"/>
  <c r="H450" i="7"/>
  <c r="G450" i="7"/>
  <c r="F450" i="7"/>
  <c r="E450" i="7"/>
  <c r="D450" i="7"/>
  <c r="C450" i="7"/>
  <c r="B450" i="7"/>
  <c r="M449" i="7"/>
  <c r="L449" i="7"/>
  <c r="K449" i="7"/>
  <c r="J449" i="7"/>
  <c r="I449" i="7"/>
  <c r="H449" i="7"/>
  <c r="G449" i="7"/>
  <c r="F449" i="7"/>
  <c r="E449" i="7"/>
  <c r="D449" i="7"/>
  <c r="C449" i="7"/>
  <c r="B449" i="7"/>
  <c r="L446" i="7"/>
  <c r="M444" i="7"/>
  <c r="L444" i="7"/>
  <c r="K444" i="7"/>
  <c r="J444" i="7"/>
  <c r="J446" i="7" s="1"/>
  <c r="I444" i="7"/>
  <c r="I446" i="7" s="1"/>
  <c r="H444" i="7"/>
  <c r="G444" i="7"/>
  <c r="F444" i="7"/>
  <c r="E444" i="7"/>
  <c r="P444" i="7" s="1"/>
  <c r="P92" i="7" s="1"/>
  <c r="D444" i="7"/>
  <c r="C444" i="7"/>
  <c r="B444" i="7"/>
  <c r="S443" i="7"/>
  <c r="S91" i="7" s="1"/>
  <c r="R443" i="7"/>
  <c r="R451" i="7" s="1"/>
  <c r="Q443" i="7"/>
  <c r="Q451" i="7" s="1"/>
  <c r="P443" i="7"/>
  <c r="P91" i="7" s="1"/>
  <c r="O443" i="7"/>
  <c r="S442" i="7"/>
  <c r="R442" i="7"/>
  <c r="Q442" i="7"/>
  <c r="P442" i="7"/>
  <c r="O442" i="7"/>
  <c r="S441" i="7"/>
  <c r="R441" i="7"/>
  <c r="R89" i="7" s="1"/>
  <c r="Q441" i="7"/>
  <c r="P441" i="7"/>
  <c r="O441" i="7"/>
  <c r="O449" i="7" s="1"/>
  <c r="S420" i="7"/>
  <c r="R420" i="7"/>
  <c r="Q420" i="7"/>
  <c r="P420" i="7"/>
  <c r="O420" i="7"/>
  <c r="M420" i="7"/>
  <c r="M428" i="7" s="1"/>
  <c r="L420" i="7"/>
  <c r="K420" i="7"/>
  <c r="K369" i="7" s="1"/>
  <c r="J420" i="7"/>
  <c r="I420" i="7"/>
  <c r="I428" i="7" s="1"/>
  <c r="H420" i="7"/>
  <c r="H428" i="7" s="1"/>
  <c r="G420" i="7"/>
  <c r="F420" i="7"/>
  <c r="E420" i="7"/>
  <c r="E369" i="7" s="1"/>
  <c r="D420" i="7"/>
  <c r="D369" i="7" s="1"/>
  <c r="C420" i="7"/>
  <c r="B420" i="7"/>
  <c r="B436" i="7" s="1"/>
  <c r="W31" i="2" s="1"/>
  <c r="M418" i="7"/>
  <c r="M184" i="7" s="1"/>
  <c r="L418" i="7"/>
  <c r="K418" i="7"/>
  <c r="K72" i="7" s="1"/>
  <c r="J418" i="7"/>
  <c r="J367" i="7" s="1"/>
  <c r="I418" i="7"/>
  <c r="H418" i="7"/>
  <c r="H426" i="7" s="1"/>
  <c r="G418" i="7"/>
  <c r="F418" i="7"/>
  <c r="E418" i="7"/>
  <c r="D418" i="7"/>
  <c r="C418" i="7"/>
  <c r="B418" i="7"/>
  <c r="M417" i="7"/>
  <c r="M425" i="7" s="1"/>
  <c r="L417" i="7"/>
  <c r="K417" i="7"/>
  <c r="J417" i="7"/>
  <c r="I417" i="7"/>
  <c r="H417" i="7"/>
  <c r="G417" i="7"/>
  <c r="F417" i="7"/>
  <c r="E417" i="7"/>
  <c r="D417" i="7"/>
  <c r="C417" i="7"/>
  <c r="B417" i="7"/>
  <c r="M416" i="7"/>
  <c r="M424" i="7" s="1"/>
  <c r="L416" i="7"/>
  <c r="M432" i="7" s="1"/>
  <c r="K416" i="7"/>
  <c r="J416" i="7"/>
  <c r="J424" i="7" s="1"/>
  <c r="I416" i="7"/>
  <c r="H416" i="7"/>
  <c r="G416" i="7"/>
  <c r="F416" i="7"/>
  <c r="E416" i="7"/>
  <c r="D416" i="7"/>
  <c r="C416" i="7"/>
  <c r="B416" i="7"/>
  <c r="G412" i="7"/>
  <c r="P411" i="7"/>
  <c r="M411" i="7"/>
  <c r="L411" i="7"/>
  <c r="K411" i="7"/>
  <c r="J411" i="7"/>
  <c r="I411" i="7"/>
  <c r="H411" i="7"/>
  <c r="G411" i="7"/>
  <c r="F411" i="7"/>
  <c r="E411" i="7"/>
  <c r="D411" i="7"/>
  <c r="C411" i="7"/>
  <c r="B411" i="7"/>
  <c r="M409" i="7"/>
  <c r="L409" i="7"/>
  <c r="K409" i="7"/>
  <c r="J409" i="7"/>
  <c r="I409" i="7"/>
  <c r="H409" i="7"/>
  <c r="G409" i="7"/>
  <c r="F409" i="7"/>
  <c r="E409" i="7"/>
  <c r="D409" i="7"/>
  <c r="C409" i="7"/>
  <c r="B409" i="7"/>
  <c r="M408" i="7"/>
  <c r="L408" i="7"/>
  <c r="K408" i="7"/>
  <c r="J408" i="7"/>
  <c r="I408" i="7"/>
  <c r="H408" i="7"/>
  <c r="G408" i="7"/>
  <c r="F408" i="7"/>
  <c r="E408" i="7"/>
  <c r="D408" i="7"/>
  <c r="C408" i="7"/>
  <c r="B408" i="7"/>
  <c r="M407" i="7"/>
  <c r="L407" i="7"/>
  <c r="K407" i="7"/>
  <c r="J407" i="7"/>
  <c r="I407" i="7"/>
  <c r="H407" i="7"/>
  <c r="G407" i="7"/>
  <c r="F407" i="7"/>
  <c r="E407" i="7"/>
  <c r="D407" i="7"/>
  <c r="C407" i="7"/>
  <c r="B407" i="7"/>
  <c r="R404" i="7"/>
  <c r="Q404" i="7"/>
  <c r="P404" i="7"/>
  <c r="M402" i="7"/>
  <c r="L402" i="7"/>
  <c r="L410" i="7" s="1"/>
  <c r="K402" i="7"/>
  <c r="J402" i="7"/>
  <c r="I402" i="7"/>
  <c r="H402" i="7"/>
  <c r="H52" i="7" s="1"/>
  <c r="G402" i="7"/>
  <c r="G52" i="7" s="1"/>
  <c r="F402" i="7"/>
  <c r="F52" i="7" s="1"/>
  <c r="E402" i="7"/>
  <c r="D402" i="7"/>
  <c r="D52" i="7" s="1"/>
  <c r="C402" i="7"/>
  <c r="B402" i="7"/>
  <c r="S401" i="7"/>
  <c r="S409" i="7" s="1"/>
  <c r="R401" i="7"/>
  <c r="R409" i="7" s="1"/>
  <c r="Q401" i="7"/>
  <c r="P401" i="7"/>
  <c r="P409" i="7" s="1"/>
  <c r="O401" i="7"/>
  <c r="O409" i="7" s="1"/>
  <c r="S400" i="7"/>
  <c r="S408" i="7" s="1"/>
  <c r="R400" i="7"/>
  <c r="R341" i="7" s="1"/>
  <c r="Q400" i="7"/>
  <c r="Q408" i="7" s="1"/>
  <c r="P400" i="7"/>
  <c r="P408" i="7" s="1"/>
  <c r="O400" i="7"/>
  <c r="O408" i="7" s="1"/>
  <c r="S399" i="7"/>
  <c r="S407" i="7" s="1"/>
  <c r="R399" i="7"/>
  <c r="R407" i="7" s="1"/>
  <c r="Q399" i="7"/>
  <c r="Q407" i="7" s="1"/>
  <c r="P399" i="7"/>
  <c r="P407" i="7" s="1"/>
  <c r="O399" i="7"/>
  <c r="O407" i="7" s="1"/>
  <c r="I395" i="7"/>
  <c r="S394" i="7"/>
  <c r="R394" i="7"/>
  <c r="P394" i="7"/>
  <c r="M394" i="7"/>
  <c r="L394" i="7"/>
  <c r="K394" i="7"/>
  <c r="J394" i="7"/>
  <c r="I394" i="7"/>
  <c r="H394" i="7"/>
  <c r="G394" i="7"/>
  <c r="F394" i="7"/>
  <c r="E394" i="7"/>
  <c r="D394" i="7"/>
  <c r="C394" i="7"/>
  <c r="B394" i="7"/>
  <c r="M392" i="7"/>
  <c r="L392" i="7"/>
  <c r="K392" i="7"/>
  <c r="J392" i="7"/>
  <c r="I392" i="7"/>
  <c r="AU35" i="2" s="1"/>
  <c r="H392" i="7"/>
  <c r="G392" i="7"/>
  <c r="F392" i="7"/>
  <c r="E392" i="7"/>
  <c r="D392" i="7"/>
  <c r="C392" i="7"/>
  <c r="B392" i="7"/>
  <c r="Q391" i="7"/>
  <c r="M391" i="7"/>
  <c r="L391" i="7"/>
  <c r="K391" i="7"/>
  <c r="J391" i="7"/>
  <c r="I391" i="7"/>
  <c r="H391" i="7"/>
  <c r="G391" i="7"/>
  <c r="F391" i="7"/>
  <c r="E391" i="7"/>
  <c r="D391" i="7"/>
  <c r="C391" i="7"/>
  <c r="B391" i="7"/>
  <c r="M390" i="7"/>
  <c r="L390" i="7"/>
  <c r="K390" i="7"/>
  <c r="J390" i="7"/>
  <c r="I390" i="7"/>
  <c r="H390" i="7"/>
  <c r="G390" i="7"/>
  <c r="F390" i="7"/>
  <c r="E390" i="7"/>
  <c r="D390" i="7"/>
  <c r="C390" i="7"/>
  <c r="B390" i="7"/>
  <c r="R387" i="7"/>
  <c r="Q387" i="7"/>
  <c r="P387" i="7"/>
  <c r="P395" i="7" s="1"/>
  <c r="M385" i="7"/>
  <c r="L385" i="7"/>
  <c r="K385" i="7"/>
  <c r="K33" i="7" s="1"/>
  <c r="J385" i="7"/>
  <c r="I385" i="7"/>
  <c r="H385" i="7"/>
  <c r="G385" i="7"/>
  <c r="F385" i="7"/>
  <c r="E385" i="7"/>
  <c r="D385" i="7"/>
  <c r="C385" i="7"/>
  <c r="C360" i="7" s="1"/>
  <c r="C14" i="7" s="1"/>
  <c r="B385" i="7"/>
  <c r="S384" i="7"/>
  <c r="S392" i="7" s="1"/>
  <c r="R384" i="7"/>
  <c r="R392" i="7" s="1"/>
  <c r="Q384" i="7"/>
  <c r="Q392" i="7" s="1"/>
  <c r="P384" i="7"/>
  <c r="P392" i="7" s="1"/>
  <c r="O384" i="7"/>
  <c r="O392" i="7" s="1"/>
  <c r="S383" i="7"/>
  <c r="S391" i="7" s="1"/>
  <c r="R383" i="7"/>
  <c r="R391" i="7" s="1"/>
  <c r="Q383" i="7"/>
  <c r="P383" i="7"/>
  <c r="P391" i="7" s="1"/>
  <c r="O383" i="7"/>
  <c r="O391" i="7" s="1"/>
  <c r="S382" i="7"/>
  <c r="S390" i="7" s="1"/>
  <c r="R382" i="7"/>
  <c r="Q382" i="7"/>
  <c r="Q390" i="7" s="1"/>
  <c r="P382" i="7"/>
  <c r="P390" i="7" s="1"/>
  <c r="O382" i="7"/>
  <c r="O390" i="7" s="1"/>
  <c r="M378" i="7"/>
  <c r="L378" i="7"/>
  <c r="K378" i="7"/>
  <c r="J378" i="7"/>
  <c r="I378" i="7"/>
  <c r="H378" i="7"/>
  <c r="G378" i="7"/>
  <c r="F378" i="7"/>
  <c r="E378" i="7"/>
  <c r="D378" i="7"/>
  <c r="M377" i="7"/>
  <c r="L377" i="7"/>
  <c r="K377" i="7"/>
  <c r="J377" i="7"/>
  <c r="I377" i="7"/>
  <c r="H377" i="7"/>
  <c r="G377" i="7"/>
  <c r="F377" i="7"/>
  <c r="E377" i="7"/>
  <c r="D377" i="7"/>
  <c r="J374" i="7"/>
  <c r="AV17" i="2" s="1"/>
  <c r="M369" i="7"/>
  <c r="I369" i="7"/>
  <c r="H369" i="7"/>
  <c r="L366" i="7"/>
  <c r="R362" i="7"/>
  <c r="R16" i="7" s="1"/>
  <c r="Q362" i="7"/>
  <c r="P362" i="7"/>
  <c r="P16" i="7" s="1"/>
  <c r="S361" i="7"/>
  <c r="R361" i="7"/>
  <c r="R15" i="7" s="1"/>
  <c r="Q361" i="7"/>
  <c r="P361" i="7"/>
  <c r="P15" i="7" s="1"/>
  <c r="O361" i="7"/>
  <c r="B361" i="7"/>
  <c r="C377" i="7" s="1"/>
  <c r="M359" i="7"/>
  <c r="L359" i="7"/>
  <c r="K359" i="7"/>
  <c r="J359" i="7"/>
  <c r="I359" i="7"/>
  <c r="H359" i="7"/>
  <c r="Q359" i="7" s="1"/>
  <c r="Q367" i="7" s="1"/>
  <c r="G359" i="7"/>
  <c r="F359" i="7"/>
  <c r="E359" i="7"/>
  <c r="D359" i="7"/>
  <c r="D367" i="7" s="1"/>
  <c r="C359" i="7"/>
  <c r="D375" i="7" s="1"/>
  <c r="B359" i="7"/>
  <c r="M358" i="7"/>
  <c r="M374" i="7" s="1"/>
  <c r="L358" i="7"/>
  <c r="K358" i="7"/>
  <c r="J358" i="7"/>
  <c r="J366" i="7" s="1"/>
  <c r="I358" i="7"/>
  <c r="I374" i="7" s="1"/>
  <c r="H358" i="7"/>
  <c r="G358" i="7"/>
  <c r="F358" i="7"/>
  <c r="F366" i="7" s="1"/>
  <c r="E358" i="7"/>
  <c r="P358" i="7" s="1"/>
  <c r="P366" i="7" s="1"/>
  <c r="D358" i="7"/>
  <c r="C358" i="7"/>
  <c r="B358" i="7"/>
  <c r="M357" i="7"/>
  <c r="L357" i="7"/>
  <c r="K357" i="7"/>
  <c r="J357" i="7"/>
  <c r="I357" i="7"/>
  <c r="I365" i="7" s="1"/>
  <c r="H357" i="7"/>
  <c r="H373" i="7" s="1"/>
  <c r="G357" i="7"/>
  <c r="F357" i="7"/>
  <c r="E357" i="7"/>
  <c r="D357" i="7"/>
  <c r="C357" i="7"/>
  <c r="B357" i="7"/>
  <c r="E351" i="7"/>
  <c r="BH53" i="2" s="1"/>
  <c r="M350" i="7"/>
  <c r="L350" i="7"/>
  <c r="K350" i="7"/>
  <c r="J350" i="7"/>
  <c r="I350" i="7"/>
  <c r="H350" i="7"/>
  <c r="G350" i="7"/>
  <c r="F350" i="7"/>
  <c r="E350" i="7"/>
  <c r="D350" i="7"/>
  <c r="C350" i="7"/>
  <c r="B350" i="7"/>
  <c r="M349" i="7"/>
  <c r="L349" i="7"/>
  <c r="K349" i="7"/>
  <c r="J349" i="7"/>
  <c r="I349" i="7"/>
  <c r="H349" i="7"/>
  <c r="G349" i="7"/>
  <c r="F349" i="7"/>
  <c r="E349" i="7"/>
  <c r="D349" i="7"/>
  <c r="C349" i="7"/>
  <c r="B349" i="7"/>
  <c r="S348" i="7"/>
  <c r="M348" i="7"/>
  <c r="L348" i="7"/>
  <c r="K348" i="7"/>
  <c r="J348" i="7"/>
  <c r="I348" i="7"/>
  <c r="H348" i="7"/>
  <c r="G348" i="7"/>
  <c r="F348" i="7"/>
  <c r="E348" i="7"/>
  <c r="D348" i="7"/>
  <c r="C348" i="7"/>
  <c r="B348" i="7"/>
  <c r="M342" i="7"/>
  <c r="L342" i="7"/>
  <c r="K342" i="7"/>
  <c r="J342" i="7"/>
  <c r="I342" i="7"/>
  <c r="H342" i="7"/>
  <c r="G342" i="7"/>
  <c r="F342" i="7"/>
  <c r="E342" i="7"/>
  <c r="D342" i="7"/>
  <c r="C342" i="7"/>
  <c r="B342" i="7"/>
  <c r="M341" i="7"/>
  <c r="L341" i="7"/>
  <c r="K341" i="7"/>
  <c r="J341" i="7"/>
  <c r="I341" i="7"/>
  <c r="H341" i="7"/>
  <c r="G341" i="7"/>
  <c r="F341" i="7"/>
  <c r="E341" i="7"/>
  <c r="D341" i="7"/>
  <c r="C341" i="7"/>
  <c r="B341" i="7"/>
  <c r="M340" i="7"/>
  <c r="L340" i="7"/>
  <c r="K340" i="7"/>
  <c r="J340" i="7"/>
  <c r="I340" i="7"/>
  <c r="H340" i="7"/>
  <c r="G340" i="7"/>
  <c r="F340" i="7"/>
  <c r="E340" i="7"/>
  <c r="D340" i="7"/>
  <c r="C340" i="7"/>
  <c r="B340" i="7"/>
  <c r="M335" i="7"/>
  <c r="L335" i="7"/>
  <c r="K335" i="7"/>
  <c r="J335" i="7"/>
  <c r="I335" i="7"/>
  <c r="H335" i="7"/>
  <c r="G335" i="7"/>
  <c r="G351" i="7" s="1"/>
  <c r="BJ53" i="2" s="1"/>
  <c r="F335" i="7"/>
  <c r="E335" i="7"/>
  <c r="D335" i="7"/>
  <c r="C335" i="7"/>
  <c r="C343" i="7" s="1"/>
  <c r="H34" i="9" s="1"/>
  <c r="B335" i="7"/>
  <c r="B343" i="7" s="1"/>
  <c r="G34" i="9" s="1"/>
  <c r="S334" i="7"/>
  <c r="R334" i="7"/>
  <c r="R350" i="7" s="1"/>
  <c r="Q334" i="7"/>
  <c r="P334" i="7"/>
  <c r="O334" i="7"/>
  <c r="S333" i="7"/>
  <c r="R333" i="7"/>
  <c r="Q333" i="7"/>
  <c r="P333" i="7"/>
  <c r="O333" i="7"/>
  <c r="S332" i="7"/>
  <c r="S340" i="7" s="1"/>
  <c r="R332" i="7"/>
  <c r="Q332" i="7"/>
  <c r="Q348" i="7" s="1"/>
  <c r="P332" i="7"/>
  <c r="O332" i="7"/>
  <c r="M325" i="7"/>
  <c r="L325" i="7"/>
  <c r="K325" i="7"/>
  <c r="J325" i="7"/>
  <c r="I325" i="7"/>
  <c r="H325" i="7"/>
  <c r="G325" i="7"/>
  <c r="F325" i="7"/>
  <c r="E325" i="7"/>
  <c r="D325" i="7"/>
  <c r="C325" i="7"/>
  <c r="B325" i="7"/>
  <c r="M324" i="7"/>
  <c r="L324" i="7"/>
  <c r="K324" i="7"/>
  <c r="J324" i="7"/>
  <c r="I324" i="7"/>
  <c r="H324" i="7"/>
  <c r="G324" i="7"/>
  <c r="F324" i="7"/>
  <c r="E324" i="7"/>
  <c r="D324" i="7"/>
  <c r="C324" i="7"/>
  <c r="B324" i="7"/>
  <c r="M323" i="7"/>
  <c r="L323" i="7"/>
  <c r="K323" i="7"/>
  <c r="J323" i="7"/>
  <c r="I323" i="7"/>
  <c r="H323" i="7"/>
  <c r="G323" i="7"/>
  <c r="F323" i="7"/>
  <c r="E323" i="7"/>
  <c r="D323" i="7"/>
  <c r="C323" i="7"/>
  <c r="B323" i="7"/>
  <c r="J318" i="7"/>
  <c r="O35" i="9" s="1"/>
  <c r="M317" i="7"/>
  <c r="L317" i="7"/>
  <c r="K317" i="7"/>
  <c r="J317" i="7"/>
  <c r="I317" i="7"/>
  <c r="H317" i="7"/>
  <c r="G317" i="7"/>
  <c r="F317" i="7"/>
  <c r="E317" i="7"/>
  <c r="D317" i="7"/>
  <c r="C317" i="7"/>
  <c r="B317" i="7"/>
  <c r="M316" i="7"/>
  <c r="L316" i="7"/>
  <c r="K316" i="7"/>
  <c r="J316" i="7"/>
  <c r="I316" i="7"/>
  <c r="H316" i="7"/>
  <c r="G316" i="7"/>
  <c r="F316" i="7"/>
  <c r="E316" i="7"/>
  <c r="D316" i="7"/>
  <c r="C316" i="7"/>
  <c r="B316" i="7"/>
  <c r="M315" i="7"/>
  <c r="L315" i="7"/>
  <c r="K315" i="7"/>
  <c r="J315" i="7"/>
  <c r="I315" i="7"/>
  <c r="H315" i="7"/>
  <c r="G315" i="7"/>
  <c r="F315" i="7"/>
  <c r="BI17" i="2" s="1"/>
  <c r="E315" i="7"/>
  <c r="D315" i="7"/>
  <c r="BG17" i="2" s="1"/>
  <c r="C315" i="7"/>
  <c r="B315" i="7"/>
  <c r="BE17" i="2" s="1"/>
  <c r="M310" i="7"/>
  <c r="L310" i="7"/>
  <c r="K310" i="7"/>
  <c r="K318" i="7" s="1"/>
  <c r="P35" i="9" s="1"/>
  <c r="J310" i="7"/>
  <c r="J326" i="7" s="1"/>
  <c r="I310" i="7"/>
  <c r="I326" i="7" s="1"/>
  <c r="H310" i="7"/>
  <c r="G310" i="7"/>
  <c r="F310" i="7"/>
  <c r="E310" i="7"/>
  <c r="E326" i="7" s="1"/>
  <c r="D310" i="7"/>
  <c r="C310" i="7"/>
  <c r="C318" i="7" s="1"/>
  <c r="H35" i="9" s="1"/>
  <c r="B310" i="7"/>
  <c r="S309" i="7"/>
  <c r="R309" i="7"/>
  <c r="Q309" i="7"/>
  <c r="P309" i="7"/>
  <c r="O309" i="7"/>
  <c r="S308" i="7"/>
  <c r="R308" i="7"/>
  <c r="Q308" i="7"/>
  <c r="Q316" i="7" s="1"/>
  <c r="P308" i="7"/>
  <c r="P316" i="7" s="1"/>
  <c r="O308" i="7"/>
  <c r="S307" i="7"/>
  <c r="S323" i="7" s="1"/>
  <c r="R307" i="7"/>
  <c r="Q307" i="7"/>
  <c r="P307" i="7"/>
  <c r="O307" i="7"/>
  <c r="H302" i="7"/>
  <c r="K300" i="7"/>
  <c r="J300" i="7"/>
  <c r="M286" i="7"/>
  <c r="L286" i="7"/>
  <c r="L302" i="7" s="1"/>
  <c r="K286" i="7"/>
  <c r="J286" i="7"/>
  <c r="I286" i="7"/>
  <c r="H286" i="7"/>
  <c r="H294" i="7" s="1"/>
  <c r="G286" i="7"/>
  <c r="F286" i="7"/>
  <c r="E286" i="7"/>
  <c r="D286" i="7"/>
  <c r="D302" i="7" s="1"/>
  <c r="C286" i="7"/>
  <c r="C294" i="7" s="1"/>
  <c r="B286" i="7"/>
  <c r="M285" i="7"/>
  <c r="L285" i="7"/>
  <c r="L293" i="7" s="1"/>
  <c r="K285" i="7"/>
  <c r="J285" i="7"/>
  <c r="I285" i="7"/>
  <c r="H285" i="7"/>
  <c r="H293" i="7" s="1"/>
  <c r="G285" i="7"/>
  <c r="F285" i="7"/>
  <c r="E285" i="7"/>
  <c r="D285" i="7"/>
  <c r="D301" i="7" s="1"/>
  <c r="C285" i="7"/>
  <c r="B285" i="7"/>
  <c r="R284" i="7"/>
  <c r="M284" i="7"/>
  <c r="L284" i="7"/>
  <c r="L287" i="7" s="1"/>
  <c r="K284" i="7"/>
  <c r="K292" i="7" s="1"/>
  <c r="J284" i="7"/>
  <c r="I284" i="7"/>
  <c r="I300" i="7" s="1"/>
  <c r="H284" i="7"/>
  <c r="G284" i="7"/>
  <c r="F284" i="7"/>
  <c r="E284" i="7"/>
  <c r="D284" i="7"/>
  <c r="D292" i="7" s="1"/>
  <c r="C284" i="7"/>
  <c r="B284" i="7"/>
  <c r="M279" i="7"/>
  <c r="L279" i="7"/>
  <c r="K279" i="7"/>
  <c r="J279" i="7"/>
  <c r="I279" i="7"/>
  <c r="H279" i="7"/>
  <c r="G279" i="7"/>
  <c r="F279" i="7"/>
  <c r="E279" i="7"/>
  <c r="D279" i="7"/>
  <c r="C279" i="7"/>
  <c r="B279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N268" i="7"/>
  <c r="M268" i="7"/>
  <c r="L268" i="7"/>
  <c r="K268" i="7"/>
  <c r="K274" i="7" s="1"/>
  <c r="J268" i="7"/>
  <c r="I268" i="7"/>
  <c r="H268" i="7"/>
  <c r="G268" i="7"/>
  <c r="F268" i="7"/>
  <c r="E268" i="7"/>
  <c r="D268" i="7"/>
  <c r="C268" i="7"/>
  <c r="C280" i="7" s="1"/>
  <c r="B268" i="7"/>
  <c r="S267" i="7"/>
  <c r="R267" i="7"/>
  <c r="R273" i="7" s="1"/>
  <c r="Q267" i="7"/>
  <c r="P267" i="7"/>
  <c r="O267" i="7"/>
  <c r="O273" i="7" s="1"/>
  <c r="S266" i="7"/>
  <c r="R266" i="7"/>
  <c r="Q266" i="7"/>
  <c r="P266" i="7"/>
  <c r="O266" i="7"/>
  <c r="O272" i="7" s="1"/>
  <c r="S265" i="7"/>
  <c r="S271" i="7" s="1"/>
  <c r="R265" i="7"/>
  <c r="Q265" i="7"/>
  <c r="P265" i="7"/>
  <c r="O265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C255" i="7"/>
  <c r="H46" i="9" s="1"/>
  <c r="M254" i="7"/>
  <c r="L254" i="7"/>
  <c r="K254" i="7"/>
  <c r="J254" i="7"/>
  <c r="I254" i="7"/>
  <c r="H254" i="7"/>
  <c r="G254" i="7"/>
  <c r="F254" i="7"/>
  <c r="E254" i="7"/>
  <c r="D254" i="7"/>
  <c r="C254" i="7"/>
  <c r="B254" i="7"/>
  <c r="M253" i="7"/>
  <c r="L253" i="7"/>
  <c r="K253" i="7"/>
  <c r="J253" i="7"/>
  <c r="I253" i="7"/>
  <c r="H253" i="7"/>
  <c r="G253" i="7"/>
  <c r="F253" i="7"/>
  <c r="E253" i="7"/>
  <c r="D253" i="7"/>
  <c r="C253" i="7"/>
  <c r="B253" i="7"/>
  <c r="M252" i="7"/>
  <c r="L252" i="7"/>
  <c r="K252" i="7"/>
  <c r="J252" i="7"/>
  <c r="I252" i="7"/>
  <c r="H252" i="7"/>
  <c r="G252" i="7"/>
  <c r="F252" i="7"/>
  <c r="E252" i="7"/>
  <c r="D252" i="7"/>
  <c r="C252" i="7"/>
  <c r="B252" i="7"/>
  <c r="N249" i="7"/>
  <c r="M249" i="7"/>
  <c r="M261" i="7" s="1"/>
  <c r="L249" i="7"/>
  <c r="K249" i="7"/>
  <c r="J249" i="7"/>
  <c r="J261" i="7" s="1"/>
  <c r="I249" i="7"/>
  <c r="H249" i="7"/>
  <c r="G249" i="7"/>
  <c r="F249" i="7"/>
  <c r="E249" i="7"/>
  <c r="E255" i="7" s="1"/>
  <c r="J46" i="9" s="1"/>
  <c r="D249" i="7"/>
  <c r="C249" i="7"/>
  <c r="B249" i="7"/>
  <c r="S248" i="7"/>
  <c r="R248" i="7"/>
  <c r="Q248" i="7"/>
  <c r="P248" i="7"/>
  <c r="O248" i="7"/>
  <c r="S247" i="7"/>
  <c r="S259" i="7" s="1"/>
  <c r="R247" i="7"/>
  <c r="Q247" i="7"/>
  <c r="P247" i="7"/>
  <c r="P253" i="7" s="1"/>
  <c r="O247" i="7"/>
  <c r="O259" i="7" s="1"/>
  <c r="S246" i="7"/>
  <c r="S252" i="7" s="1"/>
  <c r="R246" i="7"/>
  <c r="Q246" i="7"/>
  <c r="P246" i="7"/>
  <c r="O246" i="7"/>
  <c r="O258" i="7" s="1"/>
  <c r="F241" i="7"/>
  <c r="E241" i="7"/>
  <c r="N230" i="7"/>
  <c r="M229" i="7"/>
  <c r="L229" i="7"/>
  <c r="K229" i="7"/>
  <c r="J229" i="7"/>
  <c r="I229" i="7"/>
  <c r="I235" i="7" s="1"/>
  <c r="H229" i="7"/>
  <c r="G229" i="7"/>
  <c r="G241" i="7" s="1"/>
  <c r="F229" i="7"/>
  <c r="E229" i="7"/>
  <c r="D229" i="7"/>
  <c r="C229" i="7"/>
  <c r="B229" i="7"/>
  <c r="M228" i="7"/>
  <c r="L228" i="7"/>
  <c r="K228" i="7"/>
  <c r="J228" i="7"/>
  <c r="I228" i="7"/>
  <c r="H228" i="7"/>
  <c r="G228" i="7"/>
  <c r="F228" i="7"/>
  <c r="E228" i="7"/>
  <c r="D228" i="7"/>
  <c r="C228" i="7"/>
  <c r="B228" i="7"/>
  <c r="M227" i="7"/>
  <c r="M239" i="7" s="1"/>
  <c r="L227" i="7"/>
  <c r="K227" i="7"/>
  <c r="J227" i="7"/>
  <c r="I227" i="7"/>
  <c r="H227" i="7"/>
  <c r="G227" i="7"/>
  <c r="F227" i="7"/>
  <c r="E227" i="7"/>
  <c r="E239" i="7" s="1"/>
  <c r="D227" i="7"/>
  <c r="C227" i="7"/>
  <c r="C239" i="7" s="1"/>
  <c r="B227" i="7"/>
  <c r="B239" i="7" s="1"/>
  <c r="M222" i="7"/>
  <c r="L222" i="7"/>
  <c r="K222" i="7"/>
  <c r="J222" i="7"/>
  <c r="I222" i="7"/>
  <c r="H222" i="7"/>
  <c r="G222" i="7"/>
  <c r="F222" i="7"/>
  <c r="M221" i="7"/>
  <c r="L221" i="7"/>
  <c r="K221" i="7"/>
  <c r="J221" i="7"/>
  <c r="I221" i="7"/>
  <c r="H221" i="7"/>
  <c r="G221" i="7"/>
  <c r="F221" i="7"/>
  <c r="E221" i="7"/>
  <c r="D221" i="7"/>
  <c r="C221" i="7"/>
  <c r="B221" i="7"/>
  <c r="O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M216" i="7"/>
  <c r="L216" i="7"/>
  <c r="K216" i="7"/>
  <c r="J216" i="7"/>
  <c r="I216" i="7"/>
  <c r="H216" i="7"/>
  <c r="G216" i="7"/>
  <c r="F216" i="7"/>
  <c r="M215" i="7"/>
  <c r="L215" i="7"/>
  <c r="K215" i="7"/>
  <c r="J215" i="7"/>
  <c r="I215" i="7"/>
  <c r="H215" i="7"/>
  <c r="G215" i="7"/>
  <c r="F215" i="7"/>
  <c r="E215" i="7"/>
  <c r="D215" i="7"/>
  <c r="C215" i="7"/>
  <c r="B215" i="7"/>
  <c r="M214" i="7"/>
  <c r="L214" i="7"/>
  <c r="K214" i="7"/>
  <c r="J214" i="7"/>
  <c r="I214" i="7"/>
  <c r="H214" i="7"/>
  <c r="G214" i="7"/>
  <c r="F214" i="7"/>
  <c r="E214" i="7"/>
  <c r="D214" i="7"/>
  <c r="C214" i="7"/>
  <c r="B214" i="7"/>
  <c r="N211" i="7"/>
  <c r="M211" i="7"/>
  <c r="M223" i="7" s="1"/>
  <c r="L211" i="7"/>
  <c r="L217" i="7" s="1"/>
  <c r="K211" i="7"/>
  <c r="K223" i="7" s="1"/>
  <c r="J211" i="7"/>
  <c r="I211" i="7"/>
  <c r="H211" i="7"/>
  <c r="G211" i="7"/>
  <c r="G223" i="7" s="1"/>
  <c r="CR53" i="2" s="1"/>
  <c r="F211" i="7"/>
  <c r="R210" i="7"/>
  <c r="Q210" i="7"/>
  <c r="E210" i="7"/>
  <c r="D210" i="7"/>
  <c r="D216" i="7" s="1"/>
  <c r="C210" i="7"/>
  <c r="C216" i="7" s="1"/>
  <c r="B210" i="7"/>
  <c r="B216" i="7" s="1"/>
  <c r="S209" i="7"/>
  <c r="R209" i="7"/>
  <c r="Q209" i="7"/>
  <c r="P209" i="7"/>
  <c r="O209" i="7"/>
  <c r="S208" i="7"/>
  <c r="R208" i="7"/>
  <c r="Q208" i="7"/>
  <c r="P208" i="7"/>
  <c r="O208" i="7"/>
  <c r="O214" i="7" s="1"/>
  <c r="M203" i="7"/>
  <c r="L203" i="7"/>
  <c r="K203" i="7"/>
  <c r="J203" i="7"/>
  <c r="I203" i="7"/>
  <c r="H203" i="7"/>
  <c r="G203" i="7"/>
  <c r="F203" i="7"/>
  <c r="Q202" i="7"/>
  <c r="M202" i="7"/>
  <c r="L202" i="7"/>
  <c r="K202" i="7"/>
  <c r="J202" i="7"/>
  <c r="I202" i="7"/>
  <c r="H202" i="7"/>
  <c r="G202" i="7"/>
  <c r="F202" i="7"/>
  <c r="E202" i="7"/>
  <c r="D202" i="7"/>
  <c r="C202" i="7"/>
  <c r="B202" i="7"/>
  <c r="M201" i="7"/>
  <c r="L201" i="7"/>
  <c r="K201" i="7"/>
  <c r="J201" i="7"/>
  <c r="I201" i="7"/>
  <c r="H201" i="7"/>
  <c r="G201" i="7"/>
  <c r="F201" i="7"/>
  <c r="E201" i="7"/>
  <c r="D201" i="7"/>
  <c r="C201" i="7"/>
  <c r="B201" i="7"/>
  <c r="M197" i="7"/>
  <c r="L197" i="7"/>
  <c r="K197" i="7"/>
  <c r="J197" i="7"/>
  <c r="I197" i="7"/>
  <c r="H197" i="7"/>
  <c r="G197" i="7"/>
  <c r="F197" i="7"/>
  <c r="O196" i="7"/>
  <c r="M196" i="7"/>
  <c r="L196" i="7"/>
  <c r="K196" i="7"/>
  <c r="J196" i="7"/>
  <c r="I196" i="7"/>
  <c r="H196" i="7"/>
  <c r="G196" i="7"/>
  <c r="F196" i="7"/>
  <c r="E196" i="7"/>
  <c r="D196" i="7"/>
  <c r="C196" i="7"/>
  <c r="B196" i="7"/>
  <c r="M195" i="7"/>
  <c r="L195" i="7"/>
  <c r="K195" i="7"/>
  <c r="J195" i="7"/>
  <c r="I195" i="7"/>
  <c r="H195" i="7"/>
  <c r="G195" i="7"/>
  <c r="F195" i="7"/>
  <c r="E195" i="7"/>
  <c r="D195" i="7"/>
  <c r="C195" i="7"/>
  <c r="B195" i="7"/>
  <c r="N192" i="7"/>
  <c r="M192" i="7"/>
  <c r="L192" i="7"/>
  <c r="K192" i="7"/>
  <c r="K142" i="7" s="1"/>
  <c r="J192" i="7"/>
  <c r="J204" i="7" s="1"/>
  <c r="I192" i="7"/>
  <c r="H192" i="7"/>
  <c r="H198" i="7" s="1"/>
  <c r="G192" i="7"/>
  <c r="F192" i="7"/>
  <c r="R191" i="7"/>
  <c r="Q191" i="7"/>
  <c r="Q203" i="7" s="1"/>
  <c r="E191" i="7"/>
  <c r="P191" i="7" s="1"/>
  <c r="D191" i="7"/>
  <c r="C191" i="7"/>
  <c r="B191" i="7"/>
  <c r="B197" i="7" s="1"/>
  <c r="S190" i="7"/>
  <c r="S202" i="7" s="1"/>
  <c r="R190" i="7"/>
  <c r="Q190" i="7"/>
  <c r="Q196" i="7" s="1"/>
  <c r="P190" i="7"/>
  <c r="O190" i="7"/>
  <c r="S189" i="7"/>
  <c r="R189" i="7"/>
  <c r="Q189" i="7"/>
  <c r="Q192" i="7" s="1"/>
  <c r="P189" i="7"/>
  <c r="O189" i="7"/>
  <c r="E183" i="7"/>
  <c r="I182" i="7"/>
  <c r="N173" i="7"/>
  <c r="M172" i="7"/>
  <c r="L172" i="7"/>
  <c r="L184" i="7" s="1"/>
  <c r="K172" i="7"/>
  <c r="J172" i="7"/>
  <c r="I172" i="7"/>
  <c r="H172" i="7"/>
  <c r="G172" i="7"/>
  <c r="F172" i="7"/>
  <c r="F178" i="7" s="1"/>
  <c r="M171" i="7"/>
  <c r="L171" i="7"/>
  <c r="K171" i="7"/>
  <c r="J171" i="7"/>
  <c r="J183" i="7" s="1"/>
  <c r="I171" i="7"/>
  <c r="H171" i="7"/>
  <c r="G171" i="7"/>
  <c r="F171" i="7"/>
  <c r="E171" i="7"/>
  <c r="E177" i="7" s="1"/>
  <c r="D171" i="7"/>
  <c r="D177" i="7" s="1"/>
  <c r="C171" i="7"/>
  <c r="B171" i="7"/>
  <c r="B177" i="7" s="1"/>
  <c r="M170" i="7"/>
  <c r="L170" i="7"/>
  <c r="K170" i="7"/>
  <c r="J170" i="7"/>
  <c r="I170" i="7"/>
  <c r="H170" i="7"/>
  <c r="Q170" i="7" s="1"/>
  <c r="G170" i="7"/>
  <c r="G176" i="7" s="1"/>
  <c r="F170" i="7"/>
  <c r="E170" i="7"/>
  <c r="D170" i="7"/>
  <c r="C170" i="7"/>
  <c r="B170" i="7"/>
  <c r="B182" i="7" s="1"/>
  <c r="R166" i="7"/>
  <c r="M166" i="7"/>
  <c r="L166" i="7"/>
  <c r="K166" i="7"/>
  <c r="J166" i="7"/>
  <c r="I166" i="7"/>
  <c r="H166" i="7"/>
  <c r="G166" i="7"/>
  <c r="F166" i="7"/>
  <c r="E166" i="7"/>
  <c r="D166" i="7"/>
  <c r="C166" i="7"/>
  <c r="B166" i="7"/>
  <c r="M165" i="7"/>
  <c r="L165" i="7"/>
  <c r="K165" i="7"/>
  <c r="J165" i="7"/>
  <c r="I165" i="7"/>
  <c r="H165" i="7"/>
  <c r="G165" i="7"/>
  <c r="F165" i="7"/>
  <c r="E165" i="7"/>
  <c r="D165" i="7"/>
  <c r="C165" i="7"/>
  <c r="B165" i="7"/>
  <c r="M164" i="7"/>
  <c r="L164" i="7"/>
  <c r="K164" i="7"/>
  <c r="J164" i="7"/>
  <c r="I164" i="7"/>
  <c r="H164" i="7"/>
  <c r="G164" i="7"/>
  <c r="F164" i="7"/>
  <c r="E164" i="7"/>
  <c r="D164" i="7"/>
  <c r="C164" i="7"/>
  <c r="B164" i="7"/>
  <c r="M160" i="7"/>
  <c r="L160" i="7"/>
  <c r="K160" i="7"/>
  <c r="J160" i="7"/>
  <c r="I160" i="7"/>
  <c r="H160" i="7"/>
  <c r="G160" i="7"/>
  <c r="S159" i="7"/>
  <c r="M159" i="7"/>
  <c r="L159" i="7"/>
  <c r="K159" i="7"/>
  <c r="J159" i="7"/>
  <c r="I159" i="7"/>
  <c r="H159" i="7"/>
  <c r="G159" i="7"/>
  <c r="F159" i="7"/>
  <c r="E159" i="7"/>
  <c r="D159" i="7"/>
  <c r="C159" i="7"/>
  <c r="B159" i="7"/>
  <c r="M158" i="7"/>
  <c r="L158" i="7"/>
  <c r="K158" i="7"/>
  <c r="J158" i="7"/>
  <c r="I158" i="7"/>
  <c r="H158" i="7"/>
  <c r="G158" i="7"/>
  <c r="F158" i="7"/>
  <c r="E158" i="7"/>
  <c r="D158" i="7"/>
  <c r="C158" i="7"/>
  <c r="B158" i="7"/>
  <c r="M155" i="7"/>
  <c r="M161" i="7" s="1"/>
  <c r="L155" i="7"/>
  <c r="K155" i="7"/>
  <c r="J155" i="7"/>
  <c r="I155" i="7"/>
  <c r="H155" i="7"/>
  <c r="G155" i="7"/>
  <c r="G167" i="7" s="1"/>
  <c r="F155" i="7"/>
  <c r="E155" i="7"/>
  <c r="E167" i="7" s="1"/>
  <c r="CP34" i="2" s="1"/>
  <c r="D155" i="7"/>
  <c r="D167" i="7" s="1"/>
  <c r="CO34" i="2" s="1"/>
  <c r="C155" i="7"/>
  <c r="B155" i="7"/>
  <c r="S154" i="7"/>
  <c r="R154" i="7"/>
  <c r="Q154" i="7"/>
  <c r="Q104" i="7" s="1"/>
  <c r="P154" i="7"/>
  <c r="P104" i="7" s="1"/>
  <c r="O154" i="7"/>
  <c r="O104" i="7" s="1"/>
  <c r="S153" i="7"/>
  <c r="R153" i="7"/>
  <c r="Q153" i="7"/>
  <c r="Q103" i="7" s="1"/>
  <c r="P153" i="7"/>
  <c r="P103" i="7" s="1"/>
  <c r="O153" i="7"/>
  <c r="O103" i="7" s="1"/>
  <c r="S152" i="7"/>
  <c r="R152" i="7"/>
  <c r="R102" i="7" s="1"/>
  <c r="Q152" i="7"/>
  <c r="P152" i="7"/>
  <c r="P164" i="7" s="1"/>
  <c r="O152" i="7"/>
  <c r="O102" i="7" s="1"/>
  <c r="M147" i="7"/>
  <c r="L147" i="7"/>
  <c r="K147" i="7"/>
  <c r="J147" i="7"/>
  <c r="I147" i="7"/>
  <c r="H147" i="7"/>
  <c r="G147" i="7"/>
  <c r="F147" i="7"/>
  <c r="E147" i="7"/>
  <c r="D147" i="7"/>
  <c r="C147" i="7"/>
  <c r="B147" i="7"/>
  <c r="M146" i="7"/>
  <c r="L146" i="7"/>
  <c r="K146" i="7"/>
  <c r="J146" i="7"/>
  <c r="I146" i="7"/>
  <c r="H146" i="7"/>
  <c r="G146" i="7"/>
  <c r="F146" i="7"/>
  <c r="E146" i="7"/>
  <c r="D146" i="7"/>
  <c r="C146" i="7"/>
  <c r="B146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R141" i="7"/>
  <c r="M141" i="7"/>
  <c r="L141" i="7"/>
  <c r="K141" i="7"/>
  <c r="J141" i="7"/>
  <c r="I141" i="7"/>
  <c r="H141" i="7"/>
  <c r="G141" i="7"/>
  <c r="R140" i="7"/>
  <c r="M140" i="7"/>
  <c r="L140" i="7"/>
  <c r="K140" i="7"/>
  <c r="J140" i="7"/>
  <c r="I140" i="7"/>
  <c r="H140" i="7"/>
  <c r="G140" i="7"/>
  <c r="F140" i="7"/>
  <c r="E140" i="7"/>
  <c r="D140" i="7"/>
  <c r="C140" i="7"/>
  <c r="B140" i="7"/>
  <c r="M139" i="7"/>
  <c r="L139" i="7"/>
  <c r="K139" i="7"/>
  <c r="J139" i="7"/>
  <c r="I139" i="7"/>
  <c r="H139" i="7"/>
  <c r="G139" i="7"/>
  <c r="F139" i="7"/>
  <c r="E139" i="7"/>
  <c r="D139" i="7"/>
  <c r="C139" i="7"/>
  <c r="B139" i="7"/>
  <c r="M136" i="7"/>
  <c r="M148" i="7" s="1"/>
  <c r="L136" i="7"/>
  <c r="K136" i="7"/>
  <c r="J136" i="7"/>
  <c r="J148" i="7" s="1"/>
  <c r="DL54" i="2" s="1"/>
  <c r="I136" i="7"/>
  <c r="I148" i="7" s="1"/>
  <c r="DK54" i="2" s="1"/>
  <c r="H136" i="7"/>
  <c r="G136" i="7"/>
  <c r="F136" i="7"/>
  <c r="E136" i="7"/>
  <c r="D136" i="7"/>
  <c r="C136" i="7"/>
  <c r="C148" i="7" s="1"/>
  <c r="B136" i="7"/>
  <c r="S135" i="7"/>
  <c r="R135" i="7"/>
  <c r="R147" i="7" s="1"/>
  <c r="Q135" i="7"/>
  <c r="Q85" i="7" s="1"/>
  <c r="P135" i="7"/>
  <c r="P141" i="7" s="1"/>
  <c r="O135" i="7"/>
  <c r="O85" i="7" s="1"/>
  <c r="S134" i="7"/>
  <c r="R134" i="7"/>
  <c r="R84" i="7" s="1"/>
  <c r="Q134" i="7"/>
  <c r="P134" i="7"/>
  <c r="P84" i="7" s="1"/>
  <c r="O134" i="7"/>
  <c r="S133" i="7"/>
  <c r="R133" i="7"/>
  <c r="Q133" i="7"/>
  <c r="Q83" i="7" s="1"/>
  <c r="P133" i="7"/>
  <c r="P83" i="7" s="1"/>
  <c r="O133" i="7"/>
  <c r="O139" i="7" s="1"/>
  <c r="H128" i="7"/>
  <c r="B128" i="7"/>
  <c r="B126" i="7"/>
  <c r="M116" i="7"/>
  <c r="L116" i="7"/>
  <c r="K116" i="7"/>
  <c r="J116" i="7"/>
  <c r="I116" i="7"/>
  <c r="I122" i="7" s="1"/>
  <c r="H116" i="7"/>
  <c r="G116" i="7"/>
  <c r="G128" i="7" s="1"/>
  <c r="F116" i="7"/>
  <c r="E116" i="7"/>
  <c r="D116" i="7"/>
  <c r="O116" i="7" s="1"/>
  <c r="O66" i="7" s="1"/>
  <c r="C116" i="7"/>
  <c r="B116" i="7"/>
  <c r="M115" i="7"/>
  <c r="M65" i="7" s="1"/>
  <c r="L115" i="7"/>
  <c r="K115" i="7"/>
  <c r="J115" i="7"/>
  <c r="I115" i="7"/>
  <c r="H115" i="7"/>
  <c r="G115" i="7"/>
  <c r="F115" i="7"/>
  <c r="E115" i="7"/>
  <c r="D115" i="7"/>
  <c r="O115" i="7" s="1"/>
  <c r="C115" i="7"/>
  <c r="B115" i="7"/>
  <c r="M114" i="7"/>
  <c r="L114" i="7"/>
  <c r="K114" i="7"/>
  <c r="J114" i="7"/>
  <c r="I114" i="7"/>
  <c r="H114" i="7"/>
  <c r="G114" i="7"/>
  <c r="F114" i="7"/>
  <c r="E114" i="7"/>
  <c r="D114" i="7"/>
  <c r="O114" i="7" s="1"/>
  <c r="O64" i="7" s="1"/>
  <c r="C114" i="7"/>
  <c r="B114" i="7"/>
  <c r="B111" i="7"/>
  <c r="S110" i="7"/>
  <c r="R110" i="7"/>
  <c r="Q110" i="7"/>
  <c r="P110" i="7"/>
  <c r="O110" i="7"/>
  <c r="M110" i="7"/>
  <c r="L110" i="7"/>
  <c r="K110" i="7"/>
  <c r="J110" i="7"/>
  <c r="DL35" i="2" s="1"/>
  <c r="I110" i="7"/>
  <c r="H110" i="7"/>
  <c r="G110" i="7"/>
  <c r="F110" i="7"/>
  <c r="E110" i="7"/>
  <c r="D110" i="7"/>
  <c r="C110" i="7"/>
  <c r="B110" i="7"/>
  <c r="P109" i="7"/>
  <c r="M109" i="7"/>
  <c r="L109" i="7"/>
  <c r="K109" i="7"/>
  <c r="J109" i="7"/>
  <c r="I109" i="7"/>
  <c r="H109" i="7"/>
  <c r="G109" i="7"/>
  <c r="F109" i="7"/>
  <c r="D109" i="7"/>
  <c r="B109" i="7"/>
  <c r="R108" i="7"/>
  <c r="P108" i="7"/>
  <c r="M108" i="7"/>
  <c r="L108" i="7"/>
  <c r="K108" i="7"/>
  <c r="J108" i="7"/>
  <c r="I108" i="7"/>
  <c r="H108" i="7"/>
  <c r="G108" i="7"/>
  <c r="F108" i="7"/>
  <c r="E108" i="7"/>
  <c r="D108" i="7"/>
  <c r="B108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S103" i="7"/>
  <c r="M103" i="7"/>
  <c r="L103" i="7"/>
  <c r="K103" i="7"/>
  <c r="J103" i="7"/>
  <c r="I103" i="7"/>
  <c r="H103" i="7"/>
  <c r="G103" i="7"/>
  <c r="F103" i="7"/>
  <c r="D103" i="7"/>
  <c r="B103" i="7"/>
  <c r="Q102" i="7"/>
  <c r="P102" i="7"/>
  <c r="M102" i="7"/>
  <c r="L102" i="7"/>
  <c r="K102" i="7"/>
  <c r="J102" i="7"/>
  <c r="I102" i="7"/>
  <c r="H102" i="7"/>
  <c r="G102" i="7"/>
  <c r="F102" i="7"/>
  <c r="D102" i="7"/>
  <c r="B102" i="7"/>
  <c r="M99" i="7"/>
  <c r="L99" i="7"/>
  <c r="L111" i="7" s="1"/>
  <c r="K99" i="7"/>
  <c r="J99" i="7"/>
  <c r="I99" i="7"/>
  <c r="H99" i="7"/>
  <c r="G99" i="7"/>
  <c r="F99" i="7"/>
  <c r="D99" i="7"/>
  <c r="B99" i="7"/>
  <c r="E97" i="7"/>
  <c r="C97" i="7"/>
  <c r="C59" i="7" s="1"/>
  <c r="E96" i="7"/>
  <c r="E102" i="7" s="1"/>
  <c r="C96" i="7"/>
  <c r="H92" i="7"/>
  <c r="R91" i="7"/>
  <c r="Q91" i="7"/>
  <c r="O91" i="7"/>
  <c r="M91" i="7"/>
  <c r="L91" i="7"/>
  <c r="K91" i="7"/>
  <c r="J91" i="7"/>
  <c r="I91" i="7"/>
  <c r="H91" i="7"/>
  <c r="G91" i="7"/>
  <c r="F91" i="7"/>
  <c r="E91" i="7"/>
  <c r="D91" i="7"/>
  <c r="C91" i="7"/>
  <c r="B91" i="7"/>
  <c r="S90" i="7"/>
  <c r="R90" i="7"/>
  <c r="Q90" i="7"/>
  <c r="P90" i="7"/>
  <c r="M90" i="7"/>
  <c r="L90" i="7"/>
  <c r="K90" i="7"/>
  <c r="J90" i="7"/>
  <c r="I90" i="7"/>
  <c r="H90" i="7"/>
  <c r="G90" i="7"/>
  <c r="F90" i="7"/>
  <c r="D90" i="7"/>
  <c r="C90" i="7"/>
  <c r="B90" i="7"/>
  <c r="S89" i="7"/>
  <c r="O89" i="7"/>
  <c r="M89" i="7"/>
  <c r="L89" i="7"/>
  <c r="K89" i="7"/>
  <c r="J89" i="7"/>
  <c r="I89" i="7"/>
  <c r="H89" i="7"/>
  <c r="F89" i="7"/>
  <c r="D89" i="7"/>
  <c r="C89" i="7"/>
  <c r="B89" i="7"/>
  <c r="B86" i="7"/>
  <c r="M85" i="7"/>
  <c r="L85" i="7"/>
  <c r="K85" i="7"/>
  <c r="J85" i="7"/>
  <c r="I85" i="7"/>
  <c r="H85" i="7"/>
  <c r="G85" i="7"/>
  <c r="F85" i="7"/>
  <c r="E85" i="7"/>
  <c r="D85" i="7"/>
  <c r="C85" i="7"/>
  <c r="B85" i="7"/>
  <c r="M84" i="7"/>
  <c r="L84" i="7"/>
  <c r="K84" i="7"/>
  <c r="J84" i="7"/>
  <c r="I84" i="7"/>
  <c r="H84" i="7"/>
  <c r="G84" i="7"/>
  <c r="F84" i="7"/>
  <c r="D84" i="7"/>
  <c r="C84" i="7"/>
  <c r="B84" i="7"/>
  <c r="M83" i="7"/>
  <c r="L83" i="7"/>
  <c r="K83" i="7"/>
  <c r="J83" i="7"/>
  <c r="I83" i="7"/>
  <c r="H83" i="7"/>
  <c r="F83" i="7"/>
  <c r="D83" i="7"/>
  <c r="C83" i="7"/>
  <c r="B83" i="7"/>
  <c r="M80" i="7"/>
  <c r="L80" i="7"/>
  <c r="L92" i="7" s="1"/>
  <c r="K80" i="7"/>
  <c r="K92" i="7" s="1"/>
  <c r="J80" i="7"/>
  <c r="J92" i="7" s="1"/>
  <c r="DL36" i="2" s="1"/>
  <c r="I80" i="7"/>
  <c r="I92" i="7" s="1"/>
  <c r="DK36" i="2" s="1"/>
  <c r="H80" i="7"/>
  <c r="F80" i="7"/>
  <c r="D80" i="7"/>
  <c r="C80" i="7"/>
  <c r="B80" i="7"/>
  <c r="E78" i="7"/>
  <c r="E84" i="7" s="1"/>
  <c r="G77" i="7"/>
  <c r="E77" i="7"/>
  <c r="L71" i="7"/>
  <c r="J71" i="7"/>
  <c r="D70" i="7"/>
  <c r="B64" i="7"/>
  <c r="M60" i="7"/>
  <c r="M10" i="7" s="1"/>
  <c r="L60" i="7"/>
  <c r="K60" i="7"/>
  <c r="K10" i="7" s="1"/>
  <c r="J60" i="7"/>
  <c r="I60" i="7"/>
  <c r="H60" i="7"/>
  <c r="H66" i="7" s="1"/>
  <c r="G60" i="7"/>
  <c r="F60" i="7"/>
  <c r="E60" i="7"/>
  <c r="E72" i="7" s="1"/>
  <c r="D60" i="7"/>
  <c r="D72" i="7" s="1"/>
  <c r="C60" i="7"/>
  <c r="C10" i="7" s="1"/>
  <c r="B60" i="7"/>
  <c r="M59" i="7"/>
  <c r="L59" i="7"/>
  <c r="L9" i="7" s="1"/>
  <c r="K59" i="7"/>
  <c r="K65" i="7" s="1"/>
  <c r="J59" i="7"/>
  <c r="J9" i="7" s="1"/>
  <c r="I59" i="7"/>
  <c r="I65" i="7" s="1"/>
  <c r="H59" i="7"/>
  <c r="G59" i="7"/>
  <c r="F59" i="7"/>
  <c r="D59" i="7"/>
  <c r="D71" i="7" s="1"/>
  <c r="B59" i="7"/>
  <c r="B71" i="7" s="1"/>
  <c r="XFD58" i="7"/>
  <c r="M58" i="7"/>
  <c r="L58" i="7"/>
  <c r="K58" i="7"/>
  <c r="K8" i="7" s="1"/>
  <c r="J58" i="7"/>
  <c r="I58" i="7"/>
  <c r="I8" i="7" s="1"/>
  <c r="H58" i="7"/>
  <c r="G58" i="7"/>
  <c r="F58" i="7"/>
  <c r="E58" i="7"/>
  <c r="E70" i="7" s="1"/>
  <c r="D58" i="7"/>
  <c r="B58" i="7"/>
  <c r="S55" i="7"/>
  <c r="R55" i="7"/>
  <c r="Q55" i="7"/>
  <c r="P55" i="7"/>
  <c r="O55" i="7"/>
  <c r="Q54" i="7"/>
  <c r="M54" i="7"/>
  <c r="L54" i="7"/>
  <c r="K54" i="7"/>
  <c r="J54" i="7"/>
  <c r="I54" i="7"/>
  <c r="H54" i="7"/>
  <c r="G54" i="7"/>
  <c r="F54" i="7"/>
  <c r="E54" i="7"/>
  <c r="D54" i="7"/>
  <c r="C54" i="7"/>
  <c r="S53" i="7"/>
  <c r="R53" i="7"/>
  <c r="Q53" i="7"/>
  <c r="P53" i="7"/>
  <c r="O53" i="7"/>
  <c r="M53" i="7"/>
  <c r="L53" i="7"/>
  <c r="K53" i="7"/>
  <c r="J53" i="7"/>
  <c r="I53" i="7"/>
  <c r="H53" i="7"/>
  <c r="G53" i="7"/>
  <c r="F53" i="7"/>
  <c r="E53" i="7"/>
  <c r="D53" i="7"/>
  <c r="C53" i="7"/>
  <c r="B53" i="7"/>
  <c r="M52" i="7"/>
  <c r="L52" i="7"/>
  <c r="I52" i="7"/>
  <c r="E52" i="7"/>
  <c r="C52" i="7"/>
  <c r="B52" i="7"/>
  <c r="S49" i="7"/>
  <c r="R49" i="7"/>
  <c r="Q49" i="7"/>
  <c r="P49" i="7"/>
  <c r="O49" i="7"/>
  <c r="B49" i="7"/>
  <c r="DD17" i="2" s="1"/>
  <c r="S48" i="7"/>
  <c r="R48" i="7"/>
  <c r="Q48" i="7"/>
  <c r="P48" i="7"/>
  <c r="O48" i="7"/>
  <c r="M48" i="7"/>
  <c r="L48" i="7"/>
  <c r="K48" i="7"/>
  <c r="J48" i="7"/>
  <c r="I48" i="7"/>
  <c r="H48" i="7"/>
  <c r="G48" i="7"/>
  <c r="F48" i="7"/>
  <c r="E48" i="7"/>
  <c r="D48" i="7"/>
  <c r="C48" i="7"/>
  <c r="B48" i="7"/>
  <c r="S47" i="7"/>
  <c r="R47" i="7"/>
  <c r="Q47" i="7"/>
  <c r="P47" i="7"/>
  <c r="O47" i="7"/>
  <c r="M47" i="7"/>
  <c r="L47" i="7"/>
  <c r="K47" i="7"/>
  <c r="J47" i="7"/>
  <c r="I47" i="7"/>
  <c r="H47" i="7"/>
  <c r="G47" i="7"/>
  <c r="F47" i="7"/>
  <c r="D47" i="7"/>
  <c r="B47" i="7"/>
  <c r="S46" i="7"/>
  <c r="R46" i="7"/>
  <c r="Q46" i="7"/>
  <c r="P46" i="7"/>
  <c r="O46" i="7"/>
  <c r="M46" i="7"/>
  <c r="L46" i="7"/>
  <c r="K46" i="7"/>
  <c r="J46" i="7"/>
  <c r="I46" i="7"/>
  <c r="H46" i="7"/>
  <c r="G46" i="7"/>
  <c r="F46" i="7"/>
  <c r="E46" i="7"/>
  <c r="D46" i="7"/>
  <c r="B46" i="7"/>
  <c r="M43" i="7"/>
  <c r="L43" i="7"/>
  <c r="L55" i="7" s="1"/>
  <c r="K43" i="7"/>
  <c r="K49" i="7" s="1"/>
  <c r="J43" i="7"/>
  <c r="I43" i="7"/>
  <c r="H43" i="7"/>
  <c r="G43" i="7"/>
  <c r="G55" i="7" s="1"/>
  <c r="F43" i="7"/>
  <c r="E43" i="7"/>
  <c r="E55" i="7" s="1"/>
  <c r="D43" i="7"/>
  <c r="D55" i="7" s="1"/>
  <c r="C43" i="7"/>
  <c r="C55" i="7" s="1"/>
  <c r="B43" i="7"/>
  <c r="B55" i="7" s="1"/>
  <c r="S36" i="7"/>
  <c r="R36" i="7"/>
  <c r="Q36" i="7"/>
  <c r="P36" i="7"/>
  <c r="O36" i="7"/>
  <c r="F36" i="7"/>
  <c r="D36" i="7"/>
  <c r="B36" i="7"/>
  <c r="R35" i="7"/>
  <c r="Q35" i="7"/>
  <c r="P35" i="7"/>
  <c r="M35" i="7"/>
  <c r="L35" i="7"/>
  <c r="K35" i="7"/>
  <c r="J35" i="7"/>
  <c r="I35" i="7"/>
  <c r="H35" i="7"/>
  <c r="G35" i="7"/>
  <c r="F35" i="7"/>
  <c r="E35" i="7"/>
  <c r="D35" i="7"/>
  <c r="C35" i="7"/>
  <c r="S34" i="7"/>
  <c r="R34" i="7"/>
  <c r="Q34" i="7"/>
  <c r="P34" i="7"/>
  <c r="O34" i="7"/>
  <c r="M34" i="7"/>
  <c r="L34" i="7"/>
  <c r="K34" i="7"/>
  <c r="J34" i="7"/>
  <c r="I34" i="7"/>
  <c r="H34" i="7"/>
  <c r="G34" i="7"/>
  <c r="F34" i="7"/>
  <c r="E34" i="7"/>
  <c r="D34" i="7"/>
  <c r="C34" i="7"/>
  <c r="B34" i="7"/>
  <c r="J33" i="7"/>
  <c r="H33" i="7"/>
  <c r="G33" i="7"/>
  <c r="F33" i="7"/>
  <c r="E33" i="7"/>
  <c r="C33" i="7"/>
  <c r="B33" i="7"/>
  <c r="S30" i="7"/>
  <c r="R30" i="7"/>
  <c r="Q30" i="7"/>
  <c r="P30" i="7"/>
  <c r="O30" i="7"/>
  <c r="S29" i="7"/>
  <c r="R29" i="7"/>
  <c r="Q29" i="7"/>
  <c r="P29" i="7"/>
  <c r="O29" i="7"/>
  <c r="M29" i="7"/>
  <c r="L29" i="7"/>
  <c r="K29" i="7"/>
  <c r="J29" i="7"/>
  <c r="I29" i="7"/>
  <c r="H29" i="7"/>
  <c r="G29" i="7"/>
  <c r="F29" i="7"/>
  <c r="E29" i="7"/>
  <c r="D29" i="7"/>
  <c r="C29" i="7"/>
  <c r="B29" i="7"/>
  <c r="S28" i="7"/>
  <c r="R28" i="7"/>
  <c r="Q28" i="7"/>
  <c r="P28" i="7"/>
  <c r="O28" i="7"/>
  <c r="M28" i="7"/>
  <c r="L28" i="7"/>
  <c r="K28" i="7"/>
  <c r="J28" i="7"/>
  <c r="I28" i="7"/>
  <c r="H28" i="7"/>
  <c r="G28" i="7"/>
  <c r="F28" i="7"/>
  <c r="D28" i="7"/>
  <c r="C28" i="7"/>
  <c r="B28" i="7"/>
  <c r="S27" i="7"/>
  <c r="R27" i="7"/>
  <c r="Q27" i="7"/>
  <c r="P27" i="7"/>
  <c r="O27" i="7"/>
  <c r="M27" i="7"/>
  <c r="L27" i="7"/>
  <c r="K27" i="7"/>
  <c r="J27" i="7"/>
  <c r="I27" i="7"/>
  <c r="H27" i="7"/>
  <c r="D27" i="7"/>
  <c r="C27" i="7"/>
  <c r="B27" i="7"/>
  <c r="M24" i="7"/>
  <c r="M36" i="7" s="1"/>
  <c r="L24" i="7"/>
  <c r="L30" i="7" s="1"/>
  <c r="K24" i="7"/>
  <c r="J24" i="7"/>
  <c r="I24" i="7"/>
  <c r="I36" i="7" s="1"/>
  <c r="H24" i="7"/>
  <c r="H36" i="7" s="1"/>
  <c r="G24" i="7"/>
  <c r="F24" i="7"/>
  <c r="E24" i="7"/>
  <c r="E36" i="7" s="1"/>
  <c r="D24" i="7"/>
  <c r="D30" i="7" s="1"/>
  <c r="C24" i="7"/>
  <c r="C36" i="7" s="1"/>
  <c r="B24" i="7"/>
  <c r="B30" i="7" s="1"/>
  <c r="S17" i="7"/>
  <c r="Q16" i="7"/>
  <c r="M16" i="7"/>
  <c r="L16" i="7"/>
  <c r="K16" i="7"/>
  <c r="J16" i="7"/>
  <c r="I16" i="7"/>
  <c r="S15" i="7"/>
  <c r="M15" i="7"/>
  <c r="L15" i="7"/>
  <c r="K15" i="7"/>
  <c r="J15" i="7"/>
  <c r="I15" i="7"/>
  <c r="D15" i="7"/>
  <c r="S11" i="7"/>
  <c r="S10" i="7"/>
  <c r="R10" i="7"/>
  <c r="Q10" i="7"/>
  <c r="P10" i="7"/>
  <c r="O10" i="7"/>
  <c r="S9" i="7"/>
  <c r="R9" i="7"/>
  <c r="Q9" i="7"/>
  <c r="P9" i="7"/>
  <c r="O9" i="7"/>
  <c r="M9" i="7"/>
  <c r="I9" i="7"/>
  <c r="S8" i="7"/>
  <c r="R8" i="7"/>
  <c r="Q8" i="7"/>
  <c r="P8" i="7"/>
  <c r="O8" i="7"/>
  <c r="D8" i="7"/>
  <c r="B8" i="7"/>
  <c r="M5" i="7"/>
  <c r="L5" i="7"/>
  <c r="K5" i="7"/>
  <c r="J5" i="7"/>
  <c r="J17" i="7" s="1"/>
  <c r="I5" i="7"/>
  <c r="I17" i="7" s="1"/>
  <c r="H4" i="7"/>
  <c r="H16" i="7" s="1"/>
  <c r="G4" i="7"/>
  <c r="G16" i="7" s="1"/>
  <c r="F4" i="7"/>
  <c r="F16" i="7" s="1"/>
  <c r="E4" i="7"/>
  <c r="E16" i="7" s="1"/>
  <c r="D4" i="7"/>
  <c r="D16" i="7" s="1"/>
  <c r="C4" i="7"/>
  <c r="C16" i="7" s="1"/>
  <c r="B4" i="7"/>
  <c r="H3" i="7"/>
  <c r="H15" i="7" s="1"/>
  <c r="G3" i="7"/>
  <c r="F3" i="7"/>
  <c r="E3" i="7"/>
  <c r="D3" i="7"/>
  <c r="C3" i="7"/>
  <c r="B3" i="7"/>
  <c r="B15" i="7" s="1"/>
  <c r="XFD2" i="7"/>
  <c r="H2" i="7"/>
  <c r="G2" i="7"/>
  <c r="F2" i="7"/>
  <c r="F8" i="7" s="1"/>
  <c r="E2" i="7"/>
  <c r="D2" i="7"/>
  <c r="C2" i="7"/>
  <c r="B2" i="7"/>
  <c r="D420" i="6"/>
  <c r="M419" i="6"/>
  <c r="L419" i="6"/>
  <c r="K419" i="6"/>
  <c r="J419" i="6"/>
  <c r="I419" i="6"/>
  <c r="F419" i="6"/>
  <c r="E419" i="6"/>
  <c r="D419" i="6"/>
  <c r="C419" i="6"/>
  <c r="L418" i="6"/>
  <c r="K418" i="6"/>
  <c r="J418" i="6"/>
  <c r="I418" i="6"/>
  <c r="H418" i="6"/>
  <c r="G418" i="6"/>
  <c r="F418" i="6"/>
  <c r="E418" i="6"/>
  <c r="D418" i="6"/>
  <c r="C418" i="6"/>
  <c r="M417" i="6"/>
  <c r="L417" i="6"/>
  <c r="K417" i="6"/>
  <c r="J417" i="6"/>
  <c r="I417" i="6"/>
  <c r="H417" i="6"/>
  <c r="G417" i="6"/>
  <c r="F417" i="6"/>
  <c r="E417" i="6"/>
  <c r="D417" i="6"/>
  <c r="C417" i="6"/>
  <c r="M413" i="6"/>
  <c r="L413" i="6"/>
  <c r="K413" i="6"/>
  <c r="J413" i="6"/>
  <c r="I413" i="6"/>
  <c r="H413" i="6"/>
  <c r="F413" i="6"/>
  <c r="E413" i="6"/>
  <c r="D413" i="6"/>
  <c r="C413" i="6"/>
  <c r="B413" i="6"/>
  <c r="N412" i="6"/>
  <c r="N400" i="6" s="1"/>
  <c r="G412" i="6"/>
  <c r="G419" i="6" s="1"/>
  <c r="N410" i="6"/>
  <c r="N398" i="6" s="1"/>
  <c r="M406" i="6"/>
  <c r="L406" i="6"/>
  <c r="K406" i="6"/>
  <c r="J406" i="6"/>
  <c r="I406" i="6"/>
  <c r="H406" i="6"/>
  <c r="G406" i="6"/>
  <c r="F406" i="6"/>
  <c r="E406" i="6"/>
  <c r="D406" i="6"/>
  <c r="C406" i="6"/>
  <c r="B406" i="6"/>
  <c r="K404" i="6"/>
  <c r="J404" i="6"/>
  <c r="M400" i="6"/>
  <c r="L400" i="6"/>
  <c r="K400" i="6"/>
  <c r="J400" i="6"/>
  <c r="I400" i="6"/>
  <c r="H400" i="6"/>
  <c r="F400" i="6"/>
  <c r="E400" i="6"/>
  <c r="D400" i="6"/>
  <c r="C400" i="6"/>
  <c r="B400" i="6"/>
  <c r="K398" i="6"/>
  <c r="J398" i="6"/>
  <c r="F398" i="6"/>
  <c r="B398" i="6"/>
  <c r="R394" i="6"/>
  <c r="Q394" i="6"/>
  <c r="P394" i="6"/>
  <c r="O394" i="6"/>
  <c r="Q393" i="6"/>
  <c r="Q381" i="6" s="1"/>
  <c r="M393" i="6"/>
  <c r="L393" i="6"/>
  <c r="K393" i="6"/>
  <c r="J393" i="6"/>
  <c r="I393" i="6"/>
  <c r="I399" i="6" s="1"/>
  <c r="H393" i="6"/>
  <c r="H399" i="6" s="1"/>
  <c r="G393" i="6"/>
  <c r="F393" i="6"/>
  <c r="F399" i="6" s="1"/>
  <c r="E393" i="6"/>
  <c r="D393" i="6"/>
  <c r="D399" i="6" s="1"/>
  <c r="C393" i="6"/>
  <c r="C399" i="6" s="1"/>
  <c r="B393" i="6"/>
  <c r="M392" i="6"/>
  <c r="L392" i="6"/>
  <c r="K392" i="6"/>
  <c r="J392" i="6"/>
  <c r="J395" i="6" s="1"/>
  <c r="I392" i="6"/>
  <c r="H392" i="6"/>
  <c r="H398" i="6" s="1"/>
  <c r="G392" i="6"/>
  <c r="F392" i="6"/>
  <c r="E392" i="6"/>
  <c r="E398" i="6" s="1"/>
  <c r="D392" i="6"/>
  <c r="D398" i="6" s="1"/>
  <c r="C392" i="6"/>
  <c r="M388" i="6"/>
  <c r="L388" i="6"/>
  <c r="K388" i="6"/>
  <c r="J388" i="6"/>
  <c r="I388" i="6"/>
  <c r="H388" i="6"/>
  <c r="G388" i="6"/>
  <c r="F388" i="6"/>
  <c r="E388" i="6"/>
  <c r="D388" i="6"/>
  <c r="C388" i="6"/>
  <c r="B388" i="6"/>
  <c r="M387" i="6"/>
  <c r="L387" i="6"/>
  <c r="K387" i="6"/>
  <c r="J387" i="6"/>
  <c r="I387" i="6"/>
  <c r="H387" i="6"/>
  <c r="G387" i="6"/>
  <c r="F387" i="6"/>
  <c r="E387" i="6"/>
  <c r="D387" i="6"/>
  <c r="C387" i="6"/>
  <c r="B387" i="6"/>
  <c r="M386" i="6"/>
  <c r="L386" i="6"/>
  <c r="K386" i="6"/>
  <c r="J386" i="6"/>
  <c r="I386" i="6"/>
  <c r="H386" i="6"/>
  <c r="G386" i="6"/>
  <c r="F386" i="6"/>
  <c r="E386" i="6"/>
  <c r="D386" i="6"/>
  <c r="M382" i="6"/>
  <c r="L382" i="6"/>
  <c r="K382" i="6"/>
  <c r="J382" i="6"/>
  <c r="I382" i="6"/>
  <c r="H382" i="6"/>
  <c r="G382" i="6"/>
  <c r="F382" i="6"/>
  <c r="E382" i="6"/>
  <c r="D382" i="6"/>
  <c r="C382" i="6"/>
  <c r="B382" i="6"/>
  <c r="M381" i="6"/>
  <c r="Q377" i="6"/>
  <c r="M377" i="6"/>
  <c r="L377" i="6"/>
  <c r="L389" i="6" s="1"/>
  <c r="K377" i="6"/>
  <c r="J377" i="6"/>
  <c r="J389" i="6" s="1"/>
  <c r="I377" i="6"/>
  <c r="I389" i="6" s="1"/>
  <c r="H377" i="6"/>
  <c r="G377" i="6"/>
  <c r="F377" i="6"/>
  <c r="E377" i="6"/>
  <c r="D377" i="6"/>
  <c r="C377" i="6"/>
  <c r="R376" i="6"/>
  <c r="Q376" i="6"/>
  <c r="Q364" i="6" s="1"/>
  <c r="P376" i="6"/>
  <c r="O376" i="6"/>
  <c r="N376" i="6"/>
  <c r="R375" i="6"/>
  <c r="Q375" i="6"/>
  <c r="Q363" i="6" s="1"/>
  <c r="P375" i="6"/>
  <c r="O375" i="6"/>
  <c r="N375" i="6"/>
  <c r="R374" i="6"/>
  <c r="Q374" i="6"/>
  <c r="P374" i="6"/>
  <c r="B374" i="6"/>
  <c r="M370" i="6"/>
  <c r="L370" i="6"/>
  <c r="K370" i="6"/>
  <c r="J370" i="6"/>
  <c r="I370" i="6"/>
  <c r="H370" i="6"/>
  <c r="G370" i="6"/>
  <c r="F370" i="6"/>
  <c r="E370" i="6"/>
  <c r="D370" i="6"/>
  <c r="C370" i="6"/>
  <c r="B370" i="6"/>
  <c r="M369" i="6"/>
  <c r="L369" i="6"/>
  <c r="K369" i="6"/>
  <c r="J369" i="6"/>
  <c r="I369" i="6"/>
  <c r="H369" i="6"/>
  <c r="G369" i="6"/>
  <c r="F369" i="6"/>
  <c r="E369" i="6"/>
  <c r="D369" i="6"/>
  <c r="C369" i="6"/>
  <c r="B369" i="6"/>
  <c r="M368" i="6"/>
  <c r="L368" i="6"/>
  <c r="K368" i="6"/>
  <c r="J368" i="6"/>
  <c r="I368" i="6"/>
  <c r="H368" i="6"/>
  <c r="G368" i="6"/>
  <c r="F368" i="6"/>
  <c r="E368" i="6"/>
  <c r="D368" i="6"/>
  <c r="C368" i="6"/>
  <c r="B368" i="6"/>
  <c r="M364" i="6"/>
  <c r="L364" i="6"/>
  <c r="K364" i="6"/>
  <c r="J364" i="6"/>
  <c r="I364" i="6"/>
  <c r="H364" i="6"/>
  <c r="G364" i="6"/>
  <c r="F364" i="6"/>
  <c r="E364" i="6"/>
  <c r="D364" i="6"/>
  <c r="C364" i="6"/>
  <c r="B364" i="6"/>
  <c r="M363" i="6"/>
  <c r="L363" i="6"/>
  <c r="K363" i="6"/>
  <c r="J363" i="6"/>
  <c r="I363" i="6"/>
  <c r="H363" i="6"/>
  <c r="G363" i="6"/>
  <c r="F363" i="6"/>
  <c r="E363" i="6"/>
  <c r="D363" i="6"/>
  <c r="C363" i="6"/>
  <c r="B363" i="6"/>
  <c r="M362" i="6"/>
  <c r="L362" i="6"/>
  <c r="K362" i="6"/>
  <c r="J362" i="6"/>
  <c r="I362" i="6"/>
  <c r="H362" i="6"/>
  <c r="G362" i="6"/>
  <c r="F362" i="6"/>
  <c r="E362" i="6"/>
  <c r="D362" i="6"/>
  <c r="C362" i="6"/>
  <c r="M359" i="6"/>
  <c r="M371" i="6" s="1"/>
  <c r="L359" i="6"/>
  <c r="K359" i="6"/>
  <c r="J359" i="6"/>
  <c r="I359" i="6"/>
  <c r="H359" i="6"/>
  <c r="G359" i="6"/>
  <c r="G365" i="6" s="1"/>
  <c r="F359" i="6"/>
  <c r="E359" i="6"/>
  <c r="D359" i="6"/>
  <c r="C359" i="6"/>
  <c r="B359" i="6"/>
  <c r="R358" i="6"/>
  <c r="R364" i="6" s="1"/>
  <c r="Q358" i="6"/>
  <c r="P358" i="6"/>
  <c r="O358" i="6"/>
  <c r="N358" i="6"/>
  <c r="R357" i="6"/>
  <c r="R363" i="6" s="1"/>
  <c r="Q357" i="6"/>
  <c r="P357" i="6"/>
  <c r="P363" i="6" s="1"/>
  <c r="O357" i="6"/>
  <c r="O363" i="6" s="1"/>
  <c r="N357" i="6"/>
  <c r="R356" i="6"/>
  <c r="Q356" i="6"/>
  <c r="P356" i="6"/>
  <c r="O356" i="6"/>
  <c r="N356" i="6"/>
  <c r="M352" i="6"/>
  <c r="L352" i="6"/>
  <c r="K352" i="6"/>
  <c r="J352" i="6"/>
  <c r="I352" i="6"/>
  <c r="H352" i="6"/>
  <c r="G352" i="6"/>
  <c r="F352" i="6"/>
  <c r="E352" i="6"/>
  <c r="D352" i="6"/>
  <c r="C352" i="6"/>
  <c r="B352" i="6"/>
  <c r="M351" i="6"/>
  <c r="L351" i="6"/>
  <c r="K351" i="6"/>
  <c r="J351" i="6"/>
  <c r="I351" i="6"/>
  <c r="H351" i="6"/>
  <c r="G351" i="6"/>
  <c r="F351" i="6"/>
  <c r="E351" i="6"/>
  <c r="D351" i="6"/>
  <c r="C351" i="6"/>
  <c r="B351" i="6"/>
  <c r="M350" i="6"/>
  <c r="L350" i="6"/>
  <c r="K350" i="6"/>
  <c r="J350" i="6"/>
  <c r="I350" i="6"/>
  <c r="H350" i="6"/>
  <c r="G350" i="6"/>
  <c r="F350" i="6"/>
  <c r="E350" i="6"/>
  <c r="D350" i="6"/>
  <c r="C350" i="6"/>
  <c r="B350" i="6"/>
  <c r="M346" i="6"/>
  <c r="L346" i="6"/>
  <c r="K346" i="6"/>
  <c r="J346" i="6"/>
  <c r="I346" i="6"/>
  <c r="H346" i="6"/>
  <c r="G346" i="6"/>
  <c r="F346" i="6"/>
  <c r="E346" i="6"/>
  <c r="D346" i="6"/>
  <c r="C346" i="6"/>
  <c r="B346" i="6"/>
  <c r="M344" i="6"/>
  <c r="L344" i="6"/>
  <c r="K344" i="6"/>
  <c r="J344" i="6"/>
  <c r="I344" i="6"/>
  <c r="H344" i="6"/>
  <c r="G344" i="6"/>
  <c r="F344" i="6"/>
  <c r="E344" i="6"/>
  <c r="D344" i="6"/>
  <c r="C344" i="6"/>
  <c r="B344" i="6"/>
  <c r="M343" i="6"/>
  <c r="L343" i="6"/>
  <c r="K343" i="6"/>
  <c r="J343" i="6"/>
  <c r="I343" i="6"/>
  <c r="H343" i="6"/>
  <c r="G343" i="6"/>
  <c r="F343" i="6"/>
  <c r="E343" i="6"/>
  <c r="D343" i="6"/>
  <c r="C343" i="6"/>
  <c r="B343" i="6"/>
  <c r="I340" i="6"/>
  <c r="M339" i="6"/>
  <c r="L339" i="6"/>
  <c r="K339" i="6"/>
  <c r="J339" i="6"/>
  <c r="I339" i="6"/>
  <c r="H339" i="6"/>
  <c r="G339" i="6"/>
  <c r="F339" i="6"/>
  <c r="E339" i="6"/>
  <c r="D339" i="6"/>
  <c r="C339" i="6"/>
  <c r="B339" i="6"/>
  <c r="R338" i="6"/>
  <c r="Q338" i="6"/>
  <c r="P338" i="6"/>
  <c r="O338" i="6"/>
  <c r="N338" i="6"/>
  <c r="N346" i="6" s="1"/>
  <c r="M337" i="6"/>
  <c r="M345" i="6" s="1"/>
  <c r="L337" i="6"/>
  <c r="L345" i="6" s="1"/>
  <c r="K337" i="6"/>
  <c r="K345" i="6" s="1"/>
  <c r="J337" i="6"/>
  <c r="I337" i="6"/>
  <c r="I345" i="6" s="1"/>
  <c r="H337" i="6"/>
  <c r="H340" i="6" s="1"/>
  <c r="G337" i="6"/>
  <c r="F337" i="6"/>
  <c r="F340" i="6" s="1"/>
  <c r="E337" i="6"/>
  <c r="E340" i="6" s="1"/>
  <c r="D337" i="6"/>
  <c r="D340" i="6" s="1"/>
  <c r="C337" i="6"/>
  <c r="B337" i="6"/>
  <c r="R336" i="6"/>
  <c r="Q336" i="6"/>
  <c r="P336" i="6"/>
  <c r="O336" i="6"/>
  <c r="N336" i="6"/>
  <c r="R335" i="6"/>
  <c r="Q335" i="6"/>
  <c r="P335" i="6"/>
  <c r="O335" i="6"/>
  <c r="N335" i="6"/>
  <c r="N339" i="6" s="1"/>
  <c r="M331" i="6"/>
  <c r="L331" i="6"/>
  <c r="K331" i="6"/>
  <c r="J331" i="6"/>
  <c r="I331" i="6"/>
  <c r="H331" i="6"/>
  <c r="G331" i="6"/>
  <c r="F331" i="6"/>
  <c r="E331" i="6"/>
  <c r="D331" i="6"/>
  <c r="C331" i="6"/>
  <c r="B331" i="6"/>
  <c r="M330" i="6"/>
  <c r="L330" i="6"/>
  <c r="K330" i="6"/>
  <c r="J330" i="6"/>
  <c r="I330" i="6"/>
  <c r="H330" i="6"/>
  <c r="G330" i="6"/>
  <c r="F330" i="6"/>
  <c r="E330" i="6"/>
  <c r="D330" i="6"/>
  <c r="C330" i="6"/>
  <c r="B330" i="6"/>
  <c r="M329" i="6"/>
  <c r="L329" i="6"/>
  <c r="K329" i="6"/>
  <c r="J329" i="6"/>
  <c r="I329" i="6"/>
  <c r="G329" i="6"/>
  <c r="F329" i="6"/>
  <c r="E329" i="6"/>
  <c r="D329" i="6"/>
  <c r="C329" i="6"/>
  <c r="B329" i="6"/>
  <c r="P325" i="6"/>
  <c r="M325" i="6"/>
  <c r="L325" i="6"/>
  <c r="K325" i="6"/>
  <c r="J325" i="6"/>
  <c r="I325" i="6"/>
  <c r="H325" i="6"/>
  <c r="G325" i="6"/>
  <c r="F325" i="6"/>
  <c r="E325" i="6"/>
  <c r="D325" i="6"/>
  <c r="C325" i="6"/>
  <c r="B325" i="6"/>
  <c r="M324" i="6"/>
  <c r="L324" i="6"/>
  <c r="K324" i="6"/>
  <c r="J324" i="6"/>
  <c r="I324" i="6"/>
  <c r="H324" i="6"/>
  <c r="G324" i="6"/>
  <c r="F324" i="6"/>
  <c r="E324" i="6"/>
  <c r="D324" i="6"/>
  <c r="C324" i="6"/>
  <c r="B324" i="6"/>
  <c r="M323" i="6"/>
  <c r="L323" i="6"/>
  <c r="K323" i="6"/>
  <c r="J323" i="6"/>
  <c r="I323" i="6"/>
  <c r="H323" i="6"/>
  <c r="G323" i="6"/>
  <c r="F323" i="6"/>
  <c r="E323" i="6"/>
  <c r="D323" i="6"/>
  <c r="C323" i="6"/>
  <c r="B323" i="6"/>
  <c r="P320" i="6"/>
  <c r="O320" i="6"/>
  <c r="M319" i="6"/>
  <c r="L319" i="6"/>
  <c r="K319" i="6"/>
  <c r="J319" i="6"/>
  <c r="J332" i="6" s="1"/>
  <c r="I319" i="6"/>
  <c r="H319" i="6"/>
  <c r="G319" i="6"/>
  <c r="G326" i="6" s="1"/>
  <c r="F319" i="6"/>
  <c r="E319" i="6"/>
  <c r="E326" i="6" s="1"/>
  <c r="D319" i="6"/>
  <c r="C319" i="6"/>
  <c r="B319" i="6"/>
  <c r="S318" i="6"/>
  <c r="R318" i="6"/>
  <c r="Q318" i="6"/>
  <c r="P318" i="6"/>
  <c r="O318" i="6"/>
  <c r="N318" i="6"/>
  <c r="N325" i="6" s="1"/>
  <c r="S317" i="6"/>
  <c r="R317" i="6"/>
  <c r="Q317" i="6"/>
  <c r="P317" i="6"/>
  <c r="O317" i="6"/>
  <c r="N317" i="6"/>
  <c r="S316" i="6"/>
  <c r="S302" i="6" s="1"/>
  <c r="R316" i="6"/>
  <c r="Q316" i="6"/>
  <c r="P316" i="6"/>
  <c r="O316" i="6"/>
  <c r="N316" i="6"/>
  <c r="N323" i="6" s="1"/>
  <c r="K313" i="6"/>
  <c r="J313" i="6"/>
  <c r="I313" i="6"/>
  <c r="H313" i="6"/>
  <c r="G313" i="6"/>
  <c r="F313" i="6"/>
  <c r="E313" i="6"/>
  <c r="D313" i="6"/>
  <c r="C313" i="6"/>
  <c r="L311" i="6"/>
  <c r="K311" i="6"/>
  <c r="J311" i="6"/>
  <c r="I311" i="6"/>
  <c r="H311" i="6"/>
  <c r="G311" i="6"/>
  <c r="F311" i="6"/>
  <c r="E311" i="6"/>
  <c r="D311" i="6"/>
  <c r="C311" i="6"/>
  <c r="B311" i="6"/>
  <c r="M310" i="6"/>
  <c r="L310" i="6"/>
  <c r="K310" i="6"/>
  <c r="J310" i="6"/>
  <c r="I310" i="6"/>
  <c r="H310" i="6"/>
  <c r="G310" i="6"/>
  <c r="F310" i="6"/>
  <c r="E310" i="6"/>
  <c r="D310" i="6"/>
  <c r="C310" i="6"/>
  <c r="B310" i="6"/>
  <c r="M309" i="6"/>
  <c r="L309" i="6"/>
  <c r="K309" i="6"/>
  <c r="J309" i="6"/>
  <c r="I309" i="6"/>
  <c r="H309" i="6"/>
  <c r="G309" i="6"/>
  <c r="F309" i="6"/>
  <c r="E309" i="6"/>
  <c r="D309" i="6"/>
  <c r="C309" i="6"/>
  <c r="B309" i="6"/>
  <c r="K306" i="6"/>
  <c r="J306" i="6"/>
  <c r="I306" i="6"/>
  <c r="H306" i="6"/>
  <c r="G306" i="6"/>
  <c r="F306" i="6"/>
  <c r="E306" i="6"/>
  <c r="D306" i="6"/>
  <c r="C306" i="6"/>
  <c r="B306" i="6"/>
  <c r="C305" i="6"/>
  <c r="M304" i="6"/>
  <c r="L304" i="6"/>
  <c r="K304" i="6"/>
  <c r="J304" i="6"/>
  <c r="I304" i="6"/>
  <c r="H304" i="6"/>
  <c r="G304" i="6"/>
  <c r="F304" i="6"/>
  <c r="E304" i="6"/>
  <c r="D304" i="6"/>
  <c r="B304" i="6"/>
  <c r="M303" i="6"/>
  <c r="L303" i="6"/>
  <c r="K303" i="6"/>
  <c r="J303" i="6"/>
  <c r="I303" i="6"/>
  <c r="H303" i="6"/>
  <c r="G303" i="6"/>
  <c r="F303" i="6"/>
  <c r="E303" i="6"/>
  <c r="D303" i="6"/>
  <c r="C303" i="6"/>
  <c r="B303" i="6"/>
  <c r="M302" i="6"/>
  <c r="L302" i="6"/>
  <c r="K302" i="6"/>
  <c r="J302" i="6"/>
  <c r="I302" i="6"/>
  <c r="H302" i="6"/>
  <c r="G302" i="6"/>
  <c r="F302" i="6"/>
  <c r="E302" i="6"/>
  <c r="D302" i="6"/>
  <c r="C302" i="6"/>
  <c r="B302" i="6"/>
  <c r="P299" i="6"/>
  <c r="O299" i="6"/>
  <c r="O306" i="6" s="1"/>
  <c r="M298" i="6"/>
  <c r="L298" i="6"/>
  <c r="K298" i="6"/>
  <c r="K312" i="6" s="1"/>
  <c r="J298" i="6"/>
  <c r="I298" i="6"/>
  <c r="H298" i="6"/>
  <c r="G298" i="6"/>
  <c r="F298" i="6"/>
  <c r="E298" i="6"/>
  <c r="D298" i="6"/>
  <c r="C298" i="6"/>
  <c r="B298" i="6"/>
  <c r="S297" i="6"/>
  <c r="R297" i="6"/>
  <c r="Q297" i="6"/>
  <c r="P297" i="6"/>
  <c r="O297" i="6"/>
  <c r="J296" i="6"/>
  <c r="J282" i="6" s="1"/>
  <c r="I296" i="6"/>
  <c r="M295" i="6"/>
  <c r="M296" i="6" s="1"/>
  <c r="L295" i="6"/>
  <c r="L296" i="6" s="1"/>
  <c r="K295" i="6"/>
  <c r="J295" i="6"/>
  <c r="I295" i="6"/>
  <c r="H295" i="6"/>
  <c r="G295" i="6"/>
  <c r="G296" i="6" s="1"/>
  <c r="F295" i="6"/>
  <c r="F296" i="6" s="1"/>
  <c r="E295" i="6"/>
  <c r="D295" i="6"/>
  <c r="D296" i="6" s="1"/>
  <c r="C295" i="6"/>
  <c r="C296" i="6" s="1"/>
  <c r="S294" i="6"/>
  <c r="S303" i="6" s="1"/>
  <c r="R294" i="6"/>
  <c r="Q294" i="6"/>
  <c r="Q303" i="6" s="1"/>
  <c r="P294" i="6"/>
  <c r="O294" i="6"/>
  <c r="O303" i="6" s="1"/>
  <c r="S293" i="6"/>
  <c r="R293" i="6"/>
  <c r="R302" i="6" s="1"/>
  <c r="Q293" i="6"/>
  <c r="Q302" i="6" s="1"/>
  <c r="P293" i="6"/>
  <c r="O293" i="6"/>
  <c r="M280" i="6"/>
  <c r="L280" i="6"/>
  <c r="K280" i="6"/>
  <c r="J280" i="6"/>
  <c r="I280" i="6"/>
  <c r="H280" i="6"/>
  <c r="G280" i="6"/>
  <c r="F280" i="6"/>
  <c r="E280" i="6"/>
  <c r="D280" i="6"/>
  <c r="C280" i="6"/>
  <c r="B280" i="6"/>
  <c r="M279" i="6"/>
  <c r="L279" i="6"/>
  <c r="K279" i="6"/>
  <c r="J279" i="6"/>
  <c r="I279" i="6"/>
  <c r="H279" i="6"/>
  <c r="G279" i="6"/>
  <c r="F279" i="6"/>
  <c r="E279" i="6"/>
  <c r="D279" i="6"/>
  <c r="C279" i="6"/>
  <c r="B279" i="6"/>
  <c r="Q275" i="6"/>
  <c r="M275" i="6"/>
  <c r="L275" i="6"/>
  <c r="K275" i="6"/>
  <c r="J275" i="6"/>
  <c r="I275" i="6"/>
  <c r="H275" i="6"/>
  <c r="G275" i="6"/>
  <c r="F275" i="6"/>
  <c r="E275" i="6"/>
  <c r="D275" i="6"/>
  <c r="C275" i="6"/>
  <c r="R274" i="6"/>
  <c r="Q274" i="6"/>
  <c r="P274" i="6"/>
  <c r="P260" i="6" s="1"/>
  <c r="B274" i="6"/>
  <c r="R273" i="6"/>
  <c r="Q273" i="6"/>
  <c r="P273" i="6"/>
  <c r="O273" i="6"/>
  <c r="R272" i="6"/>
  <c r="Q272" i="6"/>
  <c r="Q279" i="6" s="1"/>
  <c r="P272" i="6"/>
  <c r="O272" i="6"/>
  <c r="M260" i="6"/>
  <c r="L260" i="6"/>
  <c r="K260" i="6"/>
  <c r="J260" i="6"/>
  <c r="I260" i="6"/>
  <c r="H260" i="6"/>
  <c r="G260" i="6"/>
  <c r="F260" i="6"/>
  <c r="E260" i="6"/>
  <c r="D260" i="6"/>
  <c r="C260" i="6"/>
  <c r="M259" i="6"/>
  <c r="L259" i="6"/>
  <c r="K259" i="6"/>
  <c r="J259" i="6"/>
  <c r="I259" i="6"/>
  <c r="H259" i="6"/>
  <c r="G259" i="6"/>
  <c r="F259" i="6"/>
  <c r="E259" i="6"/>
  <c r="D259" i="6"/>
  <c r="C259" i="6"/>
  <c r="B259" i="6"/>
  <c r="M258" i="6"/>
  <c r="L258" i="6"/>
  <c r="K258" i="6"/>
  <c r="J258" i="6"/>
  <c r="I258" i="6"/>
  <c r="H258" i="6"/>
  <c r="G258" i="6"/>
  <c r="F258" i="6"/>
  <c r="E258" i="6"/>
  <c r="D258" i="6"/>
  <c r="C258" i="6"/>
  <c r="B258" i="6"/>
  <c r="N253" i="6"/>
  <c r="L253" i="6"/>
  <c r="K253" i="6"/>
  <c r="J253" i="6"/>
  <c r="I253" i="6"/>
  <c r="H253" i="6"/>
  <c r="G253" i="6"/>
  <c r="F253" i="6"/>
  <c r="E253" i="6"/>
  <c r="D253" i="6"/>
  <c r="C253" i="6"/>
  <c r="B253" i="6"/>
  <c r="R252" i="6"/>
  <c r="Q252" i="6"/>
  <c r="P252" i="6"/>
  <c r="O252" i="6"/>
  <c r="N251" i="6"/>
  <c r="L251" i="6"/>
  <c r="K251" i="6"/>
  <c r="J251" i="6"/>
  <c r="I251" i="6"/>
  <c r="H251" i="6"/>
  <c r="G251" i="6"/>
  <c r="F251" i="6"/>
  <c r="E251" i="6"/>
  <c r="E254" i="6" s="1"/>
  <c r="D251" i="6"/>
  <c r="C251" i="6"/>
  <c r="B251" i="6"/>
  <c r="R250" i="6"/>
  <c r="Q250" i="6"/>
  <c r="Q259" i="6" s="1"/>
  <c r="P250" i="6"/>
  <c r="P259" i="6" s="1"/>
  <c r="O250" i="6"/>
  <c r="O259" i="6" s="1"/>
  <c r="N249" i="6"/>
  <c r="L249" i="6"/>
  <c r="K249" i="6"/>
  <c r="K254" i="6" s="1"/>
  <c r="J249" i="6"/>
  <c r="J254" i="6" s="1"/>
  <c r="I249" i="6"/>
  <c r="H249" i="6"/>
  <c r="G249" i="6"/>
  <c r="F249" i="6"/>
  <c r="E249" i="6"/>
  <c r="D249" i="6"/>
  <c r="C249" i="6"/>
  <c r="B249" i="6"/>
  <c r="B254" i="6" s="1"/>
  <c r="R248" i="6"/>
  <c r="R258" i="6" s="1"/>
  <c r="Q248" i="6"/>
  <c r="P248" i="6"/>
  <c r="O248" i="6"/>
  <c r="M236" i="6"/>
  <c r="L236" i="6"/>
  <c r="K236" i="6"/>
  <c r="J236" i="6"/>
  <c r="I236" i="6"/>
  <c r="H236" i="6"/>
  <c r="G236" i="6"/>
  <c r="F236" i="6"/>
  <c r="E236" i="6"/>
  <c r="D236" i="6"/>
  <c r="C236" i="6"/>
  <c r="B236" i="6"/>
  <c r="P235" i="6"/>
  <c r="M235" i="6"/>
  <c r="L235" i="6"/>
  <c r="K235" i="6"/>
  <c r="J235" i="6"/>
  <c r="I235" i="6"/>
  <c r="H235" i="6"/>
  <c r="G235" i="6"/>
  <c r="F235" i="6"/>
  <c r="E235" i="6"/>
  <c r="D235" i="6"/>
  <c r="C235" i="6"/>
  <c r="B235" i="6"/>
  <c r="M234" i="6"/>
  <c r="L234" i="6"/>
  <c r="K234" i="6"/>
  <c r="J234" i="6"/>
  <c r="I234" i="6"/>
  <c r="H234" i="6"/>
  <c r="G234" i="6"/>
  <c r="F234" i="6"/>
  <c r="E234" i="6"/>
  <c r="D234" i="6"/>
  <c r="C234" i="6"/>
  <c r="B234" i="6"/>
  <c r="G231" i="6"/>
  <c r="E231" i="6"/>
  <c r="M230" i="6"/>
  <c r="C230" i="6"/>
  <c r="B230" i="6"/>
  <c r="M229" i="6"/>
  <c r="L229" i="6"/>
  <c r="K229" i="6"/>
  <c r="J229" i="6"/>
  <c r="J231" i="6" s="1"/>
  <c r="I229" i="6"/>
  <c r="I231" i="6" s="1"/>
  <c r="H229" i="6"/>
  <c r="H231" i="6" s="1"/>
  <c r="G229" i="6"/>
  <c r="F229" i="6"/>
  <c r="F231" i="6" s="1"/>
  <c r="E229" i="6"/>
  <c r="D229" i="6"/>
  <c r="D231" i="6" s="1"/>
  <c r="C229" i="6"/>
  <c r="B229" i="6"/>
  <c r="M228" i="6"/>
  <c r="L228" i="6"/>
  <c r="K228" i="6"/>
  <c r="J228" i="6"/>
  <c r="I228" i="6"/>
  <c r="H228" i="6"/>
  <c r="G228" i="6"/>
  <c r="F228" i="6"/>
  <c r="E228" i="6"/>
  <c r="D228" i="6"/>
  <c r="C228" i="6"/>
  <c r="B228" i="6"/>
  <c r="R227" i="6"/>
  <c r="Q227" i="6"/>
  <c r="Q236" i="6" s="1"/>
  <c r="P227" i="6"/>
  <c r="P229" i="6" s="1"/>
  <c r="O227" i="6"/>
  <c r="M226" i="6"/>
  <c r="L226" i="6"/>
  <c r="K226" i="6"/>
  <c r="J226" i="6"/>
  <c r="I226" i="6"/>
  <c r="H226" i="6"/>
  <c r="G226" i="6"/>
  <c r="F226" i="6"/>
  <c r="E226" i="6"/>
  <c r="D226" i="6"/>
  <c r="C226" i="6"/>
  <c r="B226" i="6"/>
  <c r="R225" i="6"/>
  <c r="Q225" i="6"/>
  <c r="P225" i="6"/>
  <c r="O225" i="6"/>
  <c r="M224" i="6"/>
  <c r="L224" i="6"/>
  <c r="K224" i="6"/>
  <c r="J224" i="6"/>
  <c r="I224" i="6"/>
  <c r="H224" i="6"/>
  <c r="G224" i="6"/>
  <c r="F224" i="6"/>
  <c r="E224" i="6"/>
  <c r="D224" i="6"/>
  <c r="C224" i="6"/>
  <c r="B224" i="6"/>
  <c r="R223" i="6"/>
  <c r="R234" i="6" s="1"/>
  <c r="Q223" i="6"/>
  <c r="P223" i="6"/>
  <c r="P234" i="6" s="1"/>
  <c r="O223" i="6"/>
  <c r="M219" i="6"/>
  <c r="L219" i="6"/>
  <c r="K219" i="6"/>
  <c r="J219" i="6"/>
  <c r="I219" i="6"/>
  <c r="H219" i="6"/>
  <c r="G219" i="6"/>
  <c r="F219" i="6"/>
  <c r="E219" i="6"/>
  <c r="H218" i="6"/>
  <c r="M217" i="6"/>
  <c r="L217" i="6"/>
  <c r="K217" i="6"/>
  <c r="J217" i="6"/>
  <c r="I217" i="6"/>
  <c r="H217" i="6"/>
  <c r="G217" i="6"/>
  <c r="F217" i="6"/>
  <c r="E217" i="6"/>
  <c r="D217" i="6"/>
  <c r="C217" i="6"/>
  <c r="B217" i="6"/>
  <c r="M216" i="6"/>
  <c r="L216" i="6"/>
  <c r="K216" i="6"/>
  <c r="J216" i="6"/>
  <c r="I216" i="6"/>
  <c r="H216" i="6"/>
  <c r="G216" i="6"/>
  <c r="F216" i="6"/>
  <c r="E216" i="6"/>
  <c r="D216" i="6"/>
  <c r="C216" i="6"/>
  <c r="B216" i="6"/>
  <c r="M215" i="6"/>
  <c r="L215" i="6"/>
  <c r="K215" i="6"/>
  <c r="J215" i="6"/>
  <c r="I215" i="6"/>
  <c r="H215" i="6"/>
  <c r="G215" i="6"/>
  <c r="F215" i="6"/>
  <c r="E215" i="6"/>
  <c r="D215" i="6"/>
  <c r="C215" i="6"/>
  <c r="B215" i="6"/>
  <c r="P211" i="6"/>
  <c r="M211" i="6"/>
  <c r="L211" i="6"/>
  <c r="K211" i="6"/>
  <c r="J211" i="6"/>
  <c r="I211" i="6"/>
  <c r="H211" i="6"/>
  <c r="G211" i="6"/>
  <c r="F211" i="6"/>
  <c r="E211" i="6"/>
  <c r="D211" i="6"/>
  <c r="G210" i="6"/>
  <c r="M209" i="6"/>
  <c r="L209" i="6"/>
  <c r="K209" i="6"/>
  <c r="J209" i="6"/>
  <c r="I209" i="6"/>
  <c r="H209" i="6"/>
  <c r="G209" i="6"/>
  <c r="F209" i="6"/>
  <c r="E209" i="6"/>
  <c r="D209" i="6"/>
  <c r="C209" i="6"/>
  <c r="B209" i="6"/>
  <c r="M208" i="6"/>
  <c r="L208" i="6"/>
  <c r="K208" i="6"/>
  <c r="J208" i="6"/>
  <c r="I208" i="6"/>
  <c r="H208" i="6"/>
  <c r="G208" i="6"/>
  <c r="F208" i="6"/>
  <c r="E208" i="6"/>
  <c r="D208" i="6"/>
  <c r="C208" i="6"/>
  <c r="B208" i="6"/>
  <c r="M207" i="6"/>
  <c r="L207" i="6"/>
  <c r="K207" i="6"/>
  <c r="J207" i="6"/>
  <c r="I207" i="6"/>
  <c r="H207" i="6"/>
  <c r="G207" i="6"/>
  <c r="F207" i="6"/>
  <c r="E207" i="6"/>
  <c r="D207" i="6"/>
  <c r="C207" i="6"/>
  <c r="B207" i="6"/>
  <c r="I204" i="6"/>
  <c r="H204" i="6"/>
  <c r="R203" i="6"/>
  <c r="R211" i="6" s="1"/>
  <c r="Q203" i="6"/>
  <c r="Q211" i="6" s="1"/>
  <c r="P203" i="6"/>
  <c r="C203" i="6"/>
  <c r="D219" i="6" s="1"/>
  <c r="B203" i="6"/>
  <c r="B211" i="6" s="1"/>
  <c r="M202" i="6"/>
  <c r="L202" i="6"/>
  <c r="L204" i="6" s="1"/>
  <c r="K202" i="6"/>
  <c r="L218" i="6" s="1"/>
  <c r="J202" i="6"/>
  <c r="J204" i="6" s="1"/>
  <c r="I202" i="6"/>
  <c r="H202" i="6"/>
  <c r="G202" i="6"/>
  <c r="F202" i="6"/>
  <c r="E202" i="6"/>
  <c r="E210" i="6" s="1"/>
  <c r="D202" i="6"/>
  <c r="D218" i="6" s="1"/>
  <c r="C202" i="6"/>
  <c r="B202" i="6"/>
  <c r="R201" i="6"/>
  <c r="Q201" i="6"/>
  <c r="P201" i="6"/>
  <c r="O201" i="6"/>
  <c r="O209" i="6" s="1"/>
  <c r="R200" i="6"/>
  <c r="Q200" i="6"/>
  <c r="P200" i="6"/>
  <c r="P208" i="6" s="1"/>
  <c r="O200" i="6"/>
  <c r="R199" i="6"/>
  <c r="Q199" i="6"/>
  <c r="P199" i="6"/>
  <c r="P207" i="6" s="1"/>
  <c r="O199" i="6"/>
  <c r="M195" i="6"/>
  <c r="L195" i="6"/>
  <c r="K195" i="6"/>
  <c r="J195" i="6"/>
  <c r="I195" i="6"/>
  <c r="H195" i="6"/>
  <c r="G195" i="6"/>
  <c r="F195" i="6"/>
  <c r="E195" i="6"/>
  <c r="D195" i="6"/>
  <c r="C195" i="6"/>
  <c r="B195" i="6"/>
  <c r="M193" i="6"/>
  <c r="L193" i="6"/>
  <c r="K193" i="6"/>
  <c r="J193" i="6"/>
  <c r="I193" i="6"/>
  <c r="H193" i="6"/>
  <c r="G193" i="6"/>
  <c r="F193" i="6"/>
  <c r="E193" i="6"/>
  <c r="D193" i="6"/>
  <c r="C193" i="6"/>
  <c r="B193" i="6"/>
  <c r="M192" i="6"/>
  <c r="L192" i="6"/>
  <c r="K192" i="6"/>
  <c r="J192" i="6"/>
  <c r="I192" i="6"/>
  <c r="H192" i="6"/>
  <c r="G192" i="6"/>
  <c r="F192" i="6"/>
  <c r="E192" i="6"/>
  <c r="D192" i="6"/>
  <c r="C192" i="6"/>
  <c r="B192" i="6"/>
  <c r="M191" i="6"/>
  <c r="L191" i="6"/>
  <c r="K191" i="6"/>
  <c r="J191" i="6"/>
  <c r="I191" i="6"/>
  <c r="H191" i="6"/>
  <c r="G191" i="6"/>
  <c r="F191" i="6"/>
  <c r="E191" i="6"/>
  <c r="D191" i="6"/>
  <c r="C191" i="6"/>
  <c r="B191" i="6"/>
  <c r="M187" i="6"/>
  <c r="L187" i="6"/>
  <c r="K187" i="6"/>
  <c r="J187" i="6"/>
  <c r="I187" i="6"/>
  <c r="H187" i="6"/>
  <c r="G187" i="6"/>
  <c r="F187" i="6"/>
  <c r="E187" i="6"/>
  <c r="D187" i="6"/>
  <c r="M185" i="6"/>
  <c r="L185" i="6"/>
  <c r="K185" i="6"/>
  <c r="J185" i="6"/>
  <c r="I185" i="6"/>
  <c r="H185" i="6"/>
  <c r="G185" i="6"/>
  <c r="F185" i="6"/>
  <c r="E185" i="6"/>
  <c r="D185" i="6"/>
  <c r="C185" i="6"/>
  <c r="B185" i="6"/>
  <c r="M184" i="6"/>
  <c r="L184" i="6"/>
  <c r="K184" i="6"/>
  <c r="J184" i="6"/>
  <c r="I184" i="6"/>
  <c r="H184" i="6"/>
  <c r="G184" i="6"/>
  <c r="F184" i="6"/>
  <c r="E184" i="6"/>
  <c r="D184" i="6"/>
  <c r="C184" i="6"/>
  <c r="B184" i="6"/>
  <c r="M183" i="6"/>
  <c r="L183" i="6"/>
  <c r="K183" i="6"/>
  <c r="J183" i="6"/>
  <c r="I183" i="6"/>
  <c r="H183" i="6"/>
  <c r="G183" i="6"/>
  <c r="F183" i="6"/>
  <c r="E183" i="6"/>
  <c r="D183" i="6"/>
  <c r="C183" i="6"/>
  <c r="B183" i="6"/>
  <c r="L180" i="6"/>
  <c r="R179" i="6"/>
  <c r="Q179" i="6"/>
  <c r="P179" i="6"/>
  <c r="P187" i="6" s="1"/>
  <c r="O179" i="6"/>
  <c r="M178" i="6"/>
  <c r="L178" i="6"/>
  <c r="L186" i="6" s="1"/>
  <c r="K178" i="6"/>
  <c r="R178" i="6" s="1"/>
  <c r="J178" i="6"/>
  <c r="J186" i="6" s="1"/>
  <c r="I178" i="6"/>
  <c r="H178" i="6"/>
  <c r="G178" i="6"/>
  <c r="F178" i="6"/>
  <c r="E178" i="6"/>
  <c r="D178" i="6"/>
  <c r="C178" i="6"/>
  <c r="B178" i="6"/>
  <c r="B180" i="6" s="1"/>
  <c r="R177" i="6"/>
  <c r="Q177" i="6"/>
  <c r="P177" i="6"/>
  <c r="O177" i="6"/>
  <c r="R176" i="6"/>
  <c r="Q176" i="6"/>
  <c r="Q184" i="6" s="1"/>
  <c r="P176" i="6"/>
  <c r="P184" i="6" s="1"/>
  <c r="O176" i="6"/>
  <c r="R175" i="6"/>
  <c r="Q175" i="6"/>
  <c r="P175" i="6"/>
  <c r="O175" i="6"/>
  <c r="M171" i="6"/>
  <c r="L171" i="6"/>
  <c r="K171" i="6"/>
  <c r="J171" i="6"/>
  <c r="I171" i="6"/>
  <c r="H171" i="6"/>
  <c r="G171" i="6"/>
  <c r="F171" i="6"/>
  <c r="E171" i="6"/>
  <c r="D171" i="6"/>
  <c r="C171" i="6"/>
  <c r="B171" i="6"/>
  <c r="M169" i="6"/>
  <c r="L169" i="6"/>
  <c r="K169" i="6"/>
  <c r="J169" i="6"/>
  <c r="I169" i="6"/>
  <c r="H169" i="6"/>
  <c r="G169" i="6"/>
  <c r="F169" i="6"/>
  <c r="E169" i="6"/>
  <c r="D169" i="6"/>
  <c r="M168" i="6"/>
  <c r="L168" i="6"/>
  <c r="K168" i="6"/>
  <c r="J168" i="6"/>
  <c r="I168" i="6"/>
  <c r="H168" i="6"/>
  <c r="G168" i="6"/>
  <c r="F168" i="6"/>
  <c r="E168" i="6"/>
  <c r="D168" i="6"/>
  <c r="C168" i="6"/>
  <c r="B168" i="6"/>
  <c r="M167" i="6"/>
  <c r="L167" i="6"/>
  <c r="K167" i="6"/>
  <c r="J167" i="6"/>
  <c r="I167" i="6"/>
  <c r="H167" i="6"/>
  <c r="G167" i="6"/>
  <c r="F167" i="6"/>
  <c r="E167" i="6"/>
  <c r="D167" i="6"/>
  <c r="C167" i="6"/>
  <c r="B167" i="6"/>
  <c r="M163" i="6"/>
  <c r="L163" i="6"/>
  <c r="K163" i="6"/>
  <c r="J163" i="6"/>
  <c r="I163" i="6"/>
  <c r="H163" i="6"/>
  <c r="G163" i="6"/>
  <c r="F163" i="6"/>
  <c r="E163" i="6"/>
  <c r="D163" i="6"/>
  <c r="C163" i="6"/>
  <c r="B163" i="6"/>
  <c r="M161" i="6"/>
  <c r="L161" i="6"/>
  <c r="K161" i="6"/>
  <c r="J161" i="6"/>
  <c r="I161" i="6"/>
  <c r="H161" i="6"/>
  <c r="G161" i="6"/>
  <c r="F161" i="6"/>
  <c r="E161" i="6"/>
  <c r="D161" i="6"/>
  <c r="C161" i="6"/>
  <c r="M160" i="6"/>
  <c r="L160" i="6"/>
  <c r="K160" i="6"/>
  <c r="J160" i="6"/>
  <c r="I160" i="6"/>
  <c r="H160" i="6"/>
  <c r="G160" i="6"/>
  <c r="F160" i="6"/>
  <c r="E160" i="6"/>
  <c r="D160" i="6"/>
  <c r="C160" i="6"/>
  <c r="B160" i="6"/>
  <c r="M159" i="6"/>
  <c r="L159" i="6"/>
  <c r="K159" i="6"/>
  <c r="J159" i="6"/>
  <c r="I159" i="6"/>
  <c r="H159" i="6"/>
  <c r="G159" i="6"/>
  <c r="F159" i="6"/>
  <c r="E159" i="6"/>
  <c r="D159" i="6"/>
  <c r="C159" i="6"/>
  <c r="B159" i="6"/>
  <c r="G156" i="6"/>
  <c r="R155" i="6"/>
  <c r="R163" i="6" s="1"/>
  <c r="Q155" i="6"/>
  <c r="P155" i="6"/>
  <c r="O155" i="6"/>
  <c r="N154" i="6"/>
  <c r="N156" i="6" s="1"/>
  <c r="M154" i="6"/>
  <c r="L154" i="6"/>
  <c r="K154" i="6"/>
  <c r="J154" i="6"/>
  <c r="I154" i="6"/>
  <c r="I170" i="6" s="1"/>
  <c r="H154" i="6"/>
  <c r="G154" i="6"/>
  <c r="F154" i="6"/>
  <c r="E154" i="6"/>
  <c r="D154" i="6"/>
  <c r="C154" i="6"/>
  <c r="R153" i="6"/>
  <c r="Q153" i="6"/>
  <c r="P153" i="6"/>
  <c r="B153" i="6"/>
  <c r="R152" i="6"/>
  <c r="Q152" i="6"/>
  <c r="P152" i="6"/>
  <c r="O152" i="6"/>
  <c r="R151" i="6"/>
  <c r="Q151" i="6"/>
  <c r="Q159" i="6" s="1"/>
  <c r="P151" i="6"/>
  <c r="P159" i="6" s="1"/>
  <c r="O151" i="6"/>
  <c r="M147" i="6"/>
  <c r="L147" i="6"/>
  <c r="K147" i="6"/>
  <c r="J147" i="6"/>
  <c r="I147" i="6"/>
  <c r="H147" i="6"/>
  <c r="G147" i="6"/>
  <c r="F147" i="6"/>
  <c r="E147" i="6"/>
  <c r="D147" i="6"/>
  <c r="C147" i="6"/>
  <c r="B147" i="6"/>
  <c r="K146" i="6"/>
  <c r="M145" i="6"/>
  <c r="L145" i="6"/>
  <c r="K145" i="6"/>
  <c r="J145" i="6"/>
  <c r="I145" i="6"/>
  <c r="H145" i="6"/>
  <c r="G145" i="6"/>
  <c r="F145" i="6"/>
  <c r="E145" i="6"/>
  <c r="D145" i="6"/>
  <c r="C145" i="6"/>
  <c r="B145" i="6"/>
  <c r="M144" i="6"/>
  <c r="L144" i="6"/>
  <c r="K144" i="6"/>
  <c r="J144" i="6"/>
  <c r="I144" i="6"/>
  <c r="H144" i="6"/>
  <c r="G144" i="6"/>
  <c r="F144" i="6"/>
  <c r="E144" i="6"/>
  <c r="D144" i="6"/>
  <c r="C144" i="6"/>
  <c r="B144" i="6"/>
  <c r="M143" i="6"/>
  <c r="L143" i="6"/>
  <c r="K143" i="6"/>
  <c r="J143" i="6"/>
  <c r="I143" i="6"/>
  <c r="H143" i="6"/>
  <c r="G143" i="6"/>
  <c r="F143" i="6"/>
  <c r="E143" i="6"/>
  <c r="D143" i="6"/>
  <c r="C143" i="6"/>
  <c r="B143" i="6"/>
  <c r="R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I138" i="6"/>
  <c r="AD51" i="2" s="1"/>
  <c r="M137" i="6"/>
  <c r="L137" i="6"/>
  <c r="K137" i="6"/>
  <c r="J137" i="6"/>
  <c r="I137" i="6"/>
  <c r="H137" i="6"/>
  <c r="G137" i="6"/>
  <c r="F137" i="6"/>
  <c r="E137" i="6"/>
  <c r="D137" i="6"/>
  <c r="C137" i="6"/>
  <c r="R136" i="6"/>
  <c r="P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B132" i="6"/>
  <c r="N130" i="6"/>
  <c r="N132" i="6" s="1"/>
  <c r="M130" i="6"/>
  <c r="L130" i="6"/>
  <c r="K130" i="6"/>
  <c r="K132" i="6" s="1"/>
  <c r="J130" i="6"/>
  <c r="J138" i="6" s="1"/>
  <c r="AE51" i="2" s="1"/>
  <c r="I130" i="6"/>
  <c r="H130" i="6"/>
  <c r="G130" i="6"/>
  <c r="F130" i="6"/>
  <c r="E130" i="6"/>
  <c r="D130" i="6"/>
  <c r="C130" i="6"/>
  <c r="B130" i="6"/>
  <c r="S129" i="6"/>
  <c r="R129" i="6"/>
  <c r="Q129" i="6"/>
  <c r="Q114" i="6" s="1"/>
  <c r="P129" i="6"/>
  <c r="O129" i="6"/>
  <c r="O114" i="6" s="1"/>
  <c r="S128" i="6"/>
  <c r="R128" i="6"/>
  <c r="Q128" i="6"/>
  <c r="Q51" i="6" s="1"/>
  <c r="P128" i="6"/>
  <c r="O128" i="6"/>
  <c r="S127" i="6"/>
  <c r="R127" i="6"/>
  <c r="Q127" i="6"/>
  <c r="P127" i="6"/>
  <c r="O127" i="6"/>
  <c r="M123" i="6"/>
  <c r="L123" i="6"/>
  <c r="K123" i="6"/>
  <c r="J123" i="6"/>
  <c r="I123" i="6"/>
  <c r="H123" i="6"/>
  <c r="G123" i="6"/>
  <c r="F123" i="6"/>
  <c r="E123" i="6"/>
  <c r="D123" i="6"/>
  <c r="M122" i="6"/>
  <c r="L122" i="6"/>
  <c r="K122" i="6"/>
  <c r="J122" i="6"/>
  <c r="I122" i="6"/>
  <c r="AD29" i="2" s="1"/>
  <c r="H122" i="6"/>
  <c r="AC29" i="2" s="1"/>
  <c r="G122" i="6"/>
  <c r="AB29" i="2" s="1"/>
  <c r="F122" i="6"/>
  <c r="E122" i="6"/>
  <c r="Z29" i="2" s="1"/>
  <c r="D122" i="6"/>
  <c r="C122" i="6"/>
  <c r="X29" i="2" s="1"/>
  <c r="B122" i="6"/>
  <c r="M120" i="6"/>
  <c r="L120" i="6"/>
  <c r="K120" i="6"/>
  <c r="J120" i="6"/>
  <c r="I120" i="6"/>
  <c r="H120" i="6"/>
  <c r="AC33" i="2" s="1"/>
  <c r="G120" i="6"/>
  <c r="AB33" i="2" s="1"/>
  <c r="F120" i="6"/>
  <c r="E120" i="6"/>
  <c r="Z33" i="2" s="1"/>
  <c r="D120" i="6"/>
  <c r="Y33" i="2" s="1"/>
  <c r="C120" i="6"/>
  <c r="B120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M118" i="6"/>
  <c r="L118" i="6"/>
  <c r="K118" i="6"/>
  <c r="J118" i="6"/>
  <c r="I118" i="6"/>
  <c r="H118" i="6"/>
  <c r="G118" i="6"/>
  <c r="F118" i="6"/>
  <c r="E118" i="6"/>
  <c r="D118" i="6"/>
  <c r="C118" i="6"/>
  <c r="B118" i="6"/>
  <c r="G115" i="6"/>
  <c r="R114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R107" i="6"/>
  <c r="Q107" i="6"/>
  <c r="P107" i="6"/>
  <c r="N105" i="6"/>
  <c r="N107" i="6" s="1"/>
  <c r="M105" i="6"/>
  <c r="L105" i="6"/>
  <c r="L121" i="6" s="1"/>
  <c r="K105" i="6"/>
  <c r="J105" i="6"/>
  <c r="I105" i="6"/>
  <c r="H105" i="6"/>
  <c r="G105" i="6"/>
  <c r="F105" i="6"/>
  <c r="E105" i="6"/>
  <c r="D105" i="6"/>
  <c r="C105" i="6"/>
  <c r="B105" i="6"/>
  <c r="S104" i="6"/>
  <c r="R104" i="6"/>
  <c r="Q104" i="6"/>
  <c r="P104" i="6"/>
  <c r="O104" i="6"/>
  <c r="S103" i="6"/>
  <c r="S111" i="6" s="1"/>
  <c r="R103" i="6"/>
  <c r="R111" i="6" s="1"/>
  <c r="Q103" i="6"/>
  <c r="Q111" i="6" s="1"/>
  <c r="P103" i="6"/>
  <c r="O103" i="6"/>
  <c r="S102" i="6"/>
  <c r="S110" i="6" s="1"/>
  <c r="R102" i="6"/>
  <c r="R110" i="6" s="1"/>
  <c r="Q102" i="6"/>
  <c r="Q110" i="6" s="1"/>
  <c r="P102" i="6"/>
  <c r="O102" i="6"/>
  <c r="M93" i="6"/>
  <c r="L93" i="6"/>
  <c r="K93" i="6"/>
  <c r="J93" i="6"/>
  <c r="I93" i="6"/>
  <c r="H93" i="6"/>
  <c r="G93" i="6"/>
  <c r="F93" i="6"/>
  <c r="E93" i="6"/>
  <c r="D93" i="6"/>
  <c r="C93" i="6"/>
  <c r="B93" i="6"/>
  <c r="M92" i="6"/>
  <c r="L92" i="6"/>
  <c r="K92" i="6"/>
  <c r="J92" i="6"/>
  <c r="I92" i="6"/>
  <c r="H92" i="6"/>
  <c r="G92" i="6"/>
  <c r="F92" i="6"/>
  <c r="E92" i="6"/>
  <c r="D92" i="6"/>
  <c r="C92" i="6"/>
  <c r="B92" i="6"/>
  <c r="M91" i="6"/>
  <c r="L91" i="6"/>
  <c r="K91" i="6"/>
  <c r="J91" i="6"/>
  <c r="I91" i="6"/>
  <c r="H91" i="6"/>
  <c r="G91" i="6"/>
  <c r="F91" i="6"/>
  <c r="E91" i="6"/>
  <c r="D91" i="6"/>
  <c r="C91" i="6"/>
  <c r="B91" i="6"/>
  <c r="M85" i="6"/>
  <c r="L85" i="6"/>
  <c r="K85" i="6"/>
  <c r="J85" i="6"/>
  <c r="I85" i="6"/>
  <c r="H85" i="6"/>
  <c r="G85" i="6"/>
  <c r="F85" i="6"/>
  <c r="E85" i="6"/>
  <c r="D85" i="6"/>
  <c r="C85" i="6"/>
  <c r="B85" i="6"/>
  <c r="Q84" i="6"/>
  <c r="M84" i="6"/>
  <c r="L84" i="6"/>
  <c r="K84" i="6"/>
  <c r="J84" i="6"/>
  <c r="I84" i="6"/>
  <c r="H84" i="6"/>
  <c r="G84" i="6"/>
  <c r="F84" i="6"/>
  <c r="E84" i="6"/>
  <c r="D84" i="6"/>
  <c r="C84" i="6"/>
  <c r="B84" i="6"/>
  <c r="Q83" i="6"/>
  <c r="M83" i="6"/>
  <c r="L83" i="6"/>
  <c r="K83" i="6"/>
  <c r="J83" i="6"/>
  <c r="I83" i="6"/>
  <c r="H83" i="6"/>
  <c r="G83" i="6"/>
  <c r="F83" i="6"/>
  <c r="E83" i="6"/>
  <c r="D83" i="6"/>
  <c r="C83" i="6"/>
  <c r="B83" i="6"/>
  <c r="M78" i="6"/>
  <c r="L78" i="6"/>
  <c r="K78" i="6"/>
  <c r="J78" i="6"/>
  <c r="I78" i="6"/>
  <c r="H78" i="6"/>
  <c r="G78" i="6"/>
  <c r="F78" i="6"/>
  <c r="E78" i="6"/>
  <c r="D78" i="6"/>
  <c r="D86" i="6" s="1"/>
  <c r="I33" i="9" s="1"/>
  <c r="C78" i="6"/>
  <c r="B78" i="6"/>
  <c r="S77" i="6"/>
  <c r="R77" i="6"/>
  <c r="Q77" i="6"/>
  <c r="P77" i="6"/>
  <c r="O77" i="6"/>
  <c r="S76" i="6"/>
  <c r="R76" i="6"/>
  <c r="Q76" i="6"/>
  <c r="P76" i="6"/>
  <c r="O76" i="6"/>
  <c r="S75" i="6"/>
  <c r="R75" i="6"/>
  <c r="R83" i="6" s="1"/>
  <c r="Q75" i="6"/>
  <c r="P75" i="6"/>
  <c r="O75" i="6"/>
  <c r="L71" i="6"/>
  <c r="CF51" i="2" s="1"/>
  <c r="M70" i="6"/>
  <c r="L70" i="6"/>
  <c r="K70" i="6"/>
  <c r="J70" i="6"/>
  <c r="I70" i="6"/>
  <c r="H70" i="6"/>
  <c r="G70" i="6"/>
  <c r="F70" i="6"/>
  <c r="E70" i="6"/>
  <c r="D70" i="6"/>
  <c r="C70" i="6"/>
  <c r="B70" i="6"/>
  <c r="M69" i="6"/>
  <c r="L69" i="6"/>
  <c r="K69" i="6"/>
  <c r="J69" i="6"/>
  <c r="I69" i="6"/>
  <c r="H69" i="6"/>
  <c r="G69" i="6"/>
  <c r="F69" i="6"/>
  <c r="E69" i="6"/>
  <c r="D69" i="6"/>
  <c r="C69" i="6"/>
  <c r="B69" i="6"/>
  <c r="M68" i="6"/>
  <c r="L68" i="6"/>
  <c r="K68" i="6"/>
  <c r="J68" i="6"/>
  <c r="I68" i="6"/>
  <c r="H68" i="6"/>
  <c r="G68" i="6"/>
  <c r="F68" i="6"/>
  <c r="E68" i="6"/>
  <c r="D68" i="6"/>
  <c r="C68" i="6"/>
  <c r="B68" i="6"/>
  <c r="M64" i="6"/>
  <c r="L64" i="6"/>
  <c r="K64" i="6"/>
  <c r="J64" i="6"/>
  <c r="I64" i="6"/>
  <c r="H64" i="6"/>
  <c r="G64" i="6"/>
  <c r="F64" i="6"/>
  <c r="E64" i="6"/>
  <c r="D64" i="6"/>
  <c r="C64" i="6"/>
  <c r="B64" i="6"/>
  <c r="P63" i="6"/>
  <c r="M63" i="6"/>
  <c r="L63" i="6"/>
  <c r="K63" i="6"/>
  <c r="J63" i="6"/>
  <c r="I63" i="6"/>
  <c r="H63" i="6"/>
  <c r="G63" i="6"/>
  <c r="F63" i="6"/>
  <c r="E63" i="6"/>
  <c r="D63" i="6"/>
  <c r="C63" i="6"/>
  <c r="B63" i="6"/>
  <c r="Q62" i="6"/>
  <c r="M62" i="6"/>
  <c r="L62" i="6"/>
  <c r="K62" i="6"/>
  <c r="J62" i="6"/>
  <c r="I62" i="6"/>
  <c r="H62" i="6"/>
  <c r="G62" i="6"/>
  <c r="F62" i="6"/>
  <c r="E62" i="6"/>
  <c r="D62" i="6"/>
  <c r="C62" i="6"/>
  <c r="B62" i="6"/>
  <c r="N59" i="6"/>
  <c r="M59" i="6"/>
  <c r="L59" i="6"/>
  <c r="K59" i="6"/>
  <c r="J59" i="6"/>
  <c r="I59" i="6"/>
  <c r="H59" i="6"/>
  <c r="G59" i="6"/>
  <c r="G65" i="6" s="1"/>
  <c r="F59" i="6"/>
  <c r="E59" i="6"/>
  <c r="D59" i="6"/>
  <c r="D65" i="6" s="1"/>
  <c r="I44" i="9" s="1"/>
  <c r="C59" i="6"/>
  <c r="B59" i="6"/>
  <c r="S58" i="6"/>
  <c r="R58" i="6"/>
  <c r="Q58" i="6"/>
  <c r="P58" i="6"/>
  <c r="O58" i="6"/>
  <c r="S57" i="6"/>
  <c r="R57" i="6"/>
  <c r="Q57" i="6"/>
  <c r="P57" i="6"/>
  <c r="O57" i="6"/>
  <c r="S56" i="6"/>
  <c r="S62" i="6" s="1"/>
  <c r="R56" i="6"/>
  <c r="R62" i="6" s="1"/>
  <c r="Q56" i="6"/>
  <c r="P56" i="6"/>
  <c r="O56" i="6"/>
  <c r="O68" i="6" s="1"/>
  <c r="M52" i="6"/>
  <c r="L52" i="6"/>
  <c r="K52" i="6"/>
  <c r="J52" i="6"/>
  <c r="I52" i="6"/>
  <c r="H52" i="6"/>
  <c r="G52" i="6"/>
  <c r="R51" i="6"/>
  <c r="M51" i="6"/>
  <c r="L51" i="6"/>
  <c r="K51" i="6"/>
  <c r="J51" i="6"/>
  <c r="I51" i="6"/>
  <c r="H51" i="6"/>
  <c r="G51" i="6"/>
  <c r="F51" i="6"/>
  <c r="E51" i="6"/>
  <c r="D51" i="6"/>
  <c r="C51" i="6"/>
  <c r="B51" i="6"/>
  <c r="M50" i="6"/>
  <c r="L50" i="6"/>
  <c r="K50" i="6"/>
  <c r="J50" i="6"/>
  <c r="I50" i="6"/>
  <c r="H50" i="6"/>
  <c r="G50" i="6"/>
  <c r="F50" i="6"/>
  <c r="E50" i="6"/>
  <c r="D50" i="6"/>
  <c r="C50" i="6"/>
  <c r="B50" i="6"/>
  <c r="M46" i="6"/>
  <c r="L46" i="6"/>
  <c r="K46" i="6"/>
  <c r="J46" i="6"/>
  <c r="I46" i="6"/>
  <c r="H46" i="6"/>
  <c r="G46" i="6"/>
  <c r="Q45" i="6"/>
  <c r="M45" i="6"/>
  <c r="L45" i="6"/>
  <c r="K45" i="6"/>
  <c r="J45" i="6"/>
  <c r="I45" i="6"/>
  <c r="H45" i="6"/>
  <c r="G45" i="6"/>
  <c r="F45" i="6"/>
  <c r="E45" i="6"/>
  <c r="D45" i="6"/>
  <c r="C45" i="6"/>
  <c r="B45" i="6"/>
  <c r="M44" i="6"/>
  <c r="L44" i="6"/>
  <c r="K44" i="6"/>
  <c r="J44" i="6"/>
  <c r="I44" i="6"/>
  <c r="H44" i="6"/>
  <c r="G44" i="6"/>
  <c r="F44" i="6"/>
  <c r="E44" i="6"/>
  <c r="D44" i="6"/>
  <c r="C44" i="6"/>
  <c r="B44" i="6"/>
  <c r="N41" i="6"/>
  <c r="M41" i="6"/>
  <c r="L41" i="6"/>
  <c r="K41" i="6"/>
  <c r="J41" i="6"/>
  <c r="I41" i="6"/>
  <c r="H41" i="6"/>
  <c r="H47" i="6" s="1"/>
  <c r="G41" i="6"/>
  <c r="R40" i="6"/>
  <c r="Q40" i="6"/>
  <c r="F40" i="6"/>
  <c r="E40" i="6"/>
  <c r="D40" i="6"/>
  <c r="D52" i="6" s="1"/>
  <c r="C40" i="6"/>
  <c r="B40" i="6"/>
  <c r="S39" i="6"/>
  <c r="R39" i="6"/>
  <c r="Q39" i="6"/>
  <c r="P39" i="6"/>
  <c r="P45" i="6" s="1"/>
  <c r="O39" i="6"/>
  <c r="S38" i="6"/>
  <c r="R38" i="6"/>
  <c r="Q38" i="6"/>
  <c r="P38" i="6"/>
  <c r="O38" i="6"/>
  <c r="M34" i="6"/>
  <c r="L34" i="6"/>
  <c r="K34" i="6"/>
  <c r="J34" i="6"/>
  <c r="I34" i="6"/>
  <c r="H34" i="6"/>
  <c r="G34" i="6"/>
  <c r="M33" i="6"/>
  <c r="L33" i="6"/>
  <c r="K33" i="6"/>
  <c r="J33" i="6"/>
  <c r="I33" i="6"/>
  <c r="H33" i="6"/>
  <c r="G33" i="6"/>
  <c r="F33" i="6"/>
  <c r="E33" i="6"/>
  <c r="D33" i="6"/>
  <c r="C33" i="6"/>
  <c r="B33" i="6"/>
  <c r="M32" i="6"/>
  <c r="L32" i="6"/>
  <c r="K32" i="6"/>
  <c r="J32" i="6"/>
  <c r="I32" i="6"/>
  <c r="H32" i="6"/>
  <c r="G32" i="6"/>
  <c r="F32" i="6"/>
  <c r="E32" i="6"/>
  <c r="D32" i="6"/>
  <c r="C32" i="6"/>
  <c r="B32" i="6"/>
  <c r="M29" i="6"/>
  <c r="L29" i="6"/>
  <c r="K29" i="6"/>
  <c r="J29" i="6"/>
  <c r="I29" i="6"/>
  <c r="H29" i="6"/>
  <c r="H35" i="6" s="1"/>
  <c r="G29" i="6"/>
  <c r="F29" i="6"/>
  <c r="F23" i="6" s="1"/>
  <c r="E29" i="6"/>
  <c r="P29" i="6" s="1"/>
  <c r="D29" i="6"/>
  <c r="C29" i="6"/>
  <c r="B29" i="6"/>
  <c r="S28" i="6"/>
  <c r="R28" i="6"/>
  <c r="Q28" i="6"/>
  <c r="P28" i="6"/>
  <c r="O28" i="6"/>
  <c r="S27" i="6"/>
  <c r="R27" i="6"/>
  <c r="R33" i="6" s="1"/>
  <c r="Q27" i="6"/>
  <c r="P27" i="6"/>
  <c r="O27" i="6"/>
  <c r="O33" i="6" s="1"/>
  <c r="S26" i="6"/>
  <c r="R26" i="6"/>
  <c r="Q26" i="6"/>
  <c r="P26" i="6"/>
  <c r="O26" i="6"/>
  <c r="M22" i="6"/>
  <c r="L22" i="6"/>
  <c r="K22" i="6"/>
  <c r="J22" i="6"/>
  <c r="I22" i="6"/>
  <c r="H22" i="6"/>
  <c r="G22" i="6"/>
  <c r="F22" i="6"/>
  <c r="D22" i="6"/>
  <c r="C22" i="6"/>
  <c r="B22" i="6"/>
  <c r="M21" i="6"/>
  <c r="L21" i="6"/>
  <c r="K21" i="6"/>
  <c r="J21" i="6"/>
  <c r="I21" i="6"/>
  <c r="H21" i="6"/>
  <c r="G21" i="6"/>
  <c r="F21" i="6"/>
  <c r="E21" i="6"/>
  <c r="D21" i="6"/>
  <c r="C21" i="6"/>
  <c r="B21" i="6"/>
  <c r="M20" i="6"/>
  <c r="L20" i="6"/>
  <c r="K20" i="6"/>
  <c r="J20" i="6"/>
  <c r="I20" i="6"/>
  <c r="H20" i="6"/>
  <c r="G20" i="6"/>
  <c r="F20" i="6"/>
  <c r="E20" i="6"/>
  <c r="D20" i="6"/>
  <c r="C20" i="6"/>
  <c r="B20" i="6"/>
  <c r="Q17" i="6"/>
  <c r="CJ15" i="2" s="1"/>
  <c r="M17" i="6"/>
  <c r="L17" i="6"/>
  <c r="L23" i="6" s="1"/>
  <c r="K17" i="6"/>
  <c r="J17" i="6"/>
  <c r="J23" i="6" s="1"/>
  <c r="I17" i="6"/>
  <c r="H17" i="6"/>
  <c r="H23" i="6" s="1"/>
  <c r="G17" i="6"/>
  <c r="F17" i="6"/>
  <c r="D17" i="6"/>
  <c r="C17" i="6"/>
  <c r="B17" i="6"/>
  <c r="O17" i="6" s="1"/>
  <c r="R16" i="6"/>
  <c r="Q16" i="6"/>
  <c r="Q22" i="6" s="1"/>
  <c r="O16" i="6"/>
  <c r="E16" i="6"/>
  <c r="E22" i="6" s="1"/>
  <c r="R15" i="6"/>
  <c r="Q15" i="6"/>
  <c r="Q21" i="6" s="1"/>
  <c r="O15" i="6"/>
  <c r="E15" i="6"/>
  <c r="S15" i="6" s="1"/>
  <c r="S14" i="6"/>
  <c r="R14" i="6"/>
  <c r="Q14" i="6"/>
  <c r="P14" i="6"/>
  <c r="O14" i="6"/>
  <c r="M10" i="6"/>
  <c r="L10" i="6"/>
  <c r="K10" i="6"/>
  <c r="J10" i="6"/>
  <c r="I10" i="6"/>
  <c r="H10" i="6"/>
  <c r="G10" i="6"/>
  <c r="F10" i="6"/>
  <c r="D10" i="6"/>
  <c r="C10" i="6"/>
  <c r="B10" i="6"/>
  <c r="M9" i="6"/>
  <c r="L9" i="6"/>
  <c r="K9" i="6"/>
  <c r="J9" i="6"/>
  <c r="I9" i="6"/>
  <c r="H9" i="6"/>
  <c r="G9" i="6"/>
  <c r="F9" i="6"/>
  <c r="D9" i="6"/>
  <c r="C9" i="6"/>
  <c r="B9" i="6"/>
  <c r="M8" i="6"/>
  <c r="L8" i="6"/>
  <c r="K8" i="6"/>
  <c r="J8" i="6"/>
  <c r="I8" i="6"/>
  <c r="H8" i="6"/>
  <c r="G8" i="6"/>
  <c r="F8" i="6"/>
  <c r="E8" i="6"/>
  <c r="D8" i="6"/>
  <c r="C8" i="6"/>
  <c r="B8" i="6"/>
  <c r="M5" i="6"/>
  <c r="L5" i="6"/>
  <c r="K5" i="6"/>
  <c r="R5" i="6" s="1"/>
  <c r="J5" i="6"/>
  <c r="J11" i="6" s="1"/>
  <c r="I5" i="6"/>
  <c r="I11" i="6" s="1"/>
  <c r="H5" i="6"/>
  <c r="H11" i="6" s="1"/>
  <c r="G5" i="6"/>
  <c r="G11" i="6" s="1"/>
  <c r="F5" i="6"/>
  <c r="F11" i="6" s="1"/>
  <c r="E5" i="6"/>
  <c r="P5" i="6" s="1"/>
  <c r="D5" i="6"/>
  <c r="D11" i="6" s="1"/>
  <c r="C5" i="6"/>
  <c r="C11" i="6" s="1"/>
  <c r="DE15" i="2" s="1"/>
  <c r="B5" i="6"/>
  <c r="S4" i="6"/>
  <c r="R4" i="6"/>
  <c r="Q4" i="6"/>
  <c r="P4" i="6"/>
  <c r="O4" i="6"/>
  <c r="S3" i="6"/>
  <c r="R3" i="6"/>
  <c r="Q3" i="6"/>
  <c r="P3" i="6"/>
  <c r="O3" i="6"/>
  <c r="S2" i="6"/>
  <c r="S8" i="6" s="1"/>
  <c r="R2" i="6"/>
  <c r="Q2" i="6"/>
  <c r="Q8" i="6" s="1"/>
  <c r="P2" i="6"/>
  <c r="O2" i="6"/>
  <c r="O8" i="6" s="1"/>
  <c r="M400" i="5"/>
  <c r="L400" i="5"/>
  <c r="K400" i="5"/>
  <c r="J400" i="5"/>
  <c r="I400" i="5"/>
  <c r="H400" i="5"/>
  <c r="G400" i="5"/>
  <c r="F400" i="5"/>
  <c r="E400" i="5"/>
  <c r="D400" i="5"/>
  <c r="C400" i="5"/>
  <c r="L399" i="5"/>
  <c r="K399" i="5"/>
  <c r="J399" i="5"/>
  <c r="I399" i="5"/>
  <c r="H399" i="5"/>
  <c r="G399" i="5"/>
  <c r="F399" i="5"/>
  <c r="E399" i="5"/>
  <c r="D399" i="5"/>
  <c r="C399" i="5"/>
  <c r="M398" i="5"/>
  <c r="L398" i="5"/>
  <c r="K398" i="5"/>
  <c r="J398" i="5"/>
  <c r="I398" i="5"/>
  <c r="H398" i="5"/>
  <c r="G398" i="5"/>
  <c r="F398" i="5"/>
  <c r="E398" i="5"/>
  <c r="D398" i="5"/>
  <c r="C398" i="5"/>
  <c r="M394" i="5"/>
  <c r="L394" i="5"/>
  <c r="L401" i="5" s="1"/>
  <c r="K394" i="5"/>
  <c r="J394" i="5"/>
  <c r="I394" i="5"/>
  <c r="H394" i="5"/>
  <c r="G394" i="5"/>
  <c r="F394" i="5"/>
  <c r="E394" i="5"/>
  <c r="D394" i="5"/>
  <c r="D401" i="5" s="1"/>
  <c r="C394" i="5"/>
  <c r="C401" i="5" s="1"/>
  <c r="B394" i="5"/>
  <c r="N393" i="5"/>
  <c r="N391" i="5"/>
  <c r="H388" i="5"/>
  <c r="G388" i="5"/>
  <c r="M387" i="5"/>
  <c r="L387" i="5"/>
  <c r="K387" i="5"/>
  <c r="J387" i="5"/>
  <c r="I387" i="5"/>
  <c r="H387" i="5"/>
  <c r="G387" i="5"/>
  <c r="F387" i="5"/>
  <c r="E387" i="5"/>
  <c r="D387" i="5"/>
  <c r="C387" i="5"/>
  <c r="B387" i="5"/>
  <c r="J386" i="5"/>
  <c r="I386" i="5"/>
  <c r="H386" i="5"/>
  <c r="G386" i="5"/>
  <c r="F386" i="5"/>
  <c r="E386" i="5"/>
  <c r="D386" i="5"/>
  <c r="C386" i="5"/>
  <c r="B386" i="5"/>
  <c r="M385" i="5"/>
  <c r="L385" i="5"/>
  <c r="K385" i="5"/>
  <c r="J385" i="5"/>
  <c r="I385" i="5"/>
  <c r="H385" i="5"/>
  <c r="G385" i="5"/>
  <c r="F385" i="5"/>
  <c r="E385" i="5"/>
  <c r="D385" i="5"/>
  <c r="C385" i="5"/>
  <c r="B385" i="5"/>
  <c r="M381" i="5"/>
  <c r="L381" i="5"/>
  <c r="K381" i="5"/>
  <c r="J381" i="5"/>
  <c r="I381" i="5"/>
  <c r="H381" i="5"/>
  <c r="G381" i="5"/>
  <c r="F381" i="5"/>
  <c r="E381" i="5"/>
  <c r="D381" i="5"/>
  <c r="C381" i="5"/>
  <c r="B381" i="5"/>
  <c r="J380" i="5"/>
  <c r="I380" i="5"/>
  <c r="H380" i="5"/>
  <c r="G380" i="5"/>
  <c r="F380" i="5"/>
  <c r="E380" i="5"/>
  <c r="D380" i="5"/>
  <c r="C380" i="5"/>
  <c r="B380" i="5"/>
  <c r="M379" i="5"/>
  <c r="L379" i="5"/>
  <c r="K379" i="5"/>
  <c r="J379" i="5"/>
  <c r="I379" i="5"/>
  <c r="H379" i="5"/>
  <c r="G379" i="5"/>
  <c r="F379" i="5"/>
  <c r="E379" i="5"/>
  <c r="D379" i="5"/>
  <c r="C379" i="5"/>
  <c r="B379" i="5"/>
  <c r="M376" i="5"/>
  <c r="L376" i="5"/>
  <c r="L388" i="5" s="1"/>
  <c r="K376" i="5"/>
  <c r="J376" i="5"/>
  <c r="I376" i="5"/>
  <c r="H376" i="5"/>
  <c r="G376" i="5"/>
  <c r="F376" i="5"/>
  <c r="E376" i="5"/>
  <c r="D376" i="5"/>
  <c r="D382" i="5" s="1"/>
  <c r="C376" i="5"/>
  <c r="B376" i="5"/>
  <c r="R375" i="5"/>
  <c r="Q375" i="5"/>
  <c r="P375" i="5"/>
  <c r="O375" i="5"/>
  <c r="N375" i="5"/>
  <c r="N381" i="5" s="1"/>
  <c r="R374" i="5"/>
  <c r="Q374" i="5"/>
  <c r="P374" i="5"/>
  <c r="O374" i="5"/>
  <c r="N374" i="5"/>
  <c r="R373" i="5"/>
  <c r="Q373" i="5"/>
  <c r="P373" i="5"/>
  <c r="P361" i="5" s="1"/>
  <c r="O373" i="5"/>
  <c r="N373" i="5"/>
  <c r="M369" i="5"/>
  <c r="L369" i="5"/>
  <c r="K369" i="5"/>
  <c r="J369" i="5"/>
  <c r="I369" i="5"/>
  <c r="H369" i="5"/>
  <c r="G369" i="5"/>
  <c r="F369" i="5"/>
  <c r="E369" i="5"/>
  <c r="D369" i="5"/>
  <c r="C369" i="5"/>
  <c r="B369" i="5"/>
  <c r="M368" i="5"/>
  <c r="L368" i="5"/>
  <c r="K368" i="5"/>
  <c r="J368" i="5"/>
  <c r="I368" i="5"/>
  <c r="H368" i="5"/>
  <c r="G368" i="5"/>
  <c r="F368" i="5"/>
  <c r="E368" i="5"/>
  <c r="D368" i="5"/>
  <c r="C368" i="5"/>
  <c r="B368" i="5"/>
  <c r="M367" i="5"/>
  <c r="L367" i="5"/>
  <c r="K367" i="5"/>
  <c r="J367" i="5"/>
  <c r="I367" i="5"/>
  <c r="H367" i="5"/>
  <c r="G367" i="5"/>
  <c r="F367" i="5"/>
  <c r="E367" i="5"/>
  <c r="D367" i="5"/>
  <c r="C367" i="5"/>
  <c r="B367" i="5"/>
  <c r="M363" i="5"/>
  <c r="L363" i="5"/>
  <c r="K363" i="5"/>
  <c r="J363" i="5"/>
  <c r="I363" i="5"/>
  <c r="H363" i="5"/>
  <c r="G363" i="5"/>
  <c r="F363" i="5"/>
  <c r="E363" i="5"/>
  <c r="D363" i="5"/>
  <c r="C363" i="5"/>
  <c r="B363" i="5"/>
  <c r="M362" i="5"/>
  <c r="L362" i="5"/>
  <c r="K362" i="5"/>
  <c r="J362" i="5"/>
  <c r="I362" i="5"/>
  <c r="H362" i="5"/>
  <c r="G362" i="5"/>
  <c r="F362" i="5"/>
  <c r="E362" i="5"/>
  <c r="D362" i="5"/>
  <c r="C362" i="5"/>
  <c r="B362" i="5"/>
  <c r="M361" i="5"/>
  <c r="L361" i="5"/>
  <c r="K361" i="5"/>
  <c r="J361" i="5"/>
  <c r="I361" i="5"/>
  <c r="H361" i="5"/>
  <c r="G361" i="5"/>
  <c r="F361" i="5"/>
  <c r="E361" i="5"/>
  <c r="D361" i="5"/>
  <c r="C361" i="5"/>
  <c r="B361" i="5"/>
  <c r="M358" i="5"/>
  <c r="M370" i="5" s="1"/>
  <c r="L358" i="5"/>
  <c r="L364" i="5" s="1"/>
  <c r="K358" i="5"/>
  <c r="J358" i="5"/>
  <c r="I358" i="5"/>
  <c r="I364" i="5" s="1"/>
  <c r="H358" i="5"/>
  <c r="H364" i="5" s="1"/>
  <c r="G358" i="5"/>
  <c r="F358" i="5"/>
  <c r="E358" i="5"/>
  <c r="E364" i="5" s="1"/>
  <c r="D358" i="5"/>
  <c r="C358" i="5"/>
  <c r="B358" i="5"/>
  <c r="S357" i="5"/>
  <c r="R357" i="5"/>
  <c r="Q357" i="5"/>
  <c r="P357" i="5"/>
  <c r="O357" i="5"/>
  <c r="N357" i="5"/>
  <c r="S356" i="5"/>
  <c r="R356" i="5"/>
  <c r="Q356" i="5"/>
  <c r="P356" i="5"/>
  <c r="O356" i="5"/>
  <c r="O362" i="5" s="1"/>
  <c r="N356" i="5"/>
  <c r="S355" i="5"/>
  <c r="R355" i="5"/>
  <c r="Q355" i="5"/>
  <c r="Q361" i="5" s="1"/>
  <c r="P355" i="5"/>
  <c r="O355" i="5"/>
  <c r="N355" i="5"/>
  <c r="M351" i="5"/>
  <c r="L351" i="5"/>
  <c r="K351" i="5"/>
  <c r="J351" i="5"/>
  <c r="I351" i="5"/>
  <c r="H351" i="5"/>
  <c r="G351" i="5"/>
  <c r="F351" i="5"/>
  <c r="E351" i="5"/>
  <c r="D351" i="5"/>
  <c r="C351" i="5"/>
  <c r="B351" i="5"/>
  <c r="M350" i="5"/>
  <c r="L350" i="5"/>
  <c r="K350" i="5"/>
  <c r="J350" i="5"/>
  <c r="I350" i="5"/>
  <c r="H350" i="5"/>
  <c r="G350" i="5"/>
  <c r="F350" i="5"/>
  <c r="E350" i="5"/>
  <c r="D350" i="5"/>
  <c r="C350" i="5"/>
  <c r="B350" i="5"/>
  <c r="M349" i="5"/>
  <c r="L349" i="5"/>
  <c r="K349" i="5"/>
  <c r="J349" i="5"/>
  <c r="I349" i="5"/>
  <c r="H349" i="5"/>
  <c r="G349" i="5"/>
  <c r="F349" i="5"/>
  <c r="E349" i="5"/>
  <c r="D349" i="5"/>
  <c r="C349" i="5"/>
  <c r="B349" i="5"/>
  <c r="M345" i="5"/>
  <c r="L345" i="5"/>
  <c r="K345" i="5"/>
  <c r="J345" i="5"/>
  <c r="I345" i="5"/>
  <c r="H345" i="5"/>
  <c r="G345" i="5"/>
  <c r="F345" i="5"/>
  <c r="E345" i="5"/>
  <c r="D345" i="5"/>
  <c r="C345" i="5"/>
  <c r="B345" i="5"/>
  <c r="M344" i="5"/>
  <c r="L344" i="5"/>
  <c r="K344" i="5"/>
  <c r="J344" i="5"/>
  <c r="I344" i="5"/>
  <c r="H344" i="5"/>
  <c r="G344" i="5"/>
  <c r="F344" i="5"/>
  <c r="E344" i="5"/>
  <c r="D344" i="5"/>
  <c r="C344" i="5"/>
  <c r="B344" i="5"/>
  <c r="M343" i="5"/>
  <c r="L343" i="5"/>
  <c r="K343" i="5"/>
  <c r="J343" i="5"/>
  <c r="I343" i="5"/>
  <c r="H343" i="5"/>
  <c r="G343" i="5"/>
  <c r="F343" i="5"/>
  <c r="E343" i="5"/>
  <c r="D343" i="5"/>
  <c r="C343" i="5"/>
  <c r="B343" i="5"/>
  <c r="M339" i="5"/>
  <c r="L339" i="5"/>
  <c r="K339" i="5"/>
  <c r="J339" i="5"/>
  <c r="I339" i="5"/>
  <c r="H339" i="5"/>
  <c r="G339" i="5"/>
  <c r="F339" i="5"/>
  <c r="E339" i="5"/>
  <c r="D339" i="5"/>
  <c r="C339" i="5"/>
  <c r="B339" i="5"/>
  <c r="S338" i="5"/>
  <c r="R338" i="5"/>
  <c r="Q338" i="5"/>
  <c r="P338" i="5"/>
  <c r="O338" i="5"/>
  <c r="O324" i="5" s="1"/>
  <c r="N338" i="5"/>
  <c r="N345" i="5" s="1"/>
  <c r="S337" i="5"/>
  <c r="R337" i="5"/>
  <c r="Q337" i="5"/>
  <c r="P337" i="5"/>
  <c r="O337" i="5"/>
  <c r="N337" i="5"/>
  <c r="S336" i="5"/>
  <c r="R336" i="5"/>
  <c r="Q336" i="5"/>
  <c r="P336" i="5"/>
  <c r="O336" i="5"/>
  <c r="N336" i="5"/>
  <c r="M332" i="5"/>
  <c r="L332" i="5"/>
  <c r="K332" i="5"/>
  <c r="J332" i="5"/>
  <c r="I332" i="5"/>
  <c r="H332" i="5"/>
  <c r="G332" i="5"/>
  <c r="F332" i="5"/>
  <c r="E332" i="5"/>
  <c r="D332" i="5"/>
  <c r="C332" i="5"/>
  <c r="B332" i="5"/>
  <c r="E331" i="5"/>
  <c r="C331" i="5"/>
  <c r="B331" i="5"/>
  <c r="M330" i="5"/>
  <c r="L330" i="5"/>
  <c r="K330" i="5"/>
  <c r="J330" i="5"/>
  <c r="I330" i="5"/>
  <c r="H330" i="5"/>
  <c r="G330" i="5"/>
  <c r="F330" i="5"/>
  <c r="E330" i="5"/>
  <c r="D330" i="5"/>
  <c r="C330" i="5"/>
  <c r="B330" i="5"/>
  <c r="M329" i="5"/>
  <c r="L329" i="5"/>
  <c r="K329" i="5"/>
  <c r="J329" i="5"/>
  <c r="I329" i="5"/>
  <c r="H329" i="5"/>
  <c r="G329" i="5"/>
  <c r="F329" i="5"/>
  <c r="E329" i="5"/>
  <c r="D329" i="5"/>
  <c r="C329" i="5"/>
  <c r="B329" i="5"/>
  <c r="M326" i="5"/>
  <c r="L326" i="5"/>
  <c r="K326" i="5"/>
  <c r="J326" i="5"/>
  <c r="I326" i="5"/>
  <c r="H326" i="5"/>
  <c r="G326" i="5"/>
  <c r="F326" i="5"/>
  <c r="E326" i="5"/>
  <c r="D326" i="5"/>
  <c r="C326" i="5"/>
  <c r="B326" i="5"/>
  <c r="M324" i="5"/>
  <c r="L324" i="5"/>
  <c r="K324" i="5"/>
  <c r="J324" i="5"/>
  <c r="I324" i="5"/>
  <c r="H324" i="5"/>
  <c r="G324" i="5"/>
  <c r="F324" i="5"/>
  <c r="E324" i="5"/>
  <c r="D324" i="5"/>
  <c r="C324" i="5"/>
  <c r="B324" i="5"/>
  <c r="M322" i="5"/>
  <c r="L322" i="5"/>
  <c r="K322" i="5"/>
  <c r="J322" i="5"/>
  <c r="I322" i="5"/>
  <c r="H322" i="5"/>
  <c r="G322" i="5"/>
  <c r="F322" i="5"/>
  <c r="E322" i="5"/>
  <c r="D322" i="5"/>
  <c r="C322" i="5"/>
  <c r="B322" i="5"/>
  <c r="M321" i="5"/>
  <c r="L321" i="5"/>
  <c r="K321" i="5"/>
  <c r="J321" i="5"/>
  <c r="I321" i="5"/>
  <c r="H321" i="5"/>
  <c r="G321" i="5"/>
  <c r="F321" i="5"/>
  <c r="E321" i="5"/>
  <c r="D321" i="5"/>
  <c r="C321" i="5"/>
  <c r="B321" i="5"/>
  <c r="M318" i="5"/>
  <c r="L318" i="5"/>
  <c r="K318" i="5"/>
  <c r="J318" i="5"/>
  <c r="I318" i="5"/>
  <c r="H318" i="5"/>
  <c r="G318" i="5"/>
  <c r="F318" i="5"/>
  <c r="E318" i="5"/>
  <c r="D318" i="5"/>
  <c r="C318" i="5"/>
  <c r="B318" i="5"/>
  <c r="S317" i="5"/>
  <c r="R317" i="5"/>
  <c r="Q317" i="5"/>
  <c r="P317" i="5"/>
  <c r="O317" i="5"/>
  <c r="M314" i="5"/>
  <c r="L314" i="5"/>
  <c r="K314" i="5"/>
  <c r="J314" i="5"/>
  <c r="I314" i="5"/>
  <c r="H314" i="5"/>
  <c r="G314" i="5"/>
  <c r="F314" i="5"/>
  <c r="E314" i="5"/>
  <c r="D314" i="5"/>
  <c r="D299" i="5" s="1"/>
  <c r="C314" i="5"/>
  <c r="B314" i="5"/>
  <c r="S313" i="5"/>
  <c r="S324" i="5" s="1"/>
  <c r="R313" i="5"/>
  <c r="R324" i="5" s="1"/>
  <c r="Q313" i="5"/>
  <c r="Q324" i="5" s="1"/>
  <c r="P313" i="5"/>
  <c r="O313" i="5"/>
  <c r="N313" i="5"/>
  <c r="M312" i="5"/>
  <c r="L312" i="5"/>
  <c r="K312" i="5"/>
  <c r="K323" i="5" s="1"/>
  <c r="J312" i="5"/>
  <c r="I312" i="5"/>
  <c r="H312" i="5"/>
  <c r="H323" i="5" s="1"/>
  <c r="G312" i="5"/>
  <c r="F312" i="5"/>
  <c r="F315" i="5" s="1"/>
  <c r="E312" i="5"/>
  <c r="E315" i="5" s="1"/>
  <c r="D312" i="5"/>
  <c r="C312" i="5"/>
  <c r="B312" i="5"/>
  <c r="O312" i="5" s="1"/>
  <c r="S311" i="5"/>
  <c r="R311" i="5"/>
  <c r="Q311" i="5"/>
  <c r="P311" i="5"/>
  <c r="P314" i="5" s="1"/>
  <c r="O311" i="5"/>
  <c r="N311" i="5"/>
  <c r="S310" i="5"/>
  <c r="R310" i="5"/>
  <c r="Q310" i="5"/>
  <c r="P310" i="5"/>
  <c r="O310" i="5"/>
  <c r="N310" i="5"/>
  <c r="M307" i="5"/>
  <c r="L307" i="5"/>
  <c r="K307" i="5"/>
  <c r="J307" i="5"/>
  <c r="I307" i="5"/>
  <c r="H307" i="5"/>
  <c r="G307" i="5"/>
  <c r="F307" i="5"/>
  <c r="E307" i="5"/>
  <c r="D307" i="5"/>
  <c r="C307" i="5"/>
  <c r="B307" i="5"/>
  <c r="M305" i="5"/>
  <c r="L305" i="5"/>
  <c r="K305" i="5"/>
  <c r="J305" i="5"/>
  <c r="I305" i="5"/>
  <c r="H305" i="5"/>
  <c r="G305" i="5"/>
  <c r="F305" i="5"/>
  <c r="E305" i="5"/>
  <c r="D305" i="5"/>
  <c r="C305" i="5"/>
  <c r="B305" i="5"/>
  <c r="M304" i="5"/>
  <c r="L304" i="5"/>
  <c r="K304" i="5"/>
  <c r="J304" i="5"/>
  <c r="I304" i="5"/>
  <c r="H304" i="5"/>
  <c r="G304" i="5"/>
  <c r="F304" i="5"/>
  <c r="E304" i="5"/>
  <c r="D304" i="5"/>
  <c r="C304" i="5"/>
  <c r="B304" i="5"/>
  <c r="M303" i="5"/>
  <c r="L303" i="5"/>
  <c r="K303" i="5"/>
  <c r="J303" i="5"/>
  <c r="I303" i="5"/>
  <c r="H303" i="5"/>
  <c r="G303" i="5"/>
  <c r="F303" i="5"/>
  <c r="E303" i="5"/>
  <c r="D303" i="5"/>
  <c r="C303" i="5"/>
  <c r="B303" i="5"/>
  <c r="M300" i="5"/>
  <c r="L300" i="5"/>
  <c r="K300" i="5"/>
  <c r="J300" i="5"/>
  <c r="I300" i="5"/>
  <c r="H300" i="5"/>
  <c r="G300" i="5"/>
  <c r="F300" i="5"/>
  <c r="E300" i="5"/>
  <c r="D300" i="5"/>
  <c r="C300" i="5"/>
  <c r="B300" i="5"/>
  <c r="M299" i="5"/>
  <c r="G299" i="5"/>
  <c r="M298" i="5"/>
  <c r="L298" i="5"/>
  <c r="K298" i="5"/>
  <c r="J298" i="5"/>
  <c r="I298" i="5"/>
  <c r="H298" i="5"/>
  <c r="G298" i="5"/>
  <c r="F298" i="5"/>
  <c r="E298" i="5"/>
  <c r="D298" i="5"/>
  <c r="C298" i="5"/>
  <c r="B298" i="5"/>
  <c r="M297" i="5"/>
  <c r="L297" i="5"/>
  <c r="K297" i="5"/>
  <c r="J297" i="5"/>
  <c r="I297" i="5"/>
  <c r="H297" i="5"/>
  <c r="G297" i="5"/>
  <c r="F297" i="5"/>
  <c r="E297" i="5"/>
  <c r="D297" i="5"/>
  <c r="C297" i="5"/>
  <c r="B297" i="5"/>
  <c r="N296" i="5"/>
  <c r="M296" i="5"/>
  <c r="L296" i="5"/>
  <c r="K296" i="5"/>
  <c r="J296" i="5"/>
  <c r="I296" i="5"/>
  <c r="H296" i="5"/>
  <c r="G296" i="5"/>
  <c r="F296" i="5"/>
  <c r="E296" i="5"/>
  <c r="D296" i="5"/>
  <c r="C296" i="5"/>
  <c r="B296" i="5"/>
  <c r="S293" i="5"/>
  <c r="R293" i="5"/>
  <c r="Q293" i="5"/>
  <c r="Q300" i="5" s="1"/>
  <c r="P293" i="5"/>
  <c r="O293" i="5"/>
  <c r="O279" i="5" s="1"/>
  <c r="M292" i="5"/>
  <c r="M306" i="5" s="1"/>
  <c r="L292" i="5"/>
  <c r="K292" i="5"/>
  <c r="K278" i="5" s="1"/>
  <c r="J292" i="5"/>
  <c r="J278" i="5" s="1"/>
  <c r="I292" i="5"/>
  <c r="H292" i="5"/>
  <c r="G292" i="5"/>
  <c r="F292" i="5"/>
  <c r="E292" i="5"/>
  <c r="D292" i="5"/>
  <c r="C292" i="5"/>
  <c r="B292" i="5"/>
  <c r="O292" i="5" s="1"/>
  <c r="S291" i="5"/>
  <c r="R291" i="5"/>
  <c r="Q291" i="5"/>
  <c r="Q298" i="5" s="1"/>
  <c r="P291" i="5"/>
  <c r="O291" i="5"/>
  <c r="N291" i="5"/>
  <c r="S290" i="5"/>
  <c r="R290" i="5"/>
  <c r="R297" i="5" s="1"/>
  <c r="Q290" i="5"/>
  <c r="P290" i="5"/>
  <c r="O290" i="5"/>
  <c r="N290" i="5"/>
  <c r="S289" i="5"/>
  <c r="R289" i="5"/>
  <c r="Q289" i="5"/>
  <c r="P289" i="5"/>
  <c r="P296" i="5" s="1"/>
  <c r="O289" i="5"/>
  <c r="N289" i="5"/>
  <c r="K286" i="5"/>
  <c r="J286" i="5"/>
  <c r="I286" i="5"/>
  <c r="H286" i="5"/>
  <c r="G286" i="5"/>
  <c r="F286" i="5"/>
  <c r="E286" i="5"/>
  <c r="D286" i="5"/>
  <c r="C286" i="5"/>
  <c r="B286" i="5"/>
  <c r="L284" i="5"/>
  <c r="K284" i="5"/>
  <c r="J284" i="5"/>
  <c r="I284" i="5"/>
  <c r="H284" i="5"/>
  <c r="G284" i="5"/>
  <c r="F284" i="5"/>
  <c r="E284" i="5"/>
  <c r="D284" i="5"/>
  <c r="C284" i="5"/>
  <c r="B284" i="5"/>
  <c r="M283" i="5"/>
  <c r="L283" i="5"/>
  <c r="K283" i="5"/>
  <c r="J283" i="5"/>
  <c r="I283" i="5"/>
  <c r="H283" i="5"/>
  <c r="G283" i="5"/>
  <c r="F283" i="5"/>
  <c r="E283" i="5"/>
  <c r="D283" i="5"/>
  <c r="C283" i="5"/>
  <c r="B283" i="5"/>
  <c r="M282" i="5"/>
  <c r="L282" i="5"/>
  <c r="K282" i="5"/>
  <c r="J282" i="5"/>
  <c r="I282" i="5"/>
  <c r="H282" i="5"/>
  <c r="G282" i="5"/>
  <c r="F282" i="5"/>
  <c r="E282" i="5"/>
  <c r="D282" i="5"/>
  <c r="C282" i="5"/>
  <c r="B282" i="5"/>
  <c r="K279" i="5"/>
  <c r="J279" i="5"/>
  <c r="I279" i="5"/>
  <c r="H279" i="5"/>
  <c r="G279" i="5"/>
  <c r="F279" i="5"/>
  <c r="E279" i="5"/>
  <c r="D279" i="5"/>
  <c r="C279" i="5"/>
  <c r="B279" i="5"/>
  <c r="O277" i="5"/>
  <c r="M277" i="5"/>
  <c r="L277" i="5"/>
  <c r="K277" i="5"/>
  <c r="J277" i="5"/>
  <c r="I277" i="5"/>
  <c r="H277" i="5"/>
  <c r="G277" i="5"/>
  <c r="F277" i="5"/>
  <c r="E277" i="5"/>
  <c r="D277" i="5"/>
  <c r="B277" i="5"/>
  <c r="M276" i="5"/>
  <c r="L276" i="5"/>
  <c r="K276" i="5"/>
  <c r="J276" i="5"/>
  <c r="I276" i="5"/>
  <c r="H276" i="5"/>
  <c r="G276" i="5"/>
  <c r="F276" i="5"/>
  <c r="E276" i="5"/>
  <c r="D276" i="5"/>
  <c r="C276" i="5"/>
  <c r="B276" i="5"/>
  <c r="M275" i="5"/>
  <c r="L275" i="5"/>
  <c r="K275" i="5"/>
  <c r="J275" i="5"/>
  <c r="I275" i="5"/>
  <c r="H275" i="5"/>
  <c r="G275" i="5"/>
  <c r="F275" i="5"/>
  <c r="E275" i="5"/>
  <c r="D275" i="5"/>
  <c r="C275" i="5"/>
  <c r="B275" i="5"/>
  <c r="P272" i="5"/>
  <c r="O272" i="5"/>
  <c r="M271" i="5"/>
  <c r="M278" i="5" s="1"/>
  <c r="L271" i="5"/>
  <c r="L285" i="5" s="1"/>
  <c r="K271" i="5"/>
  <c r="J271" i="5"/>
  <c r="I271" i="5"/>
  <c r="H271" i="5"/>
  <c r="G271" i="5"/>
  <c r="G278" i="5" s="1"/>
  <c r="F271" i="5"/>
  <c r="F285" i="5" s="1"/>
  <c r="E271" i="5"/>
  <c r="D271" i="5"/>
  <c r="C271" i="5"/>
  <c r="B271" i="5"/>
  <c r="B285" i="5" s="1"/>
  <c r="S270" i="5"/>
  <c r="S277" i="5" s="1"/>
  <c r="R270" i="5"/>
  <c r="Q270" i="5"/>
  <c r="Q277" i="5" s="1"/>
  <c r="P270" i="5"/>
  <c r="P277" i="5" s="1"/>
  <c r="O270" i="5"/>
  <c r="G269" i="5"/>
  <c r="D269" i="5"/>
  <c r="C269" i="5"/>
  <c r="M268" i="5"/>
  <c r="M269" i="5" s="1"/>
  <c r="L268" i="5"/>
  <c r="L269" i="5" s="1"/>
  <c r="K268" i="5"/>
  <c r="K269" i="5" s="1"/>
  <c r="J268" i="5"/>
  <c r="J269" i="5" s="1"/>
  <c r="I268" i="5"/>
  <c r="I269" i="5" s="1"/>
  <c r="H268" i="5"/>
  <c r="G268" i="5"/>
  <c r="F268" i="5"/>
  <c r="F269" i="5" s="1"/>
  <c r="E268" i="5"/>
  <c r="E269" i="5" s="1"/>
  <c r="D268" i="5"/>
  <c r="C268" i="5"/>
  <c r="B268" i="5"/>
  <c r="S267" i="5"/>
  <c r="S276" i="5" s="1"/>
  <c r="R267" i="5"/>
  <c r="R276" i="5" s="1"/>
  <c r="Q267" i="5"/>
  <c r="Q276" i="5" s="1"/>
  <c r="P267" i="5"/>
  <c r="O267" i="5"/>
  <c r="S266" i="5"/>
  <c r="R266" i="5"/>
  <c r="Q266" i="5"/>
  <c r="P266" i="5"/>
  <c r="O266" i="5"/>
  <c r="O275" i="5" s="1"/>
  <c r="M253" i="5"/>
  <c r="L253" i="5"/>
  <c r="K253" i="5"/>
  <c r="J253" i="5"/>
  <c r="I253" i="5"/>
  <c r="H253" i="5"/>
  <c r="G253" i="5"/>
  <c r="F253" i="5"/>
  <c r="E253" i="5"/>
  <c r="D253" i="5"/>
  <c r="C253" i="5"/>
  <c r="B253" i="5"/>
  <c r="M252" i="5"/>
  <c r="L252" i="5"/>
  <c r="K252" i="5"/>
  <c r="J252" i="5"/>
  <c r="I252" i="5"/>
  <c r="H252" i="5"/>
  <c r="G252" i="5"/>
  <c r="F252" i="5"/>
  <c r="E252" i="5"/>
  <c r="D252" i="5"/>
  <c r="C252" i="5"/>
  <c r="B252" i="5"/>
  <c r="M248" i="5"/>
  <c r="L248" i="5"/>
  <c r="K248" i="5"/>
  <c r="J248" i="5"/>
  <c r="J255" i="5" s="1"/>
  <c r="I248" i="5"/>
  <c r="H248" i="5"/>
  <c r="G248" i="5"/>
  <c r="F248" i="5"/>
  <c r="E248" i="5"/>
  <c r="D248" i="5"/>
  <c r="C248" i="5"/>
  <c r="R247" i="5"/>
  <c r="Q247" i="5"/>
  <c r="P247" i="5"/>
  <c r="B247" i="5"/>
  <c r="B233" i="5" s="1"/>
  <c r="R246" i="5"/>
  <c r="Q246" i="5"/>
  <c r="P246" i="5"/>
  <c r="P253" i="5" s="1"/>
  <c r="O246" i="5"/>
  <c r="R245" i="5"/>
  <c r="Q245" i="5"/>
  <c r="P245" i="5"/>
  <c r="P252" i="5" s="1"/>
  <c r="O245" i="5"/>
  <c r="O252" i="5" s="1"/>
  <c r="M233" i="5"/>
  <c r="L233" i="5"/>
  <c r="K233" i="5"/>
  <c r="J233" i="5"/>
  <c r="I233" i="5"/>
  <c r="H233" i="5"/>
  <c r="G233" i="5"/>
  <c r="F233" i="5"/>
  <c r="E233" i="5"/>
  <c r="D233" i="5"/>
  <c r="C233" i="5"/>
  <c r="M232" i="5"/>
  <c r="L232" i="5"/>
  <c r="K232" i="5"/>
  <c r="J232" i="5"/>
  <c r="I232" i="5"/>
  <c r="H232" i="5"/>
  <c r="G232" i="5"/>
  <c r="F232" i="5"/>
  <c r="E232" i="5"/>
  <c r="D232" i="5"/>
  <c r="C232" i="5"/>
  <c r="B232" i="5"/>
  <c r="M231" i="5"/>
  <c r="L231" i="5"/>
  <c r="K231" i="5"/>
  <c r="J231" i="5"/>
  <c r="I231" i="5"/>
  <c r="H231" i="5"/>
  <c r="G231" i="5"/>
  <c r="F231" i="5"/>
  <c r="E231" i="5"/>
  <c r="D231" i="5"/>
  <c r="C231" i="5"/>
  <c r="B231" i="5"/>
  <c r="L226" i="5"/>
  <c r="K226" i="5"/>
  <c r="J226" i="5"/>
  <c r="I226" i="5"/>
  <c r="H226" i="5"/>
  <c r="G226" i="5"/>
  <c r="F226" i="5"/>
  <c r="E226" i="5"/>
  <c r="D226" i="5"/>
  <c r="C226" i="5"/>
  <c r="B226" i="5"/>
  <c r="R225" i="5"/>
  <c r="R233" i="5" s="1"/>
  <c r="Q225" i="5"/>
  <c r="P225" i="5"/>
  <c r="O225" i="5"/>
  <c r="L224" i="5"/>
  <c r="K224" i="5"/>
  <c r="J224" i="5"/>
  <c r="I224" i="5"/>
  <c r="H224" i="5"/>
  <c r="G224" i="5"/>
  <c r="F224" i="5"/>
  <c r="E224" i="5"/>
  <c r="D224" i="5"/>
  <c r="C224" i="5"/>
  <c r="B224" i="5"/>
  <c r="R223" i="5"/>
  <c r="Q223" i="5"/>
  <c r="P223" i="5"/>
  <c r="O223" i="5"/>
  <c r="L222" i="5"/>
  <c r="K222" i="5"/>
  <c r="J222" i="5"/>
  <c r="I222" i="5"/>
  <c r="H222" i="5"/>
  <c r="G222" i="5"/>
  <c r="F222" i="5"/>
  <c r="F227" i="5" s="1"/>
  <c r="F234" i="5" s="1"/>
  <c r="E222" i="5"/>
  <c r="D222" i="5"/>
  <c r="C222" i="5"/>
  <c r="B222" i="5"/>
  <c r="R221" i="5"/>
  <c r="Q221" i="5"/>
  <c r="P221" i="5"/>
  <c r="O221" i="5"/>
  <c r="M209" i="5"/>
  <c r="L209" i="5"/>
  <c r="K209" i="5"/>
  <c r="J209" i="5"/>
  <c r="I209" i="5"/>
  <c r="H209" i="5"/>
  <c r="G209" i="5"/>
  <c r="F209" i="5"/>
  <c r="E209" i="5"/>
  <c r="D209" i="5"/>
  <c r="C209" i="5"/>
  <c r="B209" i="5"/>
  <c r="M208" i="5"/>
  <c r="L208" i="5"/>
  <c r="K208" i="5"/>
  <c r="J208" i="5"/>
  <c r="I208" i="5"/>
  <c r="H208" i="5"/>
  <c r="G208" i="5"/>
  <c r="F208" i="5"/>
  <c r="E208" i="5"/>
  <c r="D208" i="5"/>
  <c r="C208" i="5"/>
  <c r="B208" i="5"/>
  <c r="M207" i="5"/>
  <c r="L207" i="5"/>
  <c r="K207" i="5"/>
  <c r="J207" i="5"/>
  <c r="I207" i="5"/>
  <c r="H207" i="5"/>
  <c r="G207" i="5"/>
  <c r="F207" i="5"/>
  <c r="E207" i="5"/>
  <c r="D207" i="5"/>
  <c r="C207" i="5"/>
  <c r="B207" i="5"/>
  <c r="Q203" i="5"/>
  <c r="P203" i="5"/>
  <c r="M203" i="5"/>
  <c r="M184" i="5" s="1"/>
  <c r="C203" i="5"/>
  <c r="B203" i="5"/>
  <c r="M202" i="5"/>
  <c r="L202" i="5"/>
  <c r="L204" i="5" s="1"/>
  <c r="K202" i="5"/>
  <c r="J202" i="5"/>
  <c r="I202" i="5"/>
  <c r="H202" i="5"/>
  <c r="H204" i="5" s="1"/>
  <c r="G202" i="5"/>
  <c r="G204" i="5" s="1"/>
  <c r="F202" i="5"/>
  <c r="F204" i="5" s="1"/>
  <c r="E202" i="5"/>
  <c r="D202" i="5"/>
  <c r="D204" i="5" s="1"/>
  <c r="C202" i="5"/>
  <c r="B202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R200" i="5"/>
  <c r="Q200" i="5"/>
  <c r="P200" i="5"/>
  <c r="O200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R198" i="5"/>
  <c r="Q198" i="5"/>
  <c r="P198" i="5"/>
  <c r="P208" i="5" s="1"/>
  <c r="O198" i="5"/>
  <c r="O208" i="5" s="1"/>
  <c r="M197" i="5"/>
  <c r="L197" i="5"/>
  <c r="K197" i="5"/>
  <c r="J197" i="5"/>
  <c r="I197" i="5"/>
  <c r="H197" i="5"/>
  <c r="G197" i="5"/>
  <c r="F197" i="5"/>
  <c r="E197" i="5"/>
  <c r="D197" i="5"/>
  <c r="C197" i="5"/>
  <c r="B197" i="5"/>
  <c r="R196" i="5"/>
  <c r="Q196" i="5"/>
  <c r="Q207" i="5" s="1"/>
  <c r="P196" i="5"/>
  <c r="P207" i="5" s="1"/>
  <c r="O196" i="5"/>
  <c r="M192" i="5"/>
  <c r="L192" i="5"/>
  <c r="K192" i="5"/>
  <c r="J192" i="5"/>
  <c r="I192" i="5"/>
  <c r="H192" i="5"/>
  <c r="G192" i="5"/>
  <c r="F192" i="5"/>
  <c r="E192" i="5"/>
  <c r="B192" i="5"/>
  <c r="I191" i="5"/>
  <c r="H191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L184" i="5"/>
  <c r="K184" i="5"/>
  <c r="J184" i="5"/>
  <c r="I184" i="5"/>
  <c r="H184" i="5"/>
  <c r="G184" i="5"/>
  <c r="F184" i="5"/>
  <c r="E184" i="5"/>
  <c r="D184" i="5"/>
  <c r="Q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R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I177" i="5"/>
  <c r="F177" i="5"/>
  <c r="R176" i="5"/>
  <c r="Q176" i="5"/>
  <c r="P176" i="5"/>
  <c r="C176" i="5"/>
  <c r="B176" i="5"/>
  <c r="B160" i="5" s="1"/>
  <c r="M175" i="5"/>
  <c r="L175" i="5"/>
  <c r="K175" i="5"/>
  <c r="K177" i="5" s="1"/>
  <c r="J175" i="5"/>
  <c r="J177" i="5" s="1"/>
  <c r="I175" i="5"/>
  <c r="H175" i="5"/>
  <c r="H177" i="5" s="1"/>
  <c r="G175" i="5"/>
  <c r="F175" i="5"/>
  <c r="F183" i="5" s="1"/>
  <c r="E175" i="5"/>
  <c r="F191" i="5" s="1"/>
  <c r="D175" i="5"/>
  <c r="C175" i="5"/>
  <c r="B175" i="5"/>
  <c r="R174" i="5"/>
  <c r="R182" i="5" s="1"/>
  <c r="Q174" i="5"/>
  <c r="P174" i="5"/>
  <c r="P182" i="5" s="1"/>
  <c r="O174" i="5"/>
  <c r="R173" i="5"/>
  <c r="Q173" i="5"/>
  <c r="Q181" i="5" s="1"/>
  <c r="P173" i="5"/>
  <c r="O173" i="5"/>
  <c r="R172" i="5"/>
  <c r="R156" i="5" s="1"/>
  <c r="Q172" i="5"/>
  <c r="P172" i="5"/>
  <c r="O172" i="5"/>
  <c r="M160" i="5"/>
  <c r="L160" i="5"/>
  <c r="K160" i="5"/>
  <c r="J160" i="5"/>
  <c r="I160" i="5"/>
  <c r="H160" i="5"/>
  <c r="G160" i="5"/>
  <c r="F160" i="5"/>
  <c r="E160" i="5"/>
  <c r="D160" i="5"/>
  <c r="L159" i="5"/>
  <c r="M158" i="5"/>
  <c r="L158" i="5"/>
  <c r="K158" i="5"/>
  <c r="J158" i="5"/>
  <c r="I158" i="5"/>
  <c r="H158" i="5"/>
  <c r="G158" i="5"/>
  <c r="F158" i="5"/>
  <c r="D158" i="5"/>
  <c r="C158" i="5"/>
  <c r="B158" i="5"/>
  <c r="M157" i="5"/>
  <c r="L157" i="5"/>
  <c r="K157" i="5"/>
  <c r="J157" i="5"/>
  <c r="I157" i="5"/>
  <c r="H157" i="5"/>
  <c r="G157" i="5"/>
  <c r="F157" i="5"/>
  <c r="D157" i="5"/>
  <c r="C157" i="5"/>
  <c r="B157" i="5"/>
  <c r="M156" i="5"/>
  <c r="L156" i="5"/>
  <c r="K156" i="5"/>
  <c r="J156" i="5"/>
  <c r="I156" i="5"/>
  <c r="H156" i="5"/>
  <c r="G156" i="5"/>
  <c r="F156" i="5"/>
  <c r="D156" i="5"/>
  <c r="C156" i="5"/>
  <c r="B156" i="5"/>
  <c r="M153" i="5"/>
  <c r="R152" i="5"/>
  <c r="Q152" i="5"/>
  <c r="P152" i="5"/>
  <c r="O152" i="5"/>
  <c r="M151" i="5"/>
  <c r="L151" i="5"/>
  <c r="L153" i="5" s="1"/>
  <c r="K151" i="5"/>
  <c r="J151" i="5"/>
  <c r="J159" i="5" s="1"/>
  <c r="I151" i="5"/>
  <c r="I153" i="5" s="1"/>
  <c r="I161" i="5" s="1"/>
  <c r="H151" i="5"/>
  <c r="G151" i="5"/>
  <c r="F151" i="5"/>
  <c r="D151" i="5"/>
  <c r="C151" i="5"/>
  <c r="C153" i="5" s="1"/>
  <c r="B151" i="5"/>
  <c r="B153" i="5" s="1"/>
  <c r="R150" i="5"/>
  <c r="Q150" i="5"/>
  <c r="O150" i="5"/>
  <c r="E150" i="5"/>
  <c r="E158" i="5" s="1"/>
  <c r="R149" i="5"/>
  <c r="Q149" i="5"/>
  <c r="P149" i="5"/>
  <c r="O149" i="5"/>
  <c r="O157" i="5" s="1"/>
  <c r="E149" i="5"/>
  <c r="E157" i="5" s="1"/>
  <c r="R148" i="5"/>
  <c r="Q148" i="5"/>
  <c r="O148" i="5"/>
  <c r="E148" i="5"/>
  <c r="E139" i="5" s="1"/>
  <c r="M143" i="5"/>
  <c r="L143" i="5"/>
  <c r="K143" i="5"/>
  <c r="J143" i="5"/>
  <c r="I143" i="5"/>
  <c r="H143" i="5"/>
  <c r="G143" i="5"/>
  <c r="F143" i="5"/>
  <c r="E143" i="5"/>
  <c r="D143" i="5"/>
  <c r="C143" i="5"/>
  <c r="B143" i="5"/>
  <c r="M141" i="5"/>
  <c r="L141" i="5"/>
  <c r="K141" i="5"/>
  <c r="J141" i="5"/>
  <c r="I141" i="5"/>
  <c r="H141" i="5"/>
  <c r="G141" i="5"/>
  <c r="F141" i="5"/>
  <c r="E141" i="5"/>
  <c r="D141" i="5"/>
  <c r="C141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M139" i="5"/>
  <c r="L139" i="5"/>
  <c r="K139" i="5"/>
  <c r="J139" i="5"/>
  <c r="I139" i="5"/>
  <c r="H139" i="5"/>
  <c r="G139" i="5"/>
  <c r="F139" i="5"/>
  <c r="D139" i="5"/>
  <c r="C139" i="5"/>
  <c r="B139" i="5"/>
  <c r="K136" i="5"/>
  <c r="R135" i="5"/>
  <c r="Q135" i="5"/>
  <c r="P135" i="5"/>
  <c r="O135" i="5"/>
  <c r="M134" i="5"/>
  <c r="L134" i="5"/>
  <c r="K134" i="5"/>
  <c r="J134" i="5"/>
  <c r="J136" i="5" s="1"/>
  <c r="I134" i="5"/>
  <c r="I136" i="5" s="1"/>
  <c r="H134" i="5"/>
  <c r="H136" i="5" s="1"/>
  <c r="G134" i="5"/>
  <c r="F134" i="5"/>
  <c r="E134" i="5"/>
  <c r="E136" i="5" s="1"/>
  <c r="D134" i="5"/>
  <c r="D136" i="5" s="1"/>
  <c r="C134" i="5"/>
  <c r="R133" i="5"/>
  <c r="Q133" i="5"/>
  <c r="P133" i="5"/>
  <c r="B133" i="5"/>
  <c r="B134" i="5" s="1"/>
  <c r="R132" i="5"/>
  <c r="Q132" i="5"/>
  <c r="P132" i="5"/>
  <c r="O132" i="5"/>
  <c r="R131" i="5"/>
  <c r="Q131" i="5"/>
  <c r="Q139" i="5" s="1"/>
  <c r="P131" i="5"/>
  <c r="O131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J125" i="5"/>
  <c r="AE50" i="2" s="1"/>
  <c r="M124" i="5"/>
  <c r="L124" i="5"/>
  <c r="K124" i="5"/>
  <c r="J124" i="5"/>
  <c r="I124" i="5"/>
  <c r="H124" i="5"/>
  <c r="G124" i="5"/>
  <c r="F124" i="5"/>
  <c r="E124" i="5"/>
  <c r="D124" i="5"/>
  <c r="C124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I119" i="5"/>
  <c r="B119" i="5"/>
  <c r="R118" i="5"/>
  <c r="Q118" i="5"/>
  <c r="Q126" i="5" s="1"/>
  <c r="P118" i="5"/>
  <c r="O118" i="5"/>
  <c r="M117" i="5"/>
  <c r="L117" i="5"/>
  <c r="K117" i="5"/>
  <c r="J117" i="5"/>
  <c r="J119" i="5" s="1"/>
  <c r="I117" i="5"/>
  <c r="I125" i="5" s="1"/>
  <c r="AD50" i="2" s="1"/>
  <c r="H117" i="5"/>
  <c r="G117" i="5"/>
  <c r="G119" i="5" s="1"/>
  <c r="F117" i="5"/>
  <c r="E117" i="5"/>
  <c r="D117" i="5"/>
  <c r="C117" i="5"/>
  <c r="C119" i="5" s="1"/>
  <c r="C111" i="5" s="1"/>
  <c r="B117" i="5"/>
  <c r="R116" i="5"/>
  <c r="R52" i="5" s="1"/>
  <c r="Q116" i="5"/>
  <c r="Q124" i="5" s="1"/>
  <c r="P116" i="5"/>
  <c r="O116" i="5"/>
  <c r="R115" i="5"/>
  <c r="Q115" i="5"/>
  <c r="P115" i="5"/>
  <c r="O115" i="5"/>
  <c r="O123" i="5" s="1"/>
  <c r="R114" i="5"/>
  <c r="Q114" i="5"/>
  <c r="P114" i="5"/>
  <c r="O114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M107" i="5"/>
  <c r="L107" i="5"/>
  <c r="K107" i="5"/>
  <c r="J107" i="5"/>
  <c r="AE32" i="2" s="1"/>
  <c r="I107" i="5"/>
  <c r="H107" i="5"/>
  <c r="AC32" i="2" s="1"/>
  <c r="G107" i="5"/>
  <c r="F107" i="5"/>
  <c r="E107" i="5"/>
  <c r="D107" i="5"/>
  <c r="C107" i="5"/>
  <c r="B107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R103" i="5"/>
  <c r="Q103" i="5"/>
  <c r="P103" i="5"/>
  <c r="R102" i="5"/>
  <c r="Q102" i="5"/>
  <c r="Q110" i="5" s="1"/>
  <c r="P102" i="5"/>
  <c r="O102" i="5"/>
  <c r="M101" i="5"/>
  <c r="M109" i="5" s="1"/>
  <c r="AH28" i="2" s="1"/>
  <c r="L101" i="5"/>
  <c r="K101" i="5"/>
  <c r="J101" i="5"/>
  <c r="J109" i="5" s="1"/>
  <c r="I101" i="5"/>
  <c r="H101" i="5"/>
  <c r="G101" i="5"/>
  <c r="F101" i="5"/>
  <c r="E101" i="5"/>
  <c r="D101" i="5"/>
  <c r="D85" i="5" s="1"/>
  <c r="I32" i="9" s="1"/>
  <c r="C101" i="5"/>
  <c r="C109" i="5" s="1"/>
  <c r="B101" i="5"/>
  <c r="R100" i="5"/>
  <c r="Q100" i="5"/>
  <c r="P100" i="5"/>
  <c r="P108" i="5" s="1"/>
  <c r="O100" i="5"/>
  <c r="R99" i="5"/>
  <c r="R107" i="5" s="1"/>
  <c r="U32" i="2" s="1"/>
  <c r="Q99" i="5"/>
  <c r="P99" i="5"/>
  <c r="O99" i="5"/>
  <c r="R98" i="5"/>
  <c r="Q98" i="5"/>
  <c r="P98" i="5"/>
  <c r="O98" i="5"/>
  <c r="E93" i="5"/>
  <c r="BH50" i="2" s="1"/>
  <c r="M92" i="5"/>
  <c r="L92" i="5"/>
  <c r="K92" i="5"/>
  <c r="J92" i="5"/>
  <c r="I92" i="5"/>
  <c r="H92" i="5"/>
  <c r="G92" i="5"/>
  <c r="F92" i="5"/>
  <c r="E92" i="5"/>
  <c r="D92" i="5"/>
  <c r="C92" i="5"/>
  <c r="B92" i="5"/>
  <c r="M91" i="5"/>
  <c r="L91" i="5"/>
  <c r="K91" i="5"/>
  <c r="J91" i="5"/>
  <c r="I91" i="5"/>
  <c r="AU32" i="2" s="1"/>
  <c r="H91" i="5"/>
  <c r="G91" i="5"/>
  <c r="F91" i="5"/>
  <c r="E91" i="5"/>
  <c r="D91" i="5"/>
  <c r="C91" i="5"/>
  <c r="B91" i="5"/>
  <c r="M90" i="5"/>
  <c r="L90" i="5"/>
  <c r="K90" i="5"/>
  <c r="J90" i="5"/>
  <c r="I90" i="5"/>
  <c r="H90" i="5"/>
  <c r="G90" i="5"/>
  <c r="F90" i="5"/>
  <c r="E90" i="5"/>
  <c r="D90" i="5"/>
  <c r="C90" i="5"/>
  <c r="B90" i="5"/>
  <c r="M84" i="5"/>
  <c r="L84" i="5"/>
  <c r="K84" i="5"/>
  <c r="J84" i="5"/>
  <c r="I84" i="5"/>
  <c r="H84" i="5"/>
  <c r="G84" i="5"/>
  <c r="F84" i="5"/>
  <c r="E84" i="5"/>
  <c r="D84" i="5"/>
  <c r="C84" i="5"/>
  <c r="B84" i="5"/>
  <c r="M83" i="5"/>
  <c r="L83" i="5"/>
  <c r="K83" i="5"/>
  <c r="J83" i="5"/>
  <c r="I83" i="5"/>
  <c r="H83" i="5"/>
  <c r="G83" i="5"/>
  <c r="F83" i="5"/>
  <c r="E83" i="5"/>
  <c r="D83" i="5"/>
  <c r="C83" i="5"/>
  <c r="B83" i="5"/>
  <c r="R82" i="5"/>
  <c r="Q82" i="5"/>
  <c r="M82" i="5"/>
  <c r="L82" i="5"/>
  <c r="K82" i="5"/>
  <c r="J82" i="5"/>
  <c r="I82" i="5"/>
  <c r="H82" i="5"/>
  <c r="G82" i="5"/>
  <c r="F82" i="5"/>
  <c r="E82" i="5"/>
  <c r="D82" i="5"/>
  <c r="C82" i="5"/>
  <c r="B82" i="5"/>
  <c r="M77" i="5"/>
  <c r="L77" i="5"/>
  <c r="K77" i="5"/>
  <c r="J77" i="5"/>
  <c r="I77" i="5"/>
  <c r="H77" i="5"/>
  <c r="G77" i="5"/>
  <c r="F77" i="5"/>
  <c r="F93" i="5" s="1"/>
  <c r="BI50" i="2" s="1"/>
  <c r="E77" i="5"/>
  <c r="D77" i="5"/>
  <c r="C77" i="5"/>
  <c r="B77" i="5"/>
  <c r="S76" i="5"/>
  <c r="R76" i="5"/>
  <c r="Q76" i="5"/>
  <c r="Q84" i="5" s="1"/>
  <c r="P76" i="5"/>
  <c r="P92" i="5" s="1"/>
  <c r="O76" i="5"/>
  <c r="S75" i="5"/>
  <c r="R75" i="5"/>
  <c r="Q75" i="5"/>
  <c r="P75" i="5"/>
  <c r="P91" i="5" s="1"/>
  <c r="O75" i="5"/>
  <c r="S74" i="5"/>
  <c r="R74" i="5"/>
  <c r="Q74" i="5"/>
  <c r="P74" i="5"/>
  <c r="P90" i="5" s="1"/>
  <c r="O74" i="5"/>
  <c r="O90" i="5" s="1"/>
  <c r="J71" i="5"/>
  <c r="CD50" i="2" s="1"/>
  <c r="M70" i="5"/>
  <c r="L70" i="5"/>
  <c r="K70" i="5"/>
  <c r="J70" i="5"/>
  <c r="I70" i="5"/>
  <c r="H70" i="5"/>
  <c r="G70" i="5"/>
  <c r="F70" i="5"/>
  <c r="E70" i="5"/>
  <c r="D70" i="5"/>
  <c r="C70" i="5"/>
  <c r="B70" i="5"/>
  <c r="Q69" i="5"/>
  <c r="M69" i="5"/>
  <c r="L69" i="5"/>
  <c r="K69" i="5"/>
  <c r="J69" i="5"/>
  <c r="I69" i="5"/>
  <c r="H69" i="5"/>
  <c r="G69" i="5"/>
  <c r="F69" i="5"/>
  <c r="E69" i="5"/>
  <c r="D69" i="5"/>
  <c r="C69" i="5"/>
  <c r="B69" i="5"/>
  <c r="M68" i="5"/>
  <c r="L68" i="5"/>
  <c r="K68" i="5"/>
  <c r="J68" i="5"/>
  <c r="I68" i="5"/>
  <c r="H68" i="5"/>
  <c r="G68" i="5"/>
  <c r="F68" i="5"/>
  <c r="E68" i="5"/>
  <c r="D68" i="5"/>
  <c r="C68" i="5"/>
  <c r="B68" i="5"/>
  <c r="M64" i="5"/>
  <c r="L64" i="5"/>
  <c r="K64" i="5"/>
  <c r="J64" i="5"/>
  <c r="I64" i="5"/>
  <c r="H64" i="5"/>
  <c r="G64" i="5"/>
  <c r="F64" i="5"/>
  <c r="E64" i="5"/>
  <c r="D64" i="5"/>
  <c r="C64" i="5"/>
  <c r="B64" i="5"/>
  <c r="M63" i="5"/>
  <c r="L63" i="5"/>
  <c r="K63" i="5"/>
  <c r="J63" i="5"/>
  <c r="I63" i="5"/>
  <c r="H63" i="5"/>
  <c r="G63" i="5"/>
  <c r="F63" i="5"/>
  <c r="E63" i="5"/>
  <c r="D63" i="5"/>
  <c r="C63" i="5"/>
  <c r="B63" i="5"/>
  <c r="M62" i="5"/>
  <c r="L62" i="5"/>
  <c r="K62" i="5"/>
  <c r="J62" i="5"/>
  <c r="I62" i="5"/>
  <c r="H62" i="5"/>
  <c r="G62" i="5"/>
  <c r="F62" i="5"/>
  <c r="E62" i="5"/>
  <c r="D62" i="5"/>
  <c r="C62" i="5"/>
  <c r="B62" i="5"/>
  <c r="M59" i="5"/>
  <c r="M71" i="5" s="1"/>
  <c r="CG50" i="2" s="1"/>
  <c r="L59" i="5"/>
  <c r="K59" i="5"/>
  <c r="J59" i="5"/>
  <c r="I59" i="5"/>
  <c r="H59" i="5"/>
  <c r="G59" i="5"/>
  <c r="F59" i="5"/>
  <c r="F71" i="5" s="1"/>
  <c r="BZ50" i="2" s="1"/>
  <c r="K19" i="9" s="1"/>
  <c r="E59" i="5"/>
  <c r="D59" i="5"/>
  <c r="D65" i="5" s="1"/>
  <c r="I43" i="9" s="1"/>
  <c r="C59" i="5"/>
  <c r="C65" i="5" s="1"/>
  <c r="H43" i="9" s="1"/>
  <c r="B59" i="5"/>
  <c r="S58" i="5"/>
  <c r="R58" i="5"/>
  <c r="Q58" i="5"/>
  <c r="P58" i="5"/>
  <c r="O58" i="5"/>
  <c r="S57" i="5"/>
  <c r="R57" i="5"/>
  <c r="Q57" i="5"/>
  <c r="P57" i="5"/>
  <c r="P69" i="5" s="1"/>
  <c r="O57" i="5"/>
  <c r="O45" i="5" s="1"/>
  <c r="S56" i="5"/>
  <c r="S44" i="5" s="1"/>
  <c r="R56" i="5"/>
  <c r="Q56" i="5"/>
  <c r="P56" i="5"/>
  <c r="O56" i="5"/>
  <c r="O68" i="5" s="1"/>
  <c r="M52" i="5"/>
  <c r="L52" i="5"/>
  <c r="K52" i="5"/>
  <c r="J52" i="5"/>
  <c r="I52" i="5"/>
  <c r="H52" i="5"/>
  <c r="G52" i="5"/>
  <c r="F52" i="5"/>
  <c r="E52" i="5"/>
  <c r="D52" i="5"/>
  <c r="M51" i="5"/>
  <c r="L51" i="5"/>
  <c r="K51" i="5"/>
  <c r="J51" i="5"/>
  <c r="I51" i="5"/>
  <c r="H51" i="5"/>
  <c r="G51" i="5"/>
  <c r="F51" i="5"/>
  <c r="E51" i="5"/>
  <c r="D51" i="5"/>
  <c r="C51" i="5"/>
  <c r="B51" i="5"/>
  <c r="O50" i="5"/>
  <c r="M50" i="5"/>
  <c r="L50" i="5"/>
  <c r="K50" i="5"/>
  <c r="J50" i="5"/>
  <c r="I50" i="5"/>
  <c r="H50" i="5"/>
  <c r="G50" i="5"/>
  <c r="F50" i="5"/>
  <c r="E50" i="5"/>
  <c r="D50" i="5"/>
  <c r="C50" i="5"/>
  <c r="B50" i="5"/>
  <c r="K47" i="5"/>
  <c r="J47" i="5"/>
  <c r="M46" i="5"/>
  <c r="L46" i="5"/>
  <c r="K46" i="5"/>
  <c r="J46" i="5"/>
  <c r="I46" i="5"/>
  <c r="H46" i="5"/>
  <c r="G46" i="5"/>
  <c r="F46" i="5"/>
  <c r="E46" i="5"/>
  <c r="D46" i="5"/>
  <c r="M45" i="5"/>
  <c r="L45" i="5"/>
  <c r="K45" i="5"/>
  <c r="J45" i="5"/>
  <c r="I45" i="5"/>
  <c r="H45" i="5"/>
  <c r="G45" i="5"/>
  <c r="F45" i="5"/>
  <c r="E45" i="5"/>
  <c r="D45" i="5"/>
  <c r="C45" i="5"/>
  <c r="B45" i="5"/>
  <c r="M44" i="5"/>
  <c r="L44" i="5"/>
  <c r="K44" i="5"/>
  <c r="J44" i="5"/>
  <c r="I44" i="5"/>
  <c r="H44" i="5"/>
  <c r="G44" i="5"/>
  <c r="F44" i="5"/>
  <c r="E44" i="5"/>
  <c r="D44" i="5"/>
  <c r="C44" i="5"/>
  <c r="B44" i="5"/>
  <c r="M41" i="5"/>
  <c r="L41" i="5"/>
  <c r="K41" i="5"/>
  <c r="J41" i="5"/>
  <c r="J53" i="5" s="1"/>
  <c r="CU50" i="2" s="1"/>
  <c r="I41" i="5"/>
  <c r="H41" i="5"/>
  <c r="G41" i="5"/>
  <c r="F41" i="5"/>
  <c r="E41" i="5"/>
  <c r="E53" i="5" s="1"/>
  <c r="BY32" i="2" s="1"/>
  <c r="D41" i="5"/>
  <c r="R40" i="5"/>
  <c r="R46" i="5" s="1"/>
  <c r="Q40" i="5"/>
  <c r="P40" i="5"/>
  <c r="C40" i="5"/>
  <c r="C34" i="5" s="1"/>
  <c r="B40" i="5"/>
  <c r="B46" i="5" s="1"/>
  <c r="S39" i="5"/>
  <c r="S45" i="5" s="1"/>
  <c r="R39" i="5"/>
  <c r="Q39" i="5"/>
  <c r="P39" i="5"/>
  <c r="O39" i="5"/>
  <c r="S38" i="5"/>
  <c r="R38" i="5"/>
  <c r="Q38" i="5"/>
  <c r="P38" i="5"/>
  <c r="O38" i="5"/>
  <c r="M34" i="5"/>
  <c r="L34" i="5"/>
  <c r="K34" i="5"/>
  <c r="J34" i="5"/>
  <c r="I34" i="5"/>
  <c r="H34" i="5"/>
  <c r="G34" i="5"/>
  <c r="F34" i="5"/>
  <c r="E34" i="5"/>
  <c r="D34" i="5"/>
  <c r="M33" i="5"/>
  <c r="L33" i="5"/>
  <c r="K33" i="5"/>
  <c r="J33" i="5"/>
  <c r="I33" i="5"/>
  <c r="H33" i="5"/>
  <c r="G33" i="5"/>
  <c r="F33" i="5"/>
  <c r="E33" i="5"/>
  <c r="D33" i="5"/>
  <c r="C33" i="5"/>
  <c r="B33" i="5"/>
  <c r="M32" i="5"/>
  <c r="L32" i="5"/>
  <c r="K32" i="5"/>
  <c r="J32" i="5"/>
  <c r="I32" i="5"/>
  <c r="H32" i="5"/>
  <c r="G32" i="5"/>
  <c r="F32" i="5"/>
  <c r="E32" i="5"/>
  <c r="D32" i="5"/>
  <c r="C32" i="5"/>
  <c r="B32" i="5"/>
  <c r="O29" i="5"/>
  <c r="M29" i="5"/>
  <c r="L29" i="5"/>
  <c r="K29" i="5"/>
  <c r="J29" i="5"/>
  <c r="I29" i="5"/>
  <c r="I35" i="5" s="1"/>
  <c r="H29" i="5"/>
  <c r="G29" i="5"/>
  <c r="F29" i="5"/>
  <c r="E29" i="5"/>
  <c r="D29" i="5"/>
  <c r="C29" i="5"/>
  <c r="B29" i="5"/>
  <c r="S28" i="5"/>
  <c r="R28" i="5"/>
  <c r="R34" i="5" s="1"/>
  <c r="Q28" i="5"/>
  <c r="P28" i="5"/>
  <c r="O28" i="5"/>
  <c r="S27" i="5"/>
  <c r="R27" i="5"/>
  <c r="Q27" i="5"/>
  <c r="P27" i="5"/>
  <c r="O27" i="5"/>
  <c r="S26" i="5"/>
  <c r="S32" i="5" s="1"/>
  <c r="R26" i="5"/>
  <c r="Q26" i="5"/>
  <c r="P26" i="5"/>
  <c r="O26" i="5"/>
  <c r="O32" i="5" s="1"/>
  <c r="C23" i="5"/>
  <c r="DE32" i="2" s="1"/>
  <c r="M22" i="5"/>
  <c r="L22" i="5"/>
  <c r="K22" i="5"/>
  <c r="J22" i="5"/>
  <c r="I22" i="5"/>
  <c r="H22" i="5"/>
  <c r="G22" i="5"/>
  <c r="F22" i="5"/>
  <c r="E22" i="5"/>
  <c r="D22" i="5"/>
  <c r="C22" i="5"/>
  <c r="B22" i="5"/>
  <c r="M21" i="5"/>
  <c r="L21" i="5"/>
  <c r="K21" i="5"/>
  <c r="J21" i="5"/>
  <c r="I21" i="5"/>
  <c r="H21" i="5"/>
  <c r="G21" i="5"/>
  <c r="F21" i="5"/>
  <c r="E21" i="5"/>
  <c r="D21" i="5"/>
  <c r="C21" i="5"/>
  <c r="B21" i="5"/>
  <c r="M20" i="5"/>
  <c r="L20" i="5"/>
  <c r="K20" i="5"/>
  <c r="J20" i="5"/>
  <c r="I20" i="5"/>
  <c r="H20" i="5"/>
  <c r="G20" i="5"/>
  <c r="F20" i="5"/>
  <c r="E20" i="5"/>
  <c r="D20" i="5"/>
  <c r="C20" i="5"/>
  <c r="B20" i="5"/>
  <c r="M17" i="5"/>
  <c r="L17" i="5"/>
  <c r="K17" i="5"/>
  <c r="J17" i="5"/>
  <c r="J23" i="5" s="1"/>
  <c r="I17" i="5"/>
  <c r="I23" i="5" s="1"/>
  <c r="DK32" i="2" s="1"/>
  <c r="H17" i="5"/>
  <c r="G17" i="5"/>
  <c r="CR14" i="2" s="1"/>
  <c r="F17" i="5"/>
  <c r="E17" i="5"/>
  <c r="D17" i="5"/>
  <c r="C17" i="5"/>
  <c r="B17" i="5"/>
  <c r="S16" i="5"/>
  <c r="R16" i="5"/>
  <c r="R22" i="5" s="1"/>
  <c r="Q16" i="5"/>
  <c r="P16" i="5"/>
  <c r="O16" i="5"/>
  <c r="S15" i="5"/>
  <c r="R15" i="5"/>
  <c r="R21" i="5" s="1"/>
  <c r="Q15" i="5"/>
  <c r="P15" i="5"/>
  <c r="O15" i="5"/>
  <c r="S14" i="5"/>
  <c r="R14" i="5"/>
  <c r="Q14" i="5"/>
  <c r="P14" i="5"/>
  <c r="O14" i="5"/>
  <c r="P10" i="5"/>
  <c r="M10" i="5"/>
  <c r="L10" i="5"/>
  <c r="K10" i="5"/>
  <c r="J10" i="5"/>
  <c r="I10" i="5"/>
  <c r="H10" i="5"/>
  <c r="G10" i="5"/>
  <c r="F10" i="5"/>
  <c r="E10" i="5"/>
  <c r="D10" i="5"/>
  <c r="C10" i="5"/>
  <c r="B10" i="5"/>
  <c r="M9" i="5"/>
  <c r="L9" i="5"/>
  <c r="K9" i="5"/>
  <c r="J9" i="5"/>
  <c r="I9" i="5"/>
  <c r="H9" i="5"/>
  <c r="G9" i="5"/>
  <c r="F9" i="5"/>
  <c r="E9" i="5"/>
  <c r="D9" i="5"/>
  <c r="C9" i="5"/>
  <c r="B9" i="5"/>
  <c r="M8" i="5"/>
  <c r="L8" i="5"/>
  <c r="K8" i="5"/>
  <c r="J8" i="5"/>
  <c r="I8" i="5"/>
  <c r="H8" i="5"/>
  <c r="G8" i="5"/>
  <c r="F8" i="5"/>
  <c r="E8" i="5"/>
  <c r="D8" i="5"/>
  <c r="C8" i="5"/>
  <c r="B8" i="5"/>
  <c r="M5" i="5"/>
  <c r="L5" i="5"/>
  <c r="K5" i="5"/>
  <c r="J5" i="5"/>
  <c r="I5" i="5"/>
  <c r="H5" i="5"/>
  <c r="G5" i="5"/>
  <c r="F5" i="5"/>
  <c r="F11" i="5" s="1"/>
  <c r="E5" i="5"/>
  <c r="D5" i="5"/>
  <c r="C5" i="5"/>
  <c r="C11" i="5" s="1"/>
  <c r="B5" i="5"/>
  <c r="S4" i="5"/>
  <c r="R4" i="5"/>
  <c r="Q4" i="5"/>
  <c r="P4" i="5"/>
  <c r="O4" i="5"/>
  <c r="S3" i="5"/>
  <c r="S9" i="5" s="1"/>
  <c r="R3" i="5"/>
  <c r="R9" i="5" s="1"/>
  <c r="Q3" i="5"/>
  <c r="P3" i="5"/>
  <c r="P9" i="5" s="1"/>
  <c r="O3" i="5"/>
  <c r="O9" i="5" s="1"/>
  <c r="S2" i="5"/>
  <c r="R2" i="5"/>
  <c r="Q2" i="5"/>
  <c r="Q8" i="5" s="1"/>
  <c r="P2" i="5"/>
  <c r="O2" i="5"/>
  <c r="M471" i="4"/>
  <c r="L471" i="4"/>
  <c r="K471" i="4"/>
  <c r="J471" i="4"/>
  <c r="I471" i="4"/>
  <c r="H471" i="4"/>
  <c r="Q471" i="4" s="1"/>
  <c r="G471" i="4"/>
  <c r="G455" i="4" s="1"/>
  <c r="F471" i="4"/>
  <c r="E471" i="4"/>
  <c r="D471" i="4"/>
  <c r="C471" i="4"/>
  <c r="B471" i="4"/>
  <c r="M467" i="4"/>
  <c r="L467" i="4"/>
  <c r="K467" i="4"/>
  <c r="J467" i="4"/>
  <c r="J463" i="4" s="1"/>
  <c r="I467" i="4"/>
  <c r="H467" i="4"/>
  <c r="G467" i="4"/>
  <c r="F467" i="4"/>
  <c r="E467" i="4"/>
  <c r="D467" i="4"/>
  <c r="C467" i="4"/>
  <c r="B467" i="4"/>
  <c r="R459" i="4"/>
  <c r="M459" i="4"/>
  <c r="L459" i="4"/>
  <c r="K459" i="4"/>
  <c r="J459" i="4"/>
  <c r="I459" i="4"/>
  <c r="H459" i="4"/>
  <c r="G459" i="4"/>
  <c r="F459" i="4"/>
  <c r="E459" i="4"/>
  <c r="P459" i="4" s="1"/>
  <c r="D459" i="4"/>
  <c r="C459" i="4"/>
  <c r="C455" i="4" s="1"/>
  <c r="B459" i="4"/>
  <c r="L455" i="4"/>
  <c r="L451" i="4" s="1"/>
  <c r="R446" i="4"/>
  <c r="Q446" i="4"/>
  <c r="P446" i="4"/>
  <c r="O446" i="4"/>
  <c r="N446" i="4"/>
  <c r="R442" i="4"/>
  <c r="Q442" i="4"/>
  <c r="P442" i="4"/>
  <c r="O442" i="4"/>
  <c r="N442" i="4"/>
  <c r="N418" i="4" s="1"/>
  <c r="M438" i="4"/>
  <c r="L438" i="4"/>
  <c r="K438" i="4"/>
  <c r="J438" i="4"/>
  <c r="J439" i="4" s="1"/>
  <c r="I438" i="4"/>
  <c r="H438" i="4"/>
  <c r="G438" i="4"/>
  <c r="F438" i="4"/>
  <c r="E438" i="4"/>
  <c r="D438" i="4"/>
  <c r="C438" i="4"/>
  <c r="B438" i="4"/>
  <c r="R434" i="4"/>
  <c r="Q434" i="4"/>
  <c r="P434" i="4"/>
  <c r="O434" i="4"/>
  <c r="N434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L422" i="4"/>
  <c r="R421" i="4"/>
  <c r="Q421" i="4"/>
  <c r="P421" i="4"/>
  <c r="O421" i="4"/>
  <c r="N421" i="4"/>
  <c r="F418" i="4"/>
  <c r="R417" i="4"/>
  <c r="Q417" i="4"/>
  <c r="P417" i="4"/>
  <c r="O417" i="4"/>
  <c r="N417" i="4"/>
  <c r="J414" i="4"/>
  <c r="I414" i="4"/>
  <c r="H414" i="4"/>
  <c r="M413" i="4"/>
  <c r="M414" i="4" s="1"/>
  <c r="L413" i="4"/>
  <c r="K413" i="4"/>
  <c r="K414" i="4" s="1"/>
  <c r="J413" i="4"/>
  <c r="Q413" i="4" s="1"/>
  <c r="I413" i="4"/>
  <c r="H413" i="4"/>
  <c r="G413" i="4"/>
  <c r="G414" i="4" s="1"/>
  <c r="F413" i="4"/>
  <c r="E413" i="4"/>
  <c r="E414" i="4" s="1"/>
  <c r="D413" i="4"/>
  <c r="D414" i="4" s="1"/>
  <c r="C413" i="4"/>
  <c r="C414" i="4" s="1"/>
  <c r="B413" i="4"/>
  <c r="B414" i="4" s="1"/>
  <c r="F410" i="4"/>
  <c r="R409" i="4"/>
  <c r="Q409" i="4"/>
  <c r="P409" i="4"/>
  <c r="O409" i="4"/>
  <c r="N409" i="4"/>
  <c r="M405" i="4"/>
  <c r="M406" i="4" s="1"/>
  <c r="L405" i="4"/>
  <c r="K405" i="4"/>
  <c r="J405" i="4"/>
  <c r="J406" i="4" s="1"/>
  <c r="I405" i="4"/>
  <c r="I406" i="4" s="1"/>
  <c r="H405" i="4"/>
  <c r="H406" i="4" s="1"/>
  <c r="G405" i="4"/>
  <c r="F405" i="4"/>
  <c r="F406" i="4" s="1"/>
  <c r="E405" i="4"/>
  <c r="E406" i="4" s="1"/>
  <c r="D405" i="4"/>
  <c r="D406" i="4" s="1"/>
  <c r="C405" i="4"/>
  <c r="C406" i="4" s="1"/>
  <c r="B405" i="4"/>
  <c r="J402" i="4"/>
  <c r="M401" i="4"/>
  <c r="L401" i="4"/>
  <c r="K401" i="4"/>
  <c r="J401" i="4"/>
  <c r="I401" i="4"/>
  <c r="I402" i="4" s="1"/>
  <c r="H401" i="4"/>
  <c r="G401" i="4"/>
  <c r="F401" i="4"/>
  <c r="E401" i="4"/>
  <c r="D401" i="4"/>
  <c r="D377" i="4" s="1"/>
  <c r="C401" i="4"/>
  <c r="B401" i="4"/>
  <c r="M397" i="4"/>
  <c r="L397" i="4"/>
  <c r="K397" i="4"/>
  <c r="J397" i="4"/>
  <c r="I397" i="4"/>
  <c r="H397" i="4"/>
  <c r="G397" i="4"/>
  <c r="F397" i="4"/>
  <c r="E397" i="4"/>
  <c r="C397" i="4"/>
  <c r="B397" i="4"/>
  <c r="R396" i="4"/>
  <c r="Q396" i="4"/>
  <c r="P396" i="4"/>
  <c r="O396" i="4"/>
  <c r="N396" i="4"/>
  <c r="M393" i="4"/>
  <c r="L393" i="4"/>
  <c r="K393" i="4"/>
  <c r="J393" i="4"/>
  <c r="I393" i="4"/>
  <c r="H393" i="4"/>
  <c r="G393" i="4"/>
  <c r="F393" i="4"/>
  <c r="E393" i="4"/>
  <c r="C393" i="4"/>
  <c r="B393" i="4"/>
  <c r="R392" i="4"/>
  <c r="Q392" i="4"/>
  <c r="P392" i="4"/>
  <c r="O392" i="4"/>
  <c r="N392" i="4"/>
  <c r="M389" i="4"/>
  <c r="M388" i="4"/>
  <c r="L388" i="4"/>
  <c r="K388" i="4"/>
  <c r="J388" i="4"/>
  <c r="I388" i="4"/>
  <c r="H388" i="4"/>
  <c r="H389" i="4" s="1"/>
  <c r="G388" i="4"/>
  <c r="G389" i="4" s="1"/>
  <c r="F388" i="4"/>
  <c r="E388" i="4"/>
  <c r="D388" i="4"/>
  <c r="D389" i="4" s="1"/>
  <c r="C388" i="4"/>
  <c r="B388" i="4"/>
  <c r="M385" i="4"/>
  <c r="K385" i="4"/>
  <c r="I385" i="4"/>
  <c r="H385" i="4"/>
  <c r="G385" i="4"/>
  <c r="F385" i="4"/>
  <c r="E385" i="4"/>
  <c r="C385" i="4"/>
  <c r="B385" i="4"/>
  <c r="B381" i="4" s="1"/>
  <c r="R384" i="4"/>
  <c r="Q384" i="4"/>
  <c r="P384" i="4"/>
  <c r="O384" i="4"/>
  <c r="N384" i="4"/>
  <c r="N360" i="4" s="1"/>
  <c r="M380" i="4"/>
  <c r="L380" i="4"/>
  <c r="K380" i="4"/>
  <c r="J380" i="4"/>
  <c r="I380" i="4"/>
  <c r="I381" i="4" s="1"/>
  <c r="H380" i="4"/>
  <c r="G380" i="4"/>
  <c r="F380" i="4"/>
  <c r="F381" i="4" s="1"/>
  <c r="E380" i="4"/>
  <c r="D380" i="4"/>
  <c r="D381" i="4" s="1"/>
  <c r="C380" i="4"/>
  <c r="B380" i="4"/>
  <c r="M376" i="4"/>
  <c r="L376" i="4"/>
  <c r="K376" i="4"/>
  <c r="J376" i="4"/>
  <c r="I376" i="4"/>
  <c r="H376" i="4"/>
  <c r="H377" i="4" s="1"/>
  <c r="G376" i="4"/>
  <c r="F376" i="4"/>
  <c r="F377" i="4" s="1"/>
  <c r="E376" i="4"/>
  <c r="D376" i="4"/>
  <c r="C376" i="4"/>
  <c r="B376" i="4"/>
  <c r="F372" i="4"/>
  <c r="E372" i="4"/>
  <c r="D372" i="4"/>
  <c r="C372" i="4"/>
  <c r="B372" i="4"/>
  <c r="Q371" i="4"/>
  <c r="P371" i="4"/>
  <c r="P347" i="4" s="1"/>
  <c r="M371" i="4"/>
  <c r="M372" i="4" s="1"/>
  <c r="M368" i="4"/>
  <c r="K368" i="4"/>
  <c r="K364" i="4" s="1"/>
  <c r="E368" i="4"/>
  <c r="D368" i="4"/>
  <c r="B368" i="4"/>
  <c r="Q367" i="4"/>
  <c r="P367" i="4"/>
  <c r="M367" i="4"/>
  <c r="I364" i="4"/>
  <c r="L363" i="4"/>
  <c r="K363" i="4"/>
  <c r="J363" i="4"/>
  <c r="J364" i="4" s="1"/>
  <c r="I363" i="4"/>
  <c r="H363" i="4"/>
  <c r="G363" i="4"/>
  <c r="F363" i="4"/>
  <c r="E363" i="4"/>
  <c r="D363" i="4"/>
  <c r="C363" i="4"/>
  <c r="B363" i="4"/>
  <c r="B360" i="4"/>
  <c r="Q359" i="4"/>
  <c r="P359" i="4"/>
  <c r="M359" i="4"/>
  <c r="I356" i="4"/>
  <c r="L355" i="4"/>
  <c r="L356" i="4" s="1"/>
  <c r="K355" i="4"/>
  <c r="K356" i="4" s="1"/>
  <c r="J355" i="4"/>
  <c r="J356" i="4" s="1"/>
  <c r="I355" i="4"/>
  <c r="H355" i="4"/>
  <c r="G355" i="4"/>
  <c r="F355" i="4"/>
  <c r="E355" i="4"/>
  <c r="E356" i="4" s="1"/>
  <c r="D355" i="4"/>
  <c r="C355" i="4"/>
  <c r="B355" i="4"/>
  <c r="B356" i="4" s="1"/>
  <c r="O351" i="4"/>
  <c r="L351" i="4"/>
  <c r="K351" i="4"/>
  <c r="K327" i="4" s="1"/>
  <c r="J351" i="4"/>
  <c r="I351" i="4"/>
  <c r="I327" i="4" s="1"/>
  <c r="H351" i="4"/>
  <c r="G351" i="4"/>
  <c r="G327" i="4" s="1"/>
  <c r="F351" i="4"/>
  <c r="F327" i="4" s="1"/>
  <c r="E351" i="4"/>
  <c r="E327" i="4" s="1"/>
  <c r="D351" i="4"/>
  <c r="D352" i="4" s="1"/>
  <c r="C351" i="4"/>
  <c r="B351" i="4"/>
  <c r="B327" i="4" s="1"/>
  <c r="L348" i="4"/>
  <c r="K348" i="4"/>
  <c r="J348" i="4"/>
  <c r="I348" i="4"/>
  <c r="H348" i="4"/>
  <c r="G348" i="4"/>
  <c r="F348" i="4"/>
  <c r="E348" i="4"/>
  <c r="D348" i="4"/>
  <c r="C348" i="4"/>
  <c r="L347" i="4"/>
  <c r="K347" i="4"/>
  <c r="J347" i="4"/>
  <c r="I347" i="4"/>
  <c r="H347" i="4"/>
  <c r="G347" i="4"/>
  <c r="F347" i="4"/>
  <c r="E347" i="4"/>
  <c r="D347" i="4"/>
  <c r="C347" i="4"/>
  <c r="B347" i="4"/>
  <c r="Q346" i="4"/>
  <c r="Q347" i="4" s="1"/>
  <c r="P346" i="4"/>
  <c r="O346" i="4"/>
  <c r="N346" i="4"/>
  <c r="N347" i="4" s="1"/>
  <c r="M346" i="4"/>
  <c r="R346" i="4" s="1"/>
  <c r="R348" i="4" s="1"/>
  <c r="L344" i="4"/>
  <c r="K344" i="4"/>
  <c r="J344" i="4"/>
  <c r="I344" i="4"/>
  <c r="H344" i="4"/>
  <c r="G344" i="4"/>
  <c r="F344" i="4"/>
  <c r="E344" i="4"/>
  <c r="D344" i="4"/>
  <c r="C344" i="4"/>
  <c r="S343" i="4"/>
  <c r="Q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Q342" i="4"/>
  <c r="P342" i="4"/>
  <c r="O342" i="4"/>
  <c r="M342" i="4"/>
  <c r="R342" i="4" s="1"/>
  <c r="S339" i="4"/>
  <c r="L338" i="4"/>
  <c r="L340" i="4" s="1"/>
  <c r="K338" i="4"/>
  <c r="J338" i="4"/>
  <c r="I338" i="4"/>
  <c r="H338" i="4"/>
  <c r="G338" i="4"/>
  <c r="G340" i="4" s="1"/>
  <c r="F338" i="4"/>
  <c r="F339" i="4" s="1"/>
  <c r="E338" i="4"/>
  <c r="D338" i="4"/>
  <c r="C338" i="4"/>
  <c r="B338" i="4"/>
  <c r="L336" i="4"/>
  <c r="K336" i="4"/>
  <c r="J336" i="4"/>
  <c r="I336" i="4"/>
  <c r="H336" i="4"/>
  <c r="G336" i="4"/>
  <c r="F336" i="4"/>
  <c r="E336" i="4"/>
  <c r="D336" i="4"/>
  <c r="C336" i="4"/>
  <c r="L335" i="4"/>
  <c r="K335" i="4"/>
  <c r="J335" i="4"/>
  <c r="I335" i="4"/>
  <c r="H335" i="4"/>
  <c r="G335" i="4"/>
  <c r="F335" i="4"/>
  <c r="E335" i="4"/>
  <c r="D335" i="4"/>
  <c r="C335" i="4"/>
  <c r="B335" i="4"/>
  <c r="Q334" i="4"/>
  <c r="P334" i="4"/>
  <c r="O334" i="4"/>
  <c r="M334" i="4"/>
  <c r="M310" i="4" s="1"/>
  <c r="C332" i="4"/>
  <c r="B331" i="4"/>
  <c r="L330" i="4"/>
  <c r="K330" i="4"/>
  <c r="J330" i="4"/>
  <c r="I330" i="4"/>
  <c r="H330" i="4"/>
  <c r="G330" i="4"/>
  <c r="F330" i="4"/>
  <c r="F331" i="4" s="1"/>
  <c r="E330" i="4"/>
  <c r="E331" i="4" s="1"/>
  <c r="D330" i="4"/>
  <c r="D332" i="4" s="1"/>
  <c r="C330" i="4"/>
  <c r="B330" i="4"/>
  <c r="L328" i="4"/>
  <c r="K328" i="4"/>
  <c r="J328" i="4"/>
  <c r="I328" i="4"/>
  <c r="H328" i="4"/>
  <c r="G328" i="4"/>
  <c r="F328" i="4"/>
  <c r="E328" i="4"/>
  <c r="D328" i="4"/>
  <c r="C328" i="4"/>
  <c r="D327" i="4"/>
  <c r="Q326" i="4"/>
  <c r="Q328" i="4" s="1"/>
  <c r="P326" i="4"/>
  <c r="O326" i="4"/>
  <c r="M326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L322" i="4"/>
  <c r="K322" i="4"/>
  <c r="J322" i="4"/>
  <c r="I322" i="4"/>
  <c r="H322" i="4"/>
  <c r="G322" i="4"/>
  <c r="F322" i="4"/>
  <c r="E322" i="4"/>
  <c r="D322" i="4"/>
  <c r="C322" i="4"/>
  <c r="B322" i="4"/>
  <c r="R321" i="4"/>
  <c r="Q321" i="4"/>
  <c r="Q323" i="4" s="1"/>
  <c r="P321" i="4"/>
  <c r="O321" i="4"/>
  <c r="O323" i="4" s="1"/>
  <c r="N321" i="4"/>
  <c r="M319" i="4"/>
  <c r="L319" i="4"/>
  <c r="K319" i="4"/>
  <c r="J319" i="4"/>
  <c r="I319" i="4"/>
  <c r="H319" i="4"/>
  <c r="G319" i="4"/>
  <c r="F319" i="4"/>
  <c r="E319" i="4"/>
  <c r="D319" i="4"/>
  <c r="C319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R317" i="4"/>
  <c r="R319" i="4" s="1"/>
  <c r="Q317" i="4"/>
  <c r="P317" i="4"/>
  <c r="O317" i="4"/>
  <c r="O318" i="4" s="1"/>
  <c r="N317" i="4"/>
  <c r="C314" i="4"/>
  <c r="M313" i="4"/>
  <c r="L313" i="4"/>
  <c r="M315" i="4" s="1"/>
  <c r="K313" i="4"/>
  <c r="J313" i="4"/>
  <c r="I313" i="4"/>
  <c r="H313" i="4"/>
  <c r="G313" i="4"/>
  <c r="F313" i="4"/>
  <c r="E313" i="4"/>
  <c r="D313" i="4"/>
  <c r="C313" i="4"/>
  <c r="C289" i="4" s="1"/>
  <c r="B313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L310" i="4"/>
  <c r="K310" i="4"/>
  <c r="J310" i="4"/>
  <c r="I310" i="4"/>
  <c r="H310" i="4"/>
  <c r="G310" i="4"/>
  <c r="F310" i="4"/>
  <c r="E310" i="4"/>
  <c r="D310" i="4"/>
  <c r="C310" i="4"/>
  <c r="B310" i="4"/>
  <c r="R309" i="4"/>
  <c r="Q309" i="4"/>
  <c r="P309" i="4"/>
  <c r="O309" i="4"/>
  <c r="N309" i="4"/>
  <c r="M305" i="4"/>
  <c r="L305" i="4"/>
  <c r="K305" i="4"/>
  <c r="J305" i="4"/>
  <c r="I305" i="4"/>
  <c r="H305" i="4"/>
  <c r="G305" i="4"/>
  <c r="G281" i="4" s="1"/>
  <c r="F305" i="4"/>
  <c r="E305" i="4"/>
  <c r="D305" i="4"/>
  <c r="C305" i="4"/>
  <c r="B305" i="4"/>
  <c r="M303" i="4"/>
  <c r="L303" i="4"/>
  <c r="K303" i="4"/>
  <c r="J303" i="4"/>
  <c r="I303" i="4"/>
  <c r="H303" i="4"/>
  <c r="G303" i="4"/>
  <c r="F303" i="4"/>
  <c r="E303" i="4"/>
  <c r="D303" i="4"/>
  <c r="C303" i="4"/>
  <c r="L302" i="4"/>
  <c r="K302" i="4"/>
  <c r="J302" i="4"/>
  <c r="I302" i="4"/>
  <c r="H302" i="4"/>
  <c r="G302" i="4"/>
  <c r="F302" i="4"/>
  <c r="E302" i="4"/>
  <c r="D302" i="4"/>
  <c r="C302" i="4"/>
  <c r="B302" i="4"/>
  <c r="R301" i="4"/>
  <c r="Q301" i="4"/>
  <c r="P301" i="4"/>
  <c r="O301" i="4"/>
  <c r="N301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R296" i="4"/>
  <c r="R297" i="4" s="1"/>
  <c r="Q296" i="4"/>
  <c r="P296" i="4"/>
  <c r="O296" i="4"/>
  <c r="N296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R292" i="4"/>
  <c r="Q292" i="4"/>
  <c r="P292" i="4"/>
  <c r="O292" i="4"/>
  <c r="N292" i="4"/>
  <c r="N293" i="4" s="1"/>
  <c r="O288" i="4"/>
  <c r="M288" i="4"/>
  <c r="L288" i="4"/>
  <c r="K288" i="4"/>
  <c r="J288" i="4"/>
  <c r="I288" i="4"/>
  <c r="H288" i="4"/>
  <c r="G288" i="4"/>
  <c r="F288" i="4"/>
  <c r="F289" i="4" s="1"/>
  <c r="E288" i="4"/>
  <c r="D288" i="4"/>
  <c r="C288" i="4"/>
  <c r="C290" i="4" s="1"/>
  <c r="B288" i="4"/>
  <c r="L286" i="4"/>
  <c r="K286" i="4"/>
  <c r="J286" i="4"/>
  <c r="I286" i="4"/>
  <c r="H286" i="4"/>
  <c r="G286" i="4"/>
  <c r="F286" i="4"/>
  <c r="E286" i="4"/>
  <c r="D286" i="4"/>
  <c r="C286" i="4"/>
  <c r="B286" i="4"/>
  <c r="L285" i="4"/>
  <c r="K285" i="4"/>
  <c r="J285" i="4"/>
  <c r="I285" i="4"/>
  <c r="H285" i="4"/>
  <c r="G285" i="4"/>
  <c r="F285" i="4"/>
  <c r="E285" i="4"/>
  <c r="D285" i="4"/>
  <c r="C285" i="4"/>
  <c r="B285" i="4"/>
  <c r="Q284" i="4"/>
  <c r="P284" i="4"/>
  <c r="O284" i="4"/>
  <c r="O286" i="4" s="1"/>
  <c r="M284" i="4"/>
  <c r="L280" i="4"/>
  <c r="K280" i="4"/>
  <c r="J280" i="4"/>
  <c r="I280" i="4"/>
  <c r="H280" i="4"/>
  <c r="H282" i="4" s="1"/>
  <c r="G280" i="4"/>
  <c r="F280" i="4"/>
  <c r="G282" i="4" s="1"/>
  <c r="E280" i="4"/>
  <c r="D280" i="4"/>
  <c r="D282" i="4" s="1"/>
  <c r="C280" i="4"/>
  <c r="B280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R276" i="4"/>
  <c r="R277" i="4" s="1"/>
  <c r="Q276" i="4"/>
  <c r="P276" i="4"/>
  <c r="P278" i="4" s="1"/>
  <c r="O276" i="4"/>
  <c r="N276" i="4"/>
  <c r="E274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R271" i="4"/>
  <c r="Q271" i="4"/>
  <c r="P271" i="4"/>
  <c r="O271" i="4"/>
  <c r="O272" i="4" s="1"/>
  <c r="G43" i="2" s="1"/>
  <c r="N271" i="4"/>
  <c r="E270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R267" i="4"/>
  <c r="Q267" i="4"/>
  <c r="P267" i="4"/>
  <c r="O267" i="4"/>
  <c r="N267" i="4"/>
  <c r="K265" i="4"/>
  <c r="I264" i="4"/>
  <c r="M263" i="4"/>
  <c r="M264" i="4" s="1"/>
  <c r="L263" i="4"/>
  <c r="K263" i="4"/>
  <c r="J263" i="4"/>
  <c r="I263" i="4"/>
  <c r="J265" i="4" s="1"/>
  <c r="H263" i="4"/>
  <c r="H264" i="4" s="1"/>
  <c r="G263" i="4"/>
  <c r="G264" i="4" s="1"/>
  <c r="F263" i="4"/>
  <c r="E263" i="4"/>
  <c r="D263" i="4"/>
  <c r="C263" i="4"/>
  <c r="B263" i="4"/>
  <c r="B264" i="4" s="1"/>
  <c r="M261" i="4"/>
  <c r="L261" i="4"/>
  <c r="K261" i="4"/>
  <c r="J261" i="4"/>
  <c r="I261" i="4"/>
  <c r="H261" i="4"/>
  <c r="G261" i="4"/>
  <c r="F261" i="4"/>
  <c r="E261" i="4"/>
  <c r="D261" i="4"/>
  <c r="C261" i="4"/>
  <c r="L260" i="4"/>
  <c r="K260" i="4"/>
  <c r="J260" i="4"/>
  <c r="I260" i="4"/>
  <c r="H260" i="4"/>
  <c r="G260" i="4"/>
  <c r="F260" i="4"/>
  <c r="E260" i="4"/>
  <c r="D260" i="4"/>
  <c r="C260" i="4"/>
  <c r="B260" i="4"/>
  <c r="R259" i="4"/>
  <c r="R261" i="4" s="1"/>
  <c r="Q259" i="4"/>
  <c r="P259" i="4"/>
  <c r="O259" i="4"/>
  <c r="N259" i="4"/>
  <c r="B257" i="4"/>
  <c r="F256" i="4"/>
  <c r="M255" i="4"/>
  <c r="M256" i="4" s="1"/>
  <c r="L255" i="4"/>
  <c r="K255" i="4"/>
  <c r="J255" i="4"/>
  <c r="J257" i="4" s="1"/>
  <c r="I255" i="4"/>
  <c r="H255" i="4"/>
  <c r="G255" i="4"/>
  <c r="F255" i="4"/>
  <c r="E255" i="4"/>
  <c r="F257" i="4" s="1"/>
  <c r="D255" i="4"/>
  <c r="C255" i="4"/>
  <c r="B255" i="4"/>
  <c r="E254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R251" i="4"/>
  <c r="Q251" i="4"/>
  <c r="Q253" i="4" s="1"/>
  <c r="P251" i="4"/>
  <c r="O251" i="4"/>
  <c r="N251" i="4"/>
  <c r="N252" i="4" s="1"/>
  <c r="Q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R246" i="4"/>
  <c r="Q246" i="4"/>
  <c r="R248" i="4" s="1"/>
  <c r="P246" i="4"/>
  <c r="O246" i="4"/>
  <c r="G27" i="2" s="1"/>
  <c r="N246" i="4"/>
  <c r="N247" i="4" s="1"/>
  <c r="Q43" i="2" s="1"/>
  <c r="M244" i="4"/>
  <c r="L244" i="4"/>
  <c r="K244" i="4"/>
  <c r="J244" i="4"/>
  <c r="I244" i="4"/>
  <c r="H244" i="4"/>
  <c r="G244" i="4"/>
  <c r="F244" i="4"/>
  <c r="E244" i="4"/>
  <c r="D244" i="4"/>
  <c r="C244" i="4"/>
  <c r="B244" i="4"/>
  <c r="M243" i="4"/>
  <c r="P44" i="2" s="1"/>
  <c r="L243" i="4"/>
  <c r="J243" i="4"/>
  <c r="I243" i="4"/>
  <c r="H243" i="4"/>
  <c r="G243" i="4"/>
  <c r="F243" i="4"/>
  <c r="E243" i="4"/>
  <c r="D243" i="4"/>
  <c r="C243" i="4"/>
  <c r="B243" i="4"/>
  <c r="R242" i="4"/>
  <c r="Q242" i="4"/>
  <c r="Q243" i="4" s="1"/>
  <c r="P242" i="4"/>
  <c r="O242" i="4"/>
  <c r="N242" i="4"/>
  <c r="N243" i="4" s="1"/>
  <c r="Q44" i="2" s="1"/>
  <c r="B240" i="4"/>
  <c r="B239" i="4"/>
  <c r="M238" i="4"/>
  <c r="L238" i="4"/>
  <c r="K238" i="4"/>
  <c r="J238" i="4"/>
  <c r="Q238" i="4" s="1"/>
  <c r="I23" i="2" s="1"/>
  <c r="I238" i="4"/>
  <c r="H238" i="4"/>
  <c r="G238" i="4"/>
  <c r="F238" i="4"/>
  <c r="E238" i="4"/>
  <c r="D238" i="4"/>
  <c r="C238" i="4"/>
  <c r="B238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M235" i="4"/>
  <c r="L235" i="4"/>
  <c r="J235" i="4"/>
  <c r="I235" i="4"/>
  <c r="H235" i="4"/>
  <c r="G235" i="4"/>
  <c r="F235" i="4"/>
  <c r="E235" i="4"/>
  <c r="D235" i="4"/>
  <c r="C235" i="4"/>
  <c r="B235" i="4"/>
  <c r="R234" i="4"/>
  <c r="J22" i="2" s="1"/>
  <c r="Q234" i="4"/>
  <c r="P234" i="4"/>
  <c r="H22" i="2" s="1"/>
  <c r="O234" i="4"/>
  <c r="N234" i="4"/>
  <c r="N235" i="4" s="1"/>
  <c r="G232" i="4"/>
  <c r="G231" i="4"/>
  <c r="F231" i="4"/>
  <c r="M230" i="4"/>
  <c r="L230" i="4"/>
  <c r="K230" i="4"/>
  <c r="J230" i="4"/>
  <c r="I230" i="4"/>
  <c r="H230" i="4"/>
  <c r="E230" i="4"/>
  <c r="D230" i="4"/>
  <c r="C230" i="4"/>
  <c r="C232" i="4" s="1"/>
  <c r="B230" i="4"/>
  <c r="B232" i="4" s="1"/>
  <c r="M228" i="4"/>
  <c r="L228" i="4"/>
  <c r="I228" i="4"/>
  <c r="H228" i="4"/>
  <c r="G228" i="4"/>
  <c r="F228" i="4"/>
  <c r="E228" i="4"/>
  <c r="D228" i="4"/>
  <c r="C228" i="4"/>
  <c r="B228" i="4"/>
  <c r="M227" i="4"/>
  <c r="P40" i="2" s="1"/>
  <c r="L227" i="4"/>
  <c r="I227" i="4"/>
  <c r="H227" i="4"/>
  <c r="G227" i="4"/>
  <c r="F227" i="4"/>
  <c r="E227" i="4"/>
  <c r="D227" i="4"/>
  <c r="C227" i="4"/>
  <c r="B227" i="4"/>
  <c r="R226" i="4"/>
  <c r="Q226" i="4"/>
  <c r="Q227" i="4" s="1"/>
  <c r="N40" i="2" s="1"/>
  <c r="P226" i="4"/>
  <c r="O226" i="4"/>
  <c r="J226" i="4"/>
  <c r="K228" i="4" s="1"/>
  <c r="M223" i="4"/>
  <c r="L223" i="4"/>
  <c r="K223" i="4"/>
  <c r="J223" i="4"/>
  <c r="I223" i="4"/>
  <c r="H223" i="4"/>
  <c r="G223" i="4"/>
  <c r="F223" i="4"/>
  <c r="E223" i="4"/>
  <c r="D223" i="4"/>
  <c r="C223" i="4"/>
  <c r="B223" i="4"/>
  <c r="M222" i="4"/>
  <c r="AH43" i="2" s="1"/>
  <c r="L222" i="4"/>
  <c r="K222" i="4"/>
  <c r="J222" i="4"/>
  <c r="I222" i="4"/>
  <c r="AD43" i="2" s="1"/>
  <c r="H222" i="4"/>
  <c r="AC43" i="2" s="1"/>
  <c r="G222" i="4"/>
  <c r="F222" i="4"/>
  <c r="E222" i="4"/>
  <c r="D222" i="4"/>
  <c r="C222" i="4"/>
  <c r="B222" i="4"/>
  <c r="R221" i="4"/>
  <c r="Q221" i="4"/>
  <c r="P221" i="4"/>
  <c r="M27" i="2" s="1"/>
  <c r="O221" i="4"/>
  <c r="N221" i="4"/>
  <c r="F220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M218" i="4"/>
  <c r="AH44" i="2" s="1"/>
  <c r="L218" i="4"/>
  <c r="AG44" i="2" s="1"/>
  <c r="K218" i="4"/>
  <c r="AF44" i="2" s="1"/>
  <c r="J218" i="4"/>
  <c r="AE44" i="2" s="1"/>
  <c r="I218" i="4"/>
  <c r="AD44" i="2" s="1"/>
  <c r="H218" i="4"/>
  <c r="G218" i="4"/>
  <c r="AB44" i="2" s="1"/>
  <c r="F218" i="4"/>
  <c r="AA44" i="2" s="1"/>
  <c r="E218" i="4"/>
  <c r="Z44" i="2" s="1"/>
  <c r="D218" i="4"/>
  <c r="C218" i="4"/>
  <c r="X44" i="2" s="1"/>
  <c r="B218" i="4"/>
  <c r="R217" i="4"/>
  <c r="Q217" i="4"/>
  <c r="P217" i="4"/>
  <c r="P219" i="4" s="1"/>
  <c r="O217" i="4"/>
  <c r="O135" i="4" s="1"/>
  <c r="BQ44" i="2" s="1"/>
  <c r="B18" i="9" s="1"/>
  <c r="N217" i="4"/>
  <c r="F216" i="4"/>
  <c r="M213" i="4"/>
  <c r="L213" i="4"/>
  <c r="K213" i="4"/>
  <c r="K215" i="4" s="1"/>
  <c r="J213" i="4"/>
  <c r="J188" i="4" s="1"/>
  <c r="I213" i="4"/>
  <c r="I214" i="4" s="1"/>
  <c r="H213" i="4"/>
  <c r="G213" i="4"/>
  <c r="F213" i="4"/>
  <c r="F68" i="4" s="1"/>
  <c r="DH42" i="2" s="1"/>
  <c r="E213" i="4"/>
  <c r="D213" i="4"/>
  <c r="C213" i="4"/>
  <c r="B213" i="4"/>
  <c r="O213" i="4" s="1"/>
  <c r="L23" i="2" s="1"/>
  <c r="M211" i="4"/>
  <c r="L211" i="4"/>
  <c r="K211" i="4"/>
  <c r="J211" i="4"/>
  <c r="I211" i="4"/>
  <c r="H211" i="4"/>
  <c r="G211" i="4"/>
  <c r="F211" i="4"/>
  <c r="E211" i="4"/>
  <c r="D211" i="4"/>
  <c r="C211" i="4"/>
  <c r="B211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R209" i="4"/>
  <c r="Q209" i="4"/>
  <c r="R211" i="4" s="1"/>
  <c r="O7" i="2" s="1"/>
  <c r="P209" i="4"/>
  <c r="P156" i="4" s="1"/>
  <c r="AJ8" i="2" s="1"/>
  <c r="O209" i="4"/>
  <c r="N209" i="4"/>
  <c r="C208" i="4"/>
  <c r="L207" i="4"/>
  <c r="M205" i="4"/>
  <c r="L205" i="4"/>
  <c r="K205" i="4"/>
  <c r="K9" i="4" s="1"/>
  <c r="J205" i="4"/>
  <c r="I205" i="4"/>
  <c r="H205" i="4"/>
  <c r="G205" i="4"/>
  <c r="F205" i="4"/>
  <c r="E205" i="4"/>
  <c r="D205" i="4"/>
  <c r="C205" i="4"/>
  <c r="B205" i="4"/>
  <c r="C207" i="4" s="1"/>
  <c r="M203" i="4"/>
  <c r="L203" i="4"/>
  <c r="K203" i="4"/>
  <c r="J203" i="4"/>
  <c r="I203" i="4"/>
  <c r="H203" i="4"/>
  <c r="G203" i="4"/>
  <c r="F203" i="4"/>
  <c r="E203" i="4"/>
  <c r="D203" i="4"/>
  <c r="C203" i="4"/>
  <c r="B203" i="4"/>
  <c r="M202" i="4"/>
  <c r="AH40" i="2" s="1"/>
  <c r="L202" i="4"/>
  <c r="AG40" i="2" s="1"/>
  <c r="K202" i="4"/>
  <c r="AF40" i="2" s="1"/>
  <c r="I202" i="4"/>
  <c r="AD40" i="2" s="1"/>
  <c r="H202" i="4"/>
  <c r="G202" i="4"/>
  <c r="F202" i="4"/>
  <c r="E202" i="4"/>
  <c r="D202" i="4"/>
  <c r="C202" i="4"/>
  <c r="B202" i="4"/>
  <c r="R201" i="4"/>
  <c r="Q201" i="4"/>
  <c r="P201" i="4"/>
  <c r="O201" i="4"/>
  <c r="N201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M196" i="4"/>
  <c r="AY43" i="2" s="1"/>
  <c r="L196" i="4"/>
  <c r="AX43" i="2" s="1"/>
  <c r="K196" i="4"/>
  <c r="J196" i="4"/>
  <c r="AV43" i="2" s="1"/>
  <c r="I196" i="4"/>
  <c r="AU43" i="2" s="1"/>
  <c r="H196" i="4"/>
  <c r="G196" i="4"/>
  <c r="F196" i="4"/>
  <c r="E196" i="4"/>
  <c r="AQ43" i="2" s="1"/>
  <c r="D196" i="4"/>
  <c r="AP43" i="2" s="1"/>
  <c r="C196" i="4"/>
  <c r="B196" i="4"/>
  <c r="AN43" i="2" s="1"/>
  <c r="R195" i="4"/>
  <c r="Q195" i="4"/>
  <c r="P195" i="4"/>
  <c r="P197" i="4" s="1"/>
  <c r="O195" i="4"/>
  <c r="O196" i="4" s="1"/>
  <c r="N195" i="4"/>
  <c r="N196" i="4" s="1"/>
  <c r="AM43" i="2" s="1"/>
  <c r="M193" i="4"/>
  <c r="L193" i="4"/>
  <c r="K193" i="4"/>
  <c r="J193" i="4"/>
  <c r="I193" i="4"/>
  <c r="H193" i="4"/>
  <c r="G193" i="4"/>
  <c r="F193" i="4"/>
  <c r="E193" i="4"/>
  <c r="D193" i="4"/>
  <c r="C193" i="4"/>
  <c r="B193" i="4"/>
  <c r="M192" i="4"/>
  <c r="AY44" i="2" s="1"/>
  <c r="L192" i="4"/>
  <c r="AX44" i="2" s="1"/>
  <c r="K192" i="4"/>
  <c r="J192" i="4"/>
  <c r="I192" i="4"/>
  <c r="H192" i="4"/>
  <c r="G192" i="4"/>
  <c r="F192" i="4"/>
  <c r="E192" i="4"/>
  <c r="AQ44" i="2" s="1"/>
  <c r="D192" i="4"/>
  <c r="AP44" i="2" s="1"/>
  <c r="C192" i="4"/>
  <c r="AO44" i="2" s="1"/>
  <c r="B192" i="4"/>
  <c r="R191" i="4"/>
  <c r="Q191" i="4"/>
  <c r="Q192" i="4" s="1"/>
  <c r="AK44" i="2" s="1"/>
  <c r="P191" i="4"/>
  <c r="O191" i="4"/>
  <c r="N191" i="4"/>
  <c r="F190" i="4"/>
  <c r="M187" i="4"/>
  <c r="L187" i="4"/>
  <c r="K187" i="4"/>
  <c r="J187" i="4"/>
  <c r="I187" i="4"/>
  <c r="I189" i="4" s="1"/>
  <c r="H187" i="4"/>
  <c r="G187" i="4"/>
  <c r="F187" i="4"/>
  <c r="F189" i="4" s="1"/>
  <c r="E187" i="4"/>
  <c r="D187" i="4"/>
  <c r="C187" i="4"/>
  <c r="B187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M184" i="4"/>
  <c r="L184" i="4"/>
  <c r="K184" i="4"/>
  <c r="J184" i="4"/>
  <c r="I184" i="4"/>
  <c r="H184" i="4"/>
  <c r="G184" i="4"/>
  <c r="AB22" i="2" s="1"/>
  <c r="F184" i="4"/>
  <c r="E184" i="4"/>
  <c r="Z22" i="2" s="1"/>
  <c r="D184" i="4"/>
  <c r="Y22" i="2" s="1"/>
  <c r="C184" i="4"/>
  <c r="X22" i="2" s="1"/>
  <c r="B184" i="4"/>
  <c r="W22" i="2" s="1"/>
  <c r="R183" i="4"/>
  <c r="Q183" i="4"/>
  <c r="P183" i="4"/>
  <c r="O183" i="4"/>
  <c r="O184" i="4" s="1"/>
  <c r="N183" i="4"/>
  <c r="M179" i="4"/>
  <c r="L179" i="4"/>
  <c r="K179" i="4"/>
  <c r="J179" i="4"/>
  <c r="I179" i="4"/>
  <c r="H179" i="4"/>
  <c r="G179" i="4"/>
  <c r="F179" i="4"/>
  <c r="P179" i="4" s="1"/>
  <c r="E179" i="4"/>
  <c r="D179" i="4"/>
  <c r="C179" i="4"/>
  <c r="B179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M176" i="4"/>
  <c r="L176" i="4"/>
  <c r="AX40" i="2" s="1"/>
  <c r="K176" i="4"/>
  <c r="AW40" i="2" s="1"/>
  <c r="J176" i="4"/>
  <c r="AV40" i="2" s="1"/>
  <c r="I176" i="4"/>
  <c r="AU40" i="2" s="1"/>
  <c r="H176" i="4"/>
  <c r="AT40" i="2" s="1"/>
  <c r="G176" i="4"/>
  <c r="AS40" i="2" s="1"/>
  <c r="F176" i="4"/>
  <c r="AR40" i="2" s="1"/>
  <c r="E176" i="4"/>
  <c r="AQ40" i="2" s="1"/>
  <c r="D176" i="4"/>
  <c r="C176" i="4"/>
  <c r="AO40" i="2" s="1"/>
  <c r="B176" i="4"/>
  <c r="AN40" i="2" s="1"/>
  <c r="R175" i="4"/>
  <c r="Q175" i="4"/>
  <c r="P175" i="4"/>
  <c r="O175" i="4"/>
  <c r="N175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M171" i="4"/>
  <c r="BP43" i="2" s="1"/>
  <c r="L171" i="4"/>
  <c r="BO43" i="2" s="1"/>
  <c r="K171" i="4"/>
  <c r="J171" i="4"/>
  <c r="I171" i="4"/>
  <c r="H171" i="4"/>
  <c r="BK43" i="2" s="1"/>
  <c r="G171" i="4"/>
  <c r="F171" i="4"/>
  <c r="BI43" i="2" s="1"/>
  <c r="E171" i="4"/>
  <c r="BH43" i="2" s="1"/>
  <c r="D171" i="4"/>
  <c r="BG43" i="2" s="1"/>
  <c r="C171" i="4"/>
  <c r="BF43" i="2" s="1"/>
  <c r="B171" i="4"/>
  <c r="M170" i="4"/>
  <c r="R30" i="9" s="1"/>
  <c r="L170" i="4"/>
  <c r="K170" i="4"/>
  <c r="J170" i="4"/>
  <c r="O30" i="9" s="1"/>
  <c r="I170" i="4"/>
  <c r="N30" i="9" s="1"/>
  <c r="H170" i="4"/>
  <c r="M30" i="9" s="1"/>
  <c r="G170" i="4"/>
  <c r="L30" i="9" s="1"/>
  <c r="F170" i="4"/>
  <c r="K30" i="9" s="1"/>
  <c r="E170" i="4"/>
  <c r="J30" i="9" s="1"/>
  <c r="D170" i="4"/>
  <c r="I30" i="9" s="1"/>
  <c r="C170" i="4"/>
  <c r="H30" i="9" s="1"/>
  <c r="B170" i="4"/>
  <c r="G30" i="9" s="1"/>
  <c r="R169" i="4"/>
  <c r="Q169" i="4"/>
  <c r="Q170" i="4" s="1"/>
  <c r="D30" i="9" s="1"/>
  <c r="P169" i="4"/>
  <c r="O169" i="4"/>
  <c r="O172" i="4" s="1"/>
  <c r="N169" i="4"/>
  <c r="N171" i="4" s="1"/>
  <c r="BD43" i="2" s="1"/>
  <c r="M167" i="4"/>
  <c r="L167" i="4"/>
  <c r="K167" i="4"/>
  <c r="J167" i="4"/>
  <c r="I167" i="4"/>
  <c r="H167" i="4"/>
  <c r="G167" i="4"/>
  <c r="F167" i="4"/>
  <c r="E167" i="4"/>
  <c r="D167" i="4"/>
  <c r="C167" i="4"/>
  <c r="B167" i="4"/>
  <c r="M166" i="4"/>
  <c r="L166" i="4"/>
  <c r="K166" i="4"/>
  <c r="J166" i="4"/>
  <c r="I166" i="4"/>
  <c r="BL44" i="2" s="1"/>
  <c r="H166" i="4"/>
  <c r="G166" i="4"/>
  <c r="AB4" i="2" s="1"/>
  <c r="F166" i="4"/>
  <c r="BI44" i="2" s="1"/>
  <c r="E166" i="4"/>
  <c r="BH44" i="2" s="1"/>
  <c r="D166" i="4"/>
  <c r="C166" i="4"/>
  <c r="B166" i="4"/>
  <c r="BE44" i="2" s="1"/>
  <c r="M165" i="4"/>
  <c r="R31" i="9" s="1"/>
  <c r="L165" i="4"/>
  <c r="Q31" i="9" s="1"/>
  <c r="K165" i="4"/>
  <c r="P31" i="9" s="1"/>
  <c r="J165" i="4"/>
  <c r="O31" i="9" s="1"/>
  <c r="I165" i="4"/>
  <c r="N31" i="9" s="1"/>
  <c r="H165" i="4"/>
  <c r="M31" i="9" s="1"/>
  <c r="G165" i="4"/>
  <c r="L31" i="9" s="1"/>
  <c r="F165" i="4"/>
  <c r="K31" i="9" s="1"/>
  <c r="E165" i="4"/>
  <c r="J31" i="9" s="1"/>
  <c r="D165" i="4"/>
  <c r="I31" i="9" s="1"/>
  <c r="C165" i="4"/>
  <c r="H31" i="9" s="1"/>
  <c r="B165" i="4"/>
  <c r="G31" i="9" s="1"/>
  <c r="R164" i="4"/>
  <c r="Q164" i="4"/>
  <c r="P164" i="4"/>
  <c r="O164" i="4"/>
  <c r="N164" i="4"/>
  <c r="M159" i="4"/>
  <c r="L159" i="4"/>
  <c r="K159" i="4"/>
  <c r="J159" i="4"/>
  <c r="J160" i="4" s="1"/>
  <c r="AV7" i="2" s="1"/>
  <c r="I159" i="4"/>
  <c r="I161" i="4" s="1"/>
  <c r="H159" i="4"/>
  <c r="G159" i="4"/>
  <c r="F159" i="4"/>
  <c r="E159" i="4"/>
  <c r="D159" i="4"/>
  <c r="D129" i="4" s="1"/>
  <c r="C159" i="4"/>
  <c r="C162" i="4" s="1"/>
  <c r="AO23" i="2" s="1"/>
  <c r="B159" i="4"/>
  <c r="B161" i="4" s="1"/>
  <c r="M157" i="4"/>
  <c r="L157" i="4"/>
  <c r="K157" i="4"/>
  <c r="J157" i="4"/>
  <c r="I157" i="4"/>
  <c r="H157" i="4"/>
  <c r="G157" i="4"/>
  <c r="F157" i="4"/>
  <c r="E157" i="4"/>
  <c r="D157" i="4"/>
  <c r="C157" i="4"/>
  <c r="B157" i="4"/>
  <c r="M156" i="4"/>
  <c r="L156" i="4"/>
  <c r="K156" i="4"/>
  <c r="J156" i="4"/>
  <c r="I156" i="4"/>
  <c r="AU8" i="2" s="1"/>
  <c r="H156" i="4"/>
  <c r="G156" i="4"/>
  <c r="F156" i="4"/>
  <c r="E156" i="4"/>
  <c r="D156" i="4"/>
  <c r="C156" i="4"/>
  <c r="B156" i="4"/>
  <c r="AN8" i="2" s="1"/>
  <c r="M155" i="4"/>
  <c r="L155" i="4"/>
  <c r="K155" i="4"/>
  <c r="J155" i="4"/>
  <c r="I155" i="4"/>
  <c r="H155" i="4"/>
  <c r="G155" i="4"/>
  <c r="F155" i="4"/>
  <c r="E155" i="4"/>
  <c r="D155" i="4"/>
  <c r="C155" i="4"/>
  <c r="B155" i="4"/>
  <c r="R154" i="4"/>
  <c r="Q154" i="4"/>
  <c r="P154" i="4"/>
  <c r="P157" i="4" s="1"/>
  <c r="O154" i="4"/>
  <c r="O156" i="4" s="1"/>
  <c r="AI8" i="2" s="1"/>
  <c r="N154" i="4"/>
  <c r="N155" i="4" s="1"/>
  <c r="L152" i="4"/>
  <c r="M149" i="4"/>
  <c r="L149" i="4"/>
  <c r="K149" i="4"/>
  <c r="K150" i="4" s="1"/>
  <c r="P29" i="9" s="1"/>
  <c r="J149" i="4"/>
  <c r="I149" i="4"/>
  <c r="I152" i="4" s="1"/>
  <c r="H149" i="4"/>
  <c r="G149" i="4"/>
  <c r="F149" i="4"/>
  <c r="E149" i="4"/>
  <c r="D149" i="4"/>
  <c r="C149" i="4"/>
  <c r="C150" i="4" s="1"/>
  <c r="H29" i="9" s="1"/>
  <c r="B149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M146" i="4"/>
  <c r="L146" i="4"/>
  <c r="BO40" i="2" s="1"/>
  <c r="K146" i="4"/>
  <c r="BN40" i="2" s="1"/>
  <c r="J146" i="4"/>
  <c r="BM40" i="2" s="1"/>
  <c r="I146" i="4"/>
  <c r="BL40" i="2" s="1"/>
  <c r="H146" i="4"/>
  <c r="G146" i="4"/>
  <c r="F146" i="4"/>
  <c r="E146" i="4"/>
  <c r="BH40" i="2" s="1"/>
  <c r="D146" i="4"/>
  <c r="BG40" i="2" s="1"/>
  <c r="C146" i="4"/>
  <c r="B146" i="4"/>
  <c r="M145" i="4"/>
  <c r="R28" i="9" s="1"/>
  <c r="L145" i="4"/>
  <c r="Q28" i="9" s="1"/>
  <c r="K145" i="4"/>
  <c r="P28" i="9" s="1"/>
  <c r="J145" i="4"/>
  <c r="O28" i="9" s="1"/>
  <c r="I145" i="4"/>
  <c r="N28" i="9" s="1"/>
  <c r="H145" i="4"/>
  <c r="M28" i="9" s="1"/>
  <c r="G145" i="4"/>
  <c r="L28" i="9" s="1"/>
  <c r="F145" i="4"/>
  <c r="K28" i="9" s="1"/>
  <c r="E145" i="4"/>
  <c r="J28" i="9" s="1"/>
  <c r="D145" i="4"/>
  <c r="I28" i="9" s="1"/>
  <c r="C145" i="4"/>
  <c r="H28" i="9" s="1"/>
  <c r="B145" i="4"/>
  <c r="G28" i="9" s="1"/>
  <c r="R144" i="4"/>
  <c r="AL5" i="2" s="1"/>
  <c r="Q144" i="4"/>
  <c r="P144" i="4"/>
  <c r="O144" i="4"/>
  <c r="AI5" i="2" s="1"/>
  <c r="N144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M140" i="4"/>
  <c r="CG43" i="2" s="1"/>
  <c r="L140" i="4"/>
  <c r="K140" i="4"/>
  <c r="CE43" i="2" s="1"/>
  <c r="J140" i="4"/>
  <c r="I140" i="4"/>
  <c r="H140" i="4"/>
  <c r="G140" i="4"/>
  <c r="F140" i="4"/>
  <c r="BZ43" i="2" s="1"/>
  <c r="K17" i="9" s="1"/>
  <c r="E140" i="4"/>
  <c r="AQ4" i="2" s="1"/>
  <c r="D140" i="4"/>
  <c r="C140" i="4"/>
  <c r="BW43" i="2" s="1"/>
  <c r="H17" i="9" s="1"/>
  <c r="B140" i="4"/>
  <c r="BV43" i="2" s="1"/>
  <c r="G17" i="9" s="1"/>
  <c r="N139" i="4"/>
  <c r="M139" i="4"/>
  <c r="L139" i="4"/>
  <c r="K139" i="4"/>
  <c r="J139" i="4"/>
  <c r="I139" i="4"/>
  <c r="H139" i="4"/>
  <c r="G139" i="4"/>
  <c r="F139" i="4"/>
  <c r="K41" i="9" s="1"/>
  <c r="E139" i="4"/>
  <c r="J41" i="9" s="1"/>
  <c r="D139" i="4"/>
  <c r="I41" i="9" s="1"/>
  <c r="C139" i="4"/>
  <c r="H41" i="9" s="1"/>
  <c r="B139" i="4"/>
  <c r="G41" i="9" s="1"/>
  <c r="R138" i="4"/>
  <c r="Q138" i="4"/>
  <c r="P138" i="4"/>
  <c r="O138" i="4"/>
  <c r="O107" i="4" s="1"/>
  <c r="N138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M135" i="4"/>
  <c r="L135" i="4"/>
  <c r="BO7" i="2" s="1"/>
  <c r="K135" i="4"/>
  <c r="J135" i="4"/>
  <c r="CD44" i="2" s="1"/>
  <c r="I135" i="4"/>
  <c r="H135" i="4"/>
  <c r="G135" i="4"/>
  <c r="F135" i="4"/>
  <c r="E135" i="4"/>
  <c r="BY44" i="2" s="1"/>
  <c r="J18" i="9" s="1"/>
  <c r="D135" i="4"/>
  <c r="BX44" i="2" s="1"/>
  <c r="I18" i="9" s="1"/>
  <c r="C135" i="4"/>
  <c r="BW44" i="2" s="1"/>
  <c r="H18" i="9" s="1"/>
  <c r="B135" i="4"/>
  <c r="BV44" i="2" s="1"/>
  <c r="G18" i="9" s="1"/>
  <c r="M134" i="4"/>
  <c r="L134" i="4"/>
  <c r="K134" i="4"/>
  <c r="J134" i="4"/>
  <c r="I134" i="4"/>
  <c r="H134" i="4"/>
  <c r="G134" i="4"/>
  <c r="F134" i="4"/>
  <c r="K42" i="9" s="1"/>
  <c r="E134" i="4"/>
  <c r="J42" i="9" s="1"/>
  <c r="D134" i="4"/>
  <c r="I42" i="9" s="1"/>
  <c r="C134" i="4"/>
  <c r="H42" i="9" s="1"/>
  <c r="B134" i="4"/>
  <c r="G42" i="9" s="1"/>
  <c r="R133" i="4"/>
  <c r="Q133" i="4"/>
  <c r="BB23" i="2" s="1"/>
  <c r="P133" i="4"/>
  <c r="O133" i="4"/>
  <c r="N133" i="4"/>
  <c r="L129" i="4"/>
  <c r="M128" i="4"/>
  <c r="L128" i="4"/>
  <c r="K128" i="4"/>
  <c r="J128" i="4"/>
  <c r="I128" i="4"/>
  <c r="H128" i="4"/>
  <c r="G128" i="4"/>
  <c r="G131" i="4" s="1"/>
  <c r="F128" i="4"/>
  <c r="E128" i="4"/>
  <c r="BH22" i="2" s="1"/>
  <c r="D128" i="4"/>
  <c r="C128" i="4"/>
  <c r="B128" i="4"/>
  <c r="B129" i="4" s="1"/>
  <c r="M126" i="4"/>
  <c r="L126" i="4"/>
  <c r="K126" i="4"/>
  <c r="J126" i="4"/>
  <c r="I126" i="4"/>
  <c r="H126" i="4"/>
  <c r="G126" i="4"/>
  <c r="F126" i="4"/>
  <c r="E126" i="4"/>
  <c r="D126" i="4"/>
  <c r="C126" i="4"/>
  <c r="B126" i="4"/>
  <c r="R125" i="4"/>
  <c r="O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R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R123" i="4"/>
  <c r="Q123" i="4"/>
  <c r="P123" i="4"/>
  <c r="P124" i="4" s="1"/>
  <c r="O123" i="4"/>
  <c r="N123" i="4"/>
  <c r="L121" i="4"/>
  <c r="L119" i="4"/>
  <c r="F119" i="4"/>
  <c r="K40" i="9" s="1"/>
  <c r="M118" i="4"/>
  <c r="M121" i="4" s="1"/>
  <c r="L118" i="4"/>
  <c r="K118" i="4"/>
  <c r="J118" i="4"/>
  <c r="J120" i="4" s="1"/>
  <c r="CD41" i="2" s="1"/>
  <c r="I118" i="4"/>
  <c r="I121" i="4" s="1"/>
  <c r="H118" i="4"/>
  <c r="G118" i="4"/>
  <c r="F118" i="4"/>
  <c r="E118" i="4"/>
  <c r="D118" i="4"/>
  <c r="C118" i="4"/>
  <c r="B118" i="4"/>
  <c r="B120" i="4" s="1"/>
  <c r="BV41" i="2" s="1"/>
  <c r="G16" i="9" s="1"/>
  <c r="M116" i="4"/>
  <c r="L116" i="4"/>
  <c r="K116" i="4"/>
  <c r="J116" i="4"/>
  <c r="I116" i="4"/>
  <c r="H116" i="4"/>
  <c r="G116" i="4"/>
  <c r="F116" i="4"/>
  <c r="E116" i="4"/>
  <c r="D116" i="4"/>
  <c r="C116" i="4"/>
  <c r="B116" i="4"/>
  <c r="M115" i="4"/>
  <c r="BP5" i="2" s="1"/>
  <c r="L115" i="4"/>
  <c r="BO5" i="2" s="1"/>
  <c r="K115" i="4"/>
  <c r="BN5" i="2" s="1"/>
  <c r="J115" i="4"/>
  <c r="CD40" i="2" s="1"/>
  <c r="I115" i="4"/>
  <c r="BL5" i="2" s="1"/>
  <c r="H115" i="4"/>
  <c r="G115" i="4"/>
  <c r="CA40" i="2" s="1"/>
  <c r="F115" i="4"/>
  <c r="E115" i="4"/>
  <c r="BY40" i="2" s="1"/>
  <c r="J15" i="9" s="1"/>
  <c r="D115" i="4"/>
  <c r="C115" i="4"/>
  <c r="B115" i="4"/>
  <c r="BV40" i="2" s="1"/>
  <c r="G15" i="9" s="1"/>
  <c r="M114" i="4"/>
  <c r="L114" i="4"/>
  <c r="K114" i="4"/>
  <c r="J114" i="4"/>
  <c r="I114" i="4"/>
  <c r="H114" i="4"/>
  <c r="G114" i="4"/>
  <c r="F114" i="4"/>
  <c r="K39" i="9" s="1"/>
  <c r="E114" i="4"/>
  <c r="J39" i="9" s="1"/>
  <c r="D114" i="4"/>
  <c r="I39" i="9" s="1"/>
  <c r="C114" i="4"/>
  <c r="H39" i="9" s="1"/>
  <c r="B114" i="4"/>
  <c r="G39" i="9" s="1"/>
  <c r="R113" i="4"/>
  <c r="Q113" i="4"/>
  <c r="P113" i="4"/>
  <c r="P115" i="4" s="1"/>
  <c r="O113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M108" i="4"/>
  <c r="CX43" i="2" s="1"/>
  <c r="L108" i="4"/>
  <c r="CW43" i="2" s="1"/>
  <c r="K108" i="4"/>
  <c r="CV43" i="2" s="1"/>
  <c r="J108" i="4"/>
  <c r="CU43" i="2" s="1"/>
  <c r="I108" i="4"/>
  <c r="CT43" i="2" s="1"/>
  <c r="H108" i="4"/>
  <c r="CS43" i="2" s="1"/>
  <c r="G108" i="4"/>
  <c r="CR43" i="2" s="1"/>
  <c r="F108" i="4"/>
  <c r="E108" i="4"/>
  <c r="CP43" i="2" s="1"/>
  <c r="D108" i="4"/>
  <c r="CO43" i="2" s="1"/>
  <c r="C108" i="4"/>
  <c r="CN43" i="2" s="1"/>
  <c r="B108" i="4"/>
  <c r="CM43" i="2" s="1"/>
  <c r="M107" i="4"/>
  <c r="L107" i="4"/>
  <c r="K107" i="4"/>
  <c r="J107" i="4"/>
  <c r="I107" i="4"/>
  <c r="H107" i="4"/>
  <c r="G107" i="4"/>
  <c r="F107" i="4"/>
  <c r="E107" i="4"/>
  <c r="D107" i="4"/>
  <c r="C107" i="4"/>
  <c r="B107" i="4"/>
  <c r="R106" i="4"/>
  <c r="Q106" i="4"/>
  <c r="P106" i="4"/>
  <c r="O106" i="4"/>
  <c r="M104" i="4"/>
  <c r="CG7" i="2" s="1"/>
  <c r="L104" i="4"/>
  <c r="CF7" i="2" s="1"/>
  <c r="K104" i="4"/>
  <c r="CE7" i="2" s="1"/>
  <c r="J104" i="4"/>
  <c r="CD7" i="2" s="1"/>
  <c r="I104" i="4"/>
  <c r="CC7" i="2" s="1"/>
  <c r="H104" i="4"/>
  <c r="CB7" i="2" s="1"/>
  <c r="G104" i="4"/>
  <c r="CA7" i="2" s="1"/>
  <c r="F104" i="4"/>
  <c r="E104" i="4"/>
  <c r="BY7" i="2" s="1"/>
  <c r="D104" i="4"/>
  <c r="BX7" i="2" s="1"/>
  <c r="C104" i="4"/>
  <c r="B104" i="4"/>
  <c r="M103" i="4"/>
  <c r="CX44" i="2" s="1"/>
  <c r="L103" i="4"/>
  <c r="CW44" i="2" s="1"/>
  <c r="K103" i="4"/>
  <c r="CV44" i="2" s="1"/>
  <c r="J103" i="4"/>
  <c r="CU44" i="2" s="1"/>
  <c r="I103" i="4"/>
  <c r="H103" i="4"/>
  <c r="G103" i="4"/>
  <c r="CR44" i="2" s="1"/>
  <c r="F103" i="4"/>
  <c r="CQ44" i="2" s="1"/>
  <c r="E103" i="4"/>
  <c r="CP44" i="2" s="1"/>
  <c r="D103" i="4"/>
  <c r="C103" i="4"/>
  <c r="CN44" i="2" s="1"/>
  <c r="B103" i="4"/>
  <c r="CM44" i="2" s="1"/>
  <c r="M102" i="4"/>
  <c r="CG23" i="2" s="1"/>
  <c r="L102" i="4"/>
  <c r="K102" i="4"/>
  <c r="CE23" i="2" s="1"/>
  <c r="J102" i="4"/>
  <c r="I102" i="4"/>
  <c r="H102" i="4"/>
  <c r="CB23" i="2" s="1"/>
  <c r="G102" i="4"/>
  <c r="CA23" i="2" s="1"/>
  <c r="F102" i="4"/>
  <c r="BZ23" i="2" s="1"/>
  <c r="E102" i="4"/>
  <c r="BY23" i="2" s="1"/>
  <c r="D102" i="4"/>
  <c r="BX23" i="2" s="1"/>
  <c r="C102" i="4"/>
  <c r="BW23" i="2" s="1"/>
  <c r="B102" i="4"/>
  <c r="BV23" i="2" s="1"/>
  <c r="R101" i="4"/>
  <c r="Q101" i="4"/>
  <c r="P101" i="4"/>
  <c r="O101" i="4"/>
  <c r="O102" i="4" s="1"/>
  <c r="BQ23" i="2" s="1"/>
  <c r="M96" i="4"/>
  <c r="L96" i="4"/>
  <c r="K96" i="4"/>
  <c r="K97" i="4" s="1"/>
  <c r="CE22" i="2" s="1"/>
  <c r="J96" i="4"/>
  <c r="I96" i="4"/>
  <c r="H96" i="4"/>
  <c r="G96" i="4"/>
  <c r="F96" i="4"/>
  <c r="E96" i="4"/>
  <c r="D96" i="4"/>
  <c r="C96" i="4"/>
  <c r="B96" i="4"/>
  <c r="M94" i="4"/>
  <c r="CG6" i="2" s="1"/>
  <c r="L94" i="4"/>
  <c r="K94" i="4"/>
  <c r="J94" i="4"/>
  <c r="I94" i="4"/>
  <c r="H94" i="4"/>
  <c r="G94" i="4"/>
  <c r="F94" i="4"/>
  <c r="E94" i="4"/>
  <c r="D94" i="4"/>
  <c r="C94" i="4"/>
  <c r="B94" i="4"/>
  <c r="M93" i="4"/>
  <c r="L93" i="4"/>
  <c r="K93" i="4"/>
  <c r="J93" i="4"/>
  <c r="I93" i="4"/>
  <c r="H93" i="4"/>
  <c r="G93" i="4"/>
  <c r="F93" i="4"/>
  <c r="E93" i="4"/>
  <c r="D93" i="4"/>
  <c r="C93" i="4"/>
  <c r="B93" i="4"/>
  <c r="M92" i="4"/>
  <c r="L92" i="4"/>
  <c r="K92" i="4"/>
  <c r="J92" i="4"/>
  <c r="I92" i="4"/>
  <c r="H92" i="4"/>
  <c r="G92" i="4"/>
  <c r="F92" i="4"/>
  <c r="E92" i="4"/>
  <c r="D92" i="4"/>
  <c r="C92" i="4"/>
  <c r="B92" i="4"/>
  <c r="R91" i="4"/>
  <c r="R93" i="4" s="1"/>
  <c r="Q91" i="4"/>
  <c r="P91" i="4"/>
  <c r="P92" i="4" s="1"/>
  <c r="O91" i="4"/>
  <c r="M86" i="4"/>
  <c r="M88" i="4" s="1"/>
  <c r="CX41" i="2" s="1"/>
  <c r="L86" i="4"/>
  <c r="L87" i="4" s="1"/>
  <c r="K86" i="4"/>
  <c r="K87" i="4" s="1"/>
  <c r="J86" i="4"/>
  <c r="I86" i="4"/>
  <c r="H86" i="4"/>
  <c r="G86" i="4"/>
  <c r="F86" i="4"/>
  <c r="F88" i="4" s="1"/>
  <c r="CQ41" i="2" s="1"/>
  <c r="E86" i="4"/>
  <c r="E88" i="4" s="1"/>
  <c r="CP41" i="2" s="1"/>
  <c r="D86" i="4"/>
  <c r="C86" i="4"/>
  <c r="B86" i="4"/>
  <c r="B88" i="4" s="1"/>
  <c r="CM41" i="2" s="1"/>
  <c r="M84" i="4"/>
  <c r="L84" i="4"/>
  <c r="K84" i="4"/>
  <c r="J84" i="4"/>
  <c r="CD5" i="2" s="1"/>
  <c r="I84" i="4"/>
  <c r="H84" i="4"/>
  <c r="G84" i="4"/>
  <c r="CA5" i="2" s="1"/>
  <c r="F84" i="4"/>
  <c r="E84" i="4"/>
  <c r="D84" i="4"/>
  <c r="BX5" i="2" s="1"/>
  <c r="C84" i="4"/>
  <c r="BW5" i="2" s="1"/>
  <c r="B84" i="4"/>
  <c r="M83" i="4"/>
  <c r="CX40" i="2" s="1"/>
  <c r="L83" i="4"/>
  <c r="CW40" i="2" s="1"/>
  <c r="K83" i="4"/>
  <c r="CV40" i="2" s="1"/>
  <c r="J83" i="4"/>
  <c r="CU40" i="2" s="1"/>
  <c r="I83" i="4"/>
  <c r="H83" i="4"/>
  <c r="G83" i="4"/>
  <c r="F83" i="4"/>
  <c r="CQ40" i="2" s="1"/>
  <c r="E83" i="4"/>
  <c r="D83" i="4"/>
  <c r="C83" i="4"/>
  <c r="CN40" i="2" s="1"/>
  <c r="B83" i="4"/>
  <c r="M82" i="4"/>
  <c r="L82" i="4"/>
  <c r="K82" i="4"/>
  <c r="J82" i="4"/>
  <c r="I82" i="4"/>
  <c r="H82" i="4"/>
  <c r="G82" i="4"/>
  <c r="F82" i="4"/>
  <c r="E82" i="4"/>
  <c r="D82" i="4"/>
  <c r="C82" i="4"/>
  <c r="B82" i="4"/>
  <c r="R81" i="4"/>
  <c r="Q81" i="4"/>
  <c r="Q83" i="4" s="1"/>
  <c r="CJ40" i="2" s="1"/>
  <c r="P81" i="4"/>
  <c r="O81" i="4"/>
  <c r="M77" i="4"/>
  <c r="K77" i="4"/>
  <c r="J77" i="4"/>
  <c r="DL43" i="2" s="1"/>
  <c r="I77" i="4"/>
  <c r="H77" i="4"/>
  <c r="DJ43" i="2" s="1"/>
  <c r="G77" i="4"/>
  <c r="DI43" i="2" s="1"/>
  <c r="F77" i="4"/>
  <c r="E77" i="4"/>
  <c r="DG43" i="2" s="1"/>
  <c r="D77" i="4"/>
  <c r="DF43" i="2" s="1"/>
  <c r="C77" i="4"/>
  <c r="DE43" i="2" s="1"/>
  <c r="B77" i="4"/>
  <c r="DD43" i="2" s="1"/>
  <c r="M76" i="4"/>
  <c r="K76" i="4"/>
  <c r="J76" i="4"/>
  <c r="I76" i="4"/>
  <c r="H76" i="4"/>
  <c r="G76" i="4"/>
  <c r="F76" i="4"/>
  <c r="E76" i="4"/>
  <c r="D76" i="4"/>
  <c r="C76" i="4"/>
  <c r="B76" i="4"/>
  <c r="Q75" i="4"/>
  <c r="Q77" i="4" s="1"/>
  <c r="P75" i="4"/>
  <c r="P76" i="4" s="1"/>
  <c r="O75" i="4"/>
  <c r="L75" i="4"/>
  <c r="N75" i="4" s="1"/>
  <c r="M73" i="4"/>
  <c r="DO44" i="2" s="1"/>
  <c r="K73" i="4"/>
  <c r="DM44" i="2" s="1"/>
  <c r="J73" i="4"/>
  <c r="I73" i="4"/>
  <c r="H73" i="4"/>
  <c r="G73" i="4"/>
  <c r="DI44" i="2" s="1"/>
  <c r="F73" i="4"/>
  <c r="DH44" i="2" s="1"/>
  <c r="E73" i="4"/>
  <c r="DG44" i="2" s="1"/>
  <c r="D73" i="4"/>
  <c r="C73" i="4"/>
  <c r="B73" i="4"/>
  <c r="DD44" i="2" s="1"/>
  <c r="M72" i="4"/>
  <c r="K72" i="4"/>
  <c r="CV7" i="2" s="1"/>
  <c r="J72" i="4"/>
  <c r="I72" i="4"/>
  <c r="H72" i="4"/>
  <c r="CS7" i="2" s="1"/>
  <c r="G72" i="4"/>
  <c r="F72" i="4"/>
  <c r="CQ7" i="2" s="1"/>
  <c r="E72" i="4"/>
  <c r="D72" i="4"/>
  <c r="C72" i="4"/>
  <c r="B72" i="4"/>
  <c r="Q71" i="4"/>
  <c r="P71" i="4"/>
  <c r="O71" i="4"/>
  <c r="L71" i="4"/>
  <c r="R71" i="4" s="1"/>
  <c r="M66" i="4"/>
  <c r="M67" i="4" s="1"/>
  <c r="CX8" i="2" s="1"/>
  <c r="K66" i="4"/>
  <c r="J66" i="4"/>
  <c r="I66" i="4"/>
  <c r="I68" i="4" s="1"/>
  <c r="DK42" i="2" s="1"/>
  <c r="H66" i="4"/>
  <c r="G66" i="4"/>
  <c r="F66" i="4"/>
  <c r="E66" i="4"/>
  <c r="D66" i="4"/>
  <c r="C66" i="4"/>
  <c r="B66" i="4"/>
  <c r="M64" i="4"/>
  <c r="K64" i="4"/>
  <c r="J64" i="4"/>
  <c r="I64" i="4"/>
  <c r="H64" i="4"/>
  <c r="G64" i="4"/>
  <c r="F64" i="4"/>
  <c r="E64" i="4"/>
  <c r="D64" i="4"/>
  <c r="C64" i="4"/>
  <c r="B64" i="4"/>
  <c r="Q63" i="4"/>
  <c r="Q64" i="4" s="1"/>
  <c r="P63" i="4"/>
  <c r="O63" i="4"/>
  <c r="L63" i="4"/>
  <c r="M59" i="4"/>
  <c r="L59" i="4"/>
  <c r="K59" i="4"/>
  <c r="J59" i="4"/>
  <c r="J61" i="4" s="1"/>
  <c r="I59" i="4"/>
  <c r="H59" i="4"/>
  <c r="G59" i="4"/>
  <c r="F59" i="4"/>
  <c r="E59" i="4"/>
  <c r="D59" i="4"/>
  <c r="C59" i="4"/>
  <c r="B59" i="4"/>
  <c r="B34" i="4" s="1"/>
  <c r="DD23" i="2" s="1"/>
  <c r="M57" i="4"/>
  <c r="L57" i="4"/>
  <c r="K57" i="4"/>
  <c r="J57" i="4"/>
  <c r="H57" i="4"/>
  <c r="G57" i="4"/>
  <c r="F57" i="4"/>
  <c r="E57" i="4"/>
  <c r="D57" i="4"/>
  <c r="C57" i="4"/>
  <c r="B57" i="4"/>
  <c r="M56" i="4"/>
  <c r="L56" i="4"/>
  <c r="DN40" i="2" s="1"/>
  <c r="K56" i="4"/>
  <c r="DM40" i="2" s="1"/>
  <c r="J56" i="4"/>
  <c r="DL40" i="2" s="1"/>
  <c r="H56" i="4"/>
  <c r="G56" i="4"/>
  <c r="DI40" i="2" s="1"/>
  <c r="F56" i="4"/>
  <c r="DH40" i="2" s="1"/>
  <c r="E56" i="4"/>
  <c r="DG40" i="2" s="1"/>
  <c r="D56" i="4"/>
  <c r="DF40" i="2" s="1"/>
  <c r="C56" i="4"/>
  <c r="DE40" i="2" s="1"/>
  <c r="B56" i="4"/>
  <c r="DD40" i="2" s="1"/>
  <c r="R55" i="4"/>
  <c r="P55" i="4"/>
  <c r="O55" i="4"/>
  <c r="I55" i="4"/>
  <c r="M51" i="4"/>
  <c r="DO25" i="2" s="1"/>
  <c r="L51" i="4"/>
  <c r="K51" i="4"/>
  <c r="J51" i="4"/>
  <c r="DL25" i="2" s="1"/>
  <c r="I51" i="4"/>
  <c r="DK25" i="2" s="1"/>
  <c r="H51" i="4"/>
  <c r="DJ25" i="2" s="1"/>
  <c r="G51" i="4"/>
  <c r="DI25" i="2" s="1"/>
  <c r="F51" i="4"/>
  <c r="DH25" i="2" s="1"/>
  <c r="E51" i="4"/>
  <c r="DG25" i="2" s="1"/>
  <c r="D51" i="4"/>
  <c r="C51" i="4"/>
  <c r="B51" i="4"/>
  <c r="DD25" i="2" s="1"/>
  <c r="M50" i="4"/>
  <c r="K50" i="4"/>
  <c r="J50" i="4"/>
  <c r="I50" i="4"/>
  <c r="H50" i="4"/>
  <c r="G50" i="4"/>
  <c r="F50" i="4"/>
  <c r="E50" i="4"/>
  <c r="D50" i="4"/>
  <c r="C50" i="4"/>
  <c r="B50" i="4"/>
  <c r="R49" i="4"/>
  <c r="Q49" i="4"/>
  <c r="P49" i="4"/>
  <c r="O49" i="4"/>
  <c r="O51" i="4" s="1"/>
  <c r="N49" i="4"/>
  <c r="N51" i="4" s="1"/>
  <c r="M47" i="4"/>
  <c r="DO26" i="2" s="1"/>
  <c r="L47" i="4"/>
  <c r="CW4" i="2" s="1"/>
  <c r="K47" i="4"/>
  <c r="CV4" i="2" s="1"/>
  <c r="J47" i="4"/>
  <c r="I47" i="4"/>
  <c r="H47" i="4"/>
  <c r="DJ26" i="2" s="1"/>
  <c r="G47" i="4"/>
  <c r="CR4" i="2" s="1"/>
  <c r="F47" i="4"/>
  <c r="DH26" i="2" s="1"/>
  <c r="D47" i="4"/>
  <c r="CO4" i="2" s="1"/>
  <c r="C47" i="4"/>
  <c r="CN4" i="2" s="1"/>
  <c r="B47" i="4"/>
  <c r="M46" i="4"/>
  <c r="K46" i="4"/>
  <c r="J46" i="4"/>
  <c r="I46" i="4"/>
  <c r="H46" i="4"/>
  <c r="G46" i="4"/>
  <c r="F46" i="4"/>
  <c r="D46" i="4"/>
  <c r="C46" i="4"/>
  <c r="B46" i="4"/>
  <c r="R45" i="4"/>
  <c r="Q45" i="4"/>
  <c r="O45" i="4"/>
  <c r="E45" i="4"/>
  <c r="R40" i="4"/>
  <c r="M40" i="4"/>
  <c r="L40" i="4"/>
  <c r="L15" i="4" s="1"/>
  <c r="K40" i="4"/>
  <c r="J40" i="4"/>
  <c r="I40" i="4"/>
  <c r="I42" i="4" s="1"/>
  <c r="DK24" i="2" s="1"/>
  <c r="H40" i="4"/>
  <c r="G40" i="4"/>
  <c r="G41" i="4" s="1"/>
  <c r="F40" i="4"/>
  <c r="D40" i="4"/>
  <c r="C40" i="4"/>
  <c r="C42" i="4" s="1"/>
  <c r="DE24" i="2" s="1"/>
  <c r="B40" i="4"/>
  <c r="M38" i="4"/>
  <c r="K38" i="4"/>
  <c r="J38" i="4"/>
  <c r="I38" i="4"/>
  <c r="H38" i="4"/>
  <c r="G38" i="4"/>
  <c r="F38" i="4"/>
  <c r="E38" i="4"/>
  <c r="D38" i="4"/>
  <c r="C38" i="4"/>
  <c r="R37" i="4"/>
  <c r="Q37" i="4"/>
  <c r="Q38" i="4" s="1"/>
  <c r="DA22" i="2" s="1"/>
  <c r="P37" i="4"/>
  <c r="CZ8" i="2" s="1"/>
  <c r="B37" i="4"/>
  <c r="B12" i="4" s="1"/>
  <c r="L35" i="4"/>
  <c r="M33" i="4"/>
  <c r="DO7" i="2" s="1"/>
  <c r="L33" i="4"/>
  <c r="DN7" i="2" s="1"/>
  <c r="K33" i="4"/>
  <c r="J33" i="4"/>
  <c r="DL7" i="2" s="1"/>
  <c r="I33" i="4"/>
  <c r="I35" i="4" s="1"/>
  <c r="H33" i="4"/>
  <c r="G33" i="4"/>
  <c r="F33" i="4"/>
  <c r="E33" i="4"/>
  <c r="D33" i="4"/>
  <c r="D34" i="4" s="1"/>
  <c r="DF23" i="2" s="1"/>
  <c r="C33" i="4"/>
  <c r="M31" i="4"/>
  <c r="L31" i="4"/>
  <c r="K31" i="4"/>
  <c r="J31" i="4"/>
  <c r="I31" i="4"/>
  <c r="H31" i="4"/>
  <c r="G31" i="4"/>
  <c r="F31" i="4"/>
  <c r="E31" i="4"/>
  <c r="D31" i="4"/>
  <c r="C31" i="4"/>
  <c r="B31" i="4"/>
  <c r="M30" i="4"/>
  <c r="DO22" i="2" s="1"/>
  <c r="L30" i="4"/>
  <c r="K30" i="4"/>
  <c r="DM22" i="2" s="1"/>
  <c r="J30" i="4"/>
  <c r="DL22" i="2" s="1"/>
  <c r="H30" i="4"/>
  <c r="G30" i="4"/>
  <c r="DI22" i="2" s="1"/>
  <c r="F30" i="4"/>
  <c r="DH22" i="2" s="1"/>
  <c r="E30" i="4"/>
  <c r="DG22" i="2" s="1"/>
  <c r="D30" i="4"/>
  <c r="DF22" i="2" s="1"/>
  <c r="C30" i="4"/>
  <c r="DE22" i="2" s="1"/>
  <c r="B30" i="4"/>
  <c r="DD22" i="2" s="1"/>
  <c r="R29" i="4"/>
  <c r="Q29" i="4"/>
  <c r="P29" i="4"/>
  <c r="O29" i="4"/>
  <c r="O30" i="4" s="1"/>
  <c r="N29" i="4"/>
  <c r="N31" i="4" s="1"/>
  <c r="M25" i="4"/>
  <c r="L25" i="4"/>
  <c r="K25" i="4"/>
  <c r="J25" i="4"/>
  <c r="I25" i="4"/>
  <c r="H25" i="4"/>
  <c r="G25" i="4"/>
  <c r="F25" i="4"/>
  <c r="E25" i="4"/>
  <c r="D25" i="4"/>
  <c r="C25" i="4"/>
  <c r="B25" i="4"/>
  <c r="M24" i="4"/>
  <c r="L24" i="4"/>
  <c r="K24" i="4"/>
  <c r="J24" i="4"/>
  <c r="I24" i="4"/>
  <c r="H24" i="4"/>
  <c r="DJ7" i="2" s="1"/>
  <c r="G24" i="4"/>
  <c r="DI7" i="2" s="1"/>
  <c r="F24" i="4"/>
  <c r="DH7" i="2" s="1"/>
  <c r="E24" i="4"/>
  <c r="DG7" i="2" s="1"/>
  <c r="D24" i="4"/>
  <c r="C24" i="4"/>
  <c r="DE7" i="2" s="1"/>
  <c r="B24" i="4"/>
  <c r="R23" i="4"/>
  <c r="R25" i="4" s="1"/>
  <c r="Q23" i="4"/>
  <c r="P23" i="4"/>
  <c r="O23" i="4"/>
  <c r="N23" i="4"/>
  <c r="M21" i="4"/>
  <c r="L21" i="4"/>
  <c r="K21" i="4"/>
  <c r="J21" i="4"/>
  <c r="I21" i="4"/>
  <c r="H21" i="4"/>
  <c r="G21" i="4"/>
  <c r="F21" i="4"/>
  <c r="E21" i="4"/>
  <c r="D21" i="4"/>
  <c r="C21" i="4"/>
  <c r="B21" i="4"/>
  <c r="M20" i="4"/>
  <c r="L20" i="4"/>
  <c r="K20" i="4"/>
  <c r="J20" i="4"/>
  <c r="I20" i="4"/>
  <c r="H20" i="4"/>
  <c r="DJ8" i="2" s="1"/>
  <c r="G20" i="4"/>
  <c r="DI8" i="2" s="1"/>
  <c r="F20" i="4"/>
  <c r="DH8" i="2" s="1"/>
  <c r="E20" i="4"/>
  <c r="DG8" i="2" s="1"/>
  <c r="D20" i="4"/>
  <c r="DF8" i="2" s="1"/>
  <c r="C20" i="4"/>
  <c r="DE8" i="2" s="1"/>
  <c r="B20" i="4"/>
  <c r="DD8" i="2" s="1"/>
  <c r="R19" i="4"/>
  <c r="Q19" i="4"/>
  <c r="P19" i="4"/>
  <c r="O19" i="4"/>
  <c r="N19" i="4"/>
  <c r="J16" i="4"/>
  <c r="R14" i="4"/>
  <c r="H14" i="4"/>
  <c r="H16" i="4" s="1"/>
  <c r="G14" i="4"/>
  <c r="F14" i="4"/>
  <c r="E14" i="4"/>
  <c r="E16" i="4" s="1"/>
  <c r="D14" i="4"/>
  <c r="C14" i="4"/>
  <c r="B14" i="4"/>
  <c r="M12" i="4"/>
  <c r="L12" i="4"/>
  <c r="K12" i="4"/>
  <c r="J12" i="4"/>
  <c r="I12" i="4"/>
  <c r="H12" i="4"/>
  <c r="G12" i="4"/>
  <c r="F12" i="4"/>
  <c r="E12" i="4"/>
  <c r="D12" i="4"/>
  <c r="C12" i="4"/>
  <c r="R11" i="4"/>
  <c r="Q11" i="4"/>
  <c r="P11" i="4"/>
  <c r="O11" i="4"/>
  <c r="N11" i="4"/>
  <c r="M9" i="4"/>
  <c r="L9" i="4"/>
  <c r="J9" i="4"/>
  <c r="I9" i="4"/>
  <c r="B8" i="4"/>
  <c r="R7" i="4"/>
  <c r="Q7" i="4"/>
  <c r="H7" i="4"/>
  <c r="H9" i="4" s="1"/>
  <c r="G7" i="4"/>
  <c r="F7" i="4"/>
  <c r="E7" i="4"/>
  <c r="E9" i="4" s="1"/>
  <c r="D7" i="4"/>
  <c r="C7" i="4"/>
  <c r="C9" i="4" s="1"/>
  <c r="B7" i="4"/>
  <c r="B9" i="4" s="1"/>
  <c r="M5" i="4"/>
  <c r="L5" i="4"/>
  <c r="K5" i="4"/>
  <c r="J5" i="4"/>
  <c r="I5" i="4"/>
  <c r="H5" i="4"/>
  <c r="G5" i="4"/>
  <c r="F5" i="4"/>
  <c r="E5" i="4"/>
  <c r="D5" i="4"/>
  <c r="C5" i="4"/>
  <c r="B5" i="4"/>
  <c r="M4" i="4"/>
  <c r="L4" i="4"/>
  <c r="K4" i="4"/>
  <c r="J4" i="4"/>
  <c r="I4" i="4"/>
  <c r="H4" i="4"/>
  <c r="G4" i="4"/>
  <c r="DI4" i="2" s="1"/>
  <c r="F4" i="4"/>
  <c r="DH4" i="2" s="1"/>
  <c r="E4" i="4"/>
  <c r="DG4" i="2" s="1"/>
  <c r="D4" i="4"/>
  <c r="DF4" i="2" s="1"/>
  <c r="C4" i="4"/>
  <c r="DE4" i="2" s="1"/>
  <c r="B4" i="4"/>
  <c r="DD4" i="2" s="1"/>
  <c r="R3" i="4"/>
  <c r="Q3" i="4"/>
  <c r="P3" i="4"/>
  <c r="O3" i="4"/>
  <c r="O5" i="4" s="1"/>
  <c r="N3" i="4"/>
  <c r="R94" i="3"/>
  <c r="Q94" i="3"/>
  <c r="P94" i="3"/>
  <c r="O94" i="3"/>
  <c r="N94" i="3"/>
  <c r="M92" i="3"/>
  <c r="L92" i="3"/>
  <c r="K92" i="3"/>
  <c r="J92" i="3"/>
  <c r="I92" i="3"/>
  <c r="H92" i="3"/>
  <c r="G92" i="3"/>
  <c r="F92" i="3"/>
  <c r="E92" i="3"/>
  <c r="D92" i="3"/>
  <c r="C92" i="3"/>
  <c r="R90" i="3"/>
  <c r="Q90" i="3"/>
  <c r="Q79" i="3" s="1"/>
  <c r="P90" i="3"/>
  <c r="O90" i="3"/>
  <c r="N90" i="3"/>
  <c r="M84" i="3"/>
  <c r="L84" i="3"/>
  <c r="K84" i="3"/>
  <c r="J84" i="3"/>
  <c r="I84" i="3"/>
  <c r="H84" i="3"/>
  <c r="G84" i="3"/>
  <c r="F84" i="3"/>
  <c r="E84" i="3"/>
  <c r="D84" i="3"/>
  <c r="C84" i="3"/>
  <c r="B84" i="3"/>
  <c r="M83" i="3"/>
  <c r="L83" i="3"/>
  <c r="K83" i="3"/>
  <c r="I83" i="3"/>
  <c r="H83" i="3"/>
  <c r="G83" i="3"/>
  <c r="F83" i="3"/>
  <c r="E83" i="3"/>
  <c r="D83" i="3"/>
  <c r="C83" i="3"/>
  <c r="B83" i="3"/>
  <c r="R82" i="3"/>
  <c r="Q82" i="3"/>
  <c r="P82" i="3"/>
  <c r="P83" i="3" s="1"/>
  <c r="O82" i="3"/>
  <c r="M80" i="3"/>
  <c r="L80" i="3"/>
  <c r="K80" i="3"/>
  <c r="J80" i="3"/>
  <c r="I80" i="3"/>
  <c r="H80" i="3"/>
  <c r="G80" i="3"/>
  <c r="F80" i="3"/>
  <c r="C80" i="3"/>
  <c r="B80" i="3"/>
  <c r="R79" i="3"/>
  <c r="M79" i="3"/>
  <c r="L79" i="3"/>
  <c r="K79" i="3"/>
  <c r="J79" i="3"/>
  <c r="R78" i="3"/>
  <c r="Q78" i="3"/>
  <c r="Q87" i="3" s="1"/>
  <c r="P78" i="3"/>
  <c r="D78" i="3"/>
  <c r="M72" i="3"/>
  <c r="L72" i="3"/>
  <c r="K72" i="3"/>
  <c r="J72" i="3"/>
  <c r="I72" i="3"/>
  <c r="H72" i="3"/>
  <c r="G72" i="3"/>
  <c r="F72" i="3"/>
  <c r="E72" i="3"/>
  <c r="D72" i="3"/>
  <c r="C72" i="3"/>
  <c r="B72" i="3"/>
  <c r="M71" i="3"/>
  <c r="L71" i="3"/>
  <c r="K71" i="3"/>
  <c r="J71" i="3"/>
  <c r="I71" i="3"/>
  <c r="H71" i="3"/>
  <c r="G71" i="3"/>
  <c r="F71" i="3"/>
  <c r="E71" i="3"/>
  <c r="D71" i="3"/>
  <c r="C71" i="3"/>
  <c r="B71" i="3"/>
  <c r="R70" i="3"/>
  <c r="R71" i="3" s="1"/>
  <c r="Q70" i="3"/>
  <c r="Q72" i="3" s="1"/>
  <c r="P70" i="3"/>
  <c r="O70" i="3"/>
  <c r="N70" i="3"/>
  <c r="M68" i="3"/>
  <c r="L68" i="3"/>
  <c r="K68" i="3"/>
  <c r="J68" i="3"/>
  <c r="I68" i="3"/>
  <c r="H68" i="3"/>
  <c r="G68" i="3"/>
  <c r="F68" i="3"/>
  <c r="E68" i="3"/>
  <c r="D68" i="3"/>
  <c r="C68" i="3"/>
  <c r="B68" i="3"/>
  <c r="M67" i="3"/>
  <c r="L67" i="3"/>
  <c r="K67" i="3"/>
  <c r="J67" i="3"/>
  <c r="I67" i="3"/>
  <c r="H67" i="3"/>
  <c r="G67" i="3"/>
  <c r="F67" i="3"/>
  <c r="E67" i="3"/>
  <c r="C67" i="3"/>
  <c r="B67" i="3"/>
  <c r="R66" i="3"/>
  <c r="R68" i="3" s="1"/>
  <c r="Q66" i="3"/>
  <c r="P66" i="3"/>
  <c r="O66" i="3"/>
  <c r="N66" i="3"/>
  <c r="L63" i="3"/>
  <c r="K63" i="3"/>
  <c r="J63" i="3"/>
  <c r="I63" i="3"/>
  <c r="H63" i="3"/>
  <c r="G63" i="3"/>
  <c r="F63" i="3"/>
  <c r="E63" i="3"/>
  <c r="D63" i="3"/>
  <c r="C63" i="3"/>
  <c r="B63" i="3"/>
  <c r="L62" i="3"/>
  <c r="K62" i="3"/>
  <c r="J62" i="3"/>
  <c r="I62" i="3"/>
  <c r="H62" i="3"/>
  <c r="G62" i="3"/>
  <c r="F62" i="3"/>
  <c r="E62" i="3"/>
  <c r="D62" i="3"/>
  <c r="C62" i="3"/>
  <c r="B62" i="3"/>
  <c r="Q61" i="3"/>
  <c r="Q63" i="3" s="1"/>
  <c r="P61" i="3"/>
  <c r="P53" i="3" s="1"/>
  <c r="O61" i="3"/>
  <c r="M61" i="3"/>
  <c r="R61" i="3" s="1"/>
  <c r="M59" i="3"/>
  <c r="L59" i="3"/>
  <c r="K59" i="3"/>
  <c r="J59" i="3"/>
  <c r="I59" i="3"/>
  <c r="H59" i="3"/>
  <c r="G59" i="3"/>
  <c r="F59" i="3"/>
  <c r="E59" i="3"/>
  <c r="D59" i="3"/>
  <c r="C59" i="3"/>
  <c r="B59" i="3"/>
  <c r="M58" i="3"/>
  <c r="L58" i="3"/>
  <c r="K58" i="3"/>
  <c r="J58" i="3"/>
  <c r="I58" i="3"/>
  <c r="H58" i="3"/>
  <c r="G58" i="3"/>
  <c r="F58" i="3"/>
  <c r="E58" i="3"/>
  <c r="D58" i="3"/>
  <c r="C58" i="3"/>
  <c r="B58" i="3"/>
  <c r="R57" i="3"/>
  <c r="R59" i="3" s="1"/>
  <c r="Q57" i="3"/>
  <c r="P57" i="3"/>
  <c r="O57" i="3"/>
  <c r="N57" i="3"/>
  <c r="M54" i="3"/>
  <c r="L54" i="3"/>
  <c r="K54" i="3"/>
  <c r="J54" i="3"/>
  <c r="I54" i="3"/>
  <c r="H54" i="3"/>
  <c r="G54" i="3"/>
  <c r="F54" i="3"/>
  <c r="E54" i="3"/>
  <c r="D54" i="3"/>
  <c r="C54" i="3"/>
  <c r="G53" i="3"/>
  <c r="F53" i="3"/>
  <c r="E53" i="3"/>
  <c r="D53" i="3"/>
  <c r="C53" i="3"/>
  <c r="B53" i="3"/>
  <c r="R52" i="3"/>
  <c r="Q52" i="3"/>
  <c r="P52" i="3"/>
  <c r="O52" i="3"/>
  <c r="N52" i="3"/>
  <c r="M50" i="3"/>
  <c r="L50" i="3"/>
  <c r="K50" i="3"/>
  <c r="J50" i="3"/>
  <c r="I50" i="3"/>
  <c r="H50" i="3"/>
  <c r="G50" i="3"/>
  <c r="F50" i="3"/>
  <c r="E50" i="3"/>
  <c r="D50" i="3"/>
  <c r="C50" i="3"/>
  <c r="B50" i="3"/>
  <c r="G49" i="3"/>
  <c r="F49" i="3"/>
  <c r="E49" i="3"/>
  <c r="D49" i="3"/>
  <c r="C49" i="3"/>
  <c r="B49" i="3"/>
  <c r="R48" i="3"/>
  <c r="Q48" i="3"/>
  <c r="Q50" i="3" s="1"/>
  <c r="P48" i="3"/>
  <c r="O48" i="3"/>
  <c r="O49" i="3" s="1"/>
  <c r="N48" i="3"/>
  <c r="M45" i="3"/>
  <c r="L45" i="3"/>
  <c r="K45" i="3"/>
  <c r="J45" i="3"/>
  <c r="I45" i="3"/>
  <c r="H45" i="3"/>
  <c r="G45" i="3"/>
  <c r="F45" i="3"/>
  <c r="E45" i="3"/>
  <c r="D45" i="3"/>
  <c r="C45" i="3"/>
  <c r="B45" i="3"/>
  <c r="M44" i="3"/>
  <c r="I44" i="3"/>
  <c r="H44" i="3"/>
  <c r="G44" i="3"/>
  <c r="F44" i="3"/>
  <c r="E44" i="3"/>
  <c r="C44" i="3"/>
  <c r="B44" i="3"/>
  <c r="R43" i="3"/>
  <c r="Q43" i="3"/>
  <c r="P43" i="3"/>
  <c r="O43" i="3"/>
  <c r="N43" i="3"/>
  <c r="M41" i="3"/>
  <c r="L41" i="3"/>
  <c r="K41" i="3"/>
  <c r="J41" i="3"/>
  <c r="I41" i="3"/>
  <c r="H41" i="3"/>
  <c r="G41" i="3"/>
  <c r="F41" i="3"/>
  <c r="E41" i="3"/>
  <c r="D41" i="3"/>
  <c r="C41" i="3"/>
  <c r="B41" i="3"/>
  <c r="M40" i="3"/>
  <c r="I40" i="3"/>
  <c r="H40" i="3"/>
  <c r="G40" i="3"/>
  <c r="F40" i="3"/>
  <c r="E40" i="3"/>
  <c r="C40" i="3"/>
  <c r="B40" i="3"/>
  <c r="R39" i="3"/>
  <c r="Q39" i="3"/>
  <c r="P39" i="3"/>
  <c r="P40" i="3" s="1"/>
  <c r="O39" i="3"/>
  <c r="N39" i="3"/>
  <c r="L36" i="3"/>
  <c r="K36" i="3"/>
  <c r="J36" i="3"/>
  <c r="I36" i="3"/>
  <c r="H36" i="3"/>
  <c r="G36" i="3"/>
  <c r="F36" i="3"/>
  <c r="E36" i="3"/>
  <c r="D36" i="3"/>
  <c r="C36" i="3"/>
  <c r="B36" i="3"/>
  <c r="P35" i="3"/>
  <c r="L35" i="3"/>
  <c r="K35" i="3"/>
  <c r="J35" i="3"/>
  <c r="I35" i="3"/>
  <c r="H35" i="3"/>
  <c r="G35" i="3"/>
  <c r="F35" i="3"/>
  <c r="E35" i="3"/>
  <c r="D35" i="3"/>
  <c r="B35" i="3"/>
  <c r="Q34" i="3"/>
  <c r="P34" i="3"/>
  <c r="O34" i="3"/>
  <c r="L32" i="3"/>
  <c r="K32" i="3"/>
  <c r="J32" i="3"/>
  <c r="I32" i="3"/>
  <c r="H32" i="3"/>
  <c r="G32" i="3"/>
  <c r="F32" i="3"/>
  <c r="E32" i="3"/>
  <c r="D32" i="3"/>
  <c r="C32" i="3"/>
  <c r="B32" i="3"/>
  <c r="L31" i="3"/>
  <c r="K31" i="3"/>
  <c r="J31" i="3"/>
  <c r="I31" i="3"/>
  <c r="H31" i="3"/>
  <c r="G31" i="3"/>
  <c r="F31" i="3"/>
  <c r="E31" i="3"/>
  <c r="D31" i="3"/>
  <c r="B31" i="3"/>
  <c r="Q30" i="3"/>
  <c r="Q31" i="3" s="1"/>
  <c r="P30" i="3"/>
  <c r="O30" i="3"/>
  <c r="L27" i="3"/>
  <c r="K27" i="3"/>
  <c r="J27" i="3"/>
  <c r="I27" i="3"/>
  <c r="H27" i="3"/>
  <c r="G27" i="3"/>
  <c r="F27" i="3"/>
  <c r="E27" i="3"/>
  <c r="D27" i="3"/>
  <c r="C27" i="3"/>
  <c r="L26" i="3"/>
  <c r="K26" i="3"/>
  <c r="J26" i="3"/>
  <c r="I26" i="3"/>
  <c r="H26" i="3"/>
  <c r="G26" i="3"/>
  <c r="F26" i="3"/>
  <c r="E26" i="3"/>
  <c r="D26" i="3"/>
  <c r="C26" i="3"/>
  <c r="B26" i="3"/>
  <c r="S25" i="3"/>
  <c r="S26" i="3" s="1"/>
  <c r="Q25" i="3"/>
  <c r="P25" i="3"/>
  <c r="O25" i="3"/>
  <c r="M25" i="3"/>
  <c r="L23" i="3"/>
  <c r="K23" i="3"/>
  <c r="J23" i="3"/>
  <c r="I23" i="3"/>
  <c r="H23" i="3"/>
  <c r="G23" i="3"/>
  <c r="F23" i="3"/>
  <c r="E23" i="3"/>
  <c r="D23" i="3"/>
  <c r="C23" i="3"/>
  <c r="L22" i="3"/>
  <c r="K22" i="3"/>
  <c r="J22" i="3"/>
  <c r="I22" i="3"/>
  <c r="H22" i="3"/>
  <c r="G22" i="3"/>
  <c r="F22" i="3"/>
  <c r="E22" i="3"/>
  <c r="D22" i="3"/>
  <c r="C22" i="3"/>
  <c r="B22" i="3"/>
  <c r="Q21" i="3"/>
  <c r="P21" i="3"/>
  <c r="O21" i="3"/>
  <c r="M21" i="3"/>
  <c r="M18" i="3"/>
  <c r="L18" i="3"/>
  <c r="K18" i="3"/>
  <c r="J18" i="3"/>
  <c r="I18" i="3"/>
  <c r="H18" i="3"/>
  <c r="G18" i="3"/>
  <c r="F18" i="3"/>
  <c r="E18" i="3"/>
  <c r="D18" i="3"/>
  <c r="C18" i="3"/>
  <c r="L17" i="3"/>
  <c r="K17" i="3"/>
  <c r="J17" i="3"/>
  <c r="I17" i="3"/>
  <c r="H17" i="3"/>
  <c r="G17" i="3"/>
  <c r="F17" i="3"/>
  <c r="E17" i="3"/>
  <c r="D17" i="3"/>
  <c r="C17" i="3"/>
  <c r="B17" i="3"/>
  <c r="R16" i="3"/>
  <c r="R224" i="6" s="1"/>
  <c r="Q16" i="3"/>
  <c r="P16" i="3"/>
  <c r="O16" i="3"/>
  <c r="B15" i="3"/>
  <c r="M14" i="3"/>
  <c r="L14" i="3"/>
  <c r="K14" i="3"/>
  <c r="J14" i="3"/>
  <c r="I14" i="3"/>
  <c r="H14" i="3"/>
  <c r="G14" i="3"/>
  <c r="F14" i="3"/>
  <c r="E14" i="3"/>
  <c r="D14" i="3"/>
  <c r="C14" i="3"/>
  <c r="L13" i="3"/>
  <c r="K13" i="3"/>
  <c r="J13" i="3"/>
  <c r="I13" i="3"/>
  <c r="H13" i="3"/>
  <c r="G13" i="3"/>
  <c r="F13" i="3"/>
  <c r="E13" i="3"/>
  <c r="D13" i="3"/>
  <c r="C13" i="3"/>
  <c r="B13" i="3"/>
  <c r="R12" i="3"/>
  <c r="Q12" i="3"/>
  <c r="Q199" i="5" s="1"/>
  <c r="P12" i="3"/>
  <c r="P199" i="5" s="1"/>
  <c r="O12" i="3"/>
  <c r="M9" i="3"/>
  <c r="L9" i="3"/>
  <c r="I9" i="3"/>
  <c r="H9" i="3"/>
  <c r="G9" i="3"/>
  <c r="F9" i="3"/>
  <c r="E9" i="3"/>
  <c r="D9" i="3"/>
  <c r="C9" i="3"/>
  <c r="B9" i="3"/>
  <c r="M8" i="3"/>
  <c r="L8" i="3"/>
  <c r="I8" i="3"/>
  <c r="H8" i="3"/>
  <c r="G8" i="3"/>
  <c r="F8" i="3"/>
  <c r="E8" i="3"/>
  <c r="D8" i="3"/>
  <c r="C8" i="3"/>
  <c r="B8" i="3"/>
  <c r="P7" i="3"/>
  <c r="O7" i="3"/>
  <c r="K7" i="3"/>
  <c r="J7" i="3"/>
  <c r="E6" i="3"/>
  <c r="M5" i="3"/>
  <c r="L5" i="3"/>
  <c r="K5" i="3"/>
  <c r="J5" i="3"/>
  <c r="I5" i="3"/>
  <c r="H5" i="3"/>
  <c r="G5" i="3"/>
  <c r="F5" i="3"/>
  <c r="E5" i="3"/>
  <c r="D5" i="3"/>
  <c r="C5" i="3"/>
  <c r="B5" i="3"/>
  <c r="P4" i="3"/>
  <c r="M4" i="3"/>
  <c r="L4" i="3"/>
  <c r="K4" i="3"/>
  <c r="J4" i="3"/>
  <c r="I4" i="3"/>
  <c r="H4" i="3"/>
  <c r="G4" i="3"/>
  <c r="F4" i="3"/>
  <c r="E4" i="3"/>
  <c r="D4" i="3"/>
  <c r="C4" i="3"/>
  <c r="B4" i="3"/>
  <c r="R3" i="3"/>
  <c r="Q3" i="3"/>
  <c r="P3" i="3"/>
  <c r="O3" i="3"/>
  <c r="O4" i="3" s="1"/>
  <c r="V66" i="2"/>
  <c r="V65" i="2"/>
  <c r="AJ62" i="2"/>
  <c r="AI62" i="2"/>
  <c r="AJ61" i="2"/>
  <c r="AI61" i="2"/>
  <c r="AM59" i="2"/>
  <c r="AL59" i="2"/>
  <c r="AK59" i="2"/>
  <c r="AJ59" i="2"/>
  <c r="AI59" i="2"/>
  <c r="AM58" i="2"/>
  <c r="AL58" i="2"/>
  <c r="AK58" i="2"/>
  <c r="AJ58" i="2"/>
  <c r="AI58" i="2"/>
  <c r="AF57" i="2"/>
  <c r="AE57" i="2"/>
  <c r="AD57" i="2"/>
  <c r="AC57" i="2"/>
  <c r="AB57" i="2"/>
  <c r="AA57" i="2"/>
  <c r="Z57" i="2"/>
  <c r="Y57" i="2"/>
  <c r="X57" i="2"/>
  <c r="W57" i="2"/>
  <c r="T57" i="2"/>
  <c r="T63" i="2" s="1"/>
  <c r="S57" i="2"/>
  <c r="R57" i="2"/>
  <c r="Q57" i="2"/>
  <c r="P57" i="2"/>
  <c r="N57" i="2"/>
  <c r="M57" i="2"/>
  <c r="L57" i="2"/>
  <c r="K57" i="2"/>
  <c r="I57" i="2"/>
  <c r="H57" i="2"/>
  <c r="H63" i="2" s="1"/>
  <c r="G57" i="2"/>
  <c r="G63" i="2" s="1"/>
  <c r="DO54" i="2"/>
  <c r="DE54" i="2"/>
  <c r="CU54" i="2"/>
  <c r="CG54" i="2"/>
  <c r="CD54" i="2"/>
  <c r="BM54" i="2"/>
  <c r="BL54" i="2"/>
  <c r="BH54" i="2"/>
  <c r="DI53" i="2"/>
  <c r="DG53" i="2"/>
  <c r="CX53" i="2"/>
  <c r="CV53" i="2"/>
  <c r="BW53" i="2"/>
  <c r="H21" i="9" s="1"/>
  <c r="AX53" i="2"/>
  <c r="AE53" i="2"/>
  <c r="DJ51" i="2"/>
  <c r="DK50" i="2"/>
  <c r="AT49" i="2"/>
  <c r="AN49" i="2"/>
  <c r="AT48" i="2"/>
  <c r="AN48" i="2"/>
  <c r="AT47" i="2"/>
  <c r="AN47" i="2"/>
  <c r="AT46" i="2"/>
  <c r="AN46" i="2"/>
  <c r="DL44" i="2"/>
  <c r="DK44" i="2"/>
  <c r="DJ44" i="2"/>
  <c r="DF44" i="2"/>
  <c r="DE44" i="2"/>
  <c r="CT44" i="2"/>
  <c r="CS44" i="2"/>
  <c r="CO44" i="2"/>
  <c r="CG44" i="2"/>
  <c r="CF44" i="2"/>
  <c r="CE44" i="2"/>
  <c r="CB44" i="2"/>
  <c r="CA44" i="2"/>
  <c r="BP44" i="2"/>
  <c r="BO44" i="2"/>
  <c r="BN44" i="2"/>
  <c r="BM44" i="2"/>
  <c r="BJ44" i="2"/>
  <c r="AW44" i="2"/>
  <c r="AV44" i="2"/>
  <c r="AU44" i="2"/>
  <c r="AT44" i="2"/>
  <c r="AS44" i="2"/>
  <c r="AR44" i="2"/>
  <c r="AN44" i="2"/>
  <c r="AC44" i="2"/>
  <c r="W44" i="2"/>
  <c r="N44" i="2"/>
  <c r="DO43" i="2"/>
  <c r="DM43" i="2"/>
  <c r="DK43" i="2"/>
  <c r="DH43" i="2"/>
  <c r="CQ43" i="2"/>
  <c r="CF43" i="2"/>
  <c r="CD43" i="2"/>
  <c r="CC43" i="2"/>
  <c r="CB43" i="2"/>
  <c r="BN43" i="2"/>
  <c r="BM43" i="2"/>
  <c r="BL43" i="2"/>
  <c r="BJ43" i="2"/>
  <c r="BE43" i="2"/>
  <c r="AW43" i="2"/>
  <c r="AT43" i="2"/>
  <c r="AS43" i="2"/>
  <c r="AR43" i="2"/>
  <c r="AO43" i="2"/>
  <c r="AI43" i="2"/>
  <c r="AG43" i="2"/>
  <c r="AF43" i="2"/>
  <c r="AE43" i="2"/>
  <c r="AB43" i="2"/>
  <c r="AA43" i="2"/>
  <c r="Z43" i="2"/>
  <c r="X43" i="2"/>
  <c r="W43" i="2"/>
  <c r="P43" i="2"/>
  <c r="K43" i="2"/>
  <c r="DO40" i="2"/>
  <c r="DJ40" i="2"/>
  <c r="CT40" i="2"/>
  <c r="CS40" i="2"/>
  <c r="CR40" i="2"/>
  <c r="CP40" i="2"/>
  <c r="CO40" i="2"/>
  <c r="CM40" i="2"/>
  <c r="CG40" i="2"/>
  <c r="BW40" i="2"/>
  <c r="H15" i="9" s="1"/>
  <c r="BP40" i="2"/>
  <c r="BK40" i="2"/>
  <c r="BJ40" i="2"/>
  <c r="BI40" i="2"/>
  <c r="BF40" i="2"/>
  <c r="BE40" i="2"/>
  <c r="AY40" i="2"/>
  <c r="AP40" i="2"/>
  <c r="AC40" i="2"/>
  <c r="AB40" i="2"/>
  <c r="AA40" i="2"/>
  <c r="Z40" i="2"/>
  <c r="Y40" i="2"/>
  <c r="X40" i="2"/>
  <c r="W40" i="2"/>
  <c r="DN36" i="2"/>
  <c r="DM36" i="2"/>
  <c r="DJ36" i="2"/>
  <c r="CZ36" i="2"/>
  <c r="CY36" i="2"/>
  <c r="CX36" i="2"/>
  <c r="CW36" i="2"/>
  <c r="CV36" i="2"/>
  <c r="CU36" i="2"/>
  <c r="CT36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P36" i="2"/>
  <c r="AL36" i="2"/>
  <c r="AK36" i="2"/>
  <c r="AJ36" i="2"/>
  <c r="AI36" i="2"/>
  <c r="V36" i="2"/>
  <c r="U36" i="2"/>
  <c r="T36" i="2"/>
  <c r="S36" i="2"/>
  <c r="R36" i="2"/>
  <c r="DO35" i="2"/>
  <c r="DN35" i="2"/>
  <c r="DM35" i="2"/>
  <c r="DK35" i="2"/>
  <c r="DJ35" i="2"/>
  <c r="DI35" i="2"/>
  <c r="DH35" i="2"/>
  <c r="DG35" i="2"/>
  <c r="DF35" i="2"/>
  <c r="DE35" i="2"/>
  <c r="DD35" i="2"/>
  <c r="CZ35" i="2"/>
  <c r="CY35" i="2"/>
  <c r="CX35" i="2"/>
  <c r="CW35" i="2"/>
  <c r="CV35" i="2"/>
  <c r="CU35" i="2"/>
  <c r="CT35" i="2"/>
  <c r="CS35" i="2"/>
  <c r="CR35" i="2"/>
  <c r="CQ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T35" i="2"/>
  <c r="AS35" i="2"/>
  <c r="AR35" i="2"/>
  <c r="AQ35" i="2"/>
  <c r="AP35" i="2"/>
  <c r="AO35" i="2"/>
  <c r="AN35" i="2"/>
  <c r="AL35" i="2"/>
  <c r="AK35" i="2"/>
  <c r="AJ35" i="2"/>
  <c r="AI35" i="2"/>
  <c r="AH35" i="2"/>
  <c r="AG35" i="2"/>
  <c r="AF35" i="2"/>
  <c r="AB35" i="2"/>
  <c r="AA35" i="2"/>
  <c r="Z35" i="2"/>
  <c r="Y35" i="2"/>
  <c r="X35" i="2"/>
  <c r="U35" i="2"/>
  <c r="T35" i="2"/>
  <c r="CR34" i="2"/>
  <c r="CG34" i="2"/>
  <c r="CF34" i="2"/>
  <c r="CE34" i="2"/>
  <c r="BU34" i="2"/>
  <c r="BT34" i="2"/>
  <c r="BS34" i="2"/>
  <c r="BR34" i="2"/>
  <c r="BQ34" i="2"/>
  <c r="DN33" i="2"/>
  <c r="DL33" i="2"/>
  <c r="DJ33" i="2"/>
  <c r="DH33" i="2"/>
  <c r="CS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L33" i="2"/>
  <c r="AK33" i="2"/>
  <c r="AJ33" i="2"/>
  <c r="AI33" i="2"/>
  <c r="AH33" i="2"/>
  <c r="AG33" i="2"/>
  <c r="AF33" i="2"/>
  <c r="AE33" i="2"/>
  <c r="AD33" i="2"/>
  <c r="AA33" i="2"/>
  <c r="X33" i="2"/>
  <c r="W33" i="2"/>
  <c r="V33" i="2"/>
  <c r="U33" i="2"/>
  <c r="T33" i="2"/>
  <c r="S33" i="2"/>
  <c r="R33" i="2"/>
  <c r="DL32" i="2"/>
  <c r="CT32" i="2"/>
  <c r="CD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A32" i="2"/>
  <c r="AZ32" i="2"/>
  <c r="AY32" i="2"/>
  <c r="AX32" i="2"/>
  <c r="AW32" i="2"/>
  <c r="AV32" i="2"/>
  <c r="AT32" i="2"/>
  <c r="AS32" i="2"/>
  <c r="AR32" i="2"/>
  <c r="AP32" i="2"/>
  <c r="AO32" i="2"/>
  <c r="AN32" i="2"/>
  <c r="AJ32" i="2"/>
  <c r="AH32" i="2"/>
  <c r="AG32" i="2"/>
  <c r="AF32" i="2"/>
  <c r="AD32" i="2"/>
  <c r="AB32" i="2"/>
  <c r="AA32" i="2"/>
  <c r="Z32" i="2"/>
  <c r="Y32" i="2"/>
  <c r="X32" i="2"/>
  <c r="W32" i="2"/>
  <c r="AT31" i="2"/>
  <c r="AS31" i="2"/>
  <c r="AR31" i="2"/>
  <c r="AQ31" i="2"/>
  <c r="AP31" i="2"/>
  <c r="AO31" i="2"/>
  <c r="AN31" i="2"/>
  <c r="U31" i="2"/>
  <c r="T31" i="2"/>
  <c r="S31" i="2"/>
  <c r="R31" i="2"/>
  <c r="V31" i="2" s="1"/>
  <c r="AT30" i="2"/>
  <c r="AR30" i="2"/>
  <c r="AP30" i="2"/>
  <c r="AN30" i="2"/>
  <c r="AH30" i="2"/>
  <c r="AG30" i="2"/>
  <c r="AD30" i="2"/>
  <c r="AC30" i="2"/>
  <c r="AB30" i="2"/>
  <c r="AA30" i="2"/>
  <c r="Z30" i="2"/>
  <c r="Y30" i="2"/>
  <c r="X30" i="2"/>
  <c r="W30" i="2"/>
  <c r="U30" i="2"/>
  <c r="S30" i="2"/>
  <c r="AT29" i="2"/>
  <c r="AS29" i="2"/>
  <c r="AR29" i="2"/>
  <c r="AQ29" i="2"/>
  <c r="AP29" i="2"/>
  <c r="AO29" i="2"/>
  <c r="AN29" i="2"/>
  <c r="AH29" i="2"/>
  <c r="AG29" i="2"/>
  <c r="AF29" i="2"/>
  <c r="AE29" i="2"/>
  <c r="AA29" i="2"/>
  <c r="Y29" i="2"/>
  <c r="W29" i="2"/>
  <c r="U29" i="2"/>
  <c r="T29" i="2"/>
  <c r="R29" i="2"/>
  <c r="AT28" i="2"/>
  <c r="AN28" i="2"/>
  <c r="V27" i="2"/>
  <c r="R27" i="2"/>
  <c r="O27" i="2"/>
  <c r="N27" i="2"/>
  <c r="L27" i="2"/>
  <c r="J27" i="2"/>
  <c r="H27" i="2"/>
  <c r="DN26" i="2"/>
  <c r="DL26" i="2"/>
  <c r="DK26" i="2"/>
  <c r="DE26" i="2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X26" i="2"/>
  <c r="W26" i="2"/>
  <c r="V26" i="2"/>
  <c r="U26" i="2"/>
  <c r="T26" i="2"/>
  <c r="Q26" i="2"/>
  <c r="P26" i="2"/>
  <c r="O26" i="2"/>
  <c r="N26" i="2"/>
  <c r="M26" i="2"/>
  <c r="L26" i="2"/>
  <c r="J26" i="2"/>
  <c r="I26" i="2"/>
  <c r="H26" i="2"/>
  <c r="G26" i="2"/>
  <c r="DN25" i="2"/>
  <c r="DM25" i="2"/>
  <c r="DF25" i="2"/>
  <c r="DE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X25" i="2"/>
  <c r="W25" i="2"/>
  <c r="V25" i="2"/>
  <c r="U25" i="2"/>
  <c r="T25" i="2"/>
  <c r="S25" i="2"/>
  <c r="Q25" i="2"/>
  <c r="P25" i="2"/>
  <c r="O25" i="2"/>
  <c r="N25" i="2"/>
  <c r="M25" i="2"/>
  <c r="L25" i="2"/>
  <c r="K25" i="2"/>
  <c r="J25" i="2"/>
  <c r="I25" i="2"/>
  <c r="H25" i="2"/>
  <c r="G25" i="2"/>
  <c r="F25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BU24" i="2"/>
  <c r="BT24" i="2"/>
  <c r="BS24" i="2"/>
  <c r="BR24" i="2"/>
  <c r="BQ24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F23" i="2"/>
  <c r="CD23" i="2"/>
  <c r="CC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AZ23" i="2"/>
  <c r="AM23" i="2"/>
  <c r="AE23" i="2"/>
  <c r="DN22" i="2"/>
  <c r="DJ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BP22" i="2"/>
  <c r="BO22" i="2"/>
  <c r="BN22" i="2"/>
  <c r="BL22" i="2"/>
  <c r="BK22" i="2"/>
  <c r="BI22" i="2"/>
  <c r="BG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A22" i="2"/>
  <c r="Q22" i="2"/>
  <c r="P22" i="2"/>
  <c r="O22" i="2"/>
  <c r="L22" i="2"/>
  <c r="DO18" i="2"/>
  <c r="DN18" i="2"/>
  <c r="DM18" i="2"/>
  <c r="DL18" i="2"/>
  <c r="DK18" i="2"/>
  <c r="DF18" i="2"/>
  <c r="DD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H18" i="2"/>
  <c r="AG18" i="2"/>
  <c r="AF18" i="2"/>
  <c r="AE18" i="2"/>
  <c r="AD18" i="2"/>
  <c r="AB18" i="2"/>
  <c r="AA18" i="2"/>
  <c r="Z18" i="2"/>
  <c r="Y18" i="2"/>
  <c r="X18" i="2"/>
  <c r="W18" i="2"/>
  <c r="DN17" i="2"/>
  <c r="DM17" i="2"/>
  <c r="DL17" i="2"/>
  <c r="DK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H17" i="2"/>
  <c r="BF17" i="2"/>
  <c r="AY17" i="2"/>
  <c r="AU17" i="2"/>
  <c r="AL17" i="2"/>
  <c r="AK17" i="2"/>
  <c r="AJ17" i="2"/>
  <c r="AI17" i="2"/>
  <c r="V17" i="2"/>
  <c r="U17" i="2"/>
  <c r="T17" i="2"/>
  <c r="S17" i="2"/>
  <c r="R17" i="2"/>
  <c r="DN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BU16" i="2"/>
  <c r="BT16" i="2"/>
  <c r="BS16" i="2"/>
  <c r="BR16" i="2"/>
  <c r="BQ16" i="2"/>
  <c r="DO15" i="2"/>
  <c r="DN15" i="2"/>
  <c r="DM15" i="2"/>
  <c r="DL15" i="2"/>
  <c r="DK15" i="2"/>
  <c r="DJ15" i="2"/>
  <c r="DI15" i="2"/>
  <c r="DH15" i="2"/>
  <c r="DF15" i="2"/>
  <c r="CZ15" i="2"/>
  <c r="CY15" i="2"/>
  <c r="CX15" i="2"/>
  <c r="CW15" i="2"/>
  <c r="CV15" i="2"/>
  <c r="CU15" i="2"/>
  <c r="CT15" i="2"/>
  <c r="CS15" i="2"/>
  <c r="CR15" i="2"/>
  <c r="CQ15" i="2"/>
  <c r="CO15" i="2"/>
  <c r="CN15" i="2"/>
  <c r="CM15" i="2"/>
  <c r="CB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T15" i="2"/>
  <c r="S15" i="2"/>
  <c r="R15" i="2"/>
  <c r="DO14" i="2"/>
  <c r="DN14" i="2"/>
  <c r="DM14" i="2"/>
  <c r="DL14" i="2"/>
  <c r="DH14" i="2"/>
  <c r="DE14" i="2"/>
  <c r="CZ14" i="2"/>
  <c r="CY14" i="2"/>
  <c r="CX14" i="2"/>
  <c r="CW14" i="2"/>
  <c r="CV14" i="2"/>
  <c r="CU14" i="2"/>
  <c r="CT14" i="2"/>
  <c r="CS14" i="2"/>
  <c r="CQ14" i="2"/>
  <c r="CP14" i="2"/>
  <c r="CO14" i="2"/>
  <c r="CN14" i="2"/>
  <c r="CC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DF13" i="2"/>
  <c r="AT13" i="2"/>
  <c r="AN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DF12" i="2"/>
  <c r="AT12" i="2"/>
  <c r="AS12" i="2"/>
  <c r="AR12" i="2"/>
  <c r="AQ12" i="2"/>
  <c r="AP12" i="2"/>
  <c r="AO12" i="2"/>
  <c r="AN12" i="2"/>
  <c r="U12" i="2"/>
  <c r="T12" i="2"/>
  <c r="S12" i="2"/>
  <c r="R12" i="2"/>
  <c r="DF11" i="2"/>
  <c r="AT11" i="2"/>
  <c r="AS11" i="2"/>
  <c r="AR11" i="2"/>
  <c r="AQ11" i="2"/>
  <c r="AP11" i="2"/>
  <c r="AO11" i="2"/>
  <c r="AN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U11" i="2"/>
  <c r="T11" i="2"/>
  <c r="R11" i="2"/>
  <c r="DF10" i="2"/>
  <c r="AT10" i="2"/>
  <c r="AP10" i="2"/>
  <c r="AN10" i="2"/>
  <c r="AH10" i="2"/>
  <c r="AG10" i="2"/>
  <c r="AF10" i="2"/>
  <c r="AE10" i="2"/>
  <c r="AD10" i="2"/>
  <c r="AC10" i="2"/>
  <c r="AB10" i="2"/>
  <c r="AA10" i="2"/>
  <c r="Y10" i="2"/>
  <c r="X10" i="2"/>
  <c r="W10" i="2"/>
  <c r="DF9" i="2"/>
  <c r="V9" i="2"/>
  <c r="U9" i="2"/>
  <c r="T9" i="2"/>
  <c r="S9" i="2"/>
  <c r="R9" i="2"/>
  <c r="DO8" i="2"/>
  <c r="DN8" i="2"/>
  <c r="DM8" i="2"/>
  <c r="DL8" i="2"/>
  <c r="DK8" i="2"/>
  <c r="BU8" i="2"/>
  <c r="BT8" i="2"/>
  <c r="BS8" i="2"/>
  <c r="BR8" i="2"/>
  <c r="BQ8" i="2"/>
  <c r="AY8" i="2"/>
  <c r="AX8" i="2"/>
  <c r="AW8" i="2"/>
  <c r="AV8" i="2"/>
  <c r="AT8" i="2"/>
  <c r="AS8" i="2"/>
  <c r="AR8" i="2"/>
  <c r="AQ8" i="2"/>
  <c r="AP8" i="2"/>
  <c r="AO8" i="2"/>
  <c r="AH8" i="2"/>
  <c r="AG8" i="2"/>
  <c r="AF8" i="2"/>
  <c r="AE8" i="2"/>
  <c r="AD8" i="2"/>
  <c r="AC8" i="2"/>
  <c r="AB8" i="2"/>
  <c r="AA8" i="2"/>
  <c r="Z8" i="2"/>
  <c r="X8" i="2"/>
  <c r="W8" i="2"/>
  <c r="V8" i="2"/>
  <c r="U8" i="2"/>
  <c r="T8" i="2"/>
  <c r="Q8" i="2"/>
  <c r="DM7" i="2"/>
  <c r="DF7" i="2"/>
  <c r="DD7" i="2"/>
  <c r="CX7" i="2"/>
  <c r="CU7" i="2"/>
  <c r="CT7" i="2"/>
  <c r="CR7" i="2"/>
  <c r="CP7" i="2"/>
  <c r="CO7" i="2"/>
  <c r="CN7" i="2"/>
  <c r="CM7" i="2"/>
  <c r="BZ7" i="2"/>
  <c r="BW7" i="2"/>
  <c r="BV7" i="2"/>
  <c r="BU7" i="2"/>
  <c r="BT7" i="2"/>
  <c r="BS7" i="2"/>
  <c r="BR7" i="2"/>
  <c r="BQ7" i="2"/>
  <c r="BP7" i="2"/>
  <c r="BN7" i="2"/>
  <c r="BK7" i="2"/>
  <c r="BJ7" i="2"/>
  <c r="AH7" i="2"/>
  <c r="AG7" i="2"/>
  <c r="AF7" i="2"/>
  <c r="AE7" i="2"/>
  <c r="AD7" i="2"/>
  <c r="AC7" i="2"/>
  <c r="AB7" i="2"/>
  <c r="AA7" i="2"/>
  <c r="Z7" i="2"/>
  <c r="X7" i="2"/>
  <c r="W7" i="2"/>
  <c r="V7" i="2"/>
  <c r="U7" i="2"/>
  <c r="T7" i="2"/>
  <c r="S7" i="2"/>
  <c r="Q7" i="2"/>
  <c r="P7" i="2"/>
  <c r="K7" i="2"/>
  <c r="F7" i="2"/>
  <c r="DO6" i="2"/>
  <c r="DN6" i="2"/>
  <c r="DM6" i="2"/>
  <c r="DL6" i="2"/>
  <c r="DK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F6" i="2"/>
  <c r="CE6" i="2"/>
  <c r="BU6" i="2"/>
  <c r="BT6" i="2"/>
  <c r="BS6" i="2"/>
  <c r="BR6" i="2"/>
  <c r="BQ6" i="2"/>
  <c r="DO5" i="2"/>
  <c r="DN5" i="2"/>
  <c r="DM5" i="2"/>
  <c r="DL5" i="2"/>
  <c r="DK5" i="2"/>
  <c r="DD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C5" i="2"/>
  <c r="CB5" i="2"/>
  <c r="BZ5" i="2"/>
  <c r="BY5" i="2"/>
  <c r="BV5" i="2"/>
  <c r="BU5" i="2"/>
  <c r="BT5" i="2"/>
  <c r="BS5" i="2"/>
  <c r="BR5" i="2"/>
  <c r="BQ5" i="2"/>
  <c r="BJ5" i="2"/>
  <c r="BH5" i="2"/>
  <c r="BF5" i="2"/>
  <c r="BE5" i="2"/>
  <c r="AY5" i="2"/>
  <c r="AX5" i="2"/>
  <c r="AW5" i="2"/>
  <c r="AV5" i="2"/>
  <c r="AU5" i="2"/>
  <c r="AT5" i="2"/>
  <c r="AS5" i="2"/>
  <c r="AR5" i="2"/>
  <c r="AQ5" i="2"/>
  <c r="AP5" i="2"/>
  <c r="AO5" i="2"/>
  <c r="AN5" i="2"/>
  <c r="AK5" i="2"/>
  <c r="AE5" i="2"/>
  <c r="AD5" i="2"/>
  <c r="AB5" i="2"/>
  <c r="Z5" i="2"/>
  <c r="T5" i="2"/>
  <c r="P5" i="2"/>
  <c r="O5" i="2"/>
  <c r="N5" i="2"/>
  <c r="L5" i="2"/>
  <c r="J5" i="2"/>
  <c r="I5" i="2"/>
  <c r="H5" i="2"/>
  <c r="G5" i="2"/>
  <c r="DO4" i="2"/>
  <c r="DN4" i="2"/>
  <c r="DM4" i="2"/>
  <c r="DL4" i="2"/>
  <c r="DK4" i="2"/>
  <c r="DJ4" i="2"/>
  <c r="DB4" i="2"/>
  <c r="DA4" i="2"/>
  <c r="CZ4" i="2"/>
  <c r="CY4" i="2"/>
  <c r="CX4" i="2"/>
  <c r="CU4" i="2"/>
  <c r="CT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O4" i="2"/>
  <c r="AH4" i="2"/>
  <c r="AG4" i="2"/>
  <c r="AF4" i="2"/>
  <c r="AE4" i="2"/>
  <c r="AD4" i="2"/>
  <c r="AA4" i="2"/>
  <c r="Z4" i="2"/>
  <c r="Q4" i="2"/>
  <c r="P4" i="2"/>
  <c r="O4" i="2"/>
  <c r="J4" i="2"/>
  <c r="I4" i="2"/>
  <c r="H4" i="2"/>
  <c r="G4" i="2"/>
  <c r="CS4" i="2" l="1"/>
  <c r="CE40" i="2"/>
  <c r="P12" i="4"/>
  <c r="M87" i="4"/>
  <c r="C98" i="4"/>
  <c r="CN42" i="2" s="1"/>
  <c r="C99" i="4"/>
  <c r="BW8" i="2" s="1"/>
  <c r="F150" i="4"/>
  <c r="K29" i="9" s="1"/>
  <c r="Q156" i="4"/>
  <c r="AK8" i="2" s="1"/>
  <c r="Q157" i="4"/>
  <c r="Q155" i="4"/>
  <c r="P52" i="5"/>
  <c r="P41" i="5"/>
  <c r="B382" i="5"/>
  <c r="B388" i="5"/>
  <c r="R46" i="6"/>
  <c r="R52" i="6"/>
  <c r="R164" i="7"/>
  <c r="Q7" i="3"/>
  <c r="Q8" i="3" s="1"/>
  <c r="J9" i="3"/>
  <c r="M86" i="7"/>
  <c r="M92" i="7"/>
  <c r="S109" i="7"/>
  <c r="S411" i="7"/>
  <c r="R139" i="4"/>
  <c r="AA5" i="2"/>
  <c r="CF40" i="2"/>
  <c r="BY43" i="2"/>
  <c r="J17" i="9" s="1"/>
  <c r="DF53" i="2"/>
  <c r="C15" i="4"/>
  <c r="DE6" i="2" s="1"/>
  <c r="O47" i="4"/>
  <c r="CH4" i="2" s="1"/>
  <c r="D99" i="4"/>
  <c r="BX8" i="2" s="1"/>
  <c r="D98" i="4"/>
  <c r="CO42" i="2" s="1"/>
  <c r="D97" i="4"/>
  <c r="BX22" i="2" s="1"/>
  <c r="R134" i="4"/>
  <c r="I257" i="4"/>
  <c r="C382" i="5"/>
  <c r="C388" i="5"/>
  <c r="R392" i="6"/>
  <c r="L395" i="6"/>
  <c r="L404" i="6"/>
  <c r="E176" i="7"/>
  <c r="P170" i="7"/>
  <c r="F170" i="6"/>
  <c r="F156" i="6"/>
  <c r="M61" i="7"/>
  <c r="M64" i="7"/>
  <c r="I393" i="7"/>
  <c r="AU54" i="2" s="1"/>
  <c r="I33" i="7"/>
  <c r="DF26" i="2"/>
  <c r="G88" i="4"/>
  <c r="CR41" i="2" s="1"/>
  <c r="G89" i="4"/>
  <c r="L289" i="4"/>
  <c r="L290" i="4"/>
  <c r="R68" i="5"/>
  <c r="R62" i="5"/>
  <c r="E121" i="7"/>
  <c r="P115" i="7"/>
  <c r="P65" i="7" s="1"/>
  <c r="P323" i="7"/>
  <c r="B326" i="7"/>
  <c r="BE54" i="2" s="1"/>
  <c r="P31" i="3"/>
  <c r="N49" i="3"/>
  <c r="R84" i="3"/>
  <c r="I8" i="4"/>
  <c r="R72" i="4"/>
  <c r="CK7" i="2" s="1"/>
  <c r="M120" i="4"/>
  <c r="CG41" i="2" s="1"/>
  <c r="Q236" i="4"/>
  <c r="I7" i="2" s="1"/>
  <c r="I282" i="4"/>
  <c r="I71" i="6"/>
  <c r="CC51" i="2" s="1"/>
  <c r="I146" i="6"/>
  <c r="I111" i="7"/>
  <c r="O227" i="7"/>
  <c r="D239" i="7"/>
  <c r="H235" i="7"/>
  <c r="H241" i="7"/>
  <c r="L393" i="7"/>
  <c r="AX54" i="2" s="1"/>
  <c r="L33" i="7"/>
  <c r="L360" i="7"/>
  <c r="L14" i="7" s="1"/>
  <c r="Q536" i="7"/>
  <c r="Q486" i="7" s="1"/>
  <c r="R20" i="4"/>
  <c r="R21" i="4"/>
  <c r="R170" i="4"/>
  <c r="E30" i="9" s="1"/>
  <c r="R171" i="4"/>
  <c r="BC43" i="2" s="1"/>
  <c r="C352" i="4"/>
  <c r="M380" i="6"/>
  <c r="M404" i="6"/>
  <c r="Q325" i="7"/>
  <c r="Q317" i="7"/>
  <c r="M326" i="7"/>
  <c r="BP54" i="2" s="1"/>
  <c r="M318" i="7"/>
  <c r="R35" i="9" s="1"/>
  <c r="P449" i="7"/>
  <c r="P89" i="7"/>
  <c r="I597" i="7"/>
  <c r="I605" i="7"/>
  <c r="R118" i="4"/>
  <c r="R120" i="4" s="1"/>
  <c r="BT41" i="2" s="1"/>
  <c r="J346" i="5"/>
  <c r="J352" i="5"/>
  <c r="H189" i="4"/>
  <c r="K315" i="4"/>
  <c r="P230" i="4"/>
  <c r="P232" i="4" s="1"/>
  <c r="H8" i="2" s="1"/>
  <c r="F232" i="4"/>
  <c r="J256" i="4"/>
  <c r="N288" i="4"/>
  <c r="H364" i="4"/>
  <c r="Q363" i="4"/>
  <c r="R108" i="5"/>
  <c r="P180" i="5"/>
  <c r="J345" i="6"/>
  <c r="J340" i="6"/>
  <c r="G234" i="7"/>
  <c r="G240" i="7"/>
  <c r="R323" i="7"/>
  <c r="R201" i="7"/>
  <c r="F375" i="7"/>
  <c r="AR36" i="2" s="1"/>
  <c r="P359" i="7"/>
  <c r="P367" i="7" s="1"/>
  <c r="E367" i="7"/>
  <c r="L428" i="7"/>
  <c r="L369" i="7"/>
  <c r="BH7" i="2"/>
  <c r="CP50" i="2"/>
  <c r="N4" i="4"/>
  <c r="I15" i="4"/>
  <c r="K35" i="4"/>
  <c r="O64" i="4"/>
  <c r="L99" i="4"/>
  <c r="CF8" i="2" s="1"/>
  <c r="C129" i="4"/>
  <c r="J152" i="4"/>
  <c r="Q222" i="4"/>
  <c r="T43" i="2" s="1"/>
  <c r="Q51" i="4"/>
  <c r="L281" i="4"/>
  <c r="K289" i="4"/>
  <c r="R34" i="6"/>
  <c r="O63" i="6"/>
  <c r="O45" i="6"/>
  <c r="K138" i="6"/>
  <c r="AF51" i="2" s="1"/>
  <c r="J30" i="7"/>
  <c r="I425" i="7"/>
  <c r="J433" i="7"/>
  <c r="AE17" i="2" s="1"/>
  <c r="I550" i="7"/>
  <c r="K544" i="7"/>
  <c r="V11" i="2"/>
  <c r="O219" i="4"/>
  <c r="C386" i="6"/>
  <c r="B362" i="6"/>
  <c r="Q449" i="7"/>
  <c r="Q89" i="7"/>
  <c r="O35" i="10"/>
  <c r="R70" i="5"/>
  <c r="K305" i="6"/>
  <c r="H371" i="6"/>
  <c r="H365" i="6"/>
  <c r="Q359" i="6"/>
  <c r="Q365" i="6" s="1"/>
  <c r="H419" i="7"/>
  <c r="H427" i="7" s="1"/>
  <c r="C240" i="4"/>
  <c r="AZ7" i="2"/>
  <c r="E365" i="6"/>
  <c r="E126" i="7"/>
  <c r="P114" i="7"/>
  <c r="P64" i="7" s="1"/>
  <c r="BG7" i="2"/>
  <c r="G15" i="4"/>
  <c r="DI6" i="2" s="1"/>
  <c r="P64" i="4"/>
  <c r="Q5" i="2"/>
  <c r="M41" i="4"/>
  <c r="Q124" i="4"/>
  <c r="Q125" i="4"/>
  <c r="P125" i="4"/>
  <c r="C161" i="4"/>
  <c r="J189" i="4"/>
  <c r="H339" i="4"/>
  <c r="E455" i="4"/>
  <c r="P455" i="4" s="1"/>
  <c r="L53" i="5"/>
  <c r="R44" i="5"/>
  <c r="C136" i="5"/>
  <c r="C125" i="5"/>
  <c r="X50" i="2" s="1"/>
  <c r="I254" i="6"/>
  <c r="K433" i="7"/>
  <c r="AF17" i="2" s="1"/>
  <c r="K127" i="7"/>
  <c r="K71" i="7"/>
  <c r="I549" i="7"/>
  <c r="I535" i="7"/>
  <c r="I543" i="7" s="1"/>
  <c r="R18" i="10"/>
  <c r="R19" i="10"/>
  <c r="R12" i="10"/>
  <c r="P32" i="10"/>
  <c r="DI26" i="2"/>
  <c r="H161" i="4"/>
  <c r="H160" i="4"/>
  <c r="AT7" i="2" s="1"/>
  <c r="M5" i="2"/>
  <c r="P340" i="7"/>
  <c r="P348" i="7"/>
  <c r="BM5" i="2"/>
  <c r="Q149" i="4"/>
  <c r="K9" i="3"/>
  <c r="C68" i="4"/>
  <c r="DE42" i="2" s="1"/>
  <c r="I188" i="4"/>
  <c r="AD23" i="2" s="1"/>
  <c r="K207" i="4"/>
  <c r="K151" i="4"/>
  <c r="BN41" i="2" s="1"/>
  <c r="J231" i="4"/>
  <c r="R51" i="5"/>
  <c r="R45" i="5"/>
  <c r="Q613" i="7"/>
  <c r="Q565" i="7" s="1"/>
  <c r="H616" i="7"/>
  <c r="H618" i="7" s="1"/>
  <c r="H629" i="7"/>
  <c r="H565" i="7"/>
  <c r="AR4" i="2"/>
  <c r="CQ4" i="2"/>
  <c r="M22" i="2"/>
  <c r="I27" i="2"/>
  <c r="Q62" i="3"/>
  <c r="O7" i="4"/>
  <c r="O8" i="4" s="1"/>
  <c r="I34" i="4"/>
  <c r="DK23" i="2" s="1"/>
  <c r="F87" i="4"/>
  <c r="R140" i="4"/>
  <c r="AL4" i="2" s="1"/>
  <c r="D150" i="4"/>
  <c r="I29" i="9" s="1"/>
  <c r="O157" i="4"/>
  <c r="Q247" i="4"/>
  <c r="N43" i="2" s="1"/>
  <c r="L427" i="4"/>
  <c r="R17" i="6"/>
  <c r="CK15" i="2" s="1"/>
  <c r="Q32" i="6"/>
  <c r="I94" i="6"/>
  <c r="BL51" i="2" s="1"/>
  <c r="P236" i="6"/>
  <c r="J312" i="6"/>
  <c r="I312" i="6"/>
  <c r="J184" i="7"/>
  <c r="C604" i="7"/>
  <c r="P590" i="7"/>
  <c r="P542" i="7" s="1"/>
  <c r="R317" i="7"/>
  <c r="R325" i="7"/>
  <c r="S561" i="7"/>
  <c r="S511" i="7" s="1"/>
  <c r="Q22" i="10"/>
  <c r="P21" i="10"/>
  <c r="N4" i="2"/>
  <c r="X5" i="2"/>
  <c r="N22" i="2"/>
  <c r="CC40" i="2"/>
  <c r="O199" i="5"/>
  <c r="S39" i="3"/>
  <c r="S31" i="3" s="1"/>
  <c r="Q67" i="3"/>
  <c r="Q80" i="3"/>
  <c r="B35" i="4"/>
  <c r="P135" i="4"/>
  <c r="BR44" i="2" s="1"/>
  <c r="Q139" i="4"/>
  <c r="Q140" i="4"/>
  <c r="BS43" i="2" s="1"/>
  <c r="G256" i="4"/>
  <c r="G257" i="4"/>
  <c r="L65" i="5"/>
  <c r="L119" i="5"/>
  <c r="R117" i="5"/>
  <c r="H343" i="7"/>
  <c r="M34" i="9" s="1"/>
  <c r="K70" i="7"/>
  <c r="R416" i="7"/>
  <c r="U18" i="2" s="1"/>
  <c r="L432" i="7"/>
  <c r="J600" i="7"/>
  <c r="J608" i="7"/>
  <c r="R625" i="7"/>
  <c r="B152" i="4"/>
  <c r="O177" i="4"/>
  <c r="B180" i="4"/>
  <c r="AN41" i="2" s="1"/>
  <c r="N222" i="4"/>
  <c r="V43" i="2" s="1"/>
  <c r="E306" i="4"/>
  <c r="L389" i="4"/>
  <c r="O85" i="6"/>
  <c r="O136" i="6"/>
  <c r="I218" i="6"/>
  <c r="Q202" i="6"/>
  <c r="I395" i="6"/>
  <c r="I401" i="6" s="1"/>
  <c r="M11" i="7"/>
  <c r="Q147" i="7"/>
  <c r="L295" i="7"/>
  <c r="L294" i="7"/>
  <c r="O317" i="7"/>
  <c r="O325" i="7"/>
  <c r="P417" i="7"/>
  <c r="P507" i="7"/>
  <c r="P534" i="7"/>
  <c r="E542" i="7"/>
  <c r="F608" i="7"/>
  <c r="F600" i="7"/>
  <c r="F34" i="4"/>
  <c r="DH23" i="2" s="1"/>
  <c r="G67" i="4"/>
  <c r="CR8" i="2" s="1"/>
  <c r="P166" i="4"/>
  <c r="BA44" i="2" s="1"/>
  <c r="C188" i="4"/>
  <c r="X23" i="2" s="1"/>
  <c r="J207" i="4"/>
  <c r="J289" i="4"/>
  <c r="C327" i="4"/>
  <c r="P336" i="4"/>
  <c r="C381" i="4"/>
  <c r="E389" i="4"/>
  <c r="N410" i="4"/>
  <c r="N422" i="4"/>
  <c r="P68" i="5"/>
  <c r="B141" i="5"/>
  <c r="D255" i="5"/>
  <c r="P85" i="6"/>
  <c r="P154" i="6"/>
  <c r="R324" i="6"/>
  <c r="O364" i="6"/>
  <c r="M365" i="6"/>
  <c r="M389" i="6"/>
  <c r="R393" i="6"/>
  <c r="R381" i="6" s="1"/>
  <c r="D49" i="7"/>
  <c r="DF17" i="2" s="1"/>
  <c r="L70" i="7"/>
  <c r="L64" i="7"/>
  <c r="P201" i="7"/>
  <c r="R203" i="7"/>
  <c r="R197" i="7"/>
  <c r="P317" i="7"/>
  <c r="L318" i="7"/>
  <c r="Q35" i="9" s="1"/>
  <c r="L326" i="7"/>
  <c r="BO54" i="2" s="1"/>
  <c r="K365" i="7"/>
  <c r="J428" i="7"/>
  <c r="J369" i="7"/>
  <c r="O577" i="7"/>
  <c r="K600" i="7"/>
  <c r="P8" i="10"/>
  <c r="P238" i="4"/>
  <c r="H23" i="2" s="1"/>
  <c r="P248" i="4"/>
  <c r="R269" i="4"/>
  <c r="P273" i="4"/>
  <c r="G377" i="4"/>
  <c r="L406" i="4"/>
  <c r="E463" i="4"/>
  <c r="Q5" i="5"/>
  <c r="R32" i="5"/>
  <c r="G65" i="5"/>
  <c r="Q175" i="5"/>
  <c r="C231" i="6"/>
  <c r="D389" i="6"/>
  <c r="E211" i="7"/>
  <c r="E217" i="7" s="1"/>
  <c r="E216" i="7"/>
  <c r="L178" i="7"/>
  <c r="E274" i="7"/>
  <c r="J45" i="9" s="1"/>
  <c r="E280" i="7"/>
  <c r="BY53" i="2" s="1"/>
  <c r="J21" i="9" s="1"/>
  <c r="Q323" i="7"/>
  <c r="I410" i="7"/>
  <c r="AU53" i="2" s="1"/>
  <c r="J419" i="7"/>
  <c r="M492" i="7"/>
  <c r="M484" i="7"/>
  <c r="M521" i="7"/>
  <c r="D648" i="7"/>
  <c r="D584" i="7"/>
  <c r="R650" i="7"/>
  <c r="N44" i="3"/>
  <c r="F8" i="4"/>
  <c r="DH5" i="2" s="1"/>
  <c r="L61" i="4"/>
  <c r="E87" i="4"/>
  <c r="K129" i="4"/>
  <c r="R157" i="4"/>
  <c r="R156" i="4"/>
  <c r="AL8" i="2" s="1"/>
  <c r="R192" i="4"/>
  <c r="AL44" i="2" s="1"/>
  <c r="C206" i="4"/>
  <c r="X41" i="2" s="1"/>
  <c r="O227" i="4"/>
  <c r="L40" i="2" s="1"/>
  <c r="O278" i="4"/>
  <c r="K331" i="4"/>
  <c r="B352" i="4"/>
  <c r="H402" i="4"/>
  <c r="F35" i="5"/>
  <c r="L109" i="5"/>
  <c r="AX50" i="2" s="1"/>
  <c r="P150" i="5"/>
  <c r="P141" i="5" s="1"/>
  <c r="Q209" i="5"/>
  <c r="M323" i="5"/>
  <c r="M315" i="5"/>
  <c r="M325" i="5" s="1"/>
  <c r="H382" i="5"/>
  <c r="Q376" i="5"/>
  <c r="O9" i="6"/>
  <c r="H210" i="6"/>
  <c r="P304" i="6"/>
  <c r="P346" i="6"/>
  <c r="I371" i="6"/>
  <c r="I365" i="6"/>
  <c r="H8" i="7"/>
  <c r="J72" i="7"/>
  <c r="J122" i="7"/>
  <c r="R216" i="7"/>
  <c r="R222" i="7"/>
  <c r="M393" i="7"/>
  <c r="AY54" i="2" s="1"/>
  <c r="M33" i="7"/>
  <c r="O466" i="7"/>
  <c r="O108" i="7"/>
  <c r="J490" i="7"/>
  <c r="L491" i="7"/>
  <c r="C494" i="7"/>
  <c r="C486" i="7"/>
  <c r="L482" i="7"/>
  <c r="L598" i="7"/>
  <c r="V29" i="2"/>
  <c r="G9" i="4"/>
  <c r="K42" i="4"/>
  <c r="DM24" i="2" s="1"/>
  <c r="N124" i="4"/>
  <c r="L131" i="4"/>
  <c r="K180" i="4"/>
  <c r="AW41" i="2" s="1"/>
  <c r="K189" i="4"/>
  <c r="P57" i="4"/>
  <c r="D206" i="4"/>
  <c r="N210" i="4"/>
  <c r="O230" i="4"/>
  <c r="O232" i="4" s="1"/>
  <c r="G8" i="2" s="1"/>
  <c r="H240" i="4"/>
  <c r="O253" i="4"/>
  <c r="P255" i="4"/>
  <c r="D290" i="4"/>
  <c r="B314" i="4"/>
  <c r="Q348" i="4"/>
  <c r="K381" i="4"/>
  <c r="R253" i="5"/>
  <c r="S300" i="5"/>
  <c r="J401" i="5"/>
  <c r="R22" i="6"/>
  <c r="S44" i="6"/>
  <c r="O64" i="6"/>
  <c r="K71" i="6"/>
  <c r="CE51" i="2" s="1"/>
  <c r="I210" i="6"/>
  <c r="R279" i="6"/>
  <c r="Q346" i="6"/>
  <c r="J371" i="6"/>
  <c r="K420" i="6"/>
  <c r="K9" i="7"/>
  <c r="E80" i="7"/>
  <c r="E92" i="7" s="1"/>
  <c r="DG36" i="2" s="1"/>
  <c r="E83" i="7"/>
  <c r="R165" i="7"/>
  <c r="R103" i="7"/>
  <c r="R159" i="7"/>
  <c r="M142" i="7"/>
  <c r="Q214" i="7"/>
  <c r="G374" i="7"/>
  <c r="AS17" i="2" s="1"/>
  <c r="G366" i="7"/>
  <c r="P466" i="7"/>
  <c r="B540" i="7"/>
  <c r="I596" i="7"/>
  <c r="F623" i="7"/>
  <c r="E623" i="7"/>
  <c r="P681" i="7"/>
  <c r="S681" i="7" s="1"/>
  <c r="P8" i="3"/>
  <c r="P44" i="3"/>
  <c r="Q12" i="4"/>
  <c r="P21" i="4"/>
  <c r="P108" i="4"/>
  <c r="CI43" i="2" s="1"/>
  <c r="O124" i="4"/>
  <c r="E206" i="4"/>
  <c r="Z41" i="2" s="1"/>
  <c r="E256" i="4"/>
  <c r="R263" i="4"/>
  <c r="B281" i="4"/>
  <c r="O330" i="4"/>
  <c r="M344" i="4"/>
  <c r="P426" i="4"/>
  <c r="R471" i="4"/>
  <c r="L11" i="5"/>
  <c r="Q20" i="5"/>
  <c r="Q33" i="5"/>
  <c r="Q29" i="5"/>
  <c r="D47" i="5"/>
  <c r="I144" i="5"/>
  <c r="B227" i="5"/>
  <c r="B210" i="5" s="1"/>
  <c r="Q233" i="5"/>
  <c r="J388" i="5"/>
  <c r="J364" i="5"/>
  <c r="Q5" i="6"/>
  <c r="I220" i="6"/>
  <c r="J210" i="6"/>
  <c r="I398" i="6"/>
  <c r="M420" i="6"/>
  <c r="L10" i="7"/>
  <c r="L72" i="7"/>
  <c r="G89" i="7"/>
  <c r="G83" i="7"/>
  <c r="G80" i="7"/>
  <c r="G86" i="7" s="1"/>
  <c r="J167" i="7"/>
  <c r="Q284" i="7"/>
  <c r="H287" i="7"/>
  <c r="I293" i="7"/>
  <c r="K302" i="7"/>
  <c r="K294" i="7"/>
  <c r="D410" i="7"/>
  <c r="AP53" i="2" s="1"/>
  <c r="Q466" i="7"/>
  <c r="Q108" i="7"/>
  <c r="C463" i="7"/>
  <c r="C412" i="7" s="1"/>
  <c r="C469" i="7"/>
  <c r="X53" i="2" s="1"/>
  <c r="R579" i="7"/>
  <c r="L606" i="7"/>
  <c r="G631" i="7"/>
  <c r="G567" i="7"/>
  <c r="D656" i="7"/>
  <c r="P310" i="4"/>
  <c r="Q10" i="5"/>
  <c r="M11" i="5"/>
  <c r="R20" i="5"/>
  <c r="D23" i="5"/>
  <c r="DF32" i="2" s="1"/>
  <c r="R33" i="5"/>
  <c r="Q32" i="5"/>
  <c r="L71" i="5"/>
  <c r="CF50" i="2" s="1"/>
  <c r="C227" i="5"/>
  <c r="B315" i="5"/>
  <c r="B333" i="5" s="1"/>
  <c r="B323" i="5"/>
  <c r="M71" i="6"/>
  <c r="CG51" i="2" s="1"/>
  <c r="C211" i="6"/>
  <c r="R359" i="6"/>
  <c r="L371" i="6"/>
  <c r="C9" i="7"/>
  <c r="S278" i="7"/>
  <c r="J280" i="7"/>
  <c r="CD53" i="2" s="1"/>
  <c r="P325" i="7"/>
  <c r="R395" i="7"/>
  <c r="K446" i="7"/>
  <c r="K395" i="7" s="1"/>
  <c r="K452" i="7"/>
  <c r="AF54" i="2" s="1"/>
  <c r="D492" i="7"/>
  <c r="E630" i="7"/>
  <c r="E566" i="7"/>
  <c r="P614" i="7"/>
  <c r="H631" i="7"/>
  <c r="H623" i="7"/>
  <c r="E692" i="7"/>
  <c r="E694" i="7" s="1"/>
  <c r="G647" i="7"/>
  <c r="L402" i="4"/>
  <c r="R10" i="5"/>
  <c r="Q64" i="5"/>
  <c r="C160" i="5"/>
  <c r="C192" i="5"/>
  <c r="C315" i="5"/>
  <c r="C333" i="5" s="1"/>
  <c r="C323" i="5"/>
  <c r="R92" i="6"/>
  <c r="R84" i="6"/>
  <c r="R207" i="6"/>
  <c r="G204" i="6"/>
  <c r="G212" i="6" s="1"/>
  <c r="G218" i="6"/>
  <c r="G105" i="7"/>
  <c r="G111" i="7"/>
  <c r="K86" i="7"/>
  <c r="M183" i="7"/>
  <c r="R316" i="7"/>
  <c r="R324" i="7"/>
  <c r="L367" i="7"/>
  <c r="L375" i="7"/>
  <c r="AX36" i="2" s="1"/>
  <c r="G486" i="7"/>
  <c r="R577" i="7"/>
  <c r="M579" i="7"/>
  <c r="J656" i="7"/>
  <c r="Q681" i="7"/>
  <c r="F692" i="7"/>
  <c r="F694" i="7" s="1"/>
  <c r="E99" i="4"/>
  <c r="BY8" i="2" s="1"/>
  <c r="B150" i="4"/>
  <c r="G29" i="9" s="1"/>
  <c r="Q171" i="4"/>
  <c r="BB43" i="2" s="1"/>
  <c r="Q205" i="4"/>
  <c r="Q219" i="4"/>
  <c r="D256" i="4"/>
  <c r="H290" i="4"/>
  <c r="B364" i="4"/>
  <c r="F356" i="4"/>
  <c r="K455" i="4"/>
  <c r="K451" i="4" s="1"/>
  <c r="L463" i="4"/>
  <c r="L439" i="4" s="1"/>
  <c r="D331" i="5"/>
  <c r="D315" i="5"/>
  <c r="D325" i="5" s="1"/>
  <c r="S84" i="6"/>
  <c r="F326" i="6"/>
  <c r="J405" i="6"/>
  <c r="J399" i="6"/>
  <c r="J64" i="7"/>
  <c r="J70" i="7"/>
  <c r="M71" i="7"/>
  <c r="R85" i="7"/>
  <c r="O170" i="7"/>
  <c r="E172" i="7"/>
  <c r="E122" i="7" s="1"/>
  <c r="P203" i="7"/>
  <c r="P197" i="7"/>
  <c r="S254" i="7"/>
  <c r="S260" i="7"/>
  <c r="P273" i="7"/>
  <c r="L274" i="7"/>
  <c r="K374" i="7"/>
  <c r="AW17" i="2" s="1"/>
  <c r="K366" i="7"/>
  <c r="C182" i="7"/>
  <c r="E550" i="7"/>
  <c r="G692" i="7"/>
  <c r="G694" i="7" s="1"/>
  <c r="R288" i="4"/>
  <c r="R323" i="4"/>
  <c r="P348" i="4"/>
  <c r="M377" i="4"/>
  <c r="P33" i="5"/>
  <c r="G35" i="5"/>
  <c r="DI50" i="2" s="1"/>
  <c r="R84" i="5"/>
  <c r="Q253" i="5"/>
  <c r="R277" i="5"/>
  <c r="I382" i="5"/>
  <c r="S21" i="6"/>
  <c r="L65" i="6"/>
  <c r="G138" i="6"/>
  <c r="AB51" i="2" s="1"/>
  <c r="O236" i="6"/>
  <c r="D332" i="6"/>
  <c r="O346" i="6"/>
  <c r="L326" i="6"/>
  <c r="I420" i="6"/>
  <c r="G8" i="7"/>
  <c r="R114" i="7"/>
  <c r="E161" i="7"/>
  <c r="P171" i="7"/>
  <c r="P183" i="7" s="1"/>
  <c r="O260" i="7"/>
  <c r="K261" i="7"/>
  <c r="CE54" i="2" s="1"/>
  <c r="R342" i="7"/>
  <c r="E410" i="7"/>
  <c r="AQ53" i="2" s="1"/>
  <c r="B471" i="7"/>
  <c r="W48" i="2" s="1"/>
  <c r="H483" i="7"/>
  <c r="O507" i="7"/>
  <c r="E512" i="7"/>
  <c r="K527" i="7"/>
  <c r="R583" i="7"/>
  <c r="B622" i="7"/>
  <c r="R6" i="10"/>
  <c r="P13" i="10"/>
  <c r="P19" i="10"/>
  <c r="O26" i="10"/>
  <c r="B289" i="4"/>
  <c r="J339" i="4"/>
  <c r="F389" i="4"/>
  <c r="P34" i="5"/>
  <c r="O51" i="5"/>
  <c r="H47" i="5"/>
  <c r="E85" i="5"/>
  <c r="J32" i="9" s="1"/>
  <c r="O110" i="5"/>
  <c r="R126" i="5"/>
  <c r="O181" i="5"/>
  <c r="Q177" i="5"/>
  <c r="E227" i="5"/>
  <c r="E234" i="5" s="1"/>
  <c r="E285" i="5"/>
  <c r="I352" i="5"/>
  <c r="D364" i="5"/>
  <c r="C65" i="6"/>
  <c r="H44" i="9" s="1"/>
  <c r="H65" i="6"/>
  <c r="M121" i="6"/>
  <c r="L146" i="6"/>
  <c r="H170" i="6"/>
  <c r="H156" i="6"/>
  <c r="H172" i="6" s="1"/>
  <c r="P279" i="6"/>
  <c r="C326" i="6"/>
  <c r="K395" i="6"/>
  <c r="K407" i="6" s="1"/>
  <c r="D9" i="7"/>
  <c r="J49" i="7"/>
  <c r="S165" i="7"/>
  <c r="F173" i="7"/>
  <c r="I184" i="7"/>
  <c r="Q216" i="7"/>
  <c r="J235" i="7"/>
  <c r="R278" i="7"/>
  <c r="I367" i="7"/>
  <c r="Q395" i="7"/>
  <c r="I424" i="7"/>
  <c r="J425" i="7"/>
  <c r="K490" i="7"/>
  <c r="D486" i="7"/>
  <c r="B519" i="7"/>
  <c r="B521" i="7" s="1"/>
  <c r="F544" i="7"/>
  <c r="F596" i="7"/>
  <c r="H630" i="7"/>
  <c r="Q615" i="7"/>
  <c r="C647" i="7"/>
  <c r="F255" i="5"/>
  <c r="R11" i="6"/>
  <c r="L170" i="6"/>
  <c r="P280" i="6"/>
  <c r="C420" i="6"/>
  <c r="F72" i="7"/>
  <c r="B92" i="7"/>
  <c r="DD36" i="2" s="1"/>
  <c r="J111" i="7"/>
  <c r="P145" i="7"/>
  <c r="B148" i="7"/>
  <c r="DD54" i="2" s="1"/>
  <c r="R160" i="7"/>
  <c r="I183" i="7"/>
  <c r="H161" i="7"/>
  <c r="L240" i="7"/>
  <c r="K293" i="7"/>
  <c r="L374" i="7"/>
  <c r="AX17" i="2" s="1"/>
  <c r="H486" i="7"/>
  <c r="L541" i="7"/>
  <c r="I647" i="7"/>
  <c r="I227" i="5"/>
  <c r="G255" i="5"/>
  <c r="O298" i="5"/>
  <c r="R361" i="5"/>
  <c r="E388" i="5"/>
  <c r="L11" i="6"/>
  <c r="P20" i="6"/>
  <c r="I53" i="6"/>
  <c r="I47" i="6"/>
  <c r="D121" i="6"/>
  <c r="O185" i="6"/>
  <c r="Q280" i="6"/>
  <c r="O302" i="6"/>
  <c r="P323" i="6"/>
  <c r="D61" i="7"/>
  <c r="G120" i="7"/>
  <c r="K173" i="7"/>
  <c r="I223" i="7"/>
  <c r="CT53" i="2" s="1"/>
  <c r="M240" i="7"/>
  <c r="M366" i="7"/>
  <c r="P468" i="7"/>
  <c r="P511" i="7"/>
  <c r="K541" i="7"/>
  <c r="I692" i="7"/>
  <c r="I694" i="7" s="1"/>
  <c r="F109" i="5"/>
  <c r="Q123" i="5"/>
  <c r="K227" i="5"/>
  <c r="K210" i="5" s="1"/>
  <c r="J227" i="5"/>
  <c r="J234" i="5" s="1"/>
  <c r="K285" i="5"/>
  <c r="F388" i="5"/>
  <c r="M11" i="6"/>
  <c r="I65" i="6"/>
  <c r="P185" i="6"/>
  <c r="R260" i="6"/>
  <c r="S304" i="6"/>
  <c r="P362" i="6"/>
  <c r="C365" i="6"/>
  <c r="D92" i="7"/>
  <c r="DF36" i="2" s="1"/>
  <c r="R104" i="7"/>
  <c r="L182" i="7"/>
  <c r="J223" i="7"/>
  <c r="CU53" i="2" s="1"/>
  <c r="I375" i="7"/>
  <c r="AU36" i="2" s="1"/>
  <c r="O417" i="7"/>
  <c r="O71" i="7" s="1"/>
  <c r="G92" i="7"/>
  <c r="DI36" i="2" s="1"/>
  <c r="P525" i="7"/>
  <c r="K548" i="7"/>
  <c r="Q614" i="7"/>
  <c r="J692" i="7"/>
  <c r="J694" i="7" s="1"/>
  <c r="L692" i="7"/>
  <c r="O5" i="10"/>
  <c r="O6" i="10"/>
  <c r="G109" i="5"/>
  <c r="F159" i="5"/>
  <c r="L227" i="5"/>
  <c r="L210" i="5" s="1"/>
  <c r="O300" i="5"/>
  <c r="R343" i="5"/>
  <c r="O339" i="5"/>
  <c r="S85" i="6"/>
  <c r="B219" i="6"/>
  <c r="M282" i="6"/>
  <c r="R337" i="6"/>
  <c r="R345" i="6" s="1"/>
  <c r="Q362" i="6"/>
  <c r="L105" i="7"/>
  <c r="I127" i="7"/>
  <c r="Q164" i="7"/>
  <c r="C167" i="7"/>
  <c r="L183" i="7"/>
  <c r="F176" i="7"/>
  <c r="P271" i="7"/>
  <c r="B235" i="7"/>
  <c r="B294" i="7"/>
  <c r="C410" i="7"/>
  <c r="AO53" i="2" s="1"/>
  <c r="O416" i="7"/>
  <c r="O126" i="7" s="1"/>
  <c r="I484" i="7"/>
  <c r="C512" i="7"/>
  <c r="R511" i="7"/>
  <c r="F701" i="7"/>
  <c r="Q6" i="10"/>
  <c r="O8" i="10"/>
  <c r="K148" i="6"/>
  <c r="BR40" i="2"/>
  <c r="BA5" i="2"/>
  <c r="M17" i="3"/>
  <c r="M27" i="3"/>
  <c r="BX40" i="2"/>
  <c r="I15" i="9" s="1"/>
  <c r="BG5" i="2"/>
  <c r="N145" i="4"/>
  <c r="F28" i="9" s="1"/>
  <c r="AM5" i="2"/>
  <c r="H232" i="4"/>
  <c r="H231" i="4"/>
  <c r="O235" i="4"/>
  <c r="O236" i="4"/>
  <c r="G7" i="2" s="1"/>
  <c r="G22" i="2"/>
  <c r="Q14" i="4"/>
  <c r="I61" i="4"/>
  <c r="I60" i="4"/>
  <c r="DK41" i="2" s="1"/>
  <c r="Q93" i="6"/>
  <c r="Q85" i="6"/>
  <c r="P30" i="9"/>
  <c r="AF5" i="2"/>
  <c r="O145" i="4"/>
  <c r="B28" i="9" s="1"/>
  <c r="O146" i="4"/>
  <c r="AZ40" i="2" s="1"/>
  <c r="Q30" i="9"/>
  <c r="AG5" i="2"/>
  <c r="M215" i="4"/>
  <c r="B162" i="4"/>
  <c r="AN23" i="2" s="1"/>
  <c r="P23" i="2"/>
  <c r="O294" i="4"/>
  <c r="O293" i="4"/>
  <c r="N313" i="4"/>
  <c r="D289" i="4"/>
  <c r="Q83" i="5"/>
  <c r="BB32" i="2"/>
  <c r="H93" i="5"/>
  <c r="BK50" i="2" s="1"/>
  <c r="H85" i="5"/>
  <c r="M32" i="9" s="1"/>
  <c r="B41" i="6"/>
  <c r="B47" i="6" s="1"/>
  <c r="O40" i="6"/>
  <c r="B46" i="6"/>
  <c r="P64" i="6"/>
  <c r="P70" i="6"/>
  <c r="BA15" i="2"/>
  <c r="O91" i="6"/>
  <c r="O83" i="6"/>
  <c r="BF7" i="2"/>
  <c r="AM15" i="2"/>
  <c r="J8" i="3"/>
  <c r="L77" i="4"/>
  <c r="DN43" i="2" s="1"/>
  <c r="CB40" i="2"/>
  <c r="BK5" i="2"/>
  <c r="BX43" i="2"/>
  <c r="I17" i="9" s="1"/>
  <c r="AP4" i="2"/>
  <c r="R145" i="4"/>
  <c r="E28" i="9" s="1"/>
  <c r="G162" i="4"/>
  <c r="AS23" i="2" s="1"/>
  <c r="G160" i="4"/>
  <c r="AS7" i="2" s="1"/>
  <c r="L180" i="4"/>
  <c r="AX41" i="2" s="1"/>
  <c r="L181" i="4"/>
  <c r="Q240" i="4"/>
  <c r="L339" i="4"/>
  <c r="L364" i="4"/>
  <c r="Q92" i="5"/>
  <c r="P110" i="5"/>
  <c r="S102" i="5"/>
  <c r="Q108" i="5"/>
  <c r="Q70" i="6"/>
  <c r="Q46" i="6"/>
  <c r="BB15" i="2"/>
  <c r="M65" i="6"/>
  <c r="O62" i="6"/>
  <c r="Q64" i="6"/>
  <c r="I274" i="7"/>
  <c r="I280" i="7"/>
  <c r="CC53" i="2" s="1"/>
  <c r="F292" i="7"/>
  <c r="F300" i="7"/>
  <c r="F287" i="7"/>
  <c r="L395" i="7"/>
  <c r="O467" i="7"/>
  <c r="O109" i="7"/>
  <c r="O411" i="7"/>
  <c r="F463" i="7"/>
  <c r="F412" i="7" s="1"/>
  <c r="F410" i="7"/>
  <c r="AR53" i="2" s="1"/>
  <c r="AH5" i="2"/>
  <c r="Q40" i="3"/>
  <c r="C16" i="4"/>
  <c r="M61" i="4"/>
  <c r="M60" i="4"/>
  <c r="DO41" i="2" s="1"/>
  <c r="O86" i="4"/>
  <c r="B89" i="4"/>
  <c r="BZ44" i="2"/>
  <c r="K18" i="9" s="1"/>
  <c r="BI7" i="2"/>
  <c r="N170" i="4"/>
  <c r="Q172" i="4"/>
  <c r="P64" i="5"/>
  <c r="P46" i="5"/>
  <c r="Q63" i="5"/>
  <c r="H65" i="5"/>
  <c r="P70" i="5"/>
  <c r="P84" i="5"/>
  <c r="B399" i="6"/>
  <c r="O393" i="6"/>
  <c r="O381" i="6" s="1"/>
  <c r="F15" i="7"/>
  <c r="F9" i="7"/>
  <c r="AN4" i="2"/>
  <c r="AM35" i="2"/>
  <c r="R7" i="3"/>
  <c r="R8" i="3" s="1"/>
  <c r="K8" i="3"/>
  <c r="N45" i="4"/>
  <c r="N47" i="4" s="1"/>
  <c r="CL4" i="2" s="1"/>
  <c r="E46" i="4"/>
  <c r="E40" i="4"/>
  <c r="E41" i="4" s="1"/>
  <c r="P83" i="4"/>
  <c r="CI40" i="2" s="1"/>
  <c r="P82" i="4"/>
  <c r="O128" i="4"/>
  <c r="O130" i="4" s="1"/>
  <c r="BE22" i="2"/>
  <c r="R165" i="4"/>
  <c r="E31" i="9" s="1"/>
  <c r="R167" i="4"/>
  <c r="R166" i="4"/>
  <c r="U4" i="2" s="1"/>
  <c r="X4" i="2"/>
  <c r="BF44" i="2"/>
  <c r="R179" i="4"/>
  <c r="R180" i="4" s="1"/>
  <c r="AL41" i="2" s="1"/>
  <c r="R202" i="4"/>
  <c r="U40" i="2" s="1"/>
  <c r="R203" i="4"/>
  <c r="O9" i="2" s="1"/>
  <c r="O185" i="4"/>
  <c r="F264" i="4"/>
  <c r="F265" i="4"/>
  <c r="Q303" i="4"/>
  <c r="F306" i="4"/>
  <c r="F307" i="4"/>
  <c r="G307" i="4"/>
  <c r="F281" i="4"/>
  <c r="CW50" i="2"/>
  <c r="CF32" i="2"/>
  <c r="Q59" i="5"/>
  <c r="M65" i="5"/>
  <c r="L85" i="5"/>
  <c r="Q32" i="9" s="1"/>
  <c r="CY33" i="2"/>
  <c r="CH15" i="2"/>
  <c r="R214" i="7"/>
  <c r="R158" i="7"/>
  <c r="R228" i="7"/>
  <c r="K240" i="7"/>
  <c r="M241" i="7"/>
  <c r="M235" i="7"/>
  <c r="R390" i="7"/>
  <c r="R357" i="7"/>
  <c r="D393" i="7"/>
  <c r="AP54" i="2" s="1"/>
  <c r="D360" i="7"/>
  <c r="D33" i="7"/>
  <c r="M16" i="4"/>
  <c r="L161" i="4"/>
  <c r="C389" i="4"/>
  <c r="N368" i="4"/>
  <c r="N393" i="4"/>
  <c r="L414" i="4"/>
  <c r="O22" i="5"/>
  <c r="O10" i="5"/>
  <c r="K23" i="5"/>
  <c r="DM32" i="2" s="1"/>
  <c r="R17" i="5"/>
  <c r="CK14" i="2" s="1"/>
  <c r="Q46" i="5"/>
  <c r="S155" i="6"/>
  <c r="O139" i="6"/>
  <c r="S177" i="6"/>
  <c r="O163" i="6"/>
  <c r="D162" i="4"/>
  <c r="AP23" i="2" s="1"/>
  <c r="D161" i="4"/>
  <c r="E162" i="4"/>
  <c r="AQ23" i="2" s="1"/>
  <c r="I232" i="4"/>
  <c r="P236" i="4"/>
  <c r="H7" i="2" s="1"/>
  <c r="L352" i="4"/>
  <c r="L327" i="4"/>
  <c r="AG28" i="2"/>
  <c r="M86" i="6"/>
  <c r="R33" i="9" s="1"/>
  <c r="M94" i="6"/>
  <c r="BP51" i="2" s="1"/>
  <c r="L215" i="4"/>
  <c r="L214" i="4"/>
  <c r="L16" i="4"/>
  <c r="Q235" i="4"/>
  <c r="L332" i="4"/>
  <c r="L331" i="4"/>
  <c r="Q25" i="10"/>
  <c r="Q26" i="10"/>
  <c r="I22" i="2"/>
  <c r="P13" i="3"/>
  <c r="P17" i="3"/>
  <c r="H35" i="4"/>
  <c r="H34" i="4"/>
  <c r="DJ23" i="2" s="1"/>
  <c r="J60" i="4"/>
  <c r="DL41" i="2" s="1"/>
  <c r="C87" i="4"/>
  <c r="C89" i="4"/>
  <c r="C88" i="4"/>
  <c r="CN41" i="2" s="1"/>
  <c r="Q165" i="4"/>
  <c r="D31" i="9" s="1"/>
  <c r="Q166" i="4"/>
  <c r="Q202" i="4"/>
  <c r="T40" i="2" s="1"/>
  <c r="Q203" i="4"/>
  <c r="N9" i="2" s="1"/>
  <c r="N218" i="4"/>
  <c r="V44" i="2" s="1"/>
  <c r="N135" i="4"/>
  <c r="N192" i="4"/>
  <c r="AM44" i="2" s="1"/>
  <c r="N21" i="4"/>
  <c r="Q70" i="5"/>
  <c r="G15" i="7"/>
  <c r="G9" i="7"/>
  <c r="K16" i="4"/>
  <c r="DD26" i="2"/>
  <c r="CM4" i="2"/>
  <c r="P86" i="4"/>
  <c r="E89" i="4"/>
  <c r="C97" i="4"/>
  <c r="BW22" i="2" s="1"/>
  <c r="D131" i="4"/>
  <c r="BF22" i="2"/>
  <c r="CC44" i="2"/>
  <c r="BL7" i="2"/>
  <c r="Y4" i="2"/>
  <c r="BG44" i="2"/>
  <c r="K402" i="4"/>
  <c r="R401" i="4"/>
  <c r="P21" i="5"/>
  <c r="M93" i="5"/>
  <c r="BP50" i="2" s="1"/>
  <c r="M85" i="5"/>
  <c r="R32" i="9" s="1"/>
  <c r="AK15" i="2"/>
  <c r="R58" i="3"/>
  <c r="O63" i="3"/>
  <c r="M63" i="3"/>
  <c r="R12" i="4"/>
  <c r="P45" i="4"/>
  <c r="P51" i="4"/>
  <c r="P50" i="4"/>
  <c r="CZ24" i="2" s="1"/>
  <c r="O50" i="4"/>
  <c r="CY24" i="2" s="1"/>
  <c r="C67" i="4"/>
  <c r="CN8" i="2" s="1"/>
  <c r="C41" i="4"/>
  <c r="R83" i="4"/>
  <c r="CK40" i="2" s="1"/>
  <c r="F89" i="4"/>
  <c r="O118" i="4"/>
  <c r="K130" i="4"/>
  <c r="K188" i="4"/>
  <c r="AF23" i="2" s="1"/>
  <c r="Q218" i="4"/>
  <c r="T44" i="2" s="1"/>
  <c r="L257" i="4"/>
  <c r="L256" i="4"/>
  <c r="N289" i="4"/>
  <c r="AC18" i="2"/>
  <c r="AM33" i="2"/>
  <c r="N63" i="2"/>
  <c r="I63" i="2"/>
  <c r="S57" i="3"/>
  <c r="P63" i="3"/>
  <c r="P62" i="3"/>
  <c r="O62" i="3"/>
  <c r="E8" i="4"/>
  <c r="DG5" i="2" s="1"/>
  <c r="D16" i="4"/>
  <c r="D15" i="4"/>
  <c r="DF6" i="2" s="1"/>
  <c r="H15" i="4"/>
  <c r="DJ6" i="2" s="1"/>
  <c r="Q50" i="4"/>
  <c r="M130" i="4"/>
  <c r="R155" i="4"/>
  <c r="P184" i="4"/>
  <c r="P185" i="4"/>
  <c r="P155" i="4"/>
  <c r="K331" i="5"/>
  <c r="Q63" i="6"/>
  <c r="Q92" i="6"/>
  <c r="C162" i="6"/>
  <c r="C156" i="6"/>
  <c r="P139" i="6"/>
  <c r="P163" i="6"/>
  <c r="H405" i="6"/>
  <c r="G399" i="6"/>
  <c r="N359" i="6"/>
  <c r="F365" i="6"/>
  <c r="P359" i="6"/>
  <c r="R253" i="7"/>
  <c r="R259" i="7"/>
  <c r="I261" i="7"/>
  <c r="CC54" i="2" s="1"/>
  <c r="I255" i="7"/>
  <c r="J129" i="4"/>
  <c r="J130" i="4"/>
  <c r="BM8" i="2" s="1"/>
  <c r="BM22" i="2"/>
  <c r="J131" i="4"/>
  <c r="R228" i="4"/>
  <c r="J9" i="2" s="1"/>
  <c r="R85" i="6"/>
  <c r="R93" i="6"/>
  <c r="AL15" i="2"/>
  <c r="BE7" i="2"/>
  <c r="Q22" i="3"/>
  <c r="L42" i="4"/>
  <c r="DN24" i="2" s="1"/>
  <c r="P303" i="4"/>
  <c r="P277" i="4"/>
  <c r="G314" i="4"/>
  <c r="G315" i="4"/>
  <c r="F389" i="6"/>
  <c r="P377" i="6"/>
  <c r="AZ15" i="2"/>
  <c r="BA23" i="2"/>
  <c r="M34" i="4"/>
  <c r="DO23" i="2" s="1"/>
  <c r="M8" i="4"/>
  <c r="M35" i="4"/>
  <c r="P66" i="4"/>
  <c r="E67" i="4"/>
  <c r="CP8" i="2" s="1"/>
  <c r="Q73" i="4"/>
  <c r="Q72" i="4"/>
  <c r="CJ7" i="2" s="1"/>
  <c r="Q115" i="4"/>
  <c r="O159" i="4"/>
  <c r="O161" i="4" s="1"/>
  <c r="D160" i="4"/>
  <c r="AP7" i="2" s="1"/>
  <c r="J281" i="4"/>
  <c r="H352" i="4"/>
  <c r="H327" i="4"/>
  <c r="Q355" i="4"/>
  <c r="H356" i="4"/>
  <c r="Q401" i="4"/>
  <c r="M53" i="5"/>
  <c r="M47" i="5"/>
  <c r="N312" i="5"/>
  <c r="K315" i="5"/>
  <c r="K325" i="5" s="1"/>
  <c r="B52" i="6"/>
  <c r="P137" i="6"/>
  <c r="P114" i="6"/>
  <c r="M146" i="6"/>
  <c r="L115" i="6"/>
  <c r="L132" i="6"/>
  <c r="L148" i="6" s="1"/>
  <c r="W5" i="2"/>
  <c r="AY50" i="2"/>
  <c r="F15" i="4"/>
  <c r="DH6" i="2" s="1"/>
  <c r="Q33" i="4"/>
  <c r="J42" i="4"/>
  <c r="DL24" i="2" s="1"/>
  <c r="J41" i="4"/>
  <c r="J15" i="4"/>
  <c r="P103" i="4"/>
  <c r="CI44" i="2" s="1"/>
  <c r="P102" i="4"/>
  <c r="BR23" i="2" s="1"/>
  <c r="R115" i="4"/>
  <c r="C120" i="4"/>
  <c r="BW41" i="2" s="1"/>
  <c r="H16" i="9" s="1"/>
  <c r="L150" i="4"/>
  <c r="Q29" i="9" s="1"/>
  <c r="L151" i="4"/>
  <c r="BO41" i="2" s="1"/>
  <c r="BK44" i="2"/>
  <c r="AC4" i="2"/>
  <c r="R184" i="4"/>
  <c r="U22" i="2" s="1"/>
  <c r="P187" i="4"/>
  <c r="R205" i="4"/>
  <c r="R9" i="4" s="1"/>
  <c r="O252" i="4"/>
  <c r="G40" i="2" s="1"/>
  <c r="R255" i="4"/>
  <c r="O405" i="4"/>
  <c r="F431" i="4"/>
  <c r="I11" i="5"/>
  <c r="DK14" i="2"/>
  <c r="M115" i="6"/>
  <c r="M132" i="6"/>
  <c r="M148" i="6" s="1"/>
  <c r="M113" i="6"/>
  <c r="AY51" i="2" s="1"/>
  <c r="J261" i="6"/>
  <c r="J237" i="6"/>
  <c r="P324" i="6"/>
  <c r="P303" i="6"/>
  <c r="D345" i="6"/>
  <c r="K128" i="7"/>
  <c r="K66" i="7"/>
  <c r="CR32" i="2"/>
  <c r="Q54" i="3"/>
  <c r="Q53" i="3"/>
  <c r="Q21" i="4"/>
  <c r="Q20" i="4"/>
  <c r="N25" i="4"/>
  <c r="N24" i="4"/>
  <c r="K41" i="4"/>
  <c r="K15" i="4"/>
  <c r="G60" i="4"/>
  <c r="DI41" i="2" s="1"/>
  <c r="G61" i="4"/>
  <c r="P59" i="4"/>
  <c r="P60" i="4" s="1"/>
  <c r="CZ41" i="2" s="1"/>
  <c r="F97" i="4"/>
  <c r="BZ22" i="2" s="1"/>
  <c r="F98" i="4"/>
  <c r="CQ42" i="2" s="1"/>
  <c r="Q128" i="4"/>
  <c r="BB22" i="2" s="1"/>
  <c r="M152" i="4"/>
  <c r="M151" i="4"/>
  <c r="BP41" i="2" s="1"/>
  <c r="M119" i="4"/>
  <c r="E231" i="4"/>
  <c r="E232" i="4"/>
  <c r="K339" i="4"/>
  <c r="K340" i="4"/>
  <c r="E377" i="4"/>
  <c r="P376" i="4"/>
  <c r="AE28" i="2"/>
  <c r="AV50" i="2"/>
  <c r="D144" i="5"/>
  <c r="O105" i="6"/>
  <c r="B121" i="6"/>
  <c r="B113" i="6"/>
  <c r="AN51" i="2" s="1"/>
  <c r="B107" i="6"/>
  <c r="F55" i="7"/>
  <c r="F49" i="7"/>
  <c r="DH17" i="2" s="1"/>
  <c r="R49" i="3"/>
  <c r="C61" i="4"/>
  <c r="C60" i="4"/>
  <c r="DE41" i="2" s="1"/>
  <c r="Q185" i="4"/>
  <c r="Q184" i="4"/>
  <c r="T22" i="2" s="1"/>
  <c r="M188" i="4"/>
  <c r="AH23" i="2" s="1"/>
  <c r="R219" i="4"/>
  <c r="J307" i="4"/>
  <c r="J381" i="4"/>
  <c r="P50" i="5"/>
  <c r="P32" i="5"/>
  <c r="C299" i="5"/>
  <c r="C306" i="5"/>
  <c r="D306" i="5"/>
  <c r="L323" i="5"/>
  <c r="L331" i="5"/>
  <c r="DK7" i="2"/>
  <c r="N58" i="3"/>
  <c r="P5" i="4"/>
  <c r="K34" i="4"/>
  <c r="DM23" i="2" s="1"/>
  <c r="R33" i="4"/>
  <c r="R35" i="4" s="1"/>
  <c r="L120" i="4"/>
  <c r="CF41" i="2" s="1"/>
  <c r="M131" i="4"/>
  <c r="P167" i="4"/>
  <c r="R185" i="4"/>
  <c r="G289" i="4"/>
  <c r="G290" i="4"/>
  <c r="R334" i="4"/>
  <c r="R310" i="4" s="1"/>
  <c r="R376" i="4"/>
  <c r="K377" i="4"/>
  <c r="S33" i="5"/>
  <c r="D153" i="5"/>
  <c r="D159" i="5"/>
  <c r="O151" i="5"/>
  <c r="J153" i="5"/>
  <c r="J161" i="5" s="1"/>
  <c r="M177" i="5"/>
  <c r="M161" i="5" s="1"/>
  <c r="M183" i="5"/>
  <c r="R20" i="6"/>
  <c r="R380" i="6"/>
  <c r="O127" i="7"/>
  <c r="O65" i="7"/>
  <c r="AM14" i="2"/>
  <c r="V12" i="2"/>
  <c r="Q5" i="4"/>
  <c r="L34" i="4"/>
  <c r="DN23" i="2" s="1"/>
  <c r="R56" i="4"/>
  <c r="DB40" i="2" s="1"/>
  <c r="R57" i="4"/>
  <c r="F60" i="4"/>
  <c r="DH41" i="2" s="1"/>
  <c r="R92" i="4"/>
  <c r="N187" i="4"/>
  <c r="Q197" i="4"/>
  <c r="B206" i="4"/>
  <c r="W41" i="2" s="1"/>
  <c r="N205" i="4"/>
  <c r="J214" i="4"/>
  <c r="J215" i="4"/>
  <c r="J202" i="4"/>
  <c r="AE40" i="2" s="1"/>
  <c r="N226" i="4"/>
  <c r="N227" i="4" s="1"/>
  <c r="Q40" i="2" s="1"/>
  <c r="K257" i="4"/>
  <c r="K231" i="4"/>
  <c r="N268" i="4"/>
  <c r="L377" i="4"/>
  <c r="G406" i="4"/>
  <c r="P405" i="4"/>
  <c r="R426" i="4"/>
  <c r="S116" i="5"/>
  <c r="S92" i="5" s="1"/>
  <c r="R268" i="5"/>
  <c r="R254" i="5" s="1"/>
  <c r="P93" i="6"/>
  <c r="L86" i="6"/>
  <c r="Q33" i="9" s="1"/>
  <c r="L94" i="6"/>
  <c r="BO51" i="2" s="1"/>
  <c r="J115" i="6"/>
  <c r="J132" i="6"/>
  <c r="J146" i="6"/>
  <c r="M180" i="6"/>
  <c r="M196" i="6" s="1"/>
  <c r="M194" i="6"/>
  <c r="E15" i="7"/>
  <c r="L11" i="7"/>
  <c r="G125" i="5"/>
  <c r="AB50" i="2" s="1"/>
  <c r="G136" i="5"/>
  <c r="G142" i="5"/>
  <c r="O253" i="5"/>
  <c r="S246" i="5"/>
  <c r="S253" i="5" s="1"/>
  <c r="R70" i="6"/>
  <c r="R64" i="6"/>
  <c r="D162" i="6"/>
  <c r="D156" i="6"/>
  <c r="D172" i="6" s="1"/>
  <c r="E170" i="6"/>
  <c r="D170" i="6"/>
  <c r="Q139" i="6"/>
  <c r="Q163" i="6"/>
  <c r="E399" i="6"/>
  <c r="P393" i="6"/>
  <c r="P381" i="6" s="1"/>
  <c r="J410" i="7"/>
  <c r="AV53" i="2" s="1"/>
  <c r="J52" i="7"/>
  <c r="R35" i="10"/>
  <c r="P38" i="10"/>
  <c r="P25" i="10"/>
  <c r="U15" i="2"/>
  <c r="H8" i="4"/>
  <c r="DJ5" i="2" s="1"/>
  <c r="Q24" i="4"/>
  <c r="O46" i="4"/>
  <c r="R59" i="4"/>
  <c r="P77" i="4"/>
  <c r="CZ43" i="2" s="1"/>
  <c r="Q82" i="4"/>
  <c r="D89" i="4"/>
  <c r="R172" i="4"/>
  <c r="M181" i="4"/>
  <c r="M180" i="4"/>
  <c r="AY41" i="2" s="1"/>
  <c r="G189" i="4"/>
  <c r="P235" i="4"/>
  <c r="N277" i="4"/>
  <c r="F314" i="4"/>
  <c r="F315" i="4"/>
  <c r="F463" i="4"/>
  <c r="F439" i="4" s="1"/>
  <c r="F455" i="4"/>
  <c r="F451" i="4" s="1"/>
  <c r="F427" i="4" s="1"/>
  <c r="L47" i="5"/>
  <c r="S64" i="5"/>
  <c r="S70" i="5"/>
  <c r="L93" i="5"/>
  <c r="BO50" i="2" s="1"/>
  <c r="R92" i="5"/>
  <c r="R139" i="5"/>
  <c r="O232" i="5"/>
  <c r="P269" i="5"/>
  <c r="K346" i="5"/>
  <c r="K352" i="5"/>
  <c r="P16" i="6"/>
  <c r="S16" i="6"/>
  <c r="S22" i="6" s="1"/>
  <c r="E10" i="6"/>
  <c r="O29" i="6"/>
  <c r="O23" i="6" s="1"/>
  <c r="P122" i="5"/>
  <c r="P106" i="5"/>
  <c r="G183" i="5"/>
  <c r="G177" i="5"/>
  <c r="H193" i="5" s="1"/>
  <c r="P233" i="5"/>
  <c r="S225" i="5"/>
  <c r="P209" i="5"/>
  <c r="M401" i="5"/>
  <c r="R346" i="6"/>
  <c r="E345" i="6"/>
  <c r="K630" i="7"/>
  <c r="K622" i="7"/>
  <c r="K566" i="7"/>
  <c r="L63" i="2"/>
  <c r="O50" i="3"/>
  <c r="P68" i="3"/>
  <c r="P71" i="3"/>
  <c r="F35" i="4"/>
  <c r="J121" i="4"/>
  <c r="H129" i="4"/>
  <c r="H130" i="4"/>
  <c r="BK8" i="2" s="1"/>
  <c r="E160" i="4"/>
  <c r="AQ7" i="2" s="1"/>
  <c r="D215" i="4"/>
  <c r="D214" i="4"/>
  <c r="C282" i="4"/>
  <c r="Q122" i="5"/>
  <c r="Q202" i="5"/>
  <c r="Q204" i="5" s="1"/>
  <c r="D388" i="5"/>
  <c r="H71" i="7"/>
  <c r="H9" i="7"/>
  <c r="S145" i="7"/>
  <c r="S139" i="7"/>
  <c r="S83" i="7"/>
  <c r="E148" i="7"/>
  <c r="DG54" i="2" s="1"/>
  <c r="G261" i="7"/>
  <c r="CA54" i="2" s="1"/>
  <c r="G255" i="7"/>
  <c r="O663" i="7"/>
  <c r="C671" i="7"/>
  <c r="BM7" i="2"/>
  <c r="N40" i="3"/>
  <c r="R72" i="3"/>
  <c r="Q71" i="3"/>
  <c r="P72" i="3"/>
  <c r="Q83" i="3"/>
  <c r="I131" i="4"/>
  <c r="I130" i="4"/>
  <c r="BL8" i="2" s="1"/>
  <c r="AS4" i="2"/>
  <c r="CA43" i="2"/>
  <c r="P159" i="4"/>
  <c r="F162" i="4"/>
  <c r="AR23" i="2" s="1"/>
  <c r="F160" i="4"/>
  <c r="AR7" i="2" s="1"/>
  <c r="E161" i="4"/>
  <c r="J228" i="4"/>
  <c r="H306" i="4"/>
  <c r="R371" i="4"/>
  <c r="O348" i="4" s="1"/>
  <c r="B348" i="4"/>
  <c r="Q380" i="4"/>
  <c r="H381" i="4"/>
  <c r="H463" i="4"/>
  <c r="Q467" i="4"/>
  <c r="R5" i="5"/>
  <c r="Q158" i="5"/>
  <c r="G191" i="5"/>
  <c r="E382" i="5"/>
  <c r="P376" i="5"/>
  <c r="I332" i="6"/>
  <c r="I326" i="6"/>
  <c r="O394" i="7"/>
  <c r="O202" i="7"/>
  <c r="O90" i="7"/>
  <c r="O324" i="7"/>
  <c r="F446" i="7"/>
  <c r="F395" i="7" s="1"/>
  <c r="F452" i="7"/>
  <c r="AA54" i="2" s="1"/>
  <c r="G98" i="4"/>
  <c r="CR42" i="2" s="1"/>
  <c r="R218" i="4"/>
  <c r="U44" i="2" s="1"/>
  <c r="I377" i="4"/>
  <c r="K36" i="7"/>
  <c r="K30" i="7"/>
  <c r="L127" i="7"/>
  <c r="L65" i="7"/>
  <c r="L128" i="7"/>
  <c r="L66" i="7"/>
  <c r="Q44" i="3"/>
  <c r="S48" i="3"/>
  <c r="N5" i="4"/>
  <c r="O21" i="4"/>
  <c r="O37" i="4"/>
  <c r="CY8" i="2" s="1"/>
  <c r="B38" i="4"/>
  <c r="K121" i="4"/>
  <c r="K120" i="4"/>
  <c r="CE41" i="2" s="1"/>
  <c r="L130" i="4"/>
  <c r="K131" i="4"/>
  <c r="O155" i="4"/>
  <c r="O187" i="4"/>
  <c r="P189" i="4" s="1"/>
  <c r="Q213" i="4"/>
  <c r="N23" i="2" s="1"/>
  <c r="K306" i="4"/>
  <c r="Q376" i="4"/>
  <c r="Q459" i="4"/>
  <c r="J455" i="4"/>
  <c r="S20" i="5"/>
  <c r="E23" i="5"/>
  <c r="DG32" i="2" s="1"/>
  <c r="E11" i="5"/>
  <c r="DG14" i="2" s="1"/>
  <c r="O182" i="5"/>
  <c r="O158" i="5"/>
  <c r="L183" i="5"/>
  <c r="L191" i="5"/>
  <c r="R175" i="5"/>
  <c r="L177" i="5"/>
  <c r="L185" i="5" s="1"/>
  <c r="J53" i="6"/>
  <c r="R184" i="6"/>
  <c r="K186" i="6"/>
  <c r="K180" i="6"/>
  <c r="L196" i="6" s="1"/>
  <c r="K194" i="6"/>
  <c r="L194" i="6"/>
  <c r="C15" i="7"/>
  <c r="L204" i="7"/>
  <c r="CW54" i="2" s="1"/>
  <c r="L198" i="7"/>
  <c r="M63" i="2"/>
  <c r="Q13" i="3"/>
  <c r="Q26" i="3"/>
  <c r="P59" i="3"/>
  <c r="R80" i="3"/>
  <c r="Q4" i="4"/>
  <c r="P4" i="4"/>
  <c r="D42" i="4"/>
  <c r="DF24" i="2" s="1"/>
  <c r="Q135" i="4"/>
  <c r="BB7" i="2" s="1"/>
  <c r="Q134" i="4"/>
  <c r="K152" i="4"/>
  <c r="P210" i="4"/>
  <c r="F240" i="4"/>
  <c r="F239" i="4"/>
  <c r="Q294" i="4"/>
  <c r="F402" i="4"/>
  <c r="O107" i="5"/>
  <c r="R32" i="2" s="1"/>
  <c r="S99" i="5"/>
  <c r="S107" i="5" s="1"/>
  <c r="V32" i="2" s="1"/>
  <c r="R123" i="5"/>
  <c r="P124" i="5"/>
  <c r="P202" i="5"/>
  <c r="P204" i="5" s="1"/>
  <c r="E204" i="5"/>
  <c r="I234" i="5"/>
  <c r="P51" i="6"/>
  <c r="P69" i="6"/>
  <c r="G254" i="6"/>
  <c r="G237" i="6" s="1"/>
  <c r="N319" i="6"/>
  <c r="N326" i="6" s="1"/>
  <c r="J383" i="6"/>
  <c r="G30" i="7"/>
  <c r="DI18" i="2" s="1"/>
  <c r="G36" i="7"/>
  <c r="C92" i="7"/>
  <c r="DE36" i="2" s="1"/>
  <c r="C30" i="7"/>
  <c r="DE18" i="2" s="1"/>
  <c r="P71" i="7"/>
  <c r="P127" i="7"/>
  <c r="L527" i="7"/>
  <c r="L521" i="7"/>
  <c r="L529" i="7" s="1"/>
  <c r="R519" i="7"/>
  <c r="C542" i="7"/>
  <c r="O534" i="7"/>
  <c r="P22" i="3"/>
  <c r="Q58" i="3"/>
  <c r="R5" i="4"/>
  <c r="O20" i="4"/>
  <c r="Q31" i="4"/>
  <c r="P30" i="4"/>
  <c r="P31" i="4"/>
  <c r="M68" i="4"/>
  <c r="DO42" i="2" s="1"/>
  <c r="N140" i="4"/>
  <c r="C214" i="4"/>
  <c r="D231" i="4"/>
  <c r="G239" i="4"/>
  <c r="O248" i="4"/>
  <c r="O247" i="4"/>
  <c r="L43" i="2" s="1"/>
  <c r="O313" i="4"/>
  <c r="B319" i="4"/>
  <c r="N342" i="4"/>
  <c r="N343" i="4" s="1"/>
  <c r="O380" i="4"/>
  <c r="P401" i="4"/>
  <c r="G402" i="4"/>
  <c r="Q17" i="5"/>
  <c r="G47" i="5"/>
  <c r="G85" i="5"/>
  <c r="L32" i="9" s="1"/>
  <c r="S115" i="5"/>
  <c r="S69" i="5" s="1"/>
  <c r="K119" i="5"/>
  <c r="K111" i="5" s="1"/>
  <c r="K125" i="5"/>
  <c r="AF50" i="2" s="1"/>
  <c r="Q141" i="5"/>
  <c r="R8" i="6"/>
  <c r="S33" i="6"/>
  <c r="S51" i="6"/>
  <c r="R44" i="6"/>
  <c r="R63" i="6"/>
  <c r="R69" i="6"/>
  <c r="Q136" i="6"/>
  <c r="Q69" i="6"/>
  <c r="H138" i="6"/>
  <c r="AC51" i="2" s="1"/>
  <c r="Q130" i="6"/>
  <c r="H115" i="6"/>
  <c r="H146" i="6"/>
  <c r="I186" i="6"/>
  <c r="I180" i="6"/>
  <c r="J194" i="6"/>
  <c r="K296" i="6"/>
  <c r="R296" i="6" s="1"/>
  <c r="R295" i="6"/>
  <c r="R281" i="6" s="1"/>
  <c r="B9" i="7"/>
  <c r="Q272" i="7"/>
  <c r="Q268" i="7"/>
  <c r="Q278" i="7"/>
  <c r="H280" i="7"/>
  <c r="CB53" i="2" s="1"/>
  <c r="H274" i="7"/>
  <c r="E287" i="7"/>
  <c r="E300" i="7"/>
  <c r="E292" i="7"/>
  <c r="P284" i="7"/>
  <c r="F301" i="7"/>
  <c r="F293" i="7"/>
  <c r="M455" i="4"/>
  <c r="M451" i="4" s="1"/>
  <c r="M427" i="4" s="1"/>
  <c r="K11" i="5"/>
  <c r="Q52" i="5"/>
  <c r="E65" i="5"/>
  <c r="J43" i="9" s="1"/>
  <c r="E71" i="5"/>
  <c r="BY50" i="2" s="1"/>
  <c r="J19" i="9" s="1"/>
  <c r="R122" i="5"/>
  <c r="I127" i="5"/>
  <c r="AD46" i="2" s="1"/>
  <c r="I111" i="5"/>
  <c r="C184" i="5"/>
  <c r="O203" i="5"/>
  <c r="D278" i="5"/>
  <c r="D285" i="5"/>
  <c r="O271" i="5"/>
  <c r="O278" i="5" s="1"/>
  <c r="Q234" i="6"/>
  <c r="Q229" i="6"/>
  <c r="Q231" i="6" s="1"/>
  <c r="O208" i="6"/>
  <c r="O235" i="6"/>
  <c r="J326" i="6"/>
  <c r="L306" i="4"/>
  <c r="G352" i="4"/>
  <c r="P355" i="4"/>
  <c r="G356" i="4"/>
  <c r="D364" i="4"/>
  <c r="O69" i="5"/>
  <c r="O63" i="5"/>
  <c r="C85" i="5"/>
  <c r="H32" i="9" s="1"/>
  <c r="G111" i="5"/>
  <c r="P158" i="5"/>
  <c r="O297" i="5"/>
  <c r="O344" i="5"/>
  <c r="O325" i="6"/>
  <c r="K332" i="6"/>
  <c r="K326" i="6"/>
  <c r="B120" i="7"/>
  <c r="M629" i="7"/>
  <c r="L565" i="7"/>
  <c r="L629" i="7"/>
  <c r="L616" i="7"/>
  <c r="L618" i="7" s="1"/>
  <c r="L621" i="7"/>
  <c r="R613" i="7"/>
  <c r="M622" i="7"/>
  <c r="M682" i="7"/>
  <c r="M684" i="7" s="1"/>
  <c r="E204" i="6"/>
  <c r="E212" i="6" s="1"/>
  <c r="P202" i="6"/>
  <c r="P210" i="6" s="1"/>
  <c r="O229" i="6"/>
  <c r="H105" i="7"/>
  <c r="H111" i="7"/>
  <c r="P85" i="7"/>
  <c r="P147" i="7"/>
  <c r="L142" i="7"/>
  <c r="L86" i="7"/>
  <c r="L148" i="7"/>
  <c r="DN54" i="2" s="1"/>
  <c r="C177" i="7"/>
  <c r="C183" i="7"/>
  <c r="S358" i="7"/>
  <c r="S366" i="7" s="1"/>
  <c r="O210" i="4"/>
  <c r="P211" i="4"/>
  <c r="M7" i="2" s="1"/>
  <c r="R272" i="4"/>
  <c r="J43" i="2" s="1"/>
  <c r="O277" i="4"/>
  <c r="P293" i="4"/>
  <c r="P294" i="4"/>
  <c r="F364" i="4"/>
  <c r="E402" i="4"/>
  <c r="M463" i="4"/>
  <c r="Q34" i="5"/>
  <c r="M35" i="5"/>
  <c r="E47" i="5"/>
  <c r="E183" i="5"/>
  <c r="Q297" i="5"/>
  <c r="S20" i="6"/>
  <c r="Q207" i="6"/>
  <c r="F218" i="6"/>
  <c r="F210" i="6"/>
  <c r="F204" i="6"/>
  <c r="F212" i="6" s="1"/>
  <c r="O274" i="6"/>
  <c r="S274" i="6" s="1"/>
  <c r="B260" i="6"/>
  <c r="B275" i="6"/>
  <c r="O275" i="6" s="1"/>
  <c r="O323" i="6"/>
  <c r="I383" i="6"/>
  <c r="F280" i="7"/>
  <c r="BZ53" i="2" s="1"/>
  <c r="K21" i="9" s="1"/>
  <c r="F274" i="7"/>
  <c r="K45" i="9" s="1"/>
  <c r="C287" i="7"/>
  <c r="C300" i="7"/>
  <c r="C292" i="7"/>
  <c r="F294" i="7"/>
  <c r="F235" i="7"/>
  <c r="C550" i="7"/>
  <c r="O73" i="4"/>
  <c r="CY44" i="2" s="1"/>
  <c r="O96" i="4"/>
  <c r="D130" i="4"/>
  <c r="BG8" i="2" s="1"/>
  <c r="E181" i="4"/>
  <c r="Q187" i="4"/>
  <c r="Q189" i="4" s="1"/>
  <c r="R243" i="4"/>
  <c r="O44" i="2" s="1"/>
  <c r="J264" i="4"/>
  <c r="K314" i="4"/>
  <c r="P323" i="4"/>
  <c r="P322" i="4"/>
  <c r="J389" i="4"/>
  <c r="B402" i="4"/>
  <c r="P51" i="5"/>
  <c r="P101" i="5"/>
  <c r="O117" i="5"/>
  <c r="P126" i="5"/>
  <c r="C127" i="5"/>
  <c r="X46" i="2" s="1"/>
  <c r="E156" i="5"/>
  <c r="P148" i="5"/>
  <c r="P139" i="5" s="1"/>
  <c r="P181" i="5"/>
  <c r="S198" i="5"/>
  <c r="R275" i="5"/>
  <c r="I255" i="5"/>
  <c r="Q339" i="5"/>
  <c r="Q341" i="5" s="1"/>
  <c r="H352" i="5"/>
  <c r="I346" i="5"/>
  <c r="B364" i="5"/>
  <c r="E401" i="5"/>
  <c r="D23" i="6"/>
  <c r="DF33" i="2" s="1"/>
  <c r="S92" i="6"/>
  <c r="J86" i="6"/>
  <c r="O33" i="9" s="1"/>
  <c r="J94" i="6"/>
  <c r="BM51" i="2" s="1"/>
  <c r="O202" i="6"/>
  <c r="C187" i="6"/>
  <c r="C219" i="6"/>
  <c r="S223" i="6"/>
  <c r="G404" i="6"/>
  <c r="G398" i="6"/>
  <c r="J36" i="7"/>
  <c r="H49" i="7"/>
  <c r="DJ17" i="2" s="1"/>
  <c r="I120" i="7"/>
  <c r="I126" i="7"/>
  <c r="O195" i="7"/>
  <c r="O201" i="7"/>
  <c r="F393" i="7"/>
  <c r="AR54" i="2" s="1"/>
  <c r="F360" i="7"/>
  <c r="F14" i="7" s="1"/>
  <c r="L504" i="7"/>
  <c r="L512" i="7" s="1"/>
  <c r="L510" i="7"/>
  <c r="O56" i="4"/>
  <c r="CY40" i="2" s="1"/>
  <c r="O77" i="4"/>
  <c r="CY43" i="2" s="1"/>
  <c r="O76" i="4"/>
  <c r="P93" i="4"/>
  <c r="H151" i="4"/>
  <c r="BK41" i="2" s="1"/>
  <c r="H152" i="4"/>
  <c r="R247" i="4"/>
  <c r="O43" i="2" s="1"/>
  <c r="Q255" i="4"/>
  <c r="Q257" i="4" s="1"/>
  <c r="K264" i="4"/>
  <c r="O273" i="4"/>
  <c r="Q280" i="4"/>
  <c r="Q281" i="4" s="1"/>
  <c r="B306" i="4"/>
  <c r="L314" i="4"/>
  <c r="Q322" i="4"/>
  <c r="I352" i="4"/>
  <c r="E364" i="4"/>
  <c r="M381" i="4"/>
  <c r="G381" i="4"/>
  <c r="D35" i="5"/>
  <c r="O122" i="5"/>
  <c r="S114" i="5"/>
  <c r="S90" i="5" s="1"/>
  <c r="S131" i="5"/>
  <c r="S139" i="5" s="1"/>
  <c r="S275" i="5"/>
  <c r="N298" i="5"/>
  <c r="O314" i="5"/>
  <c r="O299" i="5" s="1"/>
  <c r="Q20" i="6"/>
  <c r="Q258" i="6"/>
  <c r="Q249" i="6"/>
  <c r="S272" i="6"/>
  <c r="S279" i="6" s="1"/>
  <c r="R382" i="6"/>
  <c r="J117" i="7"/>
  <c r="J127" i="7"/>
  <c r="P192" i="7"/>
  <c r="P204" i="7" s="1"/>
  <c r="CI54" i="2" s="1"/>
  <c r="O358" i="7"/>
  <c r="O366" i="7" s="1"/>
  <c r="R449" i="7"/>
  <c r="D446" i="7"/>
  <c r="D395" i="7" s="1"/>
  <c r="D452" i="7"/>
  <c r="Y54" i="2" s="1"/>
  <c r="C491" i="7"/>
  <c r="B483" i="7"/>
  <c r="B425" i="7"/>
  <c r="H568" i="7"/>
  <c r="H562" i="7"/>
  <c r="H512" i="7" s="1"/>
  <c r="Q560" i="7"/>
  <c r="R223" i="4"/>
  <c r="O228" i="4"/>
  <c r="G9" i="2" s="1"/>
  <c r="R303" i="4"/>
  <c r="P305" i="4"/>
  <c r="C315" i="4"/>
  <c r="P335" i="4"/>
  <c r="O388" i="4"/>
  <c r="O426" i="4"/>
  <c r="M439" i="4"/>
  <c r="E451" i="4"/>
  <c r="P451" i="4" s="1"/>
  <c r="Q21" i="5"/>
  <c r="H23" i="5"/>
  <c r="DJ32" i="2" s="1"/>
  <c r="P59" i="5"/>
  <c r="H125" i="5"/>
  <c r="AC50" i="2" s="1"/>
  <c r="Q184" i="5"/>
  <c r="N314" i="5"/>
  <c r="O376" i="5"/>
  <c r="K401" i="5"/>
  <c r="R130" i="6"/>
  <c r="R115" i="6" s="1"/>
  <c r="K115" i="6"/>
  <c r="J212" i="6"/>
  <c r="J220" i="6"/>
  <c r="L305" i="6"/>
  <c r="L312" i="6"/>
  <c r="G300" i="7"/>
  <c r="O315" i="7"/>
  <c r="AZ17" i="2" s="1"/>
  <c r="O252" i="7"/>
  <c r="S317" i="7"/>
  <c r="S325" i="7"/>
  <c r="Q15" i="7"/>
  <c r="L486" i="7"/>
  <c r="R478" i="7"/>
  <c r="M568" i="7"/>
  <c r="M562" i="7"/>
  <c r="J565" i="7"/>
  <c r="J629" i="7"/>
  <c r="C672" i="7"/>
  <c r="O664" i="7"/>
  <c r="C598" i="7"/>
  <c r="F71" i="7"/>
  <c r="H425" i="7"/>
  <c r="Q417" i="7"/>
  <c r="Q369" i="7" s="1"/>
  <c r="H301" i="7"/>
  <c r="G600" i="7"/>
  <c r="P592" i="7"/>
  <c r="H608" i="7"/>
  <c r="G608" i="7"/>
  <c r="C623" i="7"/>
  <c r="G646" i="7"/>
  <c r="H582" i="7"/>
  <c r="H646" i="7"/>
  <c r="K692" i="7"/>
  <c r="K694" i="7" s="1"/>
  <c r="K410" i="7"/>
  <c r="AW53" i="2" s="1"/>
  <c r="K52" i="7"/>
  <c r="I608" i="7"/>
  <c r="I600" i="7"/>
  <c r="R197" i="4"/>
  <c r="M207" i="4"/>
  <c r="P8" i="2" s="1"/>
  <c r="Q210" i="4"/>
  <c r="Q319" i="4"/>
  <c r="O322" i="4"/>
  <c r="I389" i="4"/>
  <c r="R90" i="5"/>
  <c r="D93" i="5"/>
  <c r="BG50" i="2" s="1"/>
  <c r="J191" i="5"/>
  <c r="C23" i="6"/>
  <c r="DE33" i="2" s="1"/>
  <c r="Q52" i="6"/>
  <c r="I86" i="6"/>
  <c r="N33" i="9" s="1"/>
  <c r="J121" i="6"/>
  <c r="O258" i="6"/>
  <c r="L254" i="6"/>
  <c r="L261" i="6" s="1"/>
  <c r="F404" i="6"/>
  <c r="E360" i="7"/>
  <c r="E14" i="7" s="1"/>
  <c r="P385" i="7"/>
  <c r="E318" i="7"/>
  <c r="J35" i="9" s="1"/>
  <c r="Q467" i="7"/>
  <c r="Q109" i="7"/>
  <c r="Q411" i="7"/>
  <c r="P577" i="7"/>
  <c r="S577" i="7" s="1"/>
  <c r="D604" i="7"/>
  <c r="D596" i="7"/>
  <c r="F605" i="7"/>
  <c r="F597" i="7"/>
  <c r="Q388" i="4"/>
  <c r="Q389" i="4" s="1"/>
  <c r="M402" i="4"/>
  <c r="S8" i="5"/>
  <c r="P5" i="5"/>
  <c r="P11" i="5" s="1"/>
  <c r="P20" i="5"/>
  <c r="Q68" i="5"/>
  <c r="F85" i="5"/>
  <c r="K32" i="9" s="1"/>
  <c r="R110" i="5"/>
  <c r="F142" i="5"/>
  <c r="R158" i="5"/>
  <c r="Q180" i="5"/>
  <c r="R203" i="5"/>
  <c r="R184" i="5" s="1"/>
  <c r="G227" i="5"/>
  <c r="N297" i="5"/>
  <c r="O296" i="5"/>
  <c r="R298" i="5"/>
  <c r="G352" i="5"/>
  <c r="O361" i="5"/>
  <c r="P8" i="6"/>
  <c r="O20" i="6"/>
  <c r="R45" i="6"/>
  <c r="P161" i="6"/>
  <c r="H254" i="6"/>
  <c r="P302" i="6"/>
  <c r="H296" i="6"/>
  <c r="Q296" i="6" s="1"/>
  <c r="Q282" i="6" s="1"/>
  <c r="Q295" i="6"/>
  <c r="Q281" i="6" s="1"/>
  <c r="S336" i="6"/>
  <c r="S324" i="6" s="1"/>
  <c r="K371" i="6"/>
  <c r="P364" i="6"/>
  <c r="O392" i="6"/>
  <c r="L398" i="6"/>
  <c r="G72" i="7"/>
  <c r="G66" i="7"/>
  <c r="E28" i="7"/>
  <c r="E90" i="7"/>
  <c r="H126" i="7"/>
  <c r="H127" i="7"/>
  <c r="Q115" i="7"/>
  <c r="S220" i="7"/>
  <c r="S214" i="7"/>
  <c r="R229" i="7"/>
  <c r="G280" i="7"/>
  <c r="CA53" i="2" s="1"/>
  <c r="G274" i="7"/>
  <c r="E293" i="7"/>
  <c r="E301" i="7"/>
  <c r="P285" i="7"/>
  <c r="R408" i="7"/>
  <c r="R358" i="7"/>
  <c r="R366" i="7" s="1"/>
  <c r="F424" i="7"/>
  <c r="F419" i="7"/>
  <c r="F185" i="7" s="1"/>
  <c r="CQ52" i="2" s="1"/>
  <c r="G425" i="7"/>
  <c r="G301" i="7"/>
  <c r="P544" i="7"/>
  <c r="I565" i="7"/>
  <c r="I621" i="7"/>
  <c r="I629" i="7"/>
  <c r="J622" i="7"/>
  <c r="J630" i="7"/>
  <c r="J566" i="7"/>
  <c r="R22" i="10"/>
  <c r="D402" i="4"/>
  <c r="I463" i="4"/>
  <c r="I439" i="4" s="1"/>
  <c r="J11" i="5"/>
  <c r="O33" i="5"/>
  <c r="K53" i="5"/>
  <c r="H71" i="5"/>
  <c r="CB50" i="2" s="1"/>
  <c r="Q107" i="5"/>
  <c r="T32" i="2" s="1"/>
  <c r="I109" i="5"/>
  <c r="K142" i="5"/>
  <c r="G153" i="5"/>
  <c r="G159" i="5"/>
  <c r="K191" i="5"/>
  <c r="K204" i="5"/>
  <c r="K185" i="5" s="1"/>
  <c r="R202" i="5"/>
  <c r="O231" i="5"/>
  <c r="S245" i="5"/>
  <c r="S252" i="5" s="1"/>
  <c r="C278" i="5"/>
  <c r="C285" i="5"/>
  <c r="L278" i="5"/>
  <c r="Q292" i="5"/>
  <c r="O323" i="5"/>
  <c r="L346" i="5"/>
  <c r="L352" i="5"/>
  <c r="P33" i="6"/>
  <c r="G23" i="6"/>
  <c r="DI33" i="2" s="1"/>
  <c r="G35" i="6"/>
  <c r="O93" i="6"/>
  <c r="R78" i="6"/>
  <c r="R86" i="6" s="1"/>
  <c r="E33" i="9" s="1"/>
  <c r="K86" i="6"/>
  <c r="P33" i="9" s="1"/>
  <c r="I132" i="6"/>
  <c r="I115" i="6"/>
  <c r="S151" i="6"/>
  <c r="S159" i="6" s="1"/>
  <c r="E162" i="6"/>
  <c r="E156" i="6"/>
  <c r="P156" i="6" s="1"/>
  <c r="P258" i="6"/>
  <c r="L332" i="6"/>
  <c r="F345" i="6"/>
  <c r="R362" i="6"/>
  <c r="J365" i="6"/>
  <c r="E389" i="6"/>
  <c r="I404" i="6"/>
  <c r="H404" i="6"/>
  <c r="H395" i="6"/>
  <c r="H383" i="6" s="1"/>
  <c r="I405" i="6"/>
  <c r="H419" i="6"/>
  <c r="G413" i="6"/>
  <c r="G420" i="6" s="1"/>
  <c r="L36" i="7"/>
  <c r="I49" i="7"/>
  <c r="M126" i="7"/>
  <c r="M120" i="7"/>
  <c r="M117" i="7"/>
  <c r="M127" i="7"/>
  <c r="M121" i="7"/>
  <c r="M128" i="7"/>
  <c r="M66" i="7"/>
  <c r="O147" i="7"/>
  <c r="O369" i="7"/>
  <c r="O15" i="7"/>
  <c r="P508" i="7"/>
  <c r="J510" i="7"/>
  <c r="J504" i="7"/>
  <c r="J512" i="7" s="1"/>
  <c r="J452" i="7"/>
  <c r="AE54" i="2" s="1"/>
  <c r="Q592" i="7"/>
  <c r="Q600" i="7" s="1"/>
  <c r="C670" i="7"/>
  <c r="C596" i="7"/>
  <c r="L682" i="7"/>
  <c r="L684" i="7" s="1"/>
  <c r="H692" i="7"/>
  <c r="Q689" i="7"/>
  <c r="B332" i="6"/>
  <c r="B305" i="6"/>
  <c r="B72" i="7"/>
  <c r="B66" i="7"/>
  <c r="K105" i="7"/>
  <c r="Q84" i="7"/>
  <c r="Q140" i="7"/>
  <c r="E233" i="7"/>
  <c r="O340" i="7"/>
  <c r="O348" i="7"/>
  <c r="S350" i="7"/>
  <c r="S342" i="7"/>
  <c r="P509" i="7"/>
  <c r="O511" i="7"/>
  <c r="S503" i="7"/>
  <c r="S453" i="7" s="1"/>
  <c r="AS30" i="2" s="1"/>
  <c r="O453" i="7"/>
  <c r="H591" i="7"/>
  <c r="H593" i="7" s="1"/>
  <c r="H597" i="7"/>
  <c r="H605" i="7"/>
  <c r="Q589" i="7"/>
  <c r="J606" i="7"/>
  <c r="R689" i="7"/>
  <c r="L646" i="7"/>
  <c r="S343" i="5"/>
  <c r="C352" i="5"/>
  <c r="S344" i="5"/>
  <c r="P10" i="6"/>
  <c r="H53" i="6"/>
  <c r="S64" i="6"/>
  <c r="P83" i="6"/>
  <c r="S78" i="6"/>
  <c r="O112" i="6"/>
  <c r="R105" i="6"/>
  <c r="K121" i="6"/>
  <c r="Q187" i="6"/>
  <c r="P209" i="6"/>
  <c r="I305" i="6"/>
  <c r="E420" i="6"/>
  <c r="M30" i="7"/>
  <c r="L61" i="7"/>
  <c r="L8" i="7"/>
  <c r="C72" i="7"/>
  <c r="C66" i="7"/>
  <c r="C203" i="7"/>
  <c r="C192" i="7"/>
  <c r="C197" i="7"/>
  <c r="F233" i="7"/>
  <c r="F230" i="7"/>
  <c r="F242" i="7" s="1"/>
  <c r="R315" i="7"/>
  <c r="BC17" i="2" s="1"/>
  <c r="C425" i="7"/>
  <c r="C433" i="7"/>
  <c r="X17" i="2" s="1"/>
  <c r="E426" i="7"/>
  <c r="Q394" i="7"/>
  <c r="Q450" i="7"/>
  <c r="H452" i="7"/>
  <c r="AC54" i="2" s="1"/>
  <c r="H446" i="7"/>
  <c r="H395" i="7" s="1"/>
  <c r="Q444" i="7"/>
  <c r="Q92" i="7" s="1"/>
  <c r="H261" i="7"/>
  <c r="CB54" i="2" s="1"/>
  <c r="G492" i="7"/>
  <c r="G527" i="7"/>
  <c r="J544" i="7"/>
  <c r="Q566" i="7"/>
  <c r="M600" i="7"/>
  <c r="M544" i="7"/>
  <c r="O640" i="7"/>
  <c r="O584" i="7" s="1"/>
  <c r="B641" i="7"/>
  <c r="B584" i="7"/>
  <c r="O650" i="7"/>
  <c r="J377" i="4"/>
  <c r="O471" i="4"/>
  <c r="O5" i="5"/>
  <c r="O11" i="5" s="1"/>
  <c r="R29" i="5"/>
  <c r="R64" i="5"/>
  <c r="Q62" i="5"/>
  <c r="Q90" i="5"/>
  <c r="C144" i="5"/>
  <c r="M159" i="5"/>
  <c r="R252" i="5"/>
  <c r="N344" i="5"/>
  <c r="J370" i="5"/>
  <c r="N379" i="5"/>
  <c r="F382" i="5"/>
  <c r="Q34" i="6"/>
  <c r="P59" i="6"/>
  <c r="B65" i="6"/>
  <c r="G44" i="9" s="1"/>
  <c r="Q91" i="6"/>
  <c r="C86" i="6"/>
  <c r="H33" i="9" s="1"/>
  <c r="K94" i="6"/>
  <c r="BN51" i="2" s="1"/>
  <c r="P112" i="6"/>
  <c r="L113" i="6"/>
  <c r="AX51" i="2" s="1"/>
  <c r="R187" i="6"/>
  <c r="E296" i="6"/>
  <c r="P296" i="6" s="1"/>
  <c r="P295" i="6"/>
  <c r="J305" i="6"/>
  <c r="Q392" i="6"/>
  <c r="M70" i="7"/>
  <c r="M8" i="7"/>
  <c r="M111" i="7"/>
  <c r="M105" i="7"/>
  <c r="S146" i="7"/>
  <c r="S140" i="7"/>
  <c r="S84" i="7"/>
  <c r="O158" i="7"/>
  <c r="O164" i="7"/>
  <c r="S166" i="7"/>
  <c r="S104" i="7"/>
  <c r="D203" i="7"/>
  <c r="D192" i="7"/>
  <c r="D142" i="7" s="1"/>
  <c r="D197" i="7"/>
  <c r="G233" i="7"/>
  <c r="G239" i="7"/>
  <c r="G230" i="7"/>
  <c r="K235" i="7"/>
  <c r="K241" i="7"/>
  <c r="O285" i="7"/>
  <c r="O293" i="7" s="1"/>
  <c r="B234" i="7"/>
  <c r="B293" i="7"/>
  <c r="D433" i="7"/>
  <c r="Y17" i="2" s="1"/>
  <c r="F426" i="7"/>
  <c r="F367" i="7"/>
  <c r="L471" i="7"/>
  <c r="AG48" i="2" s="1"/>
  <c r="R560" i="7"/>
  <c r="R510" i="7" s="1"/>
  <c r="K562" i="7"/>
  <c r="R160" i="6"/>
  <c r="F254" i="6"/>
  <c r="F282" i="6"/>
  <c r="O304" i="6"/>
  <c r="E89" i="7"/>
  <c r="E27" i="7"/>
  <c r="C102" i="7"/>
  <c r="C46" i="7"/>
  <c r="C108" i="7"/>
  <c r="K148" i="7"/>
  <c r="DM54" i="2" s="1"/>
  <c r="R136" i="7"/>
  <c r="R86" i="7" s="1"/>
  <c r="B167" i="7"/>
  <c r="O155" i="7"/>
  <c r="E203" i="7"/>
  <c r="E192" i="7"/>
  <c r="E142" i="7" s="1"/>
  <c r="E197" i="7"/>
  <c r="H233" i="7"/>
  <c r="H239" i="7"/>
  <c r="J234" i="7"/>
  <c r="J240" i="7"/>
  <c r="L241" i="7"/>
  <c r="L235" i="7"/>
  <c r="C293" i="7"/>
  <c r="C301" i="7"/>
  <c r="E294" i="7"/>
  <c r="E302" i="7"/>
  <c r="O316" i="7"/>
  <c r="F318" i="7"/>
  <c r="K35" i="9" s="1"/>
  <c r="G410" i="7"/>
  <c r="AS53" i="2" s="1"/>
  <c r="G360" i="7"/>
  <c r="G426" i="7"/>
  <c r="H434" i="7"/>
  <c r="AC36" i="2" s="1"/>
  <c r="G434" i="7"/>
  <c r="AB36" i="2" s="1"/>
  <c r="M552" i="7"/>
  <c r="R536" i="7"/>
  <c r="S559" i="7"/>
  <c r="L570" i="7"/>
  <c r="F86" i="7"/>
  <c r="F92" i="7"/>
  <c r="DH36" i="2" s="1"/>
  <c r="F183" i="7"/>
  <c r="R192" i="7"/>
  <c r="O221" i="7"/>
  <c r="O215" i="7"/>
  <c r="O583" i="7"/>
  <c r="C682" i="7"/>
  <c r="C684" i="7" s="1"/>
  <c r="O430" i="4"/>
  <c r="C463" i="4"/>
  <c r="C439" i="4" s="1"/>
  <c r="R8" i="5"/>
  <c r="D11" i="5"/>
  <c r="DF14" i="2" s="1"/>
  <c r="O8" i="5"/>
  <c r="S22" i="5"/>
  <c r="R69" i="5"/>
  <c r="O92" i="5"/>
  <c r="K93" i="5"/>
  <c r="BN50" i="2" s="1"/>
  <c r="P107" i="5"/>
  <c r="S32" i="2" s="1"/>
  <c r="H109" i="5"/>
  <c r="I142" i="5"/>
  <c r="P231" i="5"/>
  <c r="P222" i="5"/>
  <c r="P268" i="5"/>
  <c r="P254" i="5" s="1"/>
  <c r="I278" i="5"/>
  <c r="R300" i="5"/>
  <c r="B325" i="5"/>
  <c r="O343" i="5"/>
  <c r="Q345" i="5"/>
  <c r="Q9" i="6"/>
  <c r="O21" i="6"/>
  <c r="Q33" i="6"/>
  <c r="S83" i="6"/>
  <c r="G170" i="6"/>
  <c r="S200" i="6"/>
  <c r="E237" i="6"/>
  <c r="C254" i="6"/>
  <c r="C261" i="6" s="1"/>
  <c r="P306" i="6"/>
  <c r="P343" i="6"/>
  <c r="G371" i="6"/>
  <c r="G389" i="6"/>
  <c r="F420" i="6"/>
  <c r="B10" i="7"/>
  <c r="L49" i="7"/>
  <c r="C126" i="7"/>
  <c r="B117" i="7"/>
  <c r="S155" i="7"/>
  <c r="H176" i="7"/>
  <c r="G177" i="7"/>
  <c r="G183" i="7"/>
  <c r="R172" i="7"/>
  <c r="R178" i="7" s="1"/>
  <c r="K178" i="7"/>
  <c r="H182" i="7"/>
  <c r="P221" i="7"/>
  <c r="P215" i="7"/>
  <c r="R348" i="7"/>
  <c r="R340" i="7"/>
  <c r="L477" i="7"/>
  <c r="J491" i="7"/>
  <c r="C548" i="7"/>
  <c r="Q700" i="7"/>
  <c r="Q9" i="10"/>
  <c r="R160" i="5"/>
  <c r="Q231" i="5"/>
  <c r="P275" i="5"/>
  <c r="P324" i="5"/>
  <c r="R345" i="5"/>
  <c r="O345" i="5"/>
  <c r="R358" i="5"/>
  <c r="K370" i="5"/>
  <c r="R9" i="6"/>
  <c r="G71" i="6"/>
  <c r="CA51" i="2" s="1"/>
  <c r="R183" i="6"/>
  <c r="J180" i="6"/>
  <c r="D254" i="6"/>
  <c r="D261" i="6" s="1"/>
  <c r="I282" i="6"/>
  <c r="S298" i="6"/>
  <c r="J8" i="7"/>
  <c r="M49" i="7"/>
  <c r="G64" i="7"/>
  <c r="J65" i="7"/>
  <c r="D126" i="7"/>
  <c r="C127" i="7"/>
  <c r="O145" i="7"/>
  <c r="O83" i="7"/>
  <c r="S158" i="7"/>
  <c r="S102" i="7"/>
  <c r="P155" i="7"/>
  <c r="Q221" i="7"/>
  <c r="Q215" i="7"/>
  <c r="K373" i="7"/>
  <c r="J373" i="7"/>
  <c r="J365" i="7"/>
  <c r="K375" i="7"/>
  <c r="AW36" i="2" s="1"/>
  <c r="K367" i="7"/>
  <c r="R411" i="7"/>
  <c r="M426" i="7"/>
  <c r="O468" i="7"/>
  <c r="M477" i="7"/>
  <c r="K491" i="7"/>
  <c r="S516" i="7"/>
  <c r="S466" i="7" s="1"/>
  <c r="C529" i="7"/>
  <c r="Q528" i="7"/>
  <c r="P533" i="7"/>
  <c r="F552" i="7"/>
  <c r="E552" i="7"/>
  <c r="I631" i="7"/>
  <c r="C646" i="7"/>
  <c r="D654" i="7"/>
  <c r="C654" i="7"/>
  <c r="C582" i="7"/>
  <c r="P691" i="7"/>
  <c r="O698" i="7"/>
  <c r="P201" i="5"/>
  <c r="P232" i="5"/>
  <c r="C255" i="5"/>
  <c r="Q343" i="5"/>
  <c r="S345" i="5"/>
  <c r="L370" i="5"/>
  <c r="S9" i="6"/>
  <c r="H71" i="6"/>
  <c r="CB51" i="2" s="1"/>
  <c r="P92" i="6"/>
  <c r="G94" i="6"/>
  <c r="BJ51" i="2" s="1"/>
  <c r="J218" i="6"/>
  <c r="O324" i="6"/>
  <c r="E8" i="7"/>
  <c r="H70" i="7"/>
  <c r="I86" i="7"/>
  <c r="B105" i="7"/>
  <c r="D127" i="7"/>
  <c r="J176" i="7"/>
  <c r="M178" i="7"/>
  <c r="J182" i="7"/>
  <c r="H204" i="7"/>
  <c r="CS54" i="2" s="1"/>
  <c r="R221" i="7"/>
  <c r="R215" i="7"/>
  <c r="O349" i="7"/>
  <c r="O341" i="7"/>
  <c r="F351" i="7"/>
  <c r="BI53" i="2" s="1"/>
  <c r="L469" i="7"/>
  <c r="AG53" i="2" s="1"/>
  <c r="L223" i="7"/>
  <c r="CW53" i="2" s="1"/>
  <c r="P524" i="7"/>
  <c r="D527" i="7"/>
  <c r="D521" i="7"/>
  <c r="D529" i="7" s="1"/>
  <c r="R528" i="7"/>
  <c r="R470" i="7"/>
  <c r="F549" i="7"/>
  <c r="F541" i="7"/>
  <c r="D542" i="7"/>
  <c r="J648" i="7"/>
  <c r="L670" i="7"/>
  <c r="F126" i="7"/>
  <c r="S136" i="7"/>
  <c r="S86" i="7" s="1"/>
  <c r="P165" i="7"/>
  <c r="P159" i="7"/>
  <c r="G161" i="7"/>
  <c r="I198" i="7"/>
  <c r="I204" i="7"/>
  <c r="CT54" i="2" s="1"/>
  <c r="R277" i="7"/>
  <c r="R271" i="7"/>
  <c r="D280" i="7"/>
  <c r="BX53" i="2" s="1"/>
  <c r="I21" i="9" s="1"/>
  <c r="D274" i="7"/>
  <c r="I45" i="9" s="1"/>
  <c r="P349" i="7"/>
  <c r="P341" i="7"/>
  <c r="G343" i="7"/>
  <c r="L34" i="9" s="1"/>
  <c r="L373" i="7"/>
  <c r="L365" i="7"/>
  <c r="I469" i="7"/>
  <c r="AD53" i="2" s="1"/>
  <c r="O470" i="7"/>
  <c r="Q524" i="7"/>
  <c r="S520" i="7"/>
  <c r="S470" i="7" s="1"/>
  <c r="F540" i="7"/>
  <c r="F535" i="7"/>
  <c r="G541" i="7"/>
  <c r="G483" i="7"/>
  <c r="G616" i="7"/>
  <c r="G618" i="7" s="1"/>
  <c r="H634" i="7" s="1"/>
  <c r="G565" i="7"/>
  <c r="Q623" i="7"/>
  <c r="E654" i="7"/>
  <c r="E582" i="7"/>
  <c r="J647" i="7"/>
  <c r="J583" i="7"/>
  <c r="P690" i="7"/>
  <c r="J113" i="6"/>
  <c r="AV51" i="2" s="1"/>
  <c r="S152" i="6"/>
  <c r="S136" i="6" s="1"/>
  <c r="I212" i="6"/>
  <c r="C282" i="6"/>
  <c r="Q324" i="6"/>
  <c r="H326" i="6"/>
  <c r="M395" i="6"/>
  <c r="J420" i="6"/>
  <c r="F105" i="7"/>
  <c r="F111" i="7"/>
  <c r="F121" i="7"/>
  <c r="F127" i="7"/>
  <c r="D148" i="7"/>
  <c r="DF54" i="2" s="1"/>
  <c r="R171" i="7"/>
  <c r="K183" i="7"/>
  <c r="K177" i="7"/>
  <c r="L173" i="7"/>
  <c r="R292" i="7"/>
  <c r="O286" i="7"/>
  <c r="B302" i="7"/>
  <c r="H351" i="7"/>
  <c r="BK53" i="2" s="1"/>
  <c r="C351" i="7"/>
  <c r="BF53" i="2" s="1"/>
  <c r="M365" i="7"/>
  <c r="M373" i="7"/>
  <c r="O385" i="7"/>
  <c r="R474" i="7"/>
  <c r="D484" i="7"/>
  <c r="R524" i="7"/>
  <c r="G548" i="7"/>
  <c r="H549" i="7"/>
  <c r="H541" i="7"/>
  <c r="I630" i="7"/>
  <c r="F582" i="7"/>
  <c r="F654" i="7"/>
  <c r="M656" i="7"/>
  <c r="L584" i="7"/>
  <c r="J655" i="7"/>
  <c r="P670" i="7"/>
  <c r="O666" i="7"/>
  <c r="Q691" i="7"/>
  <c r="K287" i="7"/>
  <c r="I318" i="7"/>
  <c r="N35" i="9" s="1"/>
  <c r="Q358" i="7"/>
  <c r="Q366" i="7" s="1"/>
  <c r="C393" i="7"/>
  <c r="AO54" i="2" s="1"/>
  <c r="D426" i="7"/>
  <c r="Q461" i="7"/>
  <c r="Q111" i="7" s="1"/>
  <c r="Q474" i="7"/>
  <c r="C484" i="7"/>
  <c r="H482" i="7"/>
  <c r="I491" i="7"/>
  <c r="Q508" i="7"/>
  <c r="P528" i="7"/>
  <c r="K606" i="7"/>
  <c r="K621" i="7"/>
  <c r="M655" i="7"/>
  <c r="O681" i="7"/>
  <c r="S693" i="7"/>
  <c r="S215" i="7"/>
  <c r="S249" i="7"/>
  <c r="S261" i="7" s="1"/>
  <c r="BU54" i="2" s="1"/>
  <c r="G293" i="7"/>
  <c r="K301" i="7"/>
  <c r="I343" i="7"/>
  <c r="N34" i="9" s="1"/>
  <c r="D365" i="7"/>
  <c r="G393" i="7"/>
  <c r="AS54" i="2" s="1"/>
  <c r="I433" i="7"/>
  <c r="AD17" i="2" s="1"/>
  <c r="R450" i="7"/>
  <c r="I454" i="7"/>
  <c r="AD49" i="2" s="1"/>
  <c r="O461" i="7"/>
  <c r="O111" i="7" s="1"/>
  <c r="CY34" i="2" s="1"/>
  <c r="Q509" i="7"/>
  <c r="I542" i="7"/>
  <c r="E541" i="7"/>
  <c r="Q577" i="7"/>
  <c r="M604" i="7"/>
  <c r="R590" i="7"/>
  <c r="E622" i="7"/>
  <c r="K629" i="7"/>
  <c r="C656" i="7"/>
  <c r="P664" i="7"/>
  <c r="P672" i="7" s="1"/>
  <c r="D682" i="7"/>
  <c r="D684" i="7" s="1"/>
  <c r="B656" i="7"/>
  <c r="C701" i="7"/>
  <c r="R700" i="7"/>
  <c r="Q8" i="10"/>
  <c r="Q39" i="10"/>
  <c r="G71" i="7"/>
  <c r="I66" i="7"/>
  <c r="M72" i="7"/>
  <c r="F128" i="7"/>
  <c r="J128" i="7"/>
  <c r="P139" i="7"/>
  <c r="F184" i="7"/>
  <c r="D183" i="7"/>
  <c r="E223" i="7"/>
  <c r="CP53" i="2" s="1"/>
  <c r="Q286" i="7"/>
  <c r="Q294" i="7" s="1"/>
  <c r="I292" i="7"/>
  <c r="Q342" i="7"/>
  <c r="I436" i="7"/>
  <c r="AD31" i="2" s="1"/>
  <c r="P461" i="7"/>
  <c r="P111" i="7" s="1"/>
  <c r="CZ34" i="2" s="1"/>
  <c r="G544" i="7"/>
  <c r="P650" i="7"/>
  <c r="L647" i="7"/>
  <c r="P689" i="7"/>
  <c r="R8" i="10"/>
  <c r="O18" i="10"/>
  <c r="R31" i="10"/>
  <c r="C261" i="7"/>
  <c r="BW54" i="2" s="1"/>
  <c r="H22" i="9" s="1"/>
  <c r="J292" i="7"/>
  <c r="O350" i="7"/>
  <c r="P412" i="7"/>
  <c r="F482" i="7"/>
  <c r="H494" i="7"/>
  <c r="O625" i="7"/>
  <c r="E648" i="7"/>
  <c r="Q650" i="7"/>
  <c r="C648" i="7"/>
  <c r="F665" i="7"/>
  <c r="G672" i="7"/>
  <c r="F70" i="7"/>
  <c r="E59" i="7"/>
  <c r="E71" i="7" s="1"/>
  <c r="F122" i="7"/>
  <c r="O136" i="7"/>
  <c r="P196" i="7"/>
  <c r="F204" i="7"/>
  <c r="CQ54" i="2" s="1"/>
  <c r="O228" i="7"/>
  <c r="D235" i="7"/>
  <c r="B240" i="7"/>
  <c r="R252" i="7"/>
  <c r="O271" i="7"/>
  <c r="P268" i="7"/>
  <c r="P280" i="7" s="1"/>
  <c r="BR53" i="2" s="1"/>
  <c r="P315" i="7"/>
  <c r="BA17" i="2" s="1"/>
  <c r="H366" i="7"/>
  <c r="I360" i="7"/>
  <c r="I14" i="7" s="1"/>
  <c r="J436" i="7"/>
  <c r="AE31" i="2" s="1"/>
  <c r="P451" i="7"/>
  <c r="S35" i="2" s="1"/>
  <c r="L452" i="7"/>
  <c r="AG54" i="2" s="1"/>
  <c r="J477" i="7"/>
  <c r="I494" i="7"/>
  <c r="Q525" i="7"/>
  <c r="L549" i="7"/>
  <c r="M585" i="7"/>
  <c r="D598" i="7"/>
  <c r="I623" i="7"/>
  <c r="B648" i="7"/>
  <c r="Q18" i="10"/>
  <c r="O19" i="10"/>
  <c r="G204" i="7"/>
  <c r="CR54" i="2" s="1"/>
  <c r="C230" i="7"/>
  <c r="E235" i="7"/>
  <c r="C240" i="7"/>
  <c r="L292" i="7"/>
  <c r="H300" i="7"/>
  <c r="G367" i="7"/>
  <c r="B410" i="7"/>
  <c r="AN53" i="2" s="1"/>
  <c r="K436" i="7"/>
  <c r="AF31" i="2" s="1"/>
  <c r="R466" i="7"/>
  <c r="D471" i="7"/>
  <c r="Y48" i="2" s="1"/>
  <c r="Q475" i="7"/>
  <c r="Q483" i="7" s="1"/>
  <c r="F490" i="7"/>
  <c r="L585" i="7"/>
  <c r="B596" i="7"/>
  <c r="I71" i="7"/>
  <c r="D105" i="7"/>
  <c r="P166" i="7"/>
  <c r="L167" i="7"/>
  <c r="L161" i="7"/>
  <c r="G182" i="7"/>
  <c r="P210" i="7"/>
  <c r="P216" i="7" s="1"/>
  <c r="E222" i="7"/>
  <c r="D234" i="7"/>
  <c r="D240" i="7"/>
  <c r="O253" i="7"/>
  <c r="F255" i="7"/>
  <c r="K46" i="9" s="1"/>
  <c r="Q271" i="7"/>
  <c r="S315" i="7"/>
  <c r="BD17" i="2" s="1"/>
  <c r="O342" i="7"/>
  <c r="H375" i="7"/>
  <c r="AT36" i="2" s="1"/>
  <c r="H374" i="7"/>
  <c r="AT17" i="2" s="1"/>
  <c r="M436" i="7"/>
  <c r="AH31" i="2" s="1"/>
  <c r="L436" i="7"/>
  <c r="AG31" i="2" s="1"/>
  <c r="E469" i="7"/>
  <c r="Z53" i="2" s="1"/>
  <c r="J463" i="7"/>
  <c r="J412" i="7" s="1"/>
  <c r="I477" i="7"/>
  <c r="I493" i="7" s="1"/>
  <c r="L552" i="7"/>
  <c r="F591" i="7"/>
  <c r="I670" i="7"/>
  <c r="J672" i="7"/>
  <c r="H701" i="7"/>
  <c r="I701" i="7"/>
  <c r="J198" i="7"/>
  <c r="B318" i="7"/>
  <c r="G35" i="9" s="1"/>
  <c r="B351" i="7"/>
  <c r="BE53" i="2" s="1"/>
  <c r="J375" i="7"/>
  <c r="AV36" i="2" s="1"/>
  <c r="P369" i="7"/>
  <c r="I366" i="7"/>
  <c r="R359" i="7"/>
  <c r="R367" i="7" s="1"/>
  <c r="B432" i="7"/>
  <c r="P467" i="7"/>
  <c r="G471" i="7"/>
  <c r="AB48" i="2" s="1"/>
  <c r="C464" i="7"/>
  <c r="D469" i="7"/>
  <c r="Y53" i="2" s="1"/>
  <c r="M494" i="7"/>
  <c r="S499" i="7"/>
  <c r="S449" i="7" s="1"/>
  <c r="H510" i="7"/>
  <c r="K504" i="7"/>
  <c r="K512" i="7" s="1"/>
  <c r="Q590" i="7"/>
  <c r="H606" i="7"/>
  <c r="I616" i="7"/>
  <c r="I632" i="7" s="1"/>
  <c r="G623" i="7"/>
  <c r="D655" i="7"/>
  <c r="L672" i="7"/>
  <c r="J701" i="7"/>
  <c r="Q310" i="4"/>
  <c r="Q311" i="4"/>
  <c r="N459" i="4"/>
  <c r="N435" i="4" s="1"/>
  <c r="B455" i="4"/>
  <c r="O459" i="4"/>
  <c r="N77" i="4"/>
  <c r="O97" i="4"/>
  <c r="BQ22" i="2" s="1"/>
  <c r="O98" i="4"/>
  <c r="CH42" i="2" s="1"/>
  <c r="O36" i="3"/>
  <c r="R34" i="3"/>
  <c r="O35" i="3"/>
  <c r="C180" i="4"/>
  <c r="AO41" i="2" s="1"/>
  <c r="D181" i="4"/>
  <c r="C181" i="4"/>
  <c r="R54" i="3"/>
  <c r="R53" i="3"/>
  <c r="R44" i="3"/>
  <c r="J352" i="4"/>
  <c r="J327" i="4"/>
  <c r="BZ40" i="2"/>
  <c r="K15" i="9" s="1"/>
  <c r="BI5" i="2"/>
  <c r="G120" i="4"/>
  <c r="CA41" i="2" s="1"/>
  <c r="G119" i="4"/>
  <c r="G87" i="4"/>
  <c r="P118" i="4"/>
  <c r="P244" i="4"/>
  <c r="P243" i="4"/>
  <c r="M44" i="2" s="1"/>
  <c r="P218" i="4"/>
  <c r="S63" i="5"/>
  <c r="BD32" i="2"/>
  <c r="J85" i="5"/>
  <c r="O32" i="9" s="1"/>
  <c r="J93" i="5"/>
  <c r="BM50" i="2" s="1"/>
  <c r="Q4" i="3"/>
  <c r="S3" i="3"/>
  <c r="Q8" i="4"/>
  <c r="Q9" i="4"/>
  <c r="S17" i="5"/>
  <c r="O17" i="5"/>
  <c r="B23" i="5"/>
  <c r="DD32" i="2" s="1"/>
  <c r="CM14" i="2"/>
  <c r="N297" i="4"/>
  <c r="N272" i="4"/>
  <c r="F43" i="2" s="1"/>
  <c r="G121" i="4"/>
  <c r="M224" i="5"/>
  <c r="M222" i="5"/>
  <c r="M226" i="5"/>
  <c r="M13" i="3"/>
  <c r="B14" i="3"/>
  <c r="M23" i="3"/>
  <c r="P286" i="4"/>
  <c r="P285" i="4"/>
  <c r="Q286" i="4"/>
  <c r="Q275" i="5"/>
  <c r="Q252" i="5"/>
  <c r="Q268" i="5"/>
  <c r="Q254" i="5" s="1"/>
  <c r="H269" i="5"/>
  <c r="R197" i="5"/>
  <c r="R4" i="3"/>
  <c r="R199" i="5"/>
  <c r="S12" i="3"/>
  <c r="Q224" i="6"/>
  <c r="Q228" i="6"/>
  <c r="Q17" i="3"/>
  <c r="S16" i="3"/>
  <c r="J180" i="4"/>
  <c r="AV41" i="2" s="1"/>
  <c r="K181" i="4"/>
  <c r="J181" i="4"/>
  <c r="Q76" i="4"/>
  <c r="Q108" i="4"/>
  <c r="CJ43" i="2" s="1"/>
  <c r="Q107" i="4"/>
  <c r="G332" i="4"/>
  <c r="G331" i="4"/>
  <c r="G306" i="4"/>
  <c r="H332" i="4"/>
  <c r="O78" i="3"/>
  <c r="O67" i="3" s="1"/>
  <c r="N78" i="3"/>
  <c r="E80" i="3"/>
  <c r="D80" i="3"/>
  <c r="Q35" i="4"/>
  <c r="Q93" i="4"/>
  <c r="Q92" i="4"/>
  <c r="R102" i="4"/>
  <c r="BT23" i="2" s="1"/>
  <c r="R103" i="4"/>
  <c r="CK44" i="2" s="1"/>
  <c r="R107" i="4"/>
  <c r="R108" i="4"/>
  <c r="CK43" i="2" s="1"/>
  <c r="O114" i="4"/>
  <c r="B39" i="9" s="1"/>
  <c r="O115" i="4"/>
  <c r="G129" i="4"/>
  <c r="H131" i="4"/>
  <c r="BJ22" i="2"/>
  <c r="N115" i="4"/>
  <c r="N202" i="4"/>
  <c r="V40" i="2" s="1"/>
  <c r="N176" i="4"/>
  <c r="AM40" i="2" s="1"/>
  <c r="R280" i="4"/>
  <c r="K282" i="4"/>
  <c r="K281" i="4"/>
  <c r="R351" i="4"/>
  <c r="O328" i="4" s="1"/>
  <c r="B142" i="5"/>
  <c r="B136" i="5"/>
  <c r="B127" i="5" s="1"/>
  <c r="W46" i="2" s="1"/>
  <c r="O134" i="5"/>
  <c r="B125" i="5"/>
  <c r="W50" i="2" s="1"/>
  <c r="M136" i="5"/>
  <c r="M144" i="5" s="1"/>
  <c r="M142" i="5"/>
  <c r="N40" i="4"/>
  <c r="N50" i="4"/>
  <c r="Q66" i="4"/>
  <c r="H67" i="4"/>
  <c r="CS8" i="2" s="1"/>
  <c r="G130" i="4"/>
  <c r="BJ8" i="2" s="1"/>
  <c r="B129" i="7"/>
  <c r="DD52" i="2" s="1"/>
  <c r="O14" i="4"/>
  <c r="N14" i="4"/>
  <c r="B16" i="4"/>
  <c r="B15" i="4"/>
  <c r="DD6" i="2" s="1"/>
  <c r="R31" i="4"/>
  <c r="R30" i="4"/>
  <c r="R4" i="4"/>
  <c r="H68" i="4"/>
  <c r="DJ42" i="2" s="1"/>
  <c r="M161" i="4"/>
  <c r="M160" i="4"/>
  <c r="AY7" i="2" s="1"/>
  <c r="M129" i="4"/>
  <c r="M162" i="4"/>
  <c r="AY23" i="2" s="1"/>
  <c r="R207" i="4"/>
  <c r="O8" i="2" s="1"/>
  <c r="C265" i="4"/>
  <c r="C264" i="4"/>
  <c r="AQ32" i="2"/>
  <c r="AM32" i="2" s="1"/>
  <c r="Z10" i="2"/>
  <c r="O101" i="5"/>
  <c r="B103" i="5"/>
  <c r="B109" i="5"/>
  <c r="N61" i="3"/>
  <c r="N62" i="3" s="1"/>
  <c r="B54" i="3"/>
  <c r="O33" i="4"/>
  <c r="C35" i="4"/>
  <c r="C34" i="4"/>
  <c r="DE23" i="2" s="1"/>
  <c r="N33" i="4"/>
  <c r="J67" i="4"/>
  <c r="CU8" i="2" s="1"/>
  <c r="J68" i="4"/>
  <c r="DL42" i="2" s="1"/>
  <c r="L72" i="4"/>
  <c r="CW7" i="2" s="1"/>
  <c r="L73" i="4"/>
  <c r="DN44" i="2" s="1"/>
  <c r="L46" i="4"/>
  <c r="L66" i="4"/>
  <c r="N71" i="4"/>
  <c r="H89" i="4"/>
  <c r="Q86" i="4"/>
  <c r="H87" i="4"/>
  <c r="H88" i="4"/>
  <c r="CS41" i="2" s="1"/>
  <c r="N159" i="4"/>
  <c r="P260" i="4"/>
  <c r="E265" i="4"/>
  <c r="D265" i="4"/>
  <c r="D264" i="4"/>
  <c r="F414" i="4"/>
  <c r="P413" i="4"/>
  <c r="N413" i="4"/>
  <c r="S98" i="5"/>
  <c r="O106" i="5"/>
  <c r="X28" i="2"/>
  <c r="AO50" i="2"/>
  <c r="O359" i="6"/>
  <c r="B371" i="6"/>
  <c r="P167" i="7"/>
  <c r="P105" i="7"/>
  <c r="W4" i="2"/>
  <c r="AK4" i="2"/>
  <c r="DM26" i="2"/>
  <c r="P63" i="2"/>
  <c r="O228" i="6"/>
  <c r="O17" i="3"/>
  <c r="E42" i="4"/>
  <c r="DG24" i="2" s="1"/>
  <c r="K68" i="4"/>
  <c r="DM42" i="2" s="1"/>
  <c r="K67" i="4"/>
  <c r="CV8" i="2" s="1"/>
  <c r="R73" i="4"/>
  <c r="I89" i="4"/>
  <c r="I88" i="4"/>
  <c r="CT41" i="2" s="1"/>
  <c r="G97" i="4"/>
  <c r="CA22" i="2" s="1"/>
  <c r="D207" i="4"/>
  <c r="D88" i="4"/>
  <c r="CO41" i="2" s="1"/>
  <c r="O205" i="4"/>
  <c r="D35" i="4"/>
  <c r="O20" i="5"/>
  <c r="Q271" i="5"/>
  <c r="H285" i="5"/>
  <c r="H278" i="5"/>
  <c r="P14" i="4"/>
  <c r="F42" i="4"/>
  <c r="DH24" i="2" s="1"/>
  <c r="F41" i="4"/>
  <c r="P40" i="4"/>
  <c r="R51" i="4"/>
  <c r="P73" i="4"/>
  <c r="CZ44" i="2" s="1"/>
  <c r="P72" i="4"/>
  <c r="CI7" i="2" s="1"/>
  <c r="P46" i="4"/>
  <c r="L76" i="4"/>
  <c r="L50" i="4"/>
  <c r="J89" i="4"/>
  <c r="J87" i="4"/>
  <c r="J88" i="4"/>
  <c r="CU41" i="2" s="1"/>
  <c r="H99" i="4"/>
  <c r="CB8" i="2" s="1"/>
  <c r="Q96" i="4"/>
  <c r="H97" i="4"/>
  <c r="CB22" i="2" s="1"/>
  <c r="H98" i="4"/>
  <c r="CS42" i="2" s="1"/>
  <c r="P139" i="4"/>
  <c r="P140" i="4"/>
  <c r="P107" i="4"/>
  <c r="N114" i="4"/>
  <c r="N146" i="4"/>
  <c r="BD40" i="2" s="1"/>
  <c r="E215" i="4"/>
  <c r="E214" i="4"/>
  <c r="P213" i="4"/>
  <c r="P188" i="4" s="1"/>
  <c r="S23" i="2" s="1"/>
  <c r="E68" i="4"/>
  <c r="DG42" i="2" s="1"/>
  <c r="M206" i="4"/>
  <c r="AH41" i="2" s="1"/>
  <c r="M232" i="4"/>
  <c r="B207" i="4"/>
  <c r="M231" i="4"/>
  <c r="P41" i="2" s="1"/>
  <c r="P311" i="4"/>
  <c r="G364" i="4"/>
  <c r="P363" i="4"/>
  <c r="G339" i="4"/>
  <c r="R63" i="3"/>
  <c r="R62" i="3"/>
  <c r="G35" i="4"/>
  <c r="G34" i="4"/>
  <c r="DI23" i="2" s="1"/>
  <c r="H41" i="4"/>
  <c r="Q40" i="4"/>
  <c r="H42" i="4"/>
  <c r="DJ24" i="2" s="1"/>
  <c r="I56" i="4"/>
  <c r="DK40" i="2" s="1"/>
  <c r="I57" i="4"/>
  <c r="Q55" i="4"/>
  <c r="I30" i="4"/>
  <c r="DK22" i="2" s="1"/>
  <c r="CZ25" i="2"/>
  <c r="L38" i="4"/>
  <c r="R63" i="4"/>
  <c r="L64" i="4"/>
  <c r="N63" i="4"/>
  <c r="L88" i="4"/>
  <c r="CW41" i="2" s="1"/>
  <c r="L89" i="4"/>
  <c r="L60" i="4"/>
  <c r="DN41" i="2" s="1"/>
  <c r="J98" i="4"/>
  <c r="CU42" i="2" s="1"/>
  <c r="J99" i="4"/>
  <c r="CD8" i="2" s="1"/>
  <c r="K99" i="4"/>
  <c r="CE8" i="2" s="1"/>
  <c r="J97" i="4"/>
  <c r="CD22" i="2" s="1"/>
  <c r="P147" i="4"/>
  <c r="P145" i="4"/>
  <c r="C28" i="9" s="1"/>
  <c r="O193" i="4"/>
  <c r="O192" i="4"/>
  <c r="AI44" i="2" s="1"/>
  <c r="G215" i="4"/>
  <c r="G214" i="4"/>
  <c r="G42" i="4"/>
  <c r="DI24" i="2" s="1"/>
  <c r="G161" i="4"/>
  <c r="C339" i="4"/>
  <c r="C340" i="4"/>
  <c r="R63" i="2"/>
  <c r="O226" i="5"/>
  <c r="O22" i="3"/>
  <c r="R21" i="3"/>
  <c r="O224" i="5"/>
  <c r="O222" i="5"/>
  <c r="G16" i="4"/>
  <c r="N55" i="4"/>
  <c r="N30" i="4" s="1"/>
  <c r="I119" i="4"/>
  <c r="I120" i="4"/>
  <c r="CC41" i="2" s="1"/>
  <c r="Q147" i="4"/>
  <c r="Q146" i="4"/>
  <c r="BB40" i="2" s="1"/>
  <c r="Q145" i="4"/>
  <c r="D28" i="9" s="1"/>
  <c r="B189" i="4"/>
  <c r="B188" i="4"/>
  <c r="W23" i="2" s="1"/>
  <c r="P193" i="4"/>
  <c r="M4" i="2"/>
  <c r="P192" i="4"/>
  <c r="AJ44" i="2" s="1"/>
  <c r="M239" i="4"/>
  <c r="M214" i="4"/>
  <c r="M240" i="4"/>
  <c r="D340" i="4"/>
  <c r="D339" i="4"/>
  <c r="G451" i="4"/>
  <c r="G427" i="4" s="1"/>
  <c r="P79" i="3"/>
  <c r="O4" i="4"/>
  <c r="B60" i="4"/>
  <c r="DD41" i="2" s="1"/>
  <c r="O59" i="4"/>
  <c r="N59" i="4"/>
  <c r="B61" i="4"/>
  <c r="L98" i="4"/>
  <c r="CW42" i="2" s="1"/>
  <c r="L97" i="4"/>
  <c r="CF22" i="2" s="1"/>
  <c r="AZ22" i="2"/>
  <c r="R147" i="4"/>
  <c r="R146" i="4"/>
  <c r="BC40" i="2" s="1"/>
  <c r="O149" i="4"/>
  <c r="O119" i="4" s="1"/>
  <c r="B40" i="9" s="1"/>
  <c r="O165" i="4"/>
  <c r="B31" i="9" s="1"/>
  <c r="O166" i="4"/>
  <c r="AZ44" i="2" s="1"/>
  <c r="O134" i="4"/>
  <c r="B42" i="9" s="1"/>
  <c r="O167" i="4"/>
  <c r="R236" i="4"/>
  <c r="J7" i="2" s="1"/>
  <c r="O211" i="4"/>
  <c r="L7" i="2" s="1"/>
  <c r="R210" i="4"/>
  <c r="R235" i="4"/>
  <c r="N238" i="4"/>
  <c r="K332" i="4"/>
  <c r="J332" i="4"/>
  <c r="J331" i="4"/>
  <c r="J306" i="4"/>
  <c r="AJ5" i="2"/>
  <c r="L4" i="2"/>
  <c r="O251" i="6"/>
  <c r="O26" i="3"/>
  <c r="R25" i="3"/>
  <c r="R251" i="6" s="1"/>
  <c r="P80" i="3"/>
  <c r="R15" i="4"/>
  <c r="H60" i="4"/>
  <c r="DJ41" i="2" s="1"/>
  <c r="I67" i="4"/>
  <c r="CT8" i="2" s="1"/>
  <c r="R75" i="4"/>
  <c r="R50" i="4" s="1"/>
  <c r="P146" i="4"/>
  <c r="BA40" i="2" s="1"/>
  <c r="C152" i="4"/>
  <c r="C151" i="4"/>
  <c r="BF41" i="2" s="1"/>
  <c r="Q430" i="4"/>
  <c r="G234" i="5"/>
  <c r="G210" i="5"/>
  <c r="P251" i="6"/>
  <c r="P26" i="3"/>
  <c r="M89" i="4"/>
  <c r="O103" i="4"/>
  <c r="CH44" i="2" s="1"/>
  <c r="O72" i="4"/>
  <c r="CH7" i="2" s="1"/>
  <c r="N101" i="4"/>
  <c r="N106" i="4"/>
  <c r="N76" i="4" s="1"/>
  <c r="H181" i="4"/>
  <c r="H180" i="4"/>
  <c r="AT41" i="2" s="1"/>
  <c r="Q179" i="4"/>
  <c r="Q150" i="4" s="1"/>
  <c r="D29" i="9" s="1"/>
  <c r="Q228" i="4"/>
  <c r="I9" i="2" s="1"/>
  <c r="P228" i="4"/>
  <c r="H9" i="2" s="1"/>
  <c r="P227" i="4"/>
  <c r="M40" i="2" s="1"/>
  <c r="M286" i="4"/>
  <c r="B261" i="4"/>
  <c r="N284" i="4"/>
  <c r="N285" i="4" s="1"/>
  <c r="M260" i="4"/>
  <c r="R284" i="4"/>
  <c r="O156" i="5"/>
  <c r="S148" i="5"/>
  <c r="O139" i="5"/>
  <c r="O153" i="5"/>
  <c r="Q160" i="5"/>
  <c r="Q143" i="5"/>
  <c r="P24" i="4"/>
  <c r="P25" i="4"/>
  <c r="AM18" i="2"/>
  <c r="O54" i="3"/>
  <c r="E60" i="4"/>
  <c r="DG41" i="2" s="1"/>
  <c r="E61" i="4"/>
  <c r="I87" i="4"/>
  <c r="O92" i="4"/>
  <c r="N91" i="4"/>
  <c r="O93" i="4"/>
  <c r="E130" i="4"/>
  <c r="BH8" i="2" s="1"/>
  <c r="E129" i="4"/>
  <c r="E131" i="4"/>
  <c r="E97" i="4"/>
  <c r="BY22" i="2" s="1"/>
  <c r="P128" i="4"/>
  <c r="N128" i="4"/>
  <c r="E152" i="4"/>
  <c r="E150" i="4"/>
  <c r="J29" i="9" s="1"/>
  <c r="P149" i="4"/>
  <c r="E151" i="4"/>
  <c r="BH41" i="2" s="1"/>
  <c r="H150" i="4"/>
  <c r="M29" i="9" s="1"/>
  <c r="M285" i="4"/>
  <c r="R293" i="4"/>
  <c r="R294" i="4"/>
  <c r="R268" i="4"/>
  <c r="J44" i="2" s="1"/>
  <c r="B389" i="4"/>
  <c r="N388" i="4"/>
  <c r="E439" i="4"/>
  <c r="P438" i="4"/>
  <c r="B183" i="5"/>
  <c r="B191" i="5"/>
  <c r="B177" i="5"/>
  <c r="B159" i="5"/>
  <c r="O175" i="5"/>
  <c r="Q59" i="3"/>
  <c r="D41" i="4"/>
  <c r="R61" i="4"/>
  <c r="G68" i="4"/>
  <c r="DI42" i="2" s="1"/>
  <c r="I99" i="4"/>
  <c r="CC8" i="2" s="1"/>
  <c r="I98" i="4"/>
  <c r="CT42" i="2" s="1"/>
  <c r="H119" i="4"/>
  <c r="H120" i="4"/>
  <c r="CB41" i="2" s="1"/>
  <c r="H121" i="4"/>
  <c r="F129" i="4"/>
  <c r="F130" i="4"/>
  <c r="BI8" i="2" s="1"/>
  <c r="F131" i="4"/>
  <c r="R159" i="4"/>
  <c r="K161" i="4"/>
  <c r="K162" i="4"/>
  <c r="AW23" i="2" s="1"/>
  <c r="K160" i="4"/>
  <c r="AW7" i="2" s="1"/>
  <c r="L162" i="4"/>
  <c r="AX23" i="2" s="1"/>
  <c r="P165" i="4"/>
  <c r="C31" i="9" s="1"/>
  <c r="Q167" i="4"/>
  <c r="M189" i="4"/>
  <c r="L160" i="4"/>
  <c r="AX7" i="2" s="1"/>
  <c r="L189" i="4"/>
  <c r="L188" i="4"/>
  <c r="AG23" i="2" s="1"/>
  <c r="F215" i="4"/>
  <c r="F214" i="4"/>
  <c r="P252" i="4"/>
  <c r="H40" i="2" s="1"/>
  <c r="P253" i="4"/>
  <c r="O310" i="4"/>
  <c r="P17" i="5"/>
  <c r="Q45" i="5"/>
  <c r="Q41" i="5"/>
  <c r="Q51" i="5"/>
  <c r="O125" i="5"/>
  <c r="R50" i="2" s="1"/>
  <c r="S118" i="5"/>
  <c r="S126" i="5" s="1"/>
  <c r="O126" i="5"/>
  <c r="P160" i="5"/>
  <c r="S152" i="5"/>
  <c r="R232" i="5"/>
  <c r="K47" i="6"/>
  <c r="K53" i="6"/>
  <c r="O203" i="4"/>
  <c r="L9" i="2" s="1"/>
  <c r="O202" i="4"/>
  <c r="K240" i="4"/>
  <c r="R238" i="4"/>
  <c r="O215" i="4" s="1"/>
  <c r="C256" i="4"/>
  <c r="C257" i="4"/>
  <c r="Q278" i="4"/>
  <c r="Q277" i="4"/>
  <c r="Q285" i="4"/>
  <c r="Q260" i="4"/>
  <c r="H439" i="4"/>
  <c r="H227" i="5"/>
  <c r="AC5" i="2"/>
  <c r="Q226" i="5"/>
  <c r="Q222" i="5"/>
  <c r="M253" i="6"/>
  <c r="M249" i="6"/>
  <c r="M254" i="6" s="1"/>
  <c r="M237" i="6" s="1"/>
  <c r="M251" i="6"/>
  <c r="B18" i="3"/>
  <c r="O84" i="3"/>
  <c r="O83" i="3"/>
  <c r="N82" i="3"/>
  <c r="P33" i="4"/>
  <c r="E35" i="4"/>
  <c r="E34" i="4"/>
  <c r="DG23" i="2" s="1"/>
  <c r="I41" i="4"/>
  <c r="Q59" i="4"/>
  <c r="H61" i="4"/>
  <c r="K89" i="4"/>
  <c r="R86" i="4"/>
  <c r="R60" i="4" s="1"/>
  <c r="K88" i="4"/>
  <c r="CV41" i="2" s="1"/>
  <c r="D152" i="4"/>
  <c r="P170" i="4"/>
  <c r="P171" i="4"/>
  <c r="BA43" i="2" s="1"/>
  <c r="P172" i="4"/>
  <c r="C189" i="4"/>
  <c r="R187" i="4"/>
  <c r="O244" i="4"/>
  <c r="O243" i="4"/>
  <c r="L44" i="2" s="1"/>
  <c r="E257" i="4"/>
  <c r="D257" i="4"/>
  <c r="R278" i="4"/>
  <c r="O285" i="4"/>
  <c r="Q293" i="4"/>
  <c r="Q268" i="4"/>
  <c r="I44" i="2" s="1"/>
  <c r="I331" i="4"/>
  <c r="I306" i="4"/>
  <c r="I332" i="4"/>
  <c r="O338" i="4"/>
  <c r="O314" i="4" s="1"/>
  <c r="B339" i="4"/>
  <c r="R91" i="5"/>
  <c r="R63" i="5"/>
  <c r="R83" i="5"/>
  <c r="BC32" i="2"/>
  <c r="I93" i="5"/>
  <c r="BL50" i="2" s="1"/>
  <c r="I85" i="5"/>
  <c r="N32" i="9" s="1"/>
  <c r="I183" i="5"/>
  <c r="I204" i="5"/>
  <c r="I185" i="5" s="1"/>
  <c r="I210" i="5"/>
  <c r="P114" i="4"/>
  <c r="B121" i="4"/>
  <c r="N118" i="4"/>
  <c r="B119" i="4"/>
  <c r="G40" i="9" s="1"/>
  <c r="Q118" i="4"/>
  <c r="G151" i="4"/>
  <c r="BJ41" i="2" s="1"/>
  <c r="G152" i="4"/>
  <c r="G150" i="4"/>
  <c r="L29" i="9" s="1"/>
  <c r="E207" i="4"/>
  <c r="P288" i="4"/>
  <c r="F290" i="4"/>
  <c r="E290" i="4"/>
  <c r="E289" i="4"/>
  <c r="Q335" i="4"/>
  <c r="Q336" i="4"/>
  <c r="R380" i="4"/>
  <c r="N380" i="4"/>
  <c r="J65" i="5"/>
  <c r="J111" i="5"/>
  <c r="J127" i="5"/>
  <c r="AE46" i="2" s="1"/>
  <c r="R208" i="5"/>
  <c r="O32" i="3"/>
  <c r="R30" i="3"/>
  <c r="O31" i="3"/>
  <c r="Q49" i="3"/>
  <c r="R50" i="3"/>
  <c r="P54" i="3"/>
  <c r="O68" i="3"/>
  <c r="O38" i="4"/>
  <c r="CY22" i="2" s="1"/>
  <c r="O12" i="4"/>
  <c r="S63" i="2"/>
  <c r="R40" i="3"/>
  <c r="S43" i="3"/>
  <c r="S35" i="3" s="1"/>
  <c r="C8" i="4"/>
  <c r="DE5" i="2" s="1"/>
  <c r="K8" i="4"/>
  <c r="R24" i="4"/>
  <c r="Q25" i="4"/>
  <c r="N37" i="4"/>
  <c r="M42" i="4"/>
  <c r="DO24" i="2" s="1"/>
  <c r="M15" i="4"/>
  <c r="O57" i="4"/>
  <c r="B67" i="4"/>
  <c r="CM8" i="2" s="1"/>
  <c r="B68" i="4"/>
  <c r="DD42" i="2" s="1"/>
  <c r="O66" i="4"/>
  <c r="Q114" i="4"/>
  <c r="C121" i="4"/>
  <c r="C119" i="4"/>
  <c r="H40" i="9" s="1"/>
  <c r="R135" i="4"/>
  <c r="BC23" i="2"/>
  <c r="P134" i="4"/>
  <c r="Q193" i="4"/>
  <c r="F207" i="4"/>
  <c r="F61" i="4"/>
  <c r="F206" i="4"/>
  <c r="AA41" i="2" s="1"/>
  <c r="P205" i="4"/>
  <c r="Q207" i="4" s="1"/>
  <c r="N8" i="2" s="1"/>
  <c r="Q256" i="4"/>
  <c r="I41" i="2" s="1"/>
  <c r="O70" i="5"/>
  <c r="O64" i="5"/>
  <c r="K71" i="5"/>
  <c r="CE50" i="2" s="1"/>
  <c r="K65" i="5"/>
  <c r="E346" i="5"/>
  <c r="P339" i="5"/>
  <c r="E352" i="5"/>
  <c r="S339" i="5"/>
  <c r="N339" i="5"/>
  <c r="F401" i="5"/>
  <c r="C451" i="4"/>
  <c r="C427" i="4" s="1"/>
  <c r="C431" i="4"/>
  <c r="G23" i="5"/>
  <c r="DI32" i="2" s="1"/>
  <c r="G11" i="5"/>
  <c r="DI14" i="2" s="1"/>
  <c r="R259" i="6"/>
  <c r="R235" i="6"/>
  <c r="Q35" i="3"/>
  <c r="R83" i="3"/>
  <c r="O72" i="3" s="1"/>
  <c r="N7" i="4"/>
  <c r="K61" i="4"/>
  <c r="K60" i="4"/>
  <c r="DM41" i="2" s="1"/>
  <c r="N81" i="4"/>
  <c r="O82" i="4"/>
  <c r="O8" i="3"/>
  <c r="P50" i="3"/>
  <c r="S52" i="3"/>
  <c r="O53" i="3"/>
  <c r="P67" i="3"/>
  <c r="D9" i="4"/>
  <c r="D8" i="4"/>
  <c r="DF5" i="2" s="1"/>
  <c r="L8" i="4"/>
  <c r="P38" i="4"/>
  <c r="CZ22" i="2" s="1"/>
  <c r="Q47" i="4"/>
  <c r="CJ4" i="2" s="1"/>
  <c r="Q46" i="4"/>
  <c r="O83" i="4"/>
  <c r="CH40" i="2" s="1"/>
  <c r="E98" i="4"/>
  <c r="CP42" i="2" s="1"/>
  <c r="I97" i="4"/>
  <c r="CC22" i="2" s="1"/>
  <c r="D119" i="4"/>
  <c r="I40" i="9" s="1"/>
  <c r="B131" i="4"/>
  <c r="B130" i="4"/>
  <c r="BE8" i="2" s="1"/>
  <c r="D151" i="4"/>
  <c r="BG41" i="2" s="1"/>
  <c r="P177" i="4"/>
  <c r="P176" i="4"/>
  <c r="AJ40" i="2" s="1"/>
  <c r="R193" i="4"/>
  <c r="N213" i="4"/>
  <c r="F194" i="4"/>
  <c r="B214" i="4"/>
  <c r="B98" i="4"/>
  <c r="CM42" i="2" s="1"/>
  <c r="B215" i="4"/>
  <c r="C239" i="4"/>
  <c r="E281" i="4"/>
  <c r="P280" i="4"/>
  <c r="P256" i="4" s="1"/>
  <c r="H41" i="2" s="1"/>
  <c r="E282" i="4"/>
  <c r="F282" i="4"/>
  <c r="N280" i="4"/>
  <c r="S10" i="5"/>
  <c r="Q11" i="5"/>
  <c r="F136" i="5"/>
  <c r="P136" i="5" s="1"/>
  <c r="R248" i="5"/>
  <c r="K255" i="5"/>
  <c r="P297" i="5"/>
  <c r="P276" i="5"/>
  <c r="F306" i="5"/>
  <c r="F299" i="5"/>
  <c r="F278" i="5"/>
  <c r="S135" i="6"/>
  <c r="S68" i="6"/>
  <c r="S91" i="6"/>
  <c r="S112" i="6"/>
  <c r="E146" i="6"/>
  <c r="E115" i="6"/>
  <c r="E138" i="6"/>
  <c r="Z51" i="2" s="1"/>
  <c r="E132" i="6"/>
  <c r="P130" i="6"/>
  <c r="P138" i="6" s="1"/>
  <c r="S51" i="2" s="1"/>
  <c r="R67" i="3"/>
  <c r="R46" i="4"/>
  <c r="D67" i="4"/>
  <c r="CO8" i="2" s="1"/>
  <c r="D68" i="4"/>
  <c r="DF42" i="2" s="1"/>
  <c r="P96" i="4"/>
  <c r="P67" i="4" s="1"/>
  <c r="CI8" i="2" s="1"/>
  <c r="F99" i="4"/>
  <c r="BZ8" i="2" s="1"/>
  <c r="F67" i="4"/>
  <c r="CQ8" i="2" s="1"/>
  <c r="E120" i="4"/>
  <c r="BY41" i="2" s="1"/>
  <c r="J16" i="9" s="1"/>
  <c r="E121" i="4"/>
  <c r="F121" i="4"/>
  <c r="E119" i="4"/>
  <c r="J40" i="9" s="1"/>
  <c r="J150" i="4"/>
  <c r="O29" i="9" s="1"/>
  <c r="J151" i="4"/>
  <c r="BM41" i="2" s="1"/>
  <c r="Q177" i="4"/>
  <c r="Q176" i="4"/>
  <c r="AK40" i="2" s="1"/>
  <c r="Q230" i="4"/>
  <c r="Q206" i="4" s="1"/>
  <c r="T41" i="2" s="1"/>
  <c r="I231" i="4"/>
  <c r="D240" i="4"/>
  <c r="D239" i="4"/>
  <c r="K239" i="4"/>
  <c r="P8" i="5"/>
  <c r="B11" i="5"/>
  <c r="DD14" i="2" s="1"/>
  <c r="S5" i="5"/>
  <c r="R101" i="5"/>
  <c r="R109" i="5" s="1"/>
  <c r="K109" i="5"/>
  <c r="K85" i="5"/>
  <c r="P32" i="9" s="1"/>
  <c r="S150" i="5"/>
  <c r="R231" i="5"/>
  <c r="R207" i="5"/>
  <c r="S221" i="5"/>
  <c r="O59" i="3"/>
  <c r="O58" i="3"/>
  <c r="F9" i="4"/>
  <c r="P7" i="4"/>
  <c r="O31" i="4"/>
  <c r="B41" i="4"/>
  <c r="O40" i="4"/>
  <c r="B42" i="4"/>
  <c r="DD24" i="2" s="1"/>
  <c r="R47" i="4"/>
  <c r="CK4" i="2" s="1"/>
  <c r="G99" i="4"/>
  <c r="CA8" i="2" s="1"/>
  <c r="N166" i="4"/>
  <c r="N165" i="4"/>
  <c r="F31" i="9" s="1"/>
  <c r="R176" i="4"/>
  <c r="AL40" i="2" s="1"/>
  <c r="R177" i="4"/>
  <c r="O176" i="4"/>
  <c r="AI40" i="2" s="1"/>
  <c r="N179" i="4"/>
  <c r="O179" i="4"/>
  <c r="B181" i="4"/>
  <c r="J232" i="4"/>
  <c r="K232" i="4"/>
  <c r="Q269" i="4"/>
  <c r="P268" i="4"/>
  <c r="H44" i="2" s="1"/>
  <c r="P269" i="4"/>
  <c r="I339" i="4"/>
  <c r="I314" i="4"/>
  <c r="I340" i="4"/>
  <c r="Q338" i="4"/>
  <c r="J340" i="4"/>
  <c r="D356" i="4"/>
  <c r="D331" i="4"/>
  <c r="O359" i="4"/>
  <c r="O335" i="4" s="1"/>
  <c r="M360" i="4"/>
  <c r="M355" i="4"/>
  <c r="R355" i="4" s="1"/>
  <c r="O332" i="4" s="1"/>
  <c r="R359" i="4"/>
  <c r="M351" i="4"/>
  <c r="B336" i="4"/>
  <c r="C402" i="4"/>
  <c r="O401" i="4"/>
  <c r="C377" i="4"/>
  <c r="H53" i="5"/>
  <c r="H35" i="5"/>
  <c r="O108" i="5"/>
  <c r="S100" i="5"/>
  <c r="S108" i="5" s="1"/>
  <c r="Q136" i="5"/>
  <c r="B248" i="5"/>
  <c r="C261" i="5"/>
  <c r="O247" i="5"/>
  <c r="B254" i="5"/>
  <c r="O13" i="3"/>
  <c r="P84" i="3"/>
  <c r="Q84" i="3"/>
  <c r="O25" i="4"/>
  <c r="O24" i="4"/>
  <c r="R82" i="4"/>
  <c r="B87" i="4"/>
  <c r="P87" i="4"/>
  <c r="M97" i="4"/>
  <c r="CG22" i="2" s="1"/>
  <c r="M98" i="4"/>
  <c r="CX42" i="2" s="1"/>
  <c r="M99" i="4"/>
  <c r="CG8" i="2" s="1"/>
  <c r="F120" i="4"/>
  <c r="BZ41" i="2" s="1"/>
  <c r="K16" i="9" s="1"/>
  <c r="N125" i="4"/>
  <c r="O147" i="4"/>
  <c r="I180" i="4"/>
  <c r="AU41" i="2" s="1"/>
  <c r="I181" i="4"/>
  <c r="N184" i="4"/>
  <c r="V22" i="2" s="1"/>
  <c r="L239" i="4"/>
  <c r="L240" i="4"/>
  <c r="L282" i="4"/>
  <c r="M282" i="4"/>
  <c r="M289" i="4"/>
  <c r="Q330" i="4"/>
  <c r="H331" i="4"/>
  <c r="N385" i="4"/>
  <c r="P388" i="4"/>
  <c r="P430" i="4"/>
  <c r="R438" i="4"/>
  <c r="G463" i="4"/>
  <c r="G439" i="4" s="1"/>
  <c r="P467" i="4"/>
  <c r="E35" i="5"/>
  <c r="P29" i="5"/>
  <c r="D71" i="5"/>
  <c r="BX50" i="2" s="1"/>
  <c r="I19" i="9" s="1"/>
  <c r="Q106" i="5"/>
  <c r="O159" i="5"/>
  <c r="J204" i="5"/>
  <c r="J185" i="5" s="1"/>
  <c r="J183" i="5"/>
  <c r="L255" i="5"/>
  <c r="E306" i="5"/>
  <c r="E299" i="5"/>
  <c r="P292" i="5"/>
  <c r="P299" i="5" s="1"/>
  <c r="S292" i="5"/>
  <c r="E278" i="5"/>
  <c r="M388" i="5"/>
  <c r="B370" i="5"/>
  <c r="P224" i="6"/>
  <c r="P228" i="6"/>
  <c r="O71" i="3"/>
  <c r="N20" i="4"/>
  <c r="J35" i="4"/>
  <c r="J8" i="4"/>
  <c r="J34" i="4"/>
  <c r="DL23" i="2" s="1"/>
  <c r="P56" i="4"/>
  <c r="CZ40" i="2" s="1"/>
  <c r="Q103" i="4"/>
  <c r="CJ44" i="2" s="1"/>
  <c r="Q102" i="4"/>
  <c r="BS23" i="2" s="1"/>
  <c r="J119" i="4"/>
  <c r="C130" i="4"/>
  <c r="BF8" i="2" s="1"/>
  <c r="C131" i="4"/>
  <c r="N134" i="4"/>
  <c r="R149" i="4"/>
  <c r="B160" i="4"/>
  <c r="AN7" i="2" s="1"/>
  <c r="P202" i="4"/>
  <c r="P203" i="4"/>
  <c r="M9" i="2" s="1"/>
  <c r="C215" i="4"/>
  <c r="R213" i="4"/>
  <c r="R16" i="4" s="1"/>
  <c r="O223" i="4"/>
  <c r="O222" i="4"/>
  <c r="R230" i="4"/>
  <c r="K206" i="4"/>
  <c r="AF41" i="2" s="1"/>
  <c r="I281" i="4"/>
  <c r="D455" i="4"/>
  <c r="F47" i="5"/>
  <c r="F53" i="5"/>
  <c r="O91" i="5"/>
  <c r="O83" i="5"/>
  <c r="F352" i="5"/>
  <c r="Q135" i="6"/>
  <c r="Q112" i="6"/>
  <c r="C146" i="6"/>
  <c r="C115" i="6"/>
  <c r="C138" i="6"/>
  <c r="X51" i="2" s="1"/>
  <c r="C132" i="6"/>
  <c r="C113" i="6"/>
  <c r="AO51" i="2" s="1"/>
  <c r="O130" i="6"/>
  <c r="H347" i="6"/>
  <c r="P223" i="4"/>
  <c r="P222" i="4"/>
  <c r="S43" i="2" s="1"/>
  <c r="L232" i="4"/>
  <c r="L231" i="4"/>
  <c r="N255" i="4"/>
  <c r="O255" i="4"/>
  <c r="B231" i="4"/>
  <c r="O268" i="4"/>
  <c r="G44" i="2" s="1"/>
  <c r="O269" i="4"/>
  <c r="R313" i="4"/>
  <c r="N322" i="4"/>
  <c r="C356" i="4"/>
  <c r="O355" i="4"/>
  <c r="C331" i="4"/>
  <c r="B377" i="4"/>
  <c r="N376" i="4"/>
  <c r="O376" i="4"/>
  <c r="S271" i="5"/>
  <c r="P271" i="5"/>
  <c r="G285" i="5"/>
  <c r="R135" i="6"/>
  <c r="R112" i="6"/>
  <c r="D146" i="6"/>
  <c r="D115" i="6"/>
  <c r="D138" i="6"/>
  <c r="Y51" i="2" s="1"/>
  <c r="D132" i="6"/>
  <c r="D113" i="6"/>
  <c r="AP51" i="2" s="1"/>
  <c r="F152" i="4"/>
  <c r="F151" i="4"/>
  <c r="BI41" i="2" s="1"/>
  <c r="D180" i="4"/>
  <c r="AP41" i="2" s="1"/>
  <c r="D189" i="4"/>
  <c r="D188" i="4"/>
  <c r="G207" i="4"/>
  <c r="G206" i="4"/>
  <c r="AB41" i="2" s="1"/>
  <c r="E258" i="4"/>
  <c r="E264" i="4"/>
  <c r="Q273" i="4"/>
  <c r="Q272" i="4"/>
  <c r="I43" i="2" s="1"/>
  <c r="O298" i="4"/>
  <c r="O297" i="4"/>
  <c r="F340" i="4"/>
  <c r="E340" i="4"/>
  <c r="E339" i="4"/>
  <c r="P338" i="4"/>
  <c r="E314" i="4"/>
  <c r="Q405" i="4"/>
  <c r="O467" i="4"/>
  <c r="N467" i="4"/>
  <c r="N443" i="4" s="1"/>
  <c r="B463" i="4"/>
  <c r="C93" i="5"/>
  <c r="BF50" i="2" s="1"/>
  <c r="C71" i="5"/>
  <c r="BW50" i="2" s="1"/>
  <c r="H19" i="9" s="1"/>
  <c r="S132" i="5"/>
  <c r="O140" i="5"/>
  <c r="C191" i="5"/>
  <c r="C177" i="5"/>
  <c r="C183" i="5"/>
  <c r="C159" i="5"/>
  <c r="L47" i="6"/>
  <c r="L53" i="6"/>
  <c r="H162" i="4"/>
  <c r="AT23" i="2" s="1"/>
  <c r="Q159" i="4"/>
  <c r="E180" i="4"/>
  <c r="AQ41" i="2" s="1"/>
  <c r="E188" i="4"/>
  <c r="Z23" i="2" s="1"/>
  <c r="E189" i="4"/>
  <c r="H207" i="4"/>
  <c r="H206" i="4"/>
  <c r="AC41" i="2" s="1"/>
  <c r="I207" i="4"/>
  <c r="L206" i="4"/>
  <c r="AG41" i="2" s="1"/>
  <c r="O218" i="4"/>
  <c r="R227" i="4"/>
  <c r="O40" i="2" s="1"/>
  <c r="R273" i="4"/>
  <c r="P297" i="4"/>
  <c r="P298" i="4"/>
  <c r="Q298" i="4"/>
  <c r="O302" i="4"/>
  <c r="O327" i="4"/>
  <c r="N397" i="4"/>
  <c r="N372" i="4"/>
  <c r="D463" i="4"/>
  <c r="N471" i="4"/>
  <c r="N447" i="4" s="1"/>
  <c r="D125" i="5"/>
  <c r="Y50" i="2" s="1"/>
  <c r="D119" i="5"/>
  <c r="D53" i="5"/>
  <c r="D109" i="5"/>
  <c r="P140" i="5"/>
  <c r="P123" i="5"/>
  <c r="Q140" i="5"/>
  <c r="Q157" i="5"/>
  <c r="P279" i="5"/>
  <c r="P300" i="5"/>
  <c r="M47" i="6"/>
  <c r="M53" i="6"/>
  <c r="I162" i="4"/>
  <c r="AU23" i="2" s="1"/>
  <c r="I160" i="4"/>
  <c r="AU7" i="2" s="1"/>
  <c r="F181" i="4"/>
  <c r="F180" i="4"/>
  <c r="AR41" i="2" s="1"/>
  <c r="F188" i="4"/>
  <c r="AA23" i="2" s="1"/>
  <c r="I206" i="4"/>
  <c r="AD41" i="2" s="1"/>
  <c r="H256" i="4"/>
  <c r="H257" i="4"/>
  <c r="P272" i="4"/>
  <c r="H43" i="2" s="1"/>
  <c r="C306" i="4"/>
  <c r="C307" i="4"/>
  <c r="C281" i="4"/>
  <c r="P328" i="4"/>
  <c r="P327" i="4"/>
  <c r="C364" i="4"/>
  <c r="Q438" i="4"/>
  <c r="P471" i="4"/>
  <c r="B34" i="5"/>
  <c r="S40" i="5"/>
  <c r="B52" i="5"/>
  <c r="O40" i="5"/>
  <c r="O34" i="5" s="1"/>
  <c r="B41" i="5"/>
  <c r="O62" i="5"/>
  <c r="O59" i="5"/>
  <c r="R140" i="5"/>
  <c r="R157" i="5"/>
  <c r="R151" i="5"/>
  <c r="M218" i="6"/>
  <c r="M204" i="6"/>
  <c r="M210" i="6"/>
  <c r="M186" i="6"/>
  <c r="R202" i="6"/>
  <c r="S234" i="6"/>
  <c r="P58" i="3"/>
  <c r="Q68" i="3"/>
  <c r="F16" i="4"/>
  <c r="D61" i="4"/>
  <c r="D60" i="4"/>
  <c r="DF41" i="2" s="1"/>
  <c r="R96" i="4"/>
  <c r="R114" i="4"/>
  <c r="D121" i="4"/>
  <c r="D120" i="4"/>
  <c r="BX41" i="2" s="1"/>
  <c r="I16" i="9" s="1"/>
  <c r="O140" i="4"/>
  <c r="O139" i="4"/>
  <c r="B41" i="9" s="1"/>
  <c r="I151" i="4"/>
  <c r="BL41" i="2" s="1"/>
  <c r="I150" i="4"/>
  <c r="N29" i="9" s="1"/>
  <c r="N156" i="4"/>
  <c r="AM8" i="2" s="1"/>
  <c r="J162" i="4"/>
  <c r="AV23" i="2" s="1"/>
  <c r="J161" i="4"/>
  <c r="O171" i="4"/>
  <c r="AZ43" i="2" s="1"/>
  <c r="O170" i="4"/>
  <c r="B30" i="9" s="1"/>
  <c r="G181" i="4"/>
  <c r="G180" i="4"/>
  <c r="AS41" i="2" s="1"/>
  <c r="G188" i="4"/>
  <c r="AB23" i="2" s="1"/>
  <c r="P196" i="4"/>
  <c r="J206" i="4"/>
  <c r="AE41" i="2" s="1"/>
  <c r="I256" i="4"/>
  <c r="I265" i="4"/>
  <c r="H265" i="4"/>
  <c r="Q263" i="4"/>
  <c r="Q239" i="4" s="1"/>
  <c r="N45" i="2" s="1"/>
  <c r="B290" i="4"/>
  <c r="D306" i="4"/>
  <c r="E307" i="4"/>
  <c r="D307" i="4"/>
  <c r="R347" i="4"/>
  <c r="R405" i="4"/>
  <c r="K406" i="4"/>
  <c r="S29" i="5"/>
  <c r="C41" i="5"/>
  <c r="C46" i="5"/>
  <c r="C52" i="5"/>
  <c r="F125" i="5"/>
  <c r="AA50" i="2" s="1"/>
  <c r="O119" i="5"/>
  <c r="R134" i="5"/>
  <c r="R125" i="5" s="1"/>
  <c r="U50" i="2" s="1"/>
  <c r="L125" i="5"/>
  <c r="AG50" i="2" s="1"/>
  <c r="L142" i="5"/>
  <c r="L136" i="5"/>
  <c r="L144" i="5" s="1"/>
  <c r="Q224" i="5"/>
  <c r="Q232" i="5"/>
  <c r="Q208" i="5"/>
  <c r="Q321" i="5"/>
  <c r="Q314" i="5"/>
  <c r="G331" i="5"/>
  <c r="G323" i="5"/>
  <c r="G315" i="5"/>
  <c r="Q209" i="6"/>
  <c r="S201" i="6"/>
  <c r="Q185" i="6"/>
  <c r="D87" i="4"/>
  <c r="B97" i="4"/>
  <c r="BV22" i="2" s="1"/>
  <c r="K119" i="4"/>
  <c r="I129" i="4"/>
  <c r="M150" i="4"/>
  <c r="R29" i="9" s="1"/>
  <c r="C160" i="4"/>
  <c r="AO7" i="2" s="1"/>
  <c r="H188" i="4"/>
  <c r="AC23" i="2" s="1"/>
  <c r="I215" i="4"/>
  <c r="J227" i="4"/>
  <c r="D232" i="4"/>
  <c r="J239" i="4"/>
  <c r="P261" i="4"/>
  <c r="D281" i="4"/>
  <c r="L307" i="4"/>
  <c r="J315" i="4"/>
  <c r="I315" i="4"/>
  <c r="Q318" i="4"/>
  <c r="M338" i="4"/>
  <c r="N338" i="4" s="1"/>
  <c r="M347" i="4"/>
  <c r="M322" i="4"/>
  <c r="M348" i="4"/>
  <c r="Q351" i="4"/>
  <c r="Q327" i="4" s="1"/>
  <c r="Q364" i="4"/>
  <c r="Q426" i="4"/>
  <c r="D439" i="4"/>
  <c r="I455" i="4"/>
  <c r="R50" i="5"/>
  <c r="R41" i="5"/>
  <c r="R35" i="5" s="1"/>
  <c r="P82" i="5"/>
  <c r="B85" i="5"/>
  <c r="G32" i="9" s="1"/>
  <c r="B93" i="5"/>
  <c r="BE50" i="2" s="1"/>
  <c r="O84" i="5"/>
  <c r="M125" i="5"/>
  <c r="AH50" i="2" s="1"/>
  <c r="P134" i="5"/>
  <c r="R143" i="5"/>
  <c r="P157" i="5"/>
  <c r="S149" i="5"/>
  <c r="Q197" i="5"/>
  <c r="H250" i="5"/>
  <c r="S298" i="5"/>
  <c r="K388" i="5"/>
  <c r="R376" i="5"/>
  <c r="R364" i="5" s="1"/>
  <c r="N376" i="5"/>
  <c r="K364" i="5"/>
  <c r="O35" i="6"/>
  <c r="S63" i="6"/>
  <c r="S69" i="6"/>
  <c r="S45" i="6"/>
  <c r="J71" i="6"/>
  <c r="CD51" i="2" s="1"/>
  <c r="J47" i="6"/>
  <c r="J65" i="6"/>
  <c r="B99" i="4"/>
  <c r="BV8" i="2" s="1"/>
  <c r="O108" i="4"/>
  <c r="CH43" i="2" s="1"/>
  <c r="R128" i="4"/>
  <c r="B151" i="4"/>
  <c r="BE41" i="2" s="1"/>
  <c r="F161" i="4"/>
  <c r="N230" i="4"/>
  <c r="O238" i="4"/>
  <c r="O214" i="4" s="1"/>
  <c r="R45" i="2" s="1"/>
  <c r="P263" i="4"/>
  <c r="G265" i="4"/>
  <c r="J282" i="4"/>
  <c r="R298" i="4"/>
  <c r="Q297" i="4"/>
  <c r="I307" i="4"/>
  <c r="H307" i="4"/>
  <c r="R311" i="4"/>
  <c r="R322" i="4"/>
  <c r="M328" i="4"/>
  <c r="B303" i="4"/>
  <c r="N326" i="4"/>
  <c r="L381" i="4"/>
  <c r="R413" i="4"/>
  <c r="R414" i="4" s="1"/>
  <c r="N426" i="4"/>
  <c r="G431" i="4"/>
  <c r="O21" i="5"/>
  <c r="F23" i="5"/>
  <c r="DH32" i="2" s="1"/>
  <c r="L35" i="5"/>
  <c r="I53" i="5"/>
  <c r="I47" i="5"/>
  <c r="P62" i="5"/>
  <c r="B65" i="5"/>
  <c r="G43" i="9" s="1"/>
  <c r="B71" i="5"/>
  <c r="BV50" i="2" s="1"/>
  <c r="G19" i="9" s="1"/>
  <c r="Q101" i="5"/>
  <c r="E125" i="5"/>
  <c r="Z50" i="2" s="1"/>
  <c r="E119" i="5"/>
  <c r="P117" i="5"/>
  <c r="P109" i="5" s="1"/>
  <c r="O180" i="5"/>
  <c r="S172" i="5"/>
  <c r="D191" i="5"/>
  <c r="D183" i="5"/>
  <c r="D177" i="5"/>
  <c r="O209" i="5"/>
  <c r="S200" i="5"/>
  <c r="O201" i="5"/>
  <c r="C234" i="5"/>
  <c r="C210" i="5"/>
  <c r="O276" i="5"/>
  <c r="R269" i="5"/>
  <c r="G306" i="5"/>
  <c r="G401" i="5"/>
  <c r="G382" i="5"/>
  <c r="R209" i="6"/>
  <c r="R185" i="6"/>
  <c r="I347" i="6"/>
  <c r="I353" i="6"/>
  <c r="E240" i="4"/>
  <c r="Q244" i="4"/>
  <c r="E315" i="4"/>
  <c r="D315" i="4"/>
  <c r="D314" i="4"/>
  <c r="Q344" i="4"/>
  <c r="P344" i="4"/>
  <c r="P463" i="4"/>
  <c r="Q9" i="5"/>
  <c r="H11" i="5"/>
  <c r="DJ14" i="2" s="1"/>
  <c r="J35" i="5"/>
  <c r="B204" i="5"/>
  <c r="R321" i="5"/>
  <c r="R314" i="5"/>
  <c r="Q312" i="5"/>
  <c r="Q323" i="5" s="1"/>
  <c r="H315" i="5"/>
  <c r="H331" i="5"/>
  <c r="M346" i="5"/>
  <c r="R339" i="5"/>
  <c r="M352" i="5"/>
  <c r="P362" i="5"/>
  <c r="P344" i="5"/>
  <c r="F370" i="5"/>
  <c r="F346" i="5"/>
  <c r="F364" i="5"/>
  <c r="R91" i="6"/>
  <c r="D94" i="6"/>
  <c r="BG51" i="2" s="1"/>
  <c r="M162" i="6"/>
  <c r="M156" i="6"/>
  <c r="B148" i="6" s="1"/>
  <c r="M138" i="6"/>
  <c r="AH51" i="2" s="1"/>
  <c r="M170" i="6"/>
  <c r="K210" i="6"/>
  <c r="K231" i="6"/>
  <c r="K237" i="6"/>
  <c r="R303" i="6"/>
  <c r="R298" i="6"/>
  <c r="P49" i="3"/>
  <c r="G8" i="4"/>
  <c r="DI5" i="2" s="1"/>
  <c r="E47" i="4"/>
  <c r="H215" i="4"/>
  <c r="E239" i="4"/>
  <c r="R244" i="4"/>
  <c r="R253" i="4"/>
  <c r="K256" i="4"/>
  <c r="O280" i="4"/>
  <c r="M302" i="4"/>
  <c r="P313" i="4"/>
  <c r="R326" i="4"/>
  <c r="E352" i="4"/>
  <c r="P351" i="4"/>
  <c r="O367" i="4"/>
  <c r="O343" i="4" s="1"/>
  <c r="B344" i="4"/>
  <c r="M363" i="4"/>
  <c r="M364" i="4" s="1"/>
  <c r="B406" i="4"/>
  <c r="N405" i="4"/>
  <c r="O413" i="4"/>
  <c r="E427" i="4"/>
  <c r="K431" i="4"/>
  <c r="N438" i="4"/>
  <c r="S21" i="5"/>
  <c r="K35" i="5"/>
  <c r="F65" i="5"/>
  <c r="K43" i="9" s="1"/>
  <c r="Q91" i="5"/>
  <c r="R106" i="5"/>
  <c r="E109" i="5"/>
  <c r="S135" i="5"/>
  <c r="O143" i="5"/>
  <c r="Q156" i="5"/>
  <c r="H183" i="5"/>
  <c r="F185" i="5"/>
  <c r="F193" i="5"/>
  <c r="P226" i="5"/>
  <c r="P248" i="5"/>
  <c r="P255" i="5" s="1"/>
  <c r="E255" i="5"/>
  <c r="S321" i="5"/>
  <c r="S314" i="5"/>
  <c r="I331" i="5"/>
  <c r="I323" i="5"/>
  <c r="I315" i="5"/>
  <c r="P343" i="5"/>
  <c r="P321" i="5"/>
  <c r="Q344" i="5"/>
  <c r="Q362" i="5"/>
  <c r="G370" i="5"/>
  <c r="G364" i="5"/>
  <c r="G346" i="5"/>
  <c r="P44" i="6"/>
  <c r="P50" i="6"/>
  <c r="O184" i="6"/>
  <c r="S176" i="6"/>
  <c r="O160" i="6"/>
  <c r="H180" i="6"/>
  <c r="H164" i="6" s="1"/>
  <c r="Q178" i="6"/>
  <c r="H186" i="6"/>
  <c r="H162" i="6"/>
  <c r="H194" i="6"/>
  <c r="I194" i="6"/>
  <c r="R180" i="6"/>
  <c r="L231" i="6"/>
  <c r="L212" i="6" s="1"/>
  <c r="L237" i="6"/>
  <c r="C231" i="4"/>
  <c r="G240" i="4"/>
  <c r="Q252" i="4"/>
  <c r="I40" i="2" s="1"/>
  <c r="L265" i="4"/>
  <c r="L264" i="4"/>
  <c r="Q288" i="4"/>
  <c r="H289" i="4"/>
  <c r="M307" i="4"/>
  <c r="M281" i="4"/>
  <c r="R344" i="4"/>
  <c r="R318" i="4"/>
  <c r="F352" i="4"/>
  <c r="L431" i="4"/>
  <c r="R467" i="4"/>
  <c r="K463" i="4"/>
  <c r="O44" i="5"/>
  <c r="R141" i="5"/>
  <c r="R124" i="5"/>
  <c r="P143" i="5"/>
  <c r="O268" i="5"/>
  <c r="B269" i="5"/>
  <c r="S268" i="5"/>
  <c r="E325" i="5"/>
  <c r="E333" i="5"/>
  <c r="R362" i="5"/>
  <c r="R344" i="5"/>
  <c r="H370" i="5"/>
  <c r="Q358" i="5"/>
  <c r="H346" i="5"/>
  <c r="O111" i="6"/>
  <c r="O84" i="6"/>
  <c r="F121" i="6"/>
  <c r="F113" i="6"/>
  <c r="AR51" i="2" s="1"/>
  <c r="Q161" i="6"/>
  <c r="Q137" i="6"/>
  <c r="L188" i="6"/>
  <c r="L282" i="6"/>
  <c r="K98" i="4"/>
  <c r="CV42" i="2" s="1"/>
  <c r="N149" i="4"/>
  <c r="Q211" i="4"/>
  <c r="N7" i="2" s="1"/>
  <c r="H214" i="4"/>
  <c r="R222" i="4"/>
  <c r="U43" i="2" s="1"/>
  <c r="Q223" i="4"/>
  <c r="H239" i="4"/>
  <c r="R252" i="4"/>
  <c r="J40" i="2" s="1"/>
  <c r="M257" i="4"/>
  <c r="Q261" i="4"/>
  <c r="O260" i="4"/>
  <c r="M265" i="4"/>
  <c r="B282" i="4"/>
  <c r="I290" i="4"/>
  <c r="I289" i="4"/>
  <c r="P302" i="4"/>
  <c r="Q305" i="4"/>
  <c r="J314" i="4"/>
  <c r="P343" i="4"/>
  <c r="O363" i="4"/>
  <c r="R388" i="4"/>
  <c r="K389" i="4"/>
  <c r="O438" i="4"/>
  <c r="P22" i="5"/>
  <c r="L23" i="5"/>
  <c r="DN32" i="2" s="1"/>
  <c r="P44" i="5"/>
  <c r="P77" i="5"/>
  <c r="G161" i="5"/>
  <c r="F153" i="5"/>
  <c r="F161" i="5" s="1"/>
  <c r="H185" i="5"/>
  <c r="O207" i="5"/>
  <c r="O202" i="5"/>
  <c r="S196" i="5"/>
  <c r="O197" i="5"/>
  <c r="F325" i="5"/>
  <c r="F333" i="5"/>
  <c r="P111" i="6"/>
  <c r="P84" i="6"/>
  <c r="G121" i="6"/>
  <c r="G113" i="6"/>
  <c r="AS51" i="2" s="1"/>
  <c r="R161" i="6"/>
  <c r="R137" i="6"/>
  <c r="R236" i="6"/>
  <c r="R228" i="6"/>
  <c r="I16" i="4"/>
  <c r="K214" i="4"/>
  <c r="J240" i="4"/>
  <c r="I240" i="4"/>
  <c r="I239" i="4"/>
  <c r="P247" i="4"/>
  <c r="M43" i="2" s="1"/>
  <c r="K290" i="4"/>
  <c r="J290" i="4"/>
  <c r="Q302" i="4"/>
  <c r="R305" i="4"/>
  <c r="K307" i="4"/>
  <c r="Q313" i="4"/>
  <c r="H315" i="4"/>
  <c r="H314" i="4"/>
  <c r="P318" i="4"/>
  <c r="P319" i="4"/>
  <c r="O319" i="4"/>
  <c r="P330" i="4"/>
  <c r="F332" i="4"/>
  <c r="E332" i="4"/>
  <c r="M336" i="4"/>
  <c r="M335" i="4"/>
  <c r="M330" i="4"/>
  <c r="N330" i="4" s="1"/>
  <c r="N334" i="4"/>
  <c r="K352" i="4"/>
  <c r="R367" i="4"/>
  <c r="O344" i="4" s="1"/>
  <c r="E381" i="4"/>
  <c r="P380" i="4"/>
  <c r="H455" i="4"/>
  <c r="Q22" i="5"/>
  <c r="M23" i="5"/>
  <c r="DO32" i="2" s="1"/>
  <c r="Q44" i="5"/>
  <c r="Q50" i="5"/>
  <c r="I71" i="5"/>
  <c r="CC50" i="2" s="1"/>
  <c r="I65" i="5"/>
  <c r="O82" i="5"/>
  <c r="O77" i="5"/>
  <c r="S84" i="5"/>
  <c r="Q77" i="5"/>
  <c r="H153" i="5"/>
  <c r="H144" i="5" s="1"/>
  <c r="Q151" i="5"/>
  <c r="Q159" i="5" s="1"/>
  <c r="H159" i="5"/>
  <c r="H142" i="5"/>
  <c r="P197" i="5"/>
  <c r="P184" i="5"/>
  <c r="M35" i="6"/>
  <c r="S227" i="6"/>
  <c r="C142" i="5"/>
  <c r="R180" i="5"/>
  <c r="E191" i="5"/>
  <c r="K193" i="5"/>
  <c r="R296" i="5"/>
  <c r="H306" i="5"/>
  <c r="B11" i="6"/>
  <c r="DD15" i="2" s="1"/>
  <c r="O5" i="6"/>
  <c r="O11" i="6" s="1"/>
  <c r="O22" i="6"/>
  <c r="O10" i="6"/>
  <c r="R113" i="6"/>
  <c r="AL51" i="2" s="1"/>
  <c r="O135" i="6"/>
  <c r="O110" i="6"/>
  <c r="S114" i="6"/>
  <c r="S93" i="6"/>
  <c r="S70" i="6"/>
  <c r="B161" i="6"/>
  <c r="C169" i="6"/>
  <c r="B169" i="6"/>
  <c r="B154" i="6"/>
  <c r="B138" i="6" s="1"/>
  <c r="W51" i="2" s="1"/>
  <c r="K170" i="6"/>
  <c r="K162" i="6"/>
  <c r="K156" i="6"/>
  <c r="R154" i="6"/>
  <c r="R162" i="6" s="1"/>
  <c r="F164" i="6"/>
  <c r="G172" i="6"/>
  <c r="R280" i="6"/>
  <c r="B265" i="4"/>
  <c r="H281" i="4"/>
  <c r="M290" i="4"/>
  <c r="L315" i="4"/>
  <c r="H340" i="4"/>
  <c r="R430" i="4"/>
  <c r="P45" i="5"/>
  <c r="S62" i="5"/>
  <c r="P63" i="5"/>
  <c r="P83" i="5"/>
  <c r="Q117" i="5"/>
  <c r="Q125" i="5" s="1"/>
  <c r="T50" i="2" s="1"/>
  <c r="H119" i="5"/>
  <c r="O133" i="5"/>
  <c r="O124" i="5" s="1"/>
  <c r="D142" i="5"/>
  <c r="E151" i="5"/>
  <c r="K153" i="5"/>
  <c r="K144" i="5" s="1"/>
  <c r="S174" i="5"/>
  <c r="P175" i="5"/>
  <c r="E177" i="5"/>
  <c r="K183" i="5"/>
  <c r="M204" i="5"/>
  <c r="F210" i="5"/>
  <c r="B278" i="5"/>
  <c r="S296" i="5"/>
  <c r="F331" i="5"/>
  <c r="S312" i="5"/>
  <c r="S323" i="5" s="1"/>
  <c r="S5" i="6"/>
  <c r="P22" i="6"/>
  <c r="M23" i="6"/>
  <c r="DO33" i="2" s="1"/>
  <c r="P135" i="6"/>
  <c r="P68" i="6"/>
  <c r="B146" i="6"/>
  <c r="C133" i="6"/>
  <c r="B71" i="6"/>
  <c r="BV51" i="2" s="1"/>
  <c r="G20" i="9" s="1"/>
  <c r="O153" i="6"/>
  <c r="L162" i="6"/>
  <c r="L156" i="6"/>
  <c r="L138" i="6"/>
  <c r="AG51" i="2" s="1"/>
  <c r="R275" i="6"/>
  <c r="R282" i="6" s="1"/>
  <c r="K261" i="6"/>
  <c r="J331" i="5"/>
  <c r="J323" i="5"/>
  <c r="O341" i="5"/>
  <c r="I370" i="5"/>
  <c r="B23" i="6"/>
  <c r="DD33" i="2" s="1"/>
  <c r="C41" i="6"/>
  <c r="C46" i="6"/>
  <c r="C52" i="6"/>
  <c r="E86" i="6"/>
  <c r="J33" i="9" s="1"/>
  <c r="E94" i="6"/>
  <c r="BH51" i="2" s="1"/>
  <c r="P78" i="6"/>
  <c r="F115" i="6"/>
  <c r="F138" i="6"/>
  <c r="AA51" i="2" s="1"/>
  <c r="F132" i="6"/>
  <c r="F146" i="6"/>
  <c r="G146" i="6"/>
  <c r="J347" i="6"/>
  <c r="J353" i="6"/>
  <c r="B256" i="4"/>
  <c r="N263" i="4"/>
  <c r="N264" i="4" s="1"/>
  <c r="N305" i="4"/>
  <c r="N355" i="4"/>
  <c r="N401" i="4"/>
  <c r="M119" i="5"/>
  <c r="B124" i="5"/>
  <c r="Q134" i="5"/>
  <c r="I159" i="5"/>
  <c r="Q201" i="5"/>
  <c r="D227" i="5"/>
  <c r="D234" i="5" s="1"/>
  <c r="Q248" i="5"/>
  <c r="H299" i="5"/>
  <c r="B346" i="5"/>
  <c r="B352" i="5"/>
  <c r="D41" i="6"/>
  <c r="D46" i="6"/>
  <c r="K65" i="6"/>
  <c r="B295" i="6"/>
  <c r="H345" i="6"/>
  <c r="Q337" i="6"/>
  <c r="Q345" i="6" s="1"/>
  <c r="N337" i="6"/>
  <c r="N345" i="6" s="1"/>
  <c r="O263" i="4"/>
  <c r="O305" i="4"/>
  <c r="P307" i="4" s="1"/>
  <c r="L111" i="5"/>
  <c r="J142" i="5"/>
  <c r="S173" i="5"/>
  <c r="O176" i="5"/>
  <c r="O160" i="5" s="1"/>
  <c r="B184" i="5"/>
  <c r="R201" i="5"/>
  <c r="S223" i="5"/>
  <c r="S297" i="5"/>
  <c r="I306" i="5"/>
  <c r="I299" i="5"/>
  <c r="E41" i="6"/>
  <c r="E46" i="6"/>
  <c r="E52" i="6"/>
  <c r="P40" i="6"/>
  <c r="P41" i="6" s="1"/>
  <c r="O70" i="6"/>
  <c r="F194" i="6"/>
  <c r="F180" i="6"/>
  <c r="F186" i="6"/>
  <c r="F162" i="6"/>
  <c r="Q343" i="6"/>
  <c r="Q339" i="6"/>
  <c r="S335" i="6"/>
  <c r="S323" i="6" s="1"/>
  <c r="O371" i="4"/>
  <c r="O347" i="4" s="1"/>
  <c r="K159" i="5"/>
  <c r="M191" i="5"/>
  <c r="P224" i="5"/>
  <c r="J306" i="5"/>
  <c r="J299" i="5"/>
  <c r="B306" i="5"/>
  <c r="F323" i="5"/>
  <c r="N341" i="5"/>
  <c r="D346" i="5"/>
  <c r="D352" i="5"/>
  <c r="P363" i="5"/>
  <c r="P345" i="5"/>
  <c r="L35" i="6"/>
  <c r="O44" i="6"/>
  <c r="O50" i="6"/>
  <c r="O41" i="6"/>
  <c r="F41" i="6"/>
  <c r="F46" i="6"/>
  <c r="F52" i="6"/>
  <c r="P105" i="6"/>
  <c r="E121" i="6"/>
  <c r="E113" i="6"/>
  <c r="AQ51" i="2" s="1"/>
  <c r="Q115" i="6"/>
  <c r="S175" i="6"/>
  <c r="G194" i="6"/>
  <c r="G180" i="6"/>
  <c r="G164" i="6" s="1"/>
  <c r="G186" i="6"/>
  <c r="G162" i="6"/>
  <c r="J196" i="6"/>
  <c r="Q204" i="6"/>
  <c r="H212" i="6"/>
  <c r="Q251" i="6"/>
  <c r="S250" i="6"/>
  <c r="R343" i="6"/>
  <c r="R339" i="6"/>
  <c r="N430" i="4"/>
  <c r="G53" i="5"/>
  <c r="R59" i="5"/>
  <c r="G71" i="5"/>
  <c r="CA50" i="2" s="1"/>
  <c r="R77" i="5"/>
  <c r="G93" i="5"/>
  <c r="BJ50" i="2" s="1"/>
  <c r="D192" i="5"/>
  <c r="C204" i="5"/>
  <c r="R209" i="5"/>
  <c r="M255" i="5"/>
  <c r="I285" i="5"/>
  <c r="R312" i="5"/>
  <c r="R323" i="5" s="1"/>
  <c r="J315" i="5"/>
  <c r="M331" i="5"/>
  <c r="R359" i="5"/>
  <c r="H401" i="5"/>
  <c r="Q10" i="6"/>
  <c r="O32" i="6"/>
  <c r="R50" i="6"/>
  <c r="R41" i="6"/>
  <c r="R32" i="6"/>
  <c r="H121" i="6"/>
  <c r="Q105" i="6"/>
  <c r="H113" i="6"/>
  <c r="AT51" i="2" s="1"/>
  <c r="I188" i="6"/>
  <c r="M231" i="6"/>
  <c r="Q235" i="6"/>
  <c r="G282" i="6"/>
  <c r="P275" i="6"/>
  <c r="S317" i="4"/>
  <c r="S59" i="5"/>
  <c r="S77" i="5"/>
  <c r="C120" i="5"/>
  <c r="I193" i="5"/>
  <c r="J285" i="5"/>
  <c r="N292" i="5"/>
  <c r="B299" i="5"/>
  <c r="R315" i="5"/>
  <c r="D333" i="5"/>
  <c r="C346" i="5"/>
  <c r="I401" i="5"/>
  <c r="R10" i="6"/>
  <c r="P32" i="6"/>
  <c r="S29" i="6"/>
  <c r="I121" i="6"/>
  <c r="I113" i="6"/>
  <c r="AU51" i="2" s="1"/>
  <c r="B137" i="6"/>
  <c r="J188" i="6"/>
  <c r="B204" i="6"/>
  <c r="B210" i="6"/>
  <c r="B218" i="6"/>
  <c r="B186" i="6"/>
  <c r="O231" i="6"/>
  <c r="F119" i="5"/>
  <c r="J193" i="5"/>
  <c r="E217" i="5"/>
  <c r="E210" i="5"/>
  <c r="R271" i="5"/>
  <c r="Q296" i="5"/>
  <c r="L315" i="5"/>
  <c r="S358" i="5"/>
  <c r="C364" i="5"/>
  <c r="N358" i="5"/>
  <c r="C370" i="5"/>
  <c r="O363" i="5"/>
  <c r="S10" i="6"/>
  <c r="Q11" i="6"/>
  <c r="K23" i="6"/>
  <c r="DM33" i="2" s="1"/>
  <c r="K11" i="6"/>
  <c r="S199" i="6"/>
  <c r="O207" i="6"/>
  <c r="C210" i="6"/>
  <c r="C218" i="6"/>
  <c r="C204" i="6"/>
  <c r="P231" i="6"/>
  <c r="P298" i="5"/>
  <c r="L299" i="5"/>
  <c r="L306" i="5"/>
  <c r="D323" i="5"/>
  <c r="R363" i="5"/>
  <c r="N394" i="5"/>
  <c r="I23" i="6"/>
  <c r="DK33" i="2" s="1"/>
  <c r="J35" i="6"/>
  <c r="P110" i="6"/>
  <c r="P183" i="6"/>
  <c r="D194" i="6"/>
  <c r="D180" i="6"/>
  <c r="D164" i="6" s="1"/>
  <c r="D186" i="6"/>
  <c r="E218" i="6"/>
  <c r="Q226" i="6"/>
  <c r="Q208" i="6"/>
  <c r="O249" i="6"/>
  <c r="P254" i="6"/>
  <c r="E261" i="6"/>
  <c r="B326" i="6"/>
  <c r="C332" i="6"/>
  <c r="O321" i="5"/>
  <c r="P312" i="5"/>
  <c r="P323" i="5" s="1"/>
  <c r="E323" i="5"/>
  <c r="N343" i="5"/>
  <c r="R21" i="6"/>
  <c r="O34" i="6"/>
  <c r="K35" i="6"/>
  <c r="R29" i="6"/>
  <c r="J170" i="6"/>
  <c r="J162" i="6"/>
  <c r="J156" i="6"/>
  <c r="Q154" i="6"/>
  <c r="Q162" i="6" s="1"/>
  <c r="Q183" i="6"/>
  <c r="P178" i="6"/>
  <c r="E194" i="6"/>
  <c r="E180" i="6"/>
  <c r="E186" i="6"/>
  <c r="D204" i="6"/>
  <c r="R226" i="6"/>
  <c r="P249" i="6"/>
  <c r="B231" i="6"/>
  <c r="B237" i="6"/>
  <c r="F261" i="6"/>
  <c r="F237" i="6"/>
  <c r="Q325" i="6"/>
  <c r="M326" i="6"/>
  <c r="M332" i="6"/>
  <c r="Q44" i="6"/>
  <c r="Q50" i="6"/>
  <c r="Q41" i="6"/>
  <c r="Q68" i="6"/>
  <c r="O92" i="6"/>
  <c r="F86" i="6"/>
  <c r="K33" i="9" s="1"/>
  <c r="F94" i="6"/>
  <c r="BI51" i="2" s="1"/>
  <c r="R325" i="6"/>
  <c r="R68" i="6"/>
  <c r="D71" i="6"/>
  <c r="BX51" i="2" s="1"/>
  <c r="I20" i="9" s="1"/>
  <c r="O159" i="6"/>
  <c r="R186" i="6"/>
  <c r="E312" i="6"/>
  <c r="P298" i="6"/>
  <c r="E305" i="6"/>
  <c r="Q319" i="6"/>
  <c r="Q323" i="6"/>
  <c r="O319" i="6"/>
  <c r="S50" i="6"/>
  <c r="S59" i="6"/>
  <c r="E65" i="6"/>
  <c r="J44" i="9" s="1"/>
  <c r="H94" i="6"/>
  <c r="BK51" i="2" s="1"/>
  <c r="Q78" i="6"/>
  <c r="G86" i="6"/>
  <c r="L33" i="9" s="1"/>
  <c r="R159" i="6"/>
  <c r="S208" i="6"/>
  <c r="F312" i="6"/>
  <c r="F305" i="6"/>
  <c r="R323" i="6"/>
  <c r="P319" i="6"/>
  <c r="O51" i="6"/>
  <c r="G47" i="6"/>
  <c r="G53" i="6"/>
  <c r="O69" i="6"/>
  <c r="F65" i="6"/>
  <c r="K44" i="9" s="1"/>
  <c r="F71" i="6"/>
  <c r="BZ51" i="2" s="1"/>
  <c r="K20" i="9" s="1"/>
  <c r="H86" i="6"/>
  <c r="M33" i="9" s="1"/>
  <c r="S139" i="6"/>
  <c r="B194" i="6"/>
  <c r="S179" i="6"/>
  <c r="S225" i="6"/>
  <c r="O226" i="6"/>
  <c r="G312" i="6"/>
  <c r="G305" i="6"/>
  <c r="R319" i="6"/>
  <c r="K306" i="5"/>
  <c r="K299" i="5"/>
  <c r="R292" i="5"/>
  <c r="C325" i="5"/>
  <c r="Q363" i="5"/>
  <c r="M364" i="5"/>
  <c r="I35" i="6"/>
  <c r="Q29" i="6"/>
  <c r="Q23" i="6" s="1"/>
  <c r="P160" i="6"/>
  <c r="O183" i="6"/>
  <c r="O178" i="6"/>
  <c r="C194" i="6"/>
  <c r="C180" i="6"/>
  <c r="C186" i="6"/>
  <c r="D210" i="6"/>
  <c r="P226" i="6"/>
  <c r="D282" i="6"/>
  <c r="P281" i="6"/>
  <c r="H312" i="6"/>
  <c r="H305" i="6"/>
  <c r="Q298" i="6"/>
  <c r="Q305" i="6" s="1"/>
  <c r="N324" i="6"/>
  <c r="D326" i="6"/>
  <c r="D305" i="6"/>
  <c r="S319" i="6"/>
  <c r="R229" i="6"/>
  <c r="E332" i="6"/>
  <c r="D365" i="6"/>
  <c r="D371" i="6"/>
  <c r="I388" i="5"/>
  <c r="B94" i="6"/>
  <c r="BE51" i="2" s="1"/>
  <c r="C121" i="6"/>
  <c r="R208" i="6"/>
  <c r="F332" i="6"/>
  <c r="P337" i="6"/>
  <c r="P345" i="6" s="1"/>
  <c r="Q380" i="6"/>
  <c r="D370" i="5"/>
  <c r="E17" i="6"/>
  <c r="S40" i="6"/>
  <c r="C71" i="6"/>
  <c r="BW51" i="2" s="1"/>
  <c r="H20" i="9" s="1"/>
  <c r="C94" i="6"/>
  <c r="BF51" i="2" s="1"/>
  <c r="I156" i="6"/>
  <c r="I162" i="6"/>
  <c r="B187" i="6"/>
  <c r="O203" i="6"/>
  <c r="O187" i="6" s="1"/>
  <c r="K204" i="6"/>
  <c r="L220" i="6" s="1"/>
  <c r="L210" i="6"/>
  <c r="Q304" i="6"/>
  <c r="M305" i="6"/>
  <c r="G332" i="6"/>
  <c r="B345" i="6"/>
  <c r="B340" i="6"/>
  <c r="O337" i="6"/>
  <c r="C71" i="7"/>
  <c r="C65" i="7"/>
  <c r="O358" i="5"/>
  <c r="O346" i="5" s="1"/>
  <c r="E370" i="5"/>
  <c r="P15" i="6"/>
  <c r="O59" i="6"/>
  <c r="O78" i="6"/>
  <c r="B86" i="6"/>
  <c r="G33" i="9" s="1"/>
  <c r="Q160" i="6"/>
  <c r="R304" i="6"/>
  <c r="O298" i="6"/>
  <c r="H332" i="6"/>
  <c r="C345" i="6"/>
  <c r="C340" i="6"/>
  <c r="D353" i="6" s="1"/>
  <c r="O86" i="7"/>
  <c r="P358" i="5"/>
  <c r="E9" i="6"/>
  <c r="E71" i="6"/>
  <c r="BY51" i="2" s="1"/>
  <c r="J20" i="9" s="1"/>
  <c r="G132" i="6"/>
  <c r="K218" i="6"/>
  <c r="O279" i="6"/>
  <c r="B312" i="6"/>
  <c r="D347" i="6"/>
  <c r="Q59" i="6"/>
  <c r="P91" i="6"/>
  <c r="H132" i="6"/>
  <c r="I148" i="6" s="1"/>
  <c r="O253" i="6"/>
  <c r="S252" i="6"/>
  <c r="C312" i="6"/>
  <c r="N343" i="6"/>
  <c r="E347" i="6"/>
  <c r="E353" i="6"/>
  <c r="S32" i="6"/>
  <c r="R59" i="6"/>
  <c r="K113" i="6"/>
  <c r="AW51" i="2" s="1"/>
  <c r="O224" i="6"/>
  <c r="O234" i="6"/>
  <c r="S248" i="6"/>
  <c r="P253" i="6"/>
  <c r="O343" i="6"/>
  <c r="O340" i="6"/>
  <c r="O347" i="6" s="1"/>
  <c r="O339" i="6"/>
  <c r="F347" i="6"/>
  <c r="F353" i="6"/>
  <c r="S338" i="6"/>
  <c r="S325" i="6" s="1"/>
  <c r="P62" i="6"/>
  <c r="Q253" i="6"/>
  <c r="Q260" i="6"/>
  <c r="S273" i="6"/>
  <c r="S280" i="6" s="1"/>
  <c r="O280" i="6"/>
  <c r="D312" i="6"/>
  <c r="G340" i="6"/>
  <c r="G345" i="6"/>
  <c r="K389" i="6"/>
  <c r="R377" i="6"/>
  <c r="K365" i="6"/>
  <c r="N377" i="6"/>
  <c r="K383" i="6"/>
  <c r="L67" i="7"/>
  <c r="H72" i="7"/>
  <c r="I117" i="7"/>
  <c r="O146" i="7"/>
  <c r="O84" i="7"/>
  <c r="F142" i="7"/>
  <c r="F148" i="7"/>
  <c r="DH54" i="2" s="1"/>
  <c r="P140" i="7"/>
  <c r="G184" i="7"/>
  <c r="G178" i="7"/>
  <c r="Q228" i="7"/>
  <c r="H234" i="7"/>
  <c r="M410" i="7"/>
  <c r="AY53" i="2" s="1"/>
  <c r="R402" i="7"/>
  <c r="M343" i="7"/>
  <c r="R34" i="9" s="1"/>
  <c r="G436" i="7"/>
  <c r="AB31" i="2" s="1"/>
  <c r="G428" i="7"/>
  <c r="G369" i="7"/>
  <c r="H436" i="7"/>
  <c r="AC31" i="2" s="1"/>
  <c r="D10" i="7"/>
  <c r="K17" i="7"/>
  <c r="H55" i="7"/>
  <c r="I72" i="7"/>
  <c r="O120" i="7"/>
  <c r="G148" i="7"/>
  <c r="DI54" i="2" s="1"/>
  <c r="G142" i="7"/>
  <c r="Q172" i="7"/>
  <c r="H184" i="7"/>
  <c r="I239" i="7"/>
  <c r="I233" i="7"/>
  <c r="I230" i="7"/>
  <c r="I234" i="7"/>
  <c r="I240" i="7"/>
  <c r="Q260" i="7"/>
  <c r="Q254" i="7"/>
  <c r="O670" i="7"/>
  <c r="E10" i="7"/>
  <c r="L17" i="7"/>
  <c r="I55" i="7"/>
  <c r="DK16" i="2" s="1"/>
  <c r="M67" i="7"/>
  <c r="C103" i="7"/>
  <c r="P120" i="7"/>
  <c r="H148" i="7"/>
  <c r="DJ54" i="2" s="1"/>
  <c r="H142" i="7"/>
  <c r="H86" i="7"/>
  <c r="I177" i="7"/>
  <c r="H223" i="7"/>
  <c r="CS53" i="2" s="1"/>
  <c r="H217" i="7"/>
  <c r="J230" i="7"/>
  <c r="J239" i="7"/>
  <c r="J233" i="7"/>
  <c r="R260" i="7"/>
  <c r="R254" i="7"/>
  <c r="B274" i="7"/>
  <c r="G45" i="9" s="1"/>
  <c r="B280" i="7"/>
  <c r="BV53" i="2" s="1"/>
  <c r="G21" i="9" s="1"/>
  <c r="Q409" i="7"/>
  <c r="G651" i="7"/>
  <c r="K340" i="6"/>
  <c r="O382" i="6"/>
  <c r="F10" i="7"/>
  <c r="M17" i="7"/>
  <c r="J55" i="7"/>
  <c r="DL16" i="2" s="1"/>
  <c r="D111" i="7"/>
  <c r="S114" i="7"/>
  <c r="F167" i="7"/>
  <c r="F161" i="7"/>
  <c r="K176" i="7"/>
  <c r="K182" i="7"/>
  <c r="H177" i="7"/>
  <c r="H183" i="7"/>
  <c r="J177" i="7"/>
  <c r="G217" i="7"/>
  <c r="K230" i="7"/>
  <c r="R227" i="7"/>
  <c r="K239" i="7"/>
  <c r="K233" i="7"/>
  <c r="Q249" i="7"/>
  <c r="Q198" i="7" s="1"/>
  <c r="G294" i="7"/>
  <c r="G302" i="7"/>
  <c r="G287" i="7"/>
  <c r="P287" i="7" s="1"/>
  <c r="P286" i="7"/>
  <c r="G235" i="7"/>
  <c r="Q310" i="7"/>
  <c r="H318" i="7"/>
  <c r="M35" i="9" s="1"/>
  <c r="R412" i="7"/>
  <c r="R54" i="7"/>
  <c r="E618" i="7"/>
  <c r="P339" i="6"/>
  <c r="L340" i="6"/>
  <c r="N374" i="6"/>
  <c r="P382" i="6"/>
  <c r="M383" i="6"/>
  <c r="G10" i="7"/>
  <c r="H30" i="7"/>
  <c r="DJ18" i="2" s="1"/>
  <c r="K55" i="7"/>
  <c r="DM16" i="2" s="1"/>
  <c r="R64" i="7"/>
  <c r="C86" i="7"/>
  <c r="E99" i="7"/>
  <c r="E103" i="7"/>
  <c r="I142" i="7"/>
  <c r="I217" i="7"/>
  <c r="L230" i="7"/>
  <c r="L239" i="7"/>
  <c r="L233" i="7"/>
  <c r="P252" i="7"/>
  <c r="P249" i="7"/>
  <c r="B261" i="7"/>
  <c r="BV54" i="2" s="1"/>
  <c r="G22" i="9" s="1"/>
  <c r="B255" i="7"/>
  <c r="G46" i="9" s="1"/>
  <c r="R249" i="7"/>
  <c r="H255" i="7"/>
  <c r="P277" i="7"/>
  <c r="Q324" i="7"/>
  <c r="B631" i="7"/>
  <c r="B623" i="7"/>
  <c r="O615" i="7"/>
  <c r="B567" i="7"/>
  <c r="C631" i="7"/>
  <c r="B616" i="7"/>
  <c r="B568" i="7" s="1"/>
  <c r="M340" i="6"/>
  <c r="L365" i="6"/>
  <c r="O374" i="6"/>
  <c r="O380" i="6" s="1"/>
  <c r="B377" i="6"/>
  <c r="Q382" i="6"/>
  <c r="B5" i="7"/>
  <c r="H10" i="7"/>
  <c r="I30" i="7"/>
  <c r="I70" i="7"/>
  <c r="I61" i="7"/>
  <c r="I11" i="7" s="1"/>
  <c r="D86" i="7"/>
  <c r="S105" i="7"/>
  <c r="R115" i="7"/>
  <c r="B121" i="7"/>
  <c r="G122" i="7"/>
  <c r="R126" i="7"/>
  <c r="J129" i="7"/>
  <c r="DL52" i="2" s="1"/>
  <c r="J142" i="7"/>
  <c r="Q155" i="7"/>
  <c r="H167" i="7"/>
  <c r="M182" i="7"/>
  <c r="M173" i="7"/>
  <c r="M123" i="7" s="1"/>
  <c r="L177" i="7"/>
  <c r="B203" i="7"/>
  <c r="B172" i="7"/>
  <c r="B173" i="7" s="1"/>
  <c r="B192" i="7"/>
  <c r="F198" i="7"/>
  <c r="J217" i="7"/>
  <c r="Q229" i="7"/>
  <c r="M233" i="7"/>
  <c r="Q252" i="7"/>
  <c r="Q258" i="7"/>
  <c r="Q277" i="7"/>
  <c r="I302" i="7"/>
  <c r="I287" i="7"/>
  <c r="I294" i="7"/>
  <c r="S253" i="7"/>
  <c r="S316" i="7"/>
  <c r="S324" i="7"/>
  <c r="M360" i="7"/>
  <c r="L694" i="7"/>
  <c r="L651" i="7" s="1"/>
  <c r="L649" i="7"/>
  <c r="R691" i="7"/>
  <c r="S691" i="7" s="1"/>
  <c r="L648" i="7"/>
  <c r="C371" i="6"/>
  <c r="C405" i="6"/>
  <c r="C5" i="7"/>
  <c r="R5" i="7"/>
  <c r="I10" i="7"/>
  <c r="G49" i="7"/>
  <c r="DI17" i="2" s="1"/>
  <c r="M55" i="7"/>
  <c r="DO16" i="2" s="1"/>
  <c r="B65" i="7"/>
  <c r="S115" i="7"/>
  <c r="Q116" i="7"/>
  <c r="C121" i="7"/>
  <c r="H122" i="7"/>
  <c r="I161" i="7"/>
  <c r="I167" i="7"/>
  <c r="M177" i="7"/>
  <c r="G198" i="7"/>
  <c r="B211" i="7"/>
  <c r="S210" i="7"/>
  <c r="S160" i="7" s="1"/>
  <c r="K217" i="7"/>
  <c r="O239" i="7"/>
  <c r="I241" i="7"/>
  <c r="M255" i="7"/>
  <c r="J293" i="7"/>
  <c r="J301" i="7"/>
  <c r="J287" i="7"/>
  <c r="Q285" i="7"/>
  <c r="J302" i="7"/>
  <c r="J294" i="7"/>
  <c r="R310" i="7"/>
  <c r="K326" i="7"/>
  <c r="BN54" i="2" s="1"/>
  <c r="M398" i="6"/>
  <c r="D405" i="6"/>
  <c r="D5" i="7"/>
  <c r="J10" i="7"/>
  <c r="G14" i="7"/>
  <c r="P54" i="7"/>
  <c r="D64" i="7"/>
  <c r="S116" i="7"/>
  <c r="R116" i="7"/>
  <c r="D121" i="7"/>
  <c r="K122" i="7"/>
  <c r="B127" i="7"/>
  <c r="I128" i="7"/>
  <c r="J161" i="7"/>
  <c r="J105" i="7"/>
  <c r="C172" i="7"/>
  <c r="C211" i="7"/>
  <c r="Q227" i="7"/>
  <c r="O229" i="7"/>
  <c r="B241" i="7"/>
  <c r="J241" i="7"/>
  <c r="H421" i="7"/>
  <c r="P340" i="6"/>
  <c r="P347" i="6" s="1"/>
  <c r="E371" i="6"/>
  <c r="B380" i="6"/>
  <c r="B395" i="6"/>
  <c r="E405" i="6"/>
  <c r="E5" i="7"/>
  <c r="H14" i="7"/>
  <c r="E64" i="7"/>
  <c r="D66" i="7"/>
  <c r="H120" i="7"/>
  <c r="H117" i="7"/>
  <c r="Q114" i="7"/>
  <c r="C120" i="7"/>
  <c r="H121" i="7"/>
  <c r="L122" i="7"/>
  <c r="O166" i="7"/>
  <c r="K161" i="7"/>
  <c r="R155" i="7"/>
  <c r="K167" i="7"/>
  <c r="O165" i="7"/>
  <c r="P172" i="7"/>
  <c r="B183" i="7"/>
  <c r="K198" i="7"/>
  <c r="K204" i="7"/>
  <c r="CV54" i="2" s="1"/>
  <c r="Q204" i="7"/>
  <c r="CJ54" i="2" s="1"/>
  <c r="D172" i="7"/>
  <c r="D173" i="7" s="1"/>
  <c r="D211" i="7"/>
  <c r="D222" i="7"/>
  <c r="B176" i="7"/>
  <c r="B233" i="7"/>
  <c r="B230" i="7"/>
  <c r="M292" i="7"/>
  <c r="M300" i="7"/>
  <c r="M287" i="7"/>
  <c r="R287" i="7" s="1"/>
  <c r="F371" i="6"/>
  <c r="B386" i="6"/>
  <c r="H389" i="6"/>
  <c r="C395" i="6"/>
  <c r="C401" i="6" s="1"/>
  <c r="F405" i="6"/>
  <c r="L420" i="6"/>
  <c r="F5" i="7"/>
  <c r="F61" i="7"/>
  <c r="F64" i="7"/>
  <c r="F65" i="7"/>
  <c r="E66" i="7"/>
  <c r="K111" i="7"/>
  <c r="G121" i="7"/>
  <c r="G127" i="7"/>
  <c r="D128" i="7"/>
  <c r="C117" i="7"/>
  <c r="D120" i="7"/>
  <c r="I121" i="7"/>
  <c r="M122" i="7"/>
  <c r="E127" i="7"/>
  <c r="S147" i="7"/>
  <c r="S85" i="7"/>
  <c r="P136" i="7"/>
  <c r="S164" i="7"/>
  <c r="C176" i="7"/>
  <c r="R170" i="7"/>
  <c r="R120" i="7" s="1"/>
  <c r="O171" i="7"/>
  <c r="O121" i="7" s="1"/>
  <c r="R177" i="7"/>
  <c r="K184" i="7"/>
  <c r="O191" i="7"/>
  <c r="H230" i="7"/>
  <c r="P258" i="7"/>
  <c r="M301" i="7"/>
  <c r="M293" i="7"/>
  <c r="M302" i="7"/>
  <c r="M294" i="7"/>
  <c r="S310" i="7"/>
  <c r="J395" i="7"/>
  <c r="Q446" i="7"/>
  <c r="G562" i="7"/>
  <c r="P560" i="7"/>
  <c r="D395" i="6"/>
  <c r="D383" i="6" s="1"/>
  <c r="D404" i="6"/>
  <c r="G405" i="6"/>
  <c r="G5" i="7"/>
  <c r="G61" i="7"/>
  <c r="H64" i="7"/>
  <c r="G65" i="7"/>
  <c r="F66" i="7"/>
  <c r="J86" i="7"/>
  <c r="C109" i="7"/>
  <c r="J120" i="7"/>
  <c r="J126" i="7"/>
  <c r="E128" i="7"/>
  <c r="P116" i="7"/>
  <c r="D117" i="7"/>
  <c r="D67" i="7" s="1"/>
  <c r="E120" i="7"/>
  <c r="K121" i="7"/>
  <c r="Q136" i="7"/>
  <c r="P146" i="7"/>
  <c r="Q165" i="7"/>
  <c r="D176" i="7"/>
  <c r="D182" i="7"/>
  <c r="G173" i="7"/>
  <c r="L176" i="7"/>
  <c r="P195" i="7"/>
  <c r="M204" i="7"/>
  <c r="CX54" i="2" s="1"/>
  <c r="M198" i="7"/>
  <c r="O210" i="7"/>
  <c r="O211" i="7" s="1"/>
  <c r="S221" i="7"/>
  <c r="Q222" i="7"/>
  <c r="M230" i="7"/>
  <c r="J274" i="7"/>
  <c r="Q468" i="7"/>
  <c r="Q350" i="7"/>
  <c r="M469" i="7"/>
  <c r="AH53" i="2" s="1"/>
  <c r="M463" i="7"/>
  <c r="M351" i="7"/>
  <c r="BP53" i="2" s="1"/>
  <c r="E395" i="6"/>
  <c r="C398" i="6"/>
  <c r="E404" i="6"/>
  <c r="H5" i="7"/>
  <c r="C47" i="7"/>
  <c r="H61" i="7"/>
  <c r="I64" i="7"/>
  <c r="H65" i="7"/>
  <c r="K126" i="7"/>
  <c r="K117" i="7"/>
  <c r="E117" i="7"/>
  <c r="F120" i="7"/>
  <c r="L121" i="7"/>
  <c r="Q145" i="7"/>
  <c r="Q139" i="7"/>
  <c r="Q146" i="7"/>
  <c r="O159" i="7"/>
  <c r="E173" i="7"/>
  <c r="E182" i="7"/>
  <c r="Q171" i="7"/>
  <c r="H173" i="7"/>
  <c r="M176" i="7"/>
  <c r="H178" i="7"/>
  <c r="P214" i="7"/>
  <c r="P158" i="7"/>
  <c r="P220" i="7"/>
  <c r="B222" i="7"/>
  <c r="K234" i="7"/>
  <c r="B300" i="7"/>
  <c r="B287" i="7"/>
  <c r="B292" i="7"/>
  <c r="O284" i="7"/>
  <c r="O233" i="7" s="1"/>
  <c r="S284" i="7"/>
  <c r="H326" i="7"/>
  <c r="BK54" i="2" s="1"/>
  <c r="S349" i="7"/>
  <c r="S272" i="7"/>
  <c r="S341" i="7"/>
  <c r="J343" i="7"/>
  <c r="O34" i="9" s="1"/>
  <c r="J351" i="7"/>
  <c r="BM53" i="2" s="1"/>
  <c r="S335" i="7"/>
  <c r="F395" i="6"/>
  <c r="F30" i="7"/>
  <c r="DH18" i="2" s="1"/>
  <c r="O33" i="7"/>
  <c r="B70" i="7"/>
  <c r="B61" i="7"/>
  <c r="J61" i="7"/>
  <c r="G70" i="7"/>
  <c r="C99" i="7"/>
  <c r="I105" i="7"/>
  <c r="E109" i="7"/>
  <c r="L126" i="7"/>
  <c r="L117" i="7"/>
  <c r="J121" i="7"/>
  <c r="F117" i="7"/>
  <c r="K120" i="7"/>
  <c r="R145" i="7"/>
  <c r="R83" i="7"/>
  <c r="R146" i="7"/>
  <c r="I173" i="7"/>
  <c r="I178" i="7"/>
  <c r="Q195" i="7"/>
  <c r="Q220" i="7"/>
  <c r="Q211" i="7"/>
  <c r="Q158" i="7"/>
  <c r="C222" i="7"/>
  <c r="L234" i="7"/>
  <c r="R335" i="7"/>
  <c r="K351" i="7"/>
  <c r="BN53" i="2" s="1"/>
  <c r="K343" i="7"/>
  <c r="P34" i="9" s="1"/>
  <c r="B373" i="7"/>
  <c r="B365" i="7"/>
  <c r="O357" i="7"/>
  <c r="S357" i="7"/>
  <c r="S365" i="7" s="1"/>
  <c r="P392" i="6"/>
  <c r="P380" i="6" s="1"/>
  <c r="G395" i="6"/>
  <c r="E47" i="7"/>
  <c r="C58" i="7"/>
  <c r="D65" i="7"/>
  <c r="K61" i="7"/>
  <c r="K64" i="7"/>
  <c r="J66" i="7"/>
  <c r="G117" i="7"/>
  <c r="L120" i="7"/>
  <c r="G126" i="7"/>
  <c r="R139" i="7"/>
  <c r="O140" i="7"/>
  <c r="Q141" i="7"/>
  <c r="Q159" i="7"/>
  <c r="J173" i="7"/>
  <c r="J123" i="7" s="1"/>
  <c r="J178" i="7"/>
  <c r="S195" i="7"/>
  <c r="S201" i="7"/>
  <c r="S191" i="7"/>
  <c r="R195" i="7"/>
  <c r="S196" i="7"/>
  <c r="Q197" i="7"/>
  <c r="Q201" i="7"/>
  <c r="M234" i="7"/>
  <c r="H240" i="7"/>
  <c r="Q273" i="7"/>
  <c r="Q279" i="7"/>
  <c r="M274" i="7"/>
  <c r="M280" i="7"/>
  <c r="CG53" i="2" s="1"/>
  <c r="M217" i="7"/>
  <c r="C274" i="7"/>
  <c r="H45" i="9" s="1"/>
  <c r="P350" i="7"/>
  <c r="P342" i="7"/>
  <c r="L351" i="7"/>
  <c r="BO53" i="2" s="1"/>
  <c r="L343" i="7"/>
  <c r="Q34" i="9" s="1"/>
  <c r="C128" i="7"/>
  <c r="P202" i="7"/>
  <c r="P227" i="7"/>
  <c r="P229" i="7"/>
  <c r="F239" i="7"/>
  <c r="O249" i="7"/>
  <c r="S279" i="7"/>
  <c r="S273" i="7"/>
  <c r="O268" i="7"/>
  <c r="L301" i="7"/>
  <c r="R285" i="7"/>
  <c r="R234" i="7" s="1"/>
  <c r="R286" i="7"/>
  <c r="R235" i="7" s="1"/>
  <c r="P402" i="7"/>
  <c r="E343" i="7"/>
  <c r="J34" i="9" s="1"/>
  <c r="O508" i="7"/>
  <c r="S500" i="7"/>
  <c r="S450" i="7" s="1"/>
  <c r="O450" i="7"/>
  <c r="S418" i="7"/>
  <c r="O418" i="7"/>
  <c r="O128" i="7" s="1"/>
  <c r="B434" i="7"/>
  <c r="W36" i="2" s="1"/>
  <c r="C541" i="7"/>
  <c r="C549" i="7"/>
  <c r="C535" i="7"/>
  <c r="I537" i="7"/>
  <c r="P566" i="7"/>
  <c r="S558" i="7"/>
  <c r="C241" i="7"/>
  <c r="C235" i="7"/>
  <c r="D261" i="7"/>
  <c r="BX54" i="2" s="1"/>
  <c r="I22" i="9" s="1"/>
  <c r="D255" i="7"/>
  <c r="I46" i="9" s="1"/>
  <c r="P301" i="7"/>
  <c r="P293" i="7"/>
  <c r="D366" i="7"/>
  <c r="D374" i="7"/>
  <c r="AP17" i="2" s="1"/>
  <c r="B367" i="7"/>
  <c r="O359" i="7"/>
  <c r="S359" i="7"/>
  <c r="S367" i="7" s="1"/>
  <c r="H393" i="7"/>
  <c r="AT54" i="2" s="1"/>
  <c r="H360" i="7"/>
  <c r="Q385" i="7"/>
  <c r="C426" i="7"/>
  <c r="C367" i="7"/>
  <c r="D434" i="7"/>
  <c r="Y36" i="2" s="1"/>
  <c r="C434" i="7"/>
  <c r="X36" i="2" s="1"/>
  <c r="C302" i="7"/>
  <c r="K537" i="7"/>
  <c r="K551" i="7"/>
  <c r="R220" i="7"/>
  <c r="R211" i="7"/>
  <c r="C234" i="7"/>
  <c r="R258" i="7"/>
  <c r="D300" i="7"/>
  <c r="D287" i="7"/>
  <c r="S285" i="7"/>
  <c r="E365" i="7"/>
  <c r="P357" i="7"/>
  <c r="P292" i="7" s="1"/>
  <c r="E373" i="7"/>
  <c r="F374" i="7"/>
  <c r="AR17" i="2" s="1"/>
  <c r="E366" i="7"/>
  <c r="E374" i="7"/>
  <c r="AQ17" i="2" s="1"/>
  <c r="E432" i="7"/>
  <c r="E419" i="7"/>
  <c r="E303" i="7" s="1"/>
  <c r="E424" i="7"/>
  <c r="F432" i="7"/>
  <c r="P416" i="7"/>
  <c r="C428" i="7"/>
  <c r="C436" i="7"/>
  <c r="X31" i="2" s="1"/>
  <c r="C369" i="7"/>
  <c r="R428" i="7"/>
  <c r="K486" i="7"/>
  <c r="K494" i="7"/>
  <c r="L494" i="7"/>
  <c r="O501" i="7"/>
  <c r="B502" i="7"/>
  <c r="C447" i="7" s="1"/>
  <c r="B451" i="7"/>
  <c r="W35" i="2" s="1"/>
  <c r="B509" i="7"/>
  <c r="D540" i="7"/>
  <c r="D548" i="7"/>
  <c r="D535" i="7"/>
  <c r="O532" i="7"/>
  <c r="E548" i="7"/>
  <c r="E240" i="7"/>
  <c r="P228" i="7"/>
  <c r="E234" i="7"/>
  <c r="C233" i="7"/>
  <c r="S258" i="7"/>
  <c r="P259" i="7"/>
  <c r="D293" i="7"/>
  <c r="F365" i="7"/>
  <c r="F373" i="7"/>
  <c r="J393" i="7"/>
  <c r="AV54" i="2" s="1"/>
  <c r="J360" i="7"/>
  <c r="P450" i="7"/>
  <c r="H479" i="7"/>
  <c r="Q166" i="7"/>
  <c r="M167" i="7"/>
  <c r="P160" i="7"/>
  <c r="E178" i="7"/>
  <c r="E184" i="7"/>
  <c r="F182" i="7"/>
  <c r="F240" i="7"/>
  <c r="F234" i="7"/>
  <c r="D230" i="7"/>
  <c r="D233" i="7"/>
  <c r="E261" i="7"/>
  <c r="BY54" i="2" s="1"/>
  <c r="J22" i="9" s="1"/>
  <c r="P272" i="7"/>
  <c r="P278" i="7"/>
  <c r="H295" i="7"/>
  <c r="B301" i="7"/>
  <c r="D318" i="7"/>
  <c r="I35" i="9" s="1"/>
  <c r="D326" i="7"/>
  <c r="BG54" i="2" s="1"/>
  <c r="G365" i="7"/>
  <c r="G373" i="7"/>
  <c r="B375" i="7"/>
  <c r="AN36" i="2" s="1"/>
  <c r="R385" i="7"/>
  <c r="K393" i="7"/>
  <c r="AW54" i="2" s="1"/>
  <c r="K360" i="7"/>
  <c r="E436" i="7"/>
  <c r="Z31" i="2" s="1"/>
  <c r="E428" i="7"/>
  <c r="L479" i="7"/>
  <c r="Q160" i="7"/>
  <c r="I176" i="7"/>
  <c r="F177" i="7"/>
  <c r="R196" i="7"/>
  <c r="R202" i="7"/>
  <c r="F217" i="7"/>
  <c r="F223" i="7"/>
  <c r="CQ53" i="2" s="1"/>
  <c r="E230" i="7"/>
  <c r="D241" i="7"/>
  <c r="Q253" i="7"/>
  <c r="Q259" i="7"/>
  <c r="F261" i="7"/>
  <c r="BZ54" i="2" s="1"/>
  <c r="K22" i="9" s="1"/>
  <c r="O277" i="7"/>
  <c r="G292" i="7"/>
  <c r="Q357" i="7"/>
  <c r="H365" i="7"/>
  <c r="H292" i="7"/>
  <c r="G368" i="7"/>
  <c r="C375" i="7"/>
  <c r="AO36" i="2" s="1"/>
  <c r="F436" i="7"/>
  <c r="AA31" i="2" s="1"/>
  <c r="F428" i="7"/>
  <c r="F369" i="7"/>
  <c r="B476" i="7"/>
  <c r="B477" i="7" s="1"/>
  <c r="M485" i="7"/>
  <c r="M479" i="7"/>
  <c r="Q428" i="7"/>
  <c r="M493" i="7"/>
  <c r="J255" i="7"/>
  <c r="R268" i="7"/>
  <c r="O278" i="7"/>
  <c r="E295" i="7"/>
  <c r="D351" i="7"/>
  <c r="BG53" i="2" s="1"/>
  <c r="D343" i="7"/>
  <c r="I34" i="9" s="1"/>
  <c r="P370" i="7"/>
  <c r="D373" i="7"/>
  <c r="I426" i="7"/>
  <c r="I434" i="7"/>
  <c r="AD36" i="2" s="1"/>
  <c r="Q418" i="7"/>
  <c r="R468" i="7"/>
  <c r="R279" i="7"/>
  <c r="C482" i="7"/>
  <c r="C477" i="7"/>
  <c r="D490" i="7"/>
  <c r="C490" i="7"/>
  <c r="B692" i="7"/>
  <c r="O689" i="7"/>
  <c r="O254" i="7"/>
  <c r="K255" i="7"/>
  <c r="S268" i="7"/>
  <c r="S277" i="7"/>
  <c r="F326" i="7"/>
  <c r="BI54" i="2" s="1"/>
  <c r="P310" i="7"/>
  <c r="I351" i="7"/>
  <c r="BL53" i="2" s="1"/>
  <c r="H410" i="7"/>
  <c r="AT53" i="2" s="1"/>
  <c r="Q402" i="7"/>
  <c r="L419" i="7"/>
  <c r="L303" i="7" s="1"/>
  <c r="D491" i="7"/>
  <c r="D483" i="7"/>
  <c r="D425" i="7"/>
  <c r="O475" i="7"/>
  <c r="F527" i="7"/>
  <c r="P519" i="7"/>
  <c r="P527" i="7" s="1"/>
  <c r="F521" i="7"/>
  <c r="L626" i="7"/>
  <c r="M659" i="7"/>
  <c r="P254" i="7"/>
  <c r="P260" i="7"/>
  <c r="L255" i="7"/>
  <c r="L261" i="7"/>
  <c r="CF54" i="2" s="1"/>
  <c r="P324" i="7"/>
  <c r="G326" i="7"/>
  <c r="BJ54" i="2" s="1"/>
  <c r="G318" i="7"/>
  <c r="L35" i="9" s="1"/>
  <c r="F343" i="7"/>
  <c r="K34" i="9" s="1"/>
  <c r="P335" i="7"/>
  <c r="L425" i="7"/>
  <c r="L433" i="7"/>
  <c r="AG17" i="2" s="1"/>
  <c r="K434" i="7"/>
  <c r="AF36" i="2" s="1"/>
  <c r="K426" i="7"/>
  <c r="R418" i="7"/>
  <c r="O463" i="7"/>
  <c r="E491" i="7"/>
  <c r="K672" i="7"/>
  <c r="K598" i="7"/>
  <c r="R664" i="7"/>
  <c r="R672" i="7" s="1"/>
  <c r="L434" i="7"/>
  <c r="AG36" i="2" s="1"/>
  <c r="L426" i="7"/>
  <c r="K428" i="7"/>
  <c r="G446" i="7"/>
  <c r="G452" i="7"/>
  <c r="AB54" i="2" s="1"/>
  <c r="K591" i="7"/>
  <c r="K543" i="7" s="1"/>
  <c r="K604" i="7"/>
  <c r="K596" i="7"/>
  <c r="R588" i="7"/>
  <c r="K540" i="7"/>
  <c r="K597" i="7"/>
  <c r="K671" i="7"/>
  <c r="K665" i="7"/>
  <c r="R663" i="7"/>
  <c r="R671" i="7" s="1"/>
  <c r="S286" i="7"/>
  <c r="Q341" i="7"/>
  <c r="Q349" i="7"/>
  <c r="Q335" i="7"/>
  <c r="Q274" i="7" s="1"/>
  <c r="C373" i="7"/>
  <c r="C365" i="7"/>
  <c r="B366" i="7"/>
  <c r="B374" i="7"/>
  <c r="AN17" i="2" s="1"/>
  <c r="M367" i="7"/>
  <c r="M375" i="7"/>
  <c r="AY36" i="2" s="1"/>
  <c r="B393" i="7"/>
  <c r="AN54" i="2" s="1"/>
  <c r="B387" i="7"/>
  <c r="S385" i="7"/>
  <c r="B360" i="7"/>
  <c r="B14" i="7" s="1"/>
  <c r="M434" i="7"/>
  <c r="AH36" i="2" s="1"/>
  <c r="M419" i="7"/>
  <c r="M129" i="7" s="1"/>
  <c r="DO52" i="2" s="1"/>
  <c r="G482" i="7"/>
  <c r="G477" i="7"/>
  <c r="H493" i="7" s="1"/>
  <c r="G424" i="7"/>
  <c r="G490" i="7"/>
  <c r="P474" i="7"/>
  <c r="P482" i="7" s="1"/>
  <c r="H490" i="7"/>
  <c r="F510" i="7"/>
  <c r="F504" i="7"/>
  <c r="I521" i="7"/>
  <c r="I529" i="7" s="1"/>
  <c r="I527" i="7"/>
  <c r="R349" i="7"/>
  <c r="R272" i="7"/>
  <c r="C374" i="7"/>
  <c r="AO17" i="2" s="1"/>
  <c r="C366" i="7"/>
  <c r="J493" i="7"/>
  <c r="J479" i="7"/>
  <c r="R525" i="7"/>
  <c r="R467" i="7"/>
  <c r="S517" i="7"/>
  <c r="S467" i="7" s="1"/>
  <c r="Q315" i="7"/>
  <c r="BB17" i="2" s="1"/>
  <c r="Q340" i="7"/>
  <c r="H367" i="7"/>
  <c r="Q412" i="7"/>
  <c r="K419" i="7"/>
  <c r="J434" i="7"/>
  <c r="AE36" i="2" s="1"/>
  <c r="D436" i="7"/>
  <c r="Y31" i="2" s="1"/>
  <c r="K469" i="7"/>
  <c r="AF53" i="2" s="1"/>
  <c r="R461" i="7"/>
  <c r="K463" i="7"/>
  <c r="C483" i="7"/>
  <c r="G510" i="7"/>
  <c r="G504" i="7"/>
  <c r="H454" i="7"/>
  <c r="AC49" i="2" s="1"/>
  <c r="I672" i="7"/>
  <c r="I665" i="7"/>
  <c r="C432" i="7"/>
  <c r="C419" i="7"/>
  <c r="C368" i="7" s="1"/>
  <c r="S416" i="7"/>
  <c r="B494" i="7"/>
  <c r="O478" i="7"/>
  <c r="B552" i="7"/>
  <c r="B544" i="7"/>
  <c r="O536" i="7"/>
  <c r="B646" i="7"/>
  <c r="G655" i="7"/>
  <c r="G583" i="7"/>
  <c r="H648" i="7"/>
  <c r="H584" i="7"/>
  <c r="H656" i="7"/>
  <c r="Q640" i="7"/>
  <c r="D432" i="7"/>
  <c r="D419" i="7"/>
  <c r="B433" i="7"/>
  <c r="W17" i="2" s="1"/>
  <c r="S417" i="7"/>
  <c r="S369" i="7" s="1"/>
  <c r="M452" i="7"/>
  <c r="AH54" i="2" s="1"/>
  <c r="M446" i="7"/>
  <c r="S461" i="7"/>
  <c r="H484" i="7"/>
  <c r="H492" i="7"/>
  <c r="H527" i="7"/>
  <c r="Q519" i="7"/>
  <c r="H521" i="7"/>
  <c r="G529" i="7"/>
  <c r="C552" i="7"/>
  <c r="D552" i="7"/>
  <c r="C544" i="7"/>
  <c r="J591" i="7"/>
  <c r="J596" i="7"/>
  <c r="J604" i="7"/>
  <c r="J540" i="7"/>
  <c r="L608" i="7"/>
  <c r="L600" i="7"/>
  <c r="R592" i="7"/>
  <c r="L544" i="7"/>
  <c r="J484" i="7"/>
  <c r="J492" i="7"/>
  <c r="Q534" i="7"/>
  <c r="Q542" i="7" s="1"/>
  <c r="H535" i="7"/>
  <c r="H550" i="7"/>
  <c r="H542" i="7"/>
  <c r="L604" i="7"/>
  <c r="L596" i="7"/>
  <c r="L591" i="7"/>
  <c r="C622" i="7"/>
  <c r="C630" i="7"/>
  <c r="C566" i="7"/>
  <c r="O614" i="7"/>
  <c r="J682" i="7"/>
  <c r="J684" i="7" s="1"/>
  <c r="Q679" i="7"/>
  <c r="O279" i="7"/>
  <c r="K280" i="7"/>
  <c r="CE53" i="2" s="1"/>
  <c r="D294" i="7"/>
  <c r="L300" i="7"/>
  <c r="I301" i="7"/>
  <c r="F302" i="7"/>
  <c r="C326" i="7"/>
  <c r="BF54" i="2" s="1"/>
  <c r="I373" i="7"/>
  <c r="G375" i="7"/>
  <c r="AS36" i="2" s="1"/>
  <c r="O402" i="7"/>
  <c r="E425" i="7"/>
  <c r="E433" i="7"/>
  <c r="Z17" i="2" s="1"/>
  <c r="I419" i="7"/>
  <c r="S444" i="7"/>
  <c r="B446" i="7"/>
  <c r="O444" i="7"/>
  <c r="O393" i="7" s="1"/>
  <c r="AI54" i="2" s="1"/>
  <c r="R444" i="7"/>
  <c r="K492" i="7"/>
  <c r="K484" i="7"/>
  <c r="I548" i="7"/>
  <c r="Q532" i="7"/>
  <c r="Q482" i="7" s="1"/>
  <c r="J548" i="7"/>
  <c r="I540" i="7"/>
  <c r="P279" i="7"/>
  <c r="L280" i="7"/>
  <c r="CF53" i="2" s="1"/>
  <c r="O310" i="7"/>
  <c r="O335" i="7"/>
  <c r="E375" i="7"/>
  <c r="AQ36" i="2" s="1"/>
  <c r="H424" i="7"/>
  <c r="H432" i="7"/>
  <c r="Q416" i="7"/>
  <c r="F425" i="7"/>
  <c r="F433" i="7"/>
  <c r="AA17" i="2" s="1"/>
  <c r="J421" i="7"/>
  <c r="J427" i="7"/>
  <c r="I432" i="7"/>
  <c r="C446" i="7"/>
  <c r="C452" i="7"/>
  <c r="X54" i="2" s="1"/>
  <c r="J471" i="7"/>
  <c r="AE48" i="2" s="1"/>
  <c r="L492" i="7"/>
  <c r="L483" i="7"/>
  <c r="O323" i="7"/>
  <c r="B369" i="7"/>
  <c r="E393" i="7"/>
  <c r="AQ54" i="2" s="1"/>
  <c r="C424" i="7"/>
  <c r="J432" i="7"/>
  <c r="M483" i="7"/>
  <c r="M491" i="7"/>
  <c r="O560" i="7"/>
  <c r="B562" i="7"/>
  <c r="E621" i="7"/>
  <c r="E629" i="7"/>
  <c r="E565" i="7"/>
  <c r="P613" i="7"/>
  <c r="P621" i="7" s="1"/>
  <c r="G649" i="7"/>
  <c r="M694" i="7"/>
  <c r="M651" i="7" s="1"/>
  <c r="M649" i="7"/>
  <c r="B377" i="7"/>
  <c r="S402" i="7"/>
  <c r="D424" i="7"/>
  <c r="J426" i="7"/>
  <c r="Q476" i="7"/>
  <c r="D504" i="7"/>
  <c r="D512" i="7" s="1"/>
  <c r="D510" i="7"/>
  <c r="J552" i="7"/>
  <c r="I552" i="7"/>
  <c r="I544" i="7"/>
  <c r="P625" i="7"/>
  <c r="P569" i="7"/>
  <c r="S617" i="7"/>
  <c r="I654" i="7"/>
  <c r="I646" i="7"/>
  <c r="I582" i="7"/>
  <c r="I641" i="7"/>
  <c r="B404" i="7"/>
  <c r="B490" i="7"/>
  <c r="B482" i="7"/>
  <c r="O474" i="7"/>
  <c r="R476" i="7"/>
  <c r="J494" i="7"/>
  <c r="J486" i="7"/>
  <c r="B486" i="7"/>
  <c r="S574" i="7"/>
  <c r="S524" i="7" s="1"/>
  <c r="O524" i="7"/>
  <c r="F593" i="7"/>
  <c r="G684" i="7"/>
  <c r="G626" i="7" s="1"/>
  <c r="M433" i="7"/>
  <c r="AH17" i="2" s="1"/>
  <c r="G419" i="7"/>
  <c r="L424" i="7"/>
  <c r="K425" i="7"/>
  <c r="R475" i="7"/>
  <c r="I492" i="7"/>
  <c r="P502" i="7"/>
  <c r="P510" i="7" s="1"/>
  <c r="E510" i="7"/>
  <c r="Q453" i="7"/>
  <c r="Q511" i="7"/>
  <c r="M608" i="7"/>
  <c r="R567" i="7"/>
  <c r="R623" i="7"/>
  <c r="M647" i="7"/>
  <c r="B655" i="7"/>
  <c r="R690" i="7"/>
  <c r="R647" i="7" s="1"/>
  <c r="R417" i="7"/>
  <c r="R369" i="7" s="1"/>
  <c r="E434" i="7"/>
  <c r="Z36" i="2" s="1"/>
  <c r="F469" i="7"/>
  <c r="AA53" i="2" s="1"/>
  <c r="D477" i="7"/>
  <c r="P475" i="7"/>
  <c r="P483" i="7" s="1"/>
  <c r="K521" i="7"/>
  <c r="P562" i="7"/>
  <c r="H579" i="7"/>
  <c r="Q579" i="7" s="1"/>
  <c r="B606" i="7"/>
  <c r="O590" i="7"/>
  <c r="O542" i="7" s="1"/>
  <c r="B542" i="7"/>
  <c r="B598" i="7"/>
  <c r="D631" i="7"/>
  <c r="D623" i="7"/>
  <c r="E631" i="7"/>
  <c r="L624" i="7"/>
  <c r="L568" i="7"/>
  <c r="G432" i="7"/>
  <c r="P418" i="7"/>
  <c r="B424" i="7"/>
  <c r="F434" i="7"/>
  <c r="AA36" i="2" s="1"/>
  <c r="E452" i="7"/>
  <c r="Z54" i="2" s="1"/>
  <c r="E446" i="7"/>
  <c r="I452" i="7"/>
  <c r="AD54" i="2" s="1"/>
  <c r="G469" i="7"/>
  <c r="AB53" i="2" s="1"/>
  <c r="E490" i="7"/>
  <c r="P476" i="7"/>
  <c r="P484" i="7" s="1"/>
  <c r="I510" i="7"/>
  <c r="S518" i="7"/>
  <c r="O526" i="7"/>
  <c r="F550" i="7"/>
  <c r="F542" i="7"/>
  <c r="B597" i="7"/>
  <c r="O589" i="7"/>
  <c r="B605" i="7"/>
  <c r="B682" i="7"/>
  <c r="O679" i="7"/>
  <c r="B428" i="7"/>
  <c r="M510" i="7"/>
  <c r="J541" i="7"/>
  <c r="J549" i="7"/>
  <c r="J535" i="7"/>
  <c r="I568" i="7"/>
  <c r="I562" i="7"/>
  <c r="F606" i="7"/>
  <c r="F598" i="7"/>
  <c r="C608" i="7"/>
  <c r="C600" i="7"/>
  <c r="K646" i="7"/>
  <c r="K641" i="7"/>
  <c r="L654" i="7"/>
  <c r="K654" i="7"/>
  <c r="R638" i="7"/>
  <c r="K432" i="7"/>
  <c r="K424" i="7"/>
  <c r="B419" i="7"/>
  <c r="D428" i="7"/>
  <c r="I482" i="7"/>
  <c r="G491" i="7"/>
  <c r="F483" i="7"/>
  <c r="E484" i="7"/>
  <c r="G598" i="7"/>
  <c r="G606" i="7"/>
  <c r="D600" i="7"/>
  <c r="D608" i="7"/>
  <c r="R666" i="7"/>
  <c r="S666" i="7" s="1"/>
  <c r="G433" i="7"/>
  <c r="AB17" i="2" s="1"/>
  <c r="H469" i="7"/>
  <c r="AC53" i="2" s="1"/>
  <c r="E477" i="7"/>
  <c r="P478" i="7"/>
  <c r="P486" i="7" s="1"/>
  <c r="D482" i="7"/>
  <c r="E483" i="7"/>
  <c r="I486" i="7"/>
  <c r="M490" i="7"/>
  <c r="D494" i="7"/>
  <c r="Q502" i="7"/>
  <c r="Q452" i="7" s="1"/>
  <c r="T54" i="2" s="1"/>
  <c r="M504" i="7"/>
  <c r="C527" i="7"/>
  <c r="O519" i="7"/>
  <c r="O469" i="7" s="1"/>
  <c r="R53" i="2" s="1"/>
  <c r="M535" i="7"/>
  <c r="M540" i="7"/>
  <c r="M548" i="7"/>
  <c r="E596" i="7"/>
  <c r="E604" i="7"/>
  <c r="P588" i="7"/>
  <c r="P596" i="7" s="1"/>
  <c r="E591" i="7"/>
  <c r="F607" i="7" s="1"/>
  <c r="P589" i="7"/>
  <c r="P597" i="7" s="1"/>
  <c r="G605" i="7"/>
  <c r="E608" i="7"/>
  <c r="M648" i="7"/>
  <c r="F655" i="7"/>
  <c r="E701" i="7"/>
  <c r="P701" i="7" s="1"/>
  <c r="P700" i="7"/>
  <c r="H433" i="7"/>
  <c r="AC17" i="2" s="1"/>
  <c r="H463" i="7"/>
  <c r="K477" i="7"/>
  <c r="L493" i="7" s="1"/>
  <c r="F492" i="7"/>
  <c r="F477" i="7"/>
  <c r="F494" i="7"/>
  <c r="E482" i="7"/>
  <c r="B491" i="7"/>
  <c r="E494" i="7"/>
  <c r="R534" i="7"/>
  <c r="L542" i="7"/>
  <c r="L550" i="7"/>
  <c r="S576" i="7"/>
  <c r="K623" i="7"/>
  <c r="K631" i="7"/>
  <c r="K616" i="7"/>
  <c r="K567" i="7"/>
  <c r="F656" i="7"/>
  <c r="F584" i="7"/>
  <c r="F648" i="7"/>
  <c r="P640" i="7"/>
  <c r="P648" i="7" s="1"/>
  <c r="G494" i="7"/>
  <c r="M542" i="7"/>
  <c r="M550" i="7"/>
  <c r="Q567" i="7"/>
  <c r="B579" i="7"/>
  <c r="G591" i="7"/>
  <c r="H604" i="7"/>
  <c r="G604" i="7"/>
  <c r="G596" i="7"/>
  <c r="L566" i="7"/>
  <c r="R614" i="7"/>
  <c r="M630" i="7"/>
  <c r="L622" i="7"/>
  <c r="L630" i="7"/>
  <c r="P639" i="7"/>
  <c r="P647" i="7" s="1"/>
  <c r="F647" i="7"/>
  <c r="G648" i="7"/>
  <c r="G656" i="7"/>
  <c r="G584" i="7"/>
  <c r="I682" i="7"/>
  <c r="I684" i="7" s="1"/>
  <c r="I622" i="7"/>
  <c r="R532" i="7"/>
  <c r="L540" i="7"/>
  <c r="K549" i="7"/>
  <c r="L535" i="7"/>
  <c r="F548" i="7"/>
  <c r="J550" i="7"/>
  <c r="P584" i="7"/>
  <c r="Q588" i="7"/>
  <c r="J597" i="7"/>
  <c r="J605" i="7"/>
  <c r="O592" i="7"/>
  <c r="B600" i="7"/>
  <c r="L623" i="7"/>
  <c r="M631" i="7"/>
  <c r="L631" i="7"/>
  <c r="L567" i="7"/>
  <c r="M665" i="7"/>
  <c r="M670" i="7"/>
  <c r="C510" i="7"/>
  <c r="B541" i="7"/>
  <c r="B549" i="7"/>
  <c r="O533" i="7"/>
  <c r="R533" i="7"/>
  <c r="S578" i="7"/>
  <c r="S528" i="7" s="1"/>
  <c r="M596" i="7"/>
  <c r="M591" i="7"/>
  <c r="D621" i="7"/>
  <c r="D616" i="7"/>
  <c r="D565" i="7"/>
  <c r="D622" i="7"/>
  <c r="D630" i="7"/>
  <c r="H647" i="7"/>
  <c r="Q639" i="7"/>
  <c r="H655" i="7"/>
  <c r="I656" i="7"/>
  <c r="F646" i="7"/>
  <c r="D670" i="7"/>
  <c r="D665" i="7"/>
  <c r="O671" i="7"/>
  <c r="C665" i="7"/>
  <c r="F672" i="7"/>
  <c r="O690" i="7"/>
  <c r="O647" i="7" s="1"/>
  <c r="B647" i="7"/>
  <c r="E540" i="7"/>
  <c r="D549" i="7"/>
  <c r="D541" i="7"/>
  <c r="E579" i="7"/>
  <c r="C605" i="7"/>
  <c r="C597" i="7"/>
  <c r="C606" i="7"/>
  <c r="C591" i="7"/>
  <c r="F629" i="7"/>
  <c r="F621" i="7"/>
  <c r="F616" i="7"/>
  <c r="P616" i="7" s="1"/>
  <c r="G629" i="7"/>
  <c r="F630" i="7"/>
  <c r="F566" i="7"/>
  <c r="G630" i="7"/>
  <c r="M618" i="7"/>
  <c r="P638" i="7"/>
  <c r="E646" i="7"/>
  <c r="E641" i="7"/>
  <c r="E585" i="7" s="1"/>
  <c r="K656" i="7"/>
  <c r="K648" i="7"/>
  <c r="R640" i="7"/>
  <c r="R584" i="7" s="1"/>
  <c r="F673" i="7"/>
  <c r="F667" i="7"/>
  <c r="L701" i="7"/>
  <c r="R698" i="7"/>
  <c r="S698" i="7" s="1"/>
  <c r="Q13" i="10"/>
  <c r="Q12" i="10"/>
  <c r="E549" i="7"/>
  <c r="D597" i="7"/>
  <c r="D605" i="7"/>
  <c r="D591" i="7"/>
  <c r="K647" i="7"/>
  <c r="K655" i="7"/>
  <c r="K583" i="7"/>
  <c r="H682" i="7"/>
  <c r="H621" i="7"/>
  <c r="R13" i="10"/>
  <c r="Q470" i="7"/>
  <c r="H548" i="7"/>
  <c r="G535" i="7"/>
  <c r="G540" i="7"/>
  <c r="E535" i="7"/>
  <c r="H544" i="7"/>
  <c r="H552" i="7"/>
  <c r="R565" i="7"/>
  <c r="S575" i="7"/>
  <c r="G585" i="7"/>
  <c r="F579" i="7"/>
  <c r="E605" i="7"/>
  <c r="E606" i="7"/>
  <c r="E598" i="7"/>
  <c r="L655" i="7"/>
  <c r="Q680" i="7"/>
  <c r="Q622" i="7" s="1"/>
  <c r="H622" i="7"/>
  <c r="S683" i="7"/>
  <c r="E527" i="7"/>
  <c r="E521" i="7"/>
  <c r="E471" i="7" s="1"/>
  <c r="Z48" i="2" s="1"/>
  <c r="M529" i="7"/>
  <c r="I541" i="7"/>
  <c r="G542" i="7"/>
  <c r="G550" i="7"/>
  <c r="G552" i="7"/>
  <c r="F604" i="7"/>
  <c r="J631" i="7"/>
  <c r="J567" i="7"/>
  <c r="J623" i="7"/>
  <c r="J654" i="7"/>
  <c r="J641" i="7"/>
  <c r="J646" i="7"/>
  <c r="F641" i="7"/>
  <c r="F585" i="7" s="1"/>
  <c r="B535" i="7"/>
  <c r="K552" i="7"/>
  <c r="D606" i="7"/>
  <c r="J616" i="7"/>
  <c r="D641" i="7"/>
  <c r="Q663" i="7"/>
  <c r="Q671" i="7" s="1"/>
  <c r="G665" i="7"/>
  <c r="P680" i="7"/>
  <c r="E682" i="7"/>
  <c r="E624" i="7" s="1"/>
  <c r="D701" i="7"/>
  <c r="O701" i="7" s="1"/>
  <c r="M606" i="7"/>
  <c r="M598" i="7"/>
  <c r="S642" i="7"/>
  <c r="S650" i="7" s="1"/>
  <c r="I648" i="7"/>
  <c r="C655" i="7"/>
  <c r="L665" i="7"/>
  <c r="Q664" i="7"/>
  <c r="H665" i="7"/>
  <c r="H599" i="7" s="1"/>
  <c r="H694" i="7"/>
  <c r="Q692" i="7"/>
  <c r="Q694" i="7" s="1"/>
  <c r="S557" i="7"/>
  <c r="O613" i="7"/>
  <c r="O565" i="7" s="1"/>
  <c r="B629" i="7"/>
  <c r="G654" i="7"/>
  <c r="I655" i="7"/>
  <c r="B665" i="7"/>
  <c r="B670" i="7"/>
  <c r="Q662" i="7"/>
  <c r="Q670" i="7" s="1"/>
  <c r="R679" i="7"/>
  <c r="R621" i="7" s="1"/>
  <c r="K682" i="7"/>
  <c r="I604" i="7"/>
  <c r="B591" i="7"/>
  <c r="P600" i="7"/>
  <c r="C629" i="7"/>
  <c r="C616" i="7"/>
  <c r="B630" i="7"/>
  <c r="P615" i="7"/>
  <c r="H641" i="7"/>
  <c r="Q638" i="7"/>
  <c r="M657" i="7"/>
  <c r="B654" i="7"/>
  <c r="R662" i="7"/>
  <c r="R670" i="7" s="1"/>
  <c r="H672" i="7"/>
  <c r="R680" i="7"/>
  <c r="O700" i="7"/>
  <c r="D550" i="7"/>
  <c r="E568" i="7"/>
  <c r="O588" i="7"/>
  <c r="K605" i="7"/>
  <c r="R589" i="7"/>
  <c r="I598" i="7"/>
  <c r="H596" i="7"/>
  <c r="G622" i="7"/>
  <c r="C621" i="7"/>
  <c r="O638" i="7"/>
  <c r="O582" i="7" s="1"/>
  <c r="H654" i="7"/>
  <c r="E656" i="7"/>
  <c r="O680" i="7"/>
  <c r="D692" i="7"/>
  <c r="D694" i="7" s="1"/>
  <c r="C692" i="7"/>
  <c r="C694" i="7" s="1"/>
  <c r="L597" i="7"/>
  <c r="J598" i="7"/>
  <c r="L605" i="7"/>
  <c r="O22" i="10"/>
  <c r="O21" i="10"/>
  <c r="M597" i="7"/>
  <c r="M605" i="7"/>
  <c r="I591" i="7"/>
  <c r="J621" i="7"/>
  <c r="C641" i="7"/>
  <c r="J665" i="7"/>
  <c r="P22" i="10"/>
  <c r="O9" i="10"/>
  <c r="Q32" i="10"/>
  <c r="Q38" i="10"/>
  <c r="O39" i="10"/>
  <c r="P9" i="10"/>
  <c r="P18" i="10"/>
  <c r="R32" i="10"/>
  <c r="R38" i="10"/>
  <c r="P39" i="10"/>
  <c r="G621" i="7"/>
  <c r="K701" i="7"/>
  <c r="P5" i="10"/>
  <c r="R25" i="10"/>
  <c r="P34" i="10"/>
  <c r="R5" i="10"/>
  <c r="P6" i="10"/>
  <c r="P12" i="10"/>
  <c r="R26" i="10"/>
  <c r="R34" i="10"/>
  <c r="P35" i="10"/>
  <c r="O13" i="10"/>
  <c r="Q35" i="10"/>
  <c r="Q21" i="10"/>
  <c r="O31" i="10"/>
  <c r="R21" i="10"/>
  <c r="P31" i="10"/>
  <c r="F435" i="7" l="1"/>
  <c r="AA12" i="2" s="1"/>
  <c r="S227" i="7"/>
  <c r="F179" i="7"/>
  <c r="E65" i="7"/>
  <c r="O230" i="7"/>
  <c r="R299" i="5"/>
  <c r="G220" i="6"/>
  <c r="R340" i="6"/>
  <c r="R347" i="6" s="1"/>
  <c r="M185" i="5"/>
  <c r="K196" i="6"/>
  <c r="J210" i="5"/>
  <c r="N180" i="4"/>
  <c r="AM41" i="2" s="1"/>
  <c r="O88" i="4"/>
  <c r="CH41" i="2" s="1"/>
  <c r="M407" i="6"/>
  <c r="G144" i="5"/>
  <c r="CA14" i="2"/>
  <c r="P365" i="6"/>
  <c r="Q597" i="7"/>
  <c r="P469" i="7"/>
  <c r="S53" i="2" s="1"/>
  <c r="F421" i="7"/>
  <c r="F437" i="7" s="1"/>
  <c r="P274" i="7"/>
  <c r="G236" i="7"/>
  <c r="N256" i="4"/>
  <c r="F599" i="7"/>
  <c r="R257" i="4"/>
  <c r="P68" i="4"/>
  <c r="CZ42" i="2" s="1"/>
  <c r="O182" i="7"/>
  <c r="E61" i="7"/>
  <c r="P452" i="7"/>
  <c r="S54" i="2" s="1"/>
  <c r="K234" i="5"/>
  <c r="R300" i="7"/>
  <c r="J144" i="5"/>
  <c r="R23" i="5"/>
  <c r="R183" i="5"/>
  <c r="BA7" i="2"/>
  <c r="L407" i="6"/>
  <c r="M570" i="7"/>
  <c r="Q621" i="7"/>
  <c r="K185" i="7"/>
  <c r="CV52" i="2" s="1"/>
  <c r="I376" i="7"/>
  <c r="P360" i="7"/>
  <c r="J454" i="7"/>
  <c r="AE49" i="2" s="1"/>
  <c r="H401" i="6"/>
  <c r="H220" i="6"/>
  <c r="Q113" i="6"/>
  <c r="AK51" i="2" s="1"/>
  <c r="S143" i="5"/>
  <c r="O162" i="4"/>
  <c r="AI23" i="2" s="1"/>
  <c r="R8" i="4"/>
  <c r="F551" i="7"/>
  <c r="P692" i="7"/>
  <c r="P694" i="7" s="1"/>
  <c r="S51" i="5"/>
  <c r="E9" i="7"/>
  <c r="AA28" i="2"/>
  <c r="AR50" i="2"/>
  <c r="M632" i="7"/>
  <c r="J435" i="7"/>
  <c r="AE12" i="2" s="1"/>
  <c r="Q287" i="7"/>
  <c r="S160" i="6"/>
  <c r="N299" i="5"/>
  <c r="Q186" i="6"/>
  <c r="S122" i="5"/>
  <c r="P35" i="5"/>
  <c r="CZ50" i="2" s="1"/>
  <c r="S158" i="5"/>
  <c r="K127" i="5"/>
  <c r="AF46" i="2" s="1"/>
  <c r="B469" i="7"/>
  <c r="W53" i="2" s="1"/>
  <c r="S167" i="7"/>
  <c r="CL34" i="2" s="1"/>
  <c r="J407" i="6"/>
  <c r="P160" i="4"/>
  <c r="AJ7" i="2" s="1"/>
  <c r="E30" i="7"/>
  <c r="DG18" i="2" s="1"/>
  <c r="DE53" i="2"/>
  <c r="CN34" i="2"/>
  <c r="AS50" i="2"/>
  <c r="AB28" i="2"/>
  <c r="Q151" i="4"/>
  <c r="BB41" i="2" s="1"/>
  <c r="O424" i="7"/>
  <c r="Q395" i="6"/>
  <c r="Q383" i="6" s="1"/>
  <c r="P183" i="5"/>
  <c r="H435" i="7"/>
  <c r="AC12" i="2" s="1"/>
  <c r="S50" i="5"/>
  <c r="L234" i="5"/>
  <c r="E15" i="4"/>
  <c r="DG6" i="2" s="1"/>
  <c r="R424" i="7"/>
  <c r="C236" i="7"/>
  <c r="R11" i="5"/>
  <c r="E86" i="7"/>
  <c r="CC33" i="2"/>
  <c r="CT51" i="2"/>
  <c r="DH50" i="2"/>
  <c r="CQ32" i="2"/>
  <c r="BZ14" i="2"/>
  <c r="DO17" i="2"/>
  <c r="DO36" i="2"/>
  <c r="R326" i="6"/>
  <c r="K333" i="5"/>
  <c r="R181" i="4"/>
  <c r="K179" i="7"/>
  <c r="I407" i="6"/>
  <c r="S68" i="5"/>
  <c r="BS44" i="2"/>
  <c r="S313" i="4"/>
  <c r="B527" i="7"/>
  <c r="L632" i="7"/>
  <c r="Q541" i="7"/>
  <c r="L383" i="6"/>
  <c r="D237" i="6"/>
  <c r="R94" i="6"/>
  <c r="BC51" i="2" s="1"/>
  <c r="Q142" i="5"/>
  <c r="S229" i="6"/>
  <c r="S231" i="6" s="1"/>
  <c r="M188" i="6"/>
  <c r="R336" i="4"/>
  <c r="O331" i="4"/>
  <c r="P622" i="7"/>
  <c r="C465" i="7"/>
  <c r="G624" i="7"/>
  <c r="P504" i="7"/>
  <c r="C471" i="7"/>
  <c r="X48" i="2" s="1"/>
  <c r="O301" i="7"/>
  <c r="O176" i="7"/>
  <c r="S163" i="6"/>
  <c r="B261" i="6"/>
  <c r="P305" i="6"/>
  <c r="P65" i="6"/>
  <c r="K282" i="6"/>
  <c r="O315" i="5"/>
  <c r="O325" i="5" s="1"/>
  <c r="F172" i="6"/>
  <c r="P306" i="4"/>
  <c r="O364" i="4"/>
  <c r="S184" i="6"/>
  <c r="O260" i="6"/>
  <c r="O132" i="6"/>
  <c r="P227" i="5"/>
  <c r="P210" i="5" s="1"/>
  <c r="U5" i="2"/>
  <c r="P231" i="4"/>
  <c r="M41" i="2" s="1"/>
  <c r="R70" i="7"/>
  <c r="O87" i="4"/>
  <c r="R264" i="4"/>
  <c r="J45" i="2" s="1"/>
  <c r="E431" i="4"/>
  <c r="I261" i="6"/>
  <c r="I237" i="6"/>
  <c r="P565" i="7"/>
  <c r="S507" i="7"/>
  <c r="Q504" i="7"/>
  <c r="O254" i="6"/>
  <c r="O237" i="6" s="1"/>
  <c r="B649" i="7"/>
  <c r="P598" i="7"/>
  <c r="P47" i="5"/>
  <c r="R527" i="7"/>
  <c r="P121" i="7"/>
  <c r="DL53" i="2"/>
  <c r="CU34" i="2"/>
  <c r="M512" i="7"/>
  <c r="H303" i="7"/>
  <c r="R363" i="4"/>
  <c r="N389" i="4"/>
  <c r="O210" i="6"/>
  <c r="Q138" i="6"/>
  <c r="T51" i="2" s="1"/>
  <c r="BT43" i="2"/>
  <c r="R18" i="2"/>
  <c r="O70" i="7"/>
  <c r="Q484" i="7"/>
  <c r="Q183" i="5"/>
  <c r="C123" i="6"/>
  <c r="B123" i="6"/>
  <c r="O107" i="6"/>
  <c r="BT40" i="2"/>
  <c r="BC5" i="2"/>
  <c r="BB5" i="2"/>
  <c r="BS40" i="2"/>
  <c r="D14" i="7"/>
  <c r="D376" i="7"/>
  <c r="O160" i="4"/>
  <c r="AI7" i="2" s="1"/>
  <c r="S199" i="5"/>
  <c r="CE32" i="2"/>
  <c r="CV50" i="2"/>
  <c r="Q254" i="6"/>
  <c r="Q261" i="6" s="1"/>
  <c r="H261" i="6"/>
  <c r="R177" i="5"/>
  <c r="G127" i="5"/>
  <c r="AB46" i="2" s="1"/>
  <c r="O52" i="6"/>
  <c r="O46" i="6"/>
  <c r="R395" i="6"/>
  <c r="R383" i="6" s="1"/>
  <c r="S689" i="7"/>
  <c r="Q65" i="7"/>
  <c r="Q127" i="7"/>
  <c r="P463" i="7"/>
  <c r="P282" i="6"/>
  <c r="O648" i="7"/>
  <c r="E368" i="7"/>
  <c r="Q280" i="7"/>
  <c r="BS53" i="2" s="1"/>
  <c r="E205" i="6"/>
  <c r="Q214" i="4"/>
  <c r="T45" i="2" s="1"/>
  <c r="O129" i="4"/>
  <c r="H282" i="6"/>
  <c r="F368" i="7"/>
  <c r="F376" i="7"/>
  <c r="CF42" i="2"/>
  <c r="BO8" i="2"/>
  <c r="Q196" i="4"/>
  <c r="R365" i="7"/>
  <c r="AL18" i="2"/>
  <c r="F30" i="9"/>
  <c r="V5" i="2"/>
  <c r="L161" i="5"/>
  <c r="Q527" i="7"/>
  <c r="O414" i="4"/>
  <c r="Q130" i="4"/>
  <c r="BB8" i="2" s="1"/>
  <c r="O389" i="4"/>
  <c r="CG14" i="2"/>
  <c r="DO50" i="2"/>
  <c r="CX32" i="2"/>
  <c r="Q210" i="6"/>
  <c r="S640" i="7"/>
  <c r="S648" i="7" s="1"/>
  <c r="S203" i="5"/>
  <c r="Q299" i="5"/>
  <c r="R325" i="5"/>
  <c r="Q340" i="6"/>
  <c r="Q347" i="6" s="1"/>
  <c r="P204" i="6"/>
  <c r="M431" i="4"/>
  <c r="R455" i="4"/>
  <c r="N64" i="4"/>
  <c r="CW34" i="2"/>
  <c r="DN53" i="2"/>
  <c r="O240" i="7"/>
  <c r="O234" i="7"/>
  <c r="M193" i="5"/>
  <c r="L454" i="7"/>
  <c r="AG49" i="2" s="1"/>
  <c r="G185" i="5"/>
  <c r="M306" i="4"/>
  <c r="Q414" i="4"/>
  <c r="AM51" i="2"/>
  <c r="O311" i="4"/>
  <c r="C198" i="7"/>
  <c r="C204" i="7"/>
  <c r="CN54" i="2" s="1"/>
  <c r="C142" i="7"/>
  <c r="R34" i="4"/>
  <c r="CG32" i="2"/>
  <c r="CX50" i="2"/>
  <c r="P176" i="7"/>
  <c r="E164" i="6"/>
  <c r="B115" i="6"/>
  <c r="AM53" i="2"/>
  <c r="I479" i="7"/>
  <c r="I495" i="7" s="1"/>
  <c r="G568" i="7"/>
  <c r="F220" i="6"/>
  <c r="R389" i="4"/>
  <c r="G193" i="5"/>
  <c r="R159" i="5"/>
  <c r="Q282" i="4"/>
  <c r="P278" i="5"/>
  <c r="S299" i="5"/>
  <c r="R255" i="5"/>
  <c r="B340" i="4"/>
  <c r="Q278" i="5"/>
  <c r="S83" i="5"/>
  <c r="AO30" i="2"/>
  <c r="R30" i="2"/>
  <c r="P33" i="7"/>
  <c r="P393" i="7"/>
  <c r="AJ54" i="2" s="1"/>
  <c r="CG42" i="2"/>
  <c r="BP8" i="2"/>
  <c r="P20" i="4"/>
  <c r="P47" i="4"/>
  <c r="CI4" i="2" s="1"/>
  <c r="BD7" i="2"/>
  <c r="BU44" i="2"/>
  <c r="N413" i="6"/>
  <c r="C121" i="5"/>
  <c r="S140" i="5"/>
  <c r="B643" i="7"/>
  <c r="B657" i="7"/>
  <c r="B585" i="7"/>
  <c r="R132" i="6"/>
  <c r="H632" i="7"/>
  <c r="R142" i="7"/>
  <c r="O160" i="7"/>
  <c r="M73" i="7"/>
  <c r="DO34" i="2" s="1"/>
  <c r="G376" i="7"/>
  <c r="C295" i="7"/>
  <c r="I485" i="7"/>
  <c r="G570" i="7"/>
  <c r="L193" i="5"/>
  <c r="R701" i="7"/>
  <c r="M624" i="7"/>
  <c r="P541" i="7"/>
  <c r="I618" i="7"/>
  <c r="I634" i="7" s="1"/>
  <c r="S526" i="7"/>
  <c r="G657" i="7"/>
  <c r="F295" i="7"/>
  <c r="F236" i="7"/>
  <c r="F543" i="7"/>
  <c r="S275" i="6"/>
  <c r="Q463" i="4"/>
  <c r="Q439" i="4" s="1"/>
  <c r="O188" i="4"/>
  <c r="N86" i="4"/>
  <c r="AT50" i="2"/>
  <c r="AC28" i="2"/>
  <c r="K454" i="7"/>
  <c r="AF49" i="2" s="1"/>
  <c r="E376" i="7"/>
  <c r="R486" i="7"/>
  <c r="J148" i="6"/>
  <c r="AZ8" i="2"/>
  <c r="BQ42" i="2"/>
  <c r="P71" i="5"/>
  <c r="BR50" i="2" s="1"/>
  <c r="R204" i="5"/>
  <c r="R335" i="4"/>
  <c r="O189" i="4"/>
  <c r="S91" i="5"/>
  <c r="AS10" i="2" s="1"/>
  <c r="Q701" i="7"/>
  <c r="S701" i="7" s="1"/>
  <c r="H420" i="6"/>
  <c r="CB33" i="2"/>
  <c r="CS51" i="2"/>
  <c r="DI51" i="2"/>
  <c r="CR33" i="2"/>
  <c r="CA15" i="2"/>
  <c r="Q544" i="7"/>
  <c r="BU43" i="2"/>
  <c r="AM4" i="2"/>
  <c r="J451" i="4"/>
  <c r="J427" i="4" s="1"/>
  <c r="J431" i="4"/>
  <c r="N318" i="4"/>
  <c r="S700" i="7"/>
  <c r="P665" i="7"/>
  <c r="P673" i="7" s="1"/>
  <c r="R542" i="7"/>
  <c r="R504" i="7"/>
  <c r="Q477" i="7"/>
  <c r="F537" i="7"/>
  <c r="F545" i="7" s="1"/>
  <c r="P222" i="7"/>
  <c r="P326" i="6"/>
  <c r="P261" i="6"/>
  <c r="R692" i="7"/>
  <c r="R694" i="7" s="1"/>
  <c r="I471" i="7"/>
  <c r="AD48" i="2" s="1"/>
  <c r="Q510" i="7"/>
  <c r="R148" i="7"/>
  <c r="Q419" i="7"/>
  <c r="Q303" i="7" s="1"/>
  <c r="N356" i="4"/>
  <c r="L127" i="5"/>
  <c r="AG46" i="2" s="1"/>
  <c r="P65" i="5"/>
  <c r="P389" i="4"/>
  <c r="O120" i="4"/>
  <c r="BQ41" i="2" s="1"/>
  <c r="B16" i="9" s="1"/>
  <c r="E204" i="7"/>
  <c r="CP54" i="2" s="1"/>
  <c r="E198" i="7"/>
  <c r="DF50" i="2"/>
  <c r="CO32" i="2"/>
  <c r="BX14" i="2"/>
  <c r="M140" i="6"/>
  <c r="AH47" i="2" s="1"/>
  <c r="O41" i="5"/>
  <c r="O53" i="5" s="1"/>
  <c r="P162" i="4"/>
  <c r="AJ23" i="2" s="1"/>
  <c r="Q562" i="7"/>
  <c r="Q512" i="7" s="1"/>
  <c r="S534" i="7"/>
  <c r="H570" i="7"/>
  <c r="P646" i="7"/>
  <c r="P579" i="7"/>
  <c r="R541" i="7"/>
  <c r="R240" i="7"/>
  <c r="F303" i="7"/>
  <c r="N402" i="4"/>
  <c r="S680" i="7"/>
  <c r="S207" i="6"/>
  <c r="D210" i="5"/>
  <c r="Q71" i="5"/>
  <c r="BS50" i="2" s="1"/>
  <c r="B35" i="6"/>
  <c r="BV15" i="2" s="1"/>
  <c r="S11" i="5"/>
  <c r="Q188" i="4"/>
  <c r="T23" i="2" s="1"/>
  <c r="O289" i="4"/>
  <c r="E673" i="7"/>
  <c r="R535" i="7"/>
  <c r="G464" i="7"/>
  <c r="O521" i="7"/>
  <c r="O471" i="7" s="1"/>
  <c r="Q454" i="7"/>
  <c r="T49" i="2" s="1"/>
  <c r="S117" i="7"/>
  <c r="S129" i="7" s="1"/>
  <c r="I368" i="7"/>
  <c r="C237" i="6"/>
  <c r="G261" i="6"/>
  <c r="H237" i="6"/>
  <c r="E172" i="6"/>
  <c r="P115" i="6"/>
  <c r="S181" i="5"/>
  <c r="N306" i="4"/>
  <c r="P156" i="5"/>
  <c r="B53" i="6"/>
  <c r="P439" i="4"/>
  <c r="BC44" i="2"/>
  <c r="S224" i="6"/>
  <c r="R562" i="7"/>
  <c r="P211" i="7"/>
  <c r="Q23" i="5"/>
  <c r="CJ14" i="2"/>
  <c r="E282" i="6"/>
  <c r="BB44" i="2"/>
  <c r="T4" i="2"/>
  <c r="Q16" i="4"/>
  <c r="S508" i="7"/>
  <c r="Q212" i="6"/>
  <c r="O105" i="7"/>
  <c r="O167" i="7"/>
  <c r="Q425" i="7"/>
  <c r="Q71" i="7"/>
  <c r="CE42" i="2"/>
  <c r="BN8" i="2"/>
  <c r="DD53" i="2"/>
  <c r="CM34" i="2"/>
  <c r="D198" i="7"/>
  <c r="D204" i="7"/>
  <c r="CO54" i="2" s="1"/>
  <c r="AD28" i="2"/>
  <c r="AU50" i="2"/>
  <c r="CD33" i="2"/>
  <c r="CU51" i="2"/>
  <c r="P47" i="6"/>
  <c r="P53" i="6"/>
  <c r="P35" i="6"/>
  <c r="B179" i="7"/>
  <c r="B185" i="7"/>
  <c r="CM52" i="2" s="1"/>
  <c r="B123" i="7"/>
  <c r="N314" i="4"/>
  <c r="F4" i="8"/>
  <c r="N88" i="4"/>
  <c r="CL41" i="2" s="1"/>
  <c r="N87" i="4"/>
  <c r="D185" i="7"/>
  <c r="CO52" i="2" s="1"/>
  <c r="D179" i="7"/>
  <c r="CK32" i="2"/>
  <c r="BT14" i="2"/>
  <c r="S67" i="7"/>
  <c r="G17" i="7"/>
  <c r="G11" i="7"/>
  <c r="DI16" i="2" s="1"/>
  <c r="H234" i="5"/>
  <c r="Q227" i="5"/>
  <c r="AM36" i="2"/>
  <c r="D295" i="7"/>
  <c r="D303" i="7"/>
  <c r="L73" i="7"/>
  <c r="DN34" i="2" s="1"/>
  <c r="R189" i="4"/>
  <c r="R188" i="4"/>
  <c r="U23" i="2" s="1"/>
  <c r="R226" i="5"/>
  <c r="R22" i="3"/>
  <c r="N331" i="4"/>
  <c r="J618" i="7"/>
  <c r="J632" i="7"/>
  <c r="J624" i="7"/>
  <c r="J568" i="7"/>
  <c r="O365" i="7"/>
  <c r="AI18" i="2"/>
  <c r="C188" i="6"/>
  <c r="O180" i="6"/>
  <c r="C196" i="6"/>
  <c r="D618" i="7"/>
  <c r="E634" i="7" s="1"/>
  <c r="D624" i="7"/>
  <c r="D632" i="7"/>
  <c r="D568" i="7"/>
  <c r="P512" i="7"/>
  <c r="I626" i="7"/>
  <c r="B427" i="7"/>
  <c r="B435" i="7"/>
  <c r="W12" i="2" s="1"/>
  <c r="S419" i="7"/>
  <c r="C422" i="7"/>
  <c r="O419" i="7"/>
  <c r="B421" i="7"/>
  <c r="O598" i="7"/>
  <c r="S590" i="7"/>
  <c r="D427" i="7"/>
  <c r="D435" i="7"/>
  <c r="Y12" i="2" s="1"/>
  <c r="D421" i="7"/>
  <c r="AM54" i="2"/>
  <c r="O261" i="7"/>
  <c r="BQ54" i="2" s="1"/>
  <c r="B22" i="9" s="1"/>
  <c r="O255" i="7"/>
  <c r="B46" i="9" s="1"/>
  <c r="H17" i="7"/>
  <c r="H11" i="7"/>
  <c r="DJ16" i="2" s="1"/>
  <c r="Q5" i="7"/>
  <c r="E67" i="7"/>
  <c r="E73" i="7"/>
  <c r="DG34" i="2" s="1"/>
  <c r="P61" i="7"/>
  <c r="R17" i="7"/>
  <c r="S662" i="7"/>
  <c r="S670" i="7" s="1"/>
  <c r="B492" i="7"/>
  <c r="O476" i="7"/>
  <c r="O426" i="7" s="1"/>
  <c r="B484" i="7"/>
  <c r="C492" i="7"/>
  <c r="P240" i="7"/>
  <c r="P177" i="7"/>
  <c r="S228" i="7"/>
  <c r="P234" i="7"/>
  <c r="R61" i="7"/>
  <c r="R11" i="7" s="1"/>
  <c r="K73" i="7"/>
  <c r="DM34" i="2" s="1"/>
  <c r="K67" i="7"/>
  <c r="F129" i="7"/>
  <c r="DH52" i="2" s="1"/>
  <c r="F123" i="7"/>
  <c r="P86" i="7"/>
  <c r="P142" i="7"/>
  <c r="P148" i="7"/>
  <c r="CZ54" i="2" s="1"/>
  <c r="R105" i="7"/>
  <c r="R167" i="7"/>
  <c r="CK34" i="2" s="1"/>
  <c r="R161" i="7"/>
  <c r="C17" i="7"/>
  <c r="L353" i="6"/>
  <c r="L347" i="6"/>
  <c r="Q240" i="7"/>
  <c r="Q234" i="7"/>
  <c r="R204" i="7"/>
  <c r="CK54" i="2" s="1"/>
  <c r="R47" i="6"/>
  <c r="R53" i="6"/>
  <c r="S208" i="5"/>
  <c r="S232" i="5"/>
  <c r="Q455" i="4"/>
  <c r="H451" i="4"/>
  <c r="CY51" i="2"/>
  <c r="CH33" i="2"/>
  <c r="BQ15" i="2"/>
  <c r="E657" i="7"/>
  <c r="E649" i="7"/>
  <c r="E643" i="7"/>
  <c r="P641" i="7"/>
  <c r="M607" i="7"/>
  <c r="M593" i="7"/>
  <c r="M599" i="7"/>
  <c r="I624" i="7"/>
  <c r="Q648" i="7"/>
  <c r="Q584" i="7"/>
  <c r="S468" i="7"/>
  <c r="K471" i="7"/>
  <c r="AF48" i="2" s="1"/>
  <c r="R463" i="7"/>
  <c r="K412" i="7"/>
  <c r="R596" i="7"/>
  <c r="B694" i="7"/>
  <c r="B651" i="7" s="1"/>
  <c r="O692" i="7"/>
  <c r="P365" i="7"/>
  <c r="AJ18" i="2"/>
  <c r="C543" i="7"/>
  <c r="C537" i="7"/>
  <c r="C551" i="7"/>
  <c r="P235" i="7"/>
  <c r="P241" i="7"/>
  <c r="C242" i="7"/>
  <c r="B236" i="7"/>
  <c r="B242" i="7"/>
  <c r="Q239" i="7"/>
  <c r="Q233" i="7"/>
  <c r="Q230" i="7"/>
  <c r="Q176" i="7"/>
  <c r="CS34" i="2"/>
  <c r="DJ53" i="2"/>
  <c r="N340" i="6"/>
  <c r="N347" i="6" s="1"/>
  <c r="O305" i="6"/>
  <c r="Q326" i="6"/>
  <c r="J172" i="6"/>
  <c r="J140" i="6"/>
  <c r="AE47" i="2" s="1"/>
  <c r="J164" i="6"/>
  <c r="F47" i="6"/>
  <c r="F53" i="6"/>
  <c r="F35" i="6"/>
  <c r="F196" i="6"/>
  <c r="F188" i="6"/>
  <c r="K188" i="6"/>
  <c r="CV32" i="2"/>
  <c r="CE14" i="2"/>
  <c r="DM50" i="2"/>
  <c r="R327" i="4"/>
  <c r="O303" i="4"/>
  <c r="R328" i="4"/>
  <c r="R302" i="4"/>
  <c r="N231" i="4"/>
  <c r="Q41" i="2" s="1"/>
  <c r="R142" i="5"/>
  <c r="N363" i="4"/>
  <c r="N364" i="4" s="1"/>
  <c r="AP50" i="2"/>
  <c r="Y28" i="2"/>
  <c r="D148" i="6"/>
  <c r="D140" i="6"/>
  <c r="Y47" i="2" s="1"/>
  <c r="R232" i="4"/>
  <c r="J8" i="2" s="1"/>
  <c r="R231" i="4"/>
  <c r="O41" i="2" s="1"/>
  <c r="N38" i="4"/>
  <c r="N12" i="4"/>
  <c r="R162" i="4"/>
  <c r="AL23" i="2" s="1"/>
  <c r="R160" i="4"/>
  <c r="AL7" i="2" s="1"/>
  <c r="R161" i="4"/>
  <c r="O183" i="5"/>
  <c r="S175" i="5"/>
  <c r="F6" i="8"/>
  <c r="N103" i="4"/>
  <c r="CL44" i="2" s="1"/>
  <c r="N102" i="4"/>
  <c r="BU23" i="2" s="1"/>
  <c r="R77" i="4"/>
  <c r="R76" i="4"/>
  <c r="O362" i="6"/>
  <c r="O34" i="4"/>
  <c r="O35" i="4"/>
  <c r="R206" i="4"/>
  <c r="U41" i="2" s="1"/>
  <c r="O117" i="7"/>
  <c r="O136" i="5"/>
  <c r="B144" i="5"/>
  <c r="M227" i="5"/>
  <c r="E111" i="7"/>
  <c r="E105" i="7"/>
  <c r="R294" i="7"/>
  <c r="R302" i="7"/>
  <c r="P618" i="7"/>
  <c r="S592" i="7"/>
  <c r="S600" i="7" s="1"/>
  <c r="O600" i="7"/>
  <c r="G196" i="6"/>
  <c r="G188" i="6"/>
  <c r="R307" i="4"/>
  <c r="O41" i="4"/>
  <c r="CY7" i="2" s="1"/>
  <c r="O42" i="4"/>
  <c r="CY23" i="2" s="1"/>
  <c r="P289" i="4"/>
  <c r="P290" i="4"/>
  <c r="C643" i="7"/>
  <c r="C649" i="7"/>
  <c r="C657" i="7"/>
  <c r="S588" i="7"/>
  <c r="O596" i="7"/>
  <c r="R622" i="7"/>
  <c r="B479" i="7"/>
  <c r="O477" i="7"/>
  <c r="B493" i="7"/>
  <c r="B485" i="7"/>
  <c r="B295" i="7"/>
  <c r="O287" i="7"/>
  <c r="B303" i="7"/>
  <c r="S287" i="7"/>
  <c r="E529" i="7"/>
  <c r="P521" i="7"/>
  <c r="P529" i="7" s="1"/>
  <c r="D599" i="7"/>
  <c r="D607" i="7"/>
  <c r="D593" i="7"/>
  <c r="J543" i="7"/>
  <c r="J551" i="7"/>
  <c r="J537" i="7"/>
  <c r="K553" i="7" s="1"/>
  <c r="O597" i="7"/>
  <c r="S589" i="7"/>
  <c r="H236" i="7"/>
  <c r="H242" i="7"/>
  <c r="G242" i="7"/>
  <c r="P237" i="6"/>
  <c r="E159" i="5"/>
  <c r="P151" i="5"/>
  <c r="P142" i="5" s="1"/>
  <c r="E153" i="5"/>
  <c r="R305" i="6"/>
  <c r="P119" i="5"/>
  <c r="E111" i="5"/>
  <c r="E127" i="5"/>
  <c r="Z46" i="2" s="1"/>
  <c r="B593" i="7"/>
  <c r="B599" i="7"/>
  <c r="O591" i="7"/>
  <c r="B607" i="7"/>
  <c r="S613" i="7"/>
  <c r="O621" i="7"/>
  <c r="P682" i="7"/>
  <c r="P684" i="7" s="1"/>
  <c r="E684" i="7"/>
  <c r="P535" i="7"/>
  <c r="E537" i="7"/>
  <c r="F553" i="7" s="1"/>
  <c r="E551" i="7"/>
  <c r="E543" i="7"/>
  <c r="D667" i="7"/>
  <c r="D673" i="7"/>
  <c r="R540" i="7"/>
  <c r="R482" i="7"/>
  <c r="R646" i="7"/>
  <c r="R582" i="7"/>
  <c r="P426" i="7"/>
  <c r="P72" i="7"/>
  <c r="AP13" i="2"/>
  <c r="S13" i="2"/>
  <c r="P583" i="7"/>
  <c r="B412" i="7"/>
  <c r="O404" i="7"/>
  <c r="B54" i="7"/>
  <c r="D368" i="7"/>
  <c r="J429" i="7"/>
  <c r="J370" i="7"/>
  <c r="Q540" i="7"/>
  <c r="R598" i="7"/>
  <c r="S70" i="7"/>
  <c r="V18" i="2"/>
  <c r="R469" i="7"/>
  <c r="U53" i="2" s="1"/>
  <c r="R111" i="7"/>
  <c r="J485" i="7"/>
  <c r="AM17" i="2"/>
  <c r="E242" i="7"/>
  <c r="E236" i="7"/>
  <c r="S211" i="7"/>
  <c r="P410" i="7"/>
  <c r="AJ53" i="2" s="1"/>
  <c r="P52" i="7"/>
  <c r="P239" i="7"/>
  <c r="P230" i="7"/>
  <c r="P233" i="7"/>
  <c r="C70" i="7"/>
  <c r="C64" i="7"/>
  <c r="C61" i="7"/>
  <c r="C11" i="7" s="1"/>
  <c r="DE16" i="2" s="1"/>
  <c r="L129" i="7"/>
  <c r="DN52" i="2" s="1"/>
  <c r="L123" i="7"/>
  <c r="M242" i="7"/>
  <c r="CG52" i="2" s="1"/>
  <c r="M236" i="7"/>
  <c r="E11" i="7"/>
  <c r="DG16" i="2" s="1"/>
  <c r="E17" i="7"/>
  <c r="P5" i="7"/>
  <c r="C223" i="7"/>
  <c r="CN53" i="2" s="1"/>
  <c r="C161" i="7"/>
  <c r="C217" i="7"/>
  <c r="DK53" i="2"/>
  <c r="CT34" i="2"/>
  <c r="Q161" i="7"/>
  <c r="Q167" i="7"/>
  <c r="CJ34" i="2" s="1"/>
  <c r="Q105" i="7"/>
  <c r="B17" i="7"/>
  <c r="O5" i="7"/>
  <c r="B11" i="7"/>
  <c r="DD16" i="2" s="1"/>
  <c r="E632" i="7"/>
  <c r="S339" i="6"/>
  <c r="S326" i="6" s="1"/>
  <c r="O345" i="6"/>
  <c r="S337" i="6"/>
  <c r="C220" i="6"/>
  <c r="C212" i="6"/>
  <c r="O47" i="6"/>
  <c r="O53" i="6"/>
  <c r="M127" i="5"/>
  <c r="AH46" i="2" s="1"/>
  <c r="M111" i="5"/>
  <c r="P212" i="6"/>
  <c r="O141" i="5"/>
  <c r="S133" i="5"/>
  <c r="G157" i="6"/>
  <c r="S269" i="5"/>
  <c r="O269" i="5"/>
  <c r="P315" i="4"/>
  <c r="P314" i="4"/>
  <c r="N260" i="4"/>
  <c r="Q109" i="5"/>
  <c r="N302" i="4"/>
  <c r="CO50" i="2"/>
  <c r="BX32" i="2"/>
  <c r="Q160" i="4"/>
  <c r="AK7" i="2" s="1"/>
  <c r="Q162" i="4"/>
  <c r="AK23" i="2" s="1"/>
  <c r="Q129" i="4"/>
  <c r="Q161" i="4"/>
  <c r="O257" i="4"/>
  <c r="O256" i="4"/>
  <c r="G41" i="2" s="1"/>
  <c r="V4" i="2"/>
  <c r="BD44" i="2"/>
  <c r="R222" i="5"/>
  <c r="Q232" i="4"/>
  <c r="I8" i="2" s="1"/>
  <c r="Q231" i="4"/>
  <c r="N41" i="2" s="1"/>
  <c r="N120" i="4"/>
  <c r="BU41" i="2" s="1"/>
  <c r="N119" i="4"/>
  <c r="Q61" i="4"/>
  <c r="Q60" i="4"/>
  <c r="P151" i="4"/>
  <c r="BA41" i="2" s="1"/>
  <c r="P152" i="4"/>
  <c r="P150" i="4"/>
  <c r="C29" i="9" s="1"/>
  <c r="R451" i="4"/>
  <c r="K427" i="4"/>
  <c r="N239" i="4"/>
  <c r="N56" i="4"/>
  <c r="N57" i="4"/>
  <c r="P41" i="4"/>
  <c r="CZ7" i="2" s="1"/>
  <c r="P42" i="4"/>
  <c r="CZ23" i="2" s="1"/>
  <c r="M34" i="3"/>
  <c r="R35" i="3"/>
  <c r="E593" i="7"/>
  <c r="F609" i="7" s="1"/>
  <c r="P591" i="7"/>
  <c r="E599" i="7"/>
  <c r="E607" i="7"/>
  <c r="P570" i="7"/>
  <c r="C303" i="7"/>
  <c r="C178" i="7"/>
  <c r="C184" i="7"/>
  <c r="B347" i="6"/>
  <c r="B353" i="6"/>
  <c r="S46" i="6"/>
  <c r="S52" i="6"/>
  <c r="R93" i="5"/>
  <c r="BC50" i="2" s="1"/>
  <c r="R85" i="5"/>
  <c r="E32" i="9" s="1"/>
  <c r="G325" i="5"/>
  <c r="G333" i="5"/>
  <c r="P315" i="5"/>
  <c r="P325" i="5" s="1"/>
  <c r="S315" i="5"/>
  <c r="S325" i="5" s="1"/>
  <c r="CX51" i="2"/>
  <c r="CG33" i="2"/>
  <c r="R285" i="4"/>
  <c r="R286" i="4"/>
  <c r="R260" i="4"/>
  <c r="F479" i="7"/>
  <c r="F485" i="7"/>
  <c r="F493" i="7"/>
  <c r="L607" i="7"/>
  <c r="L593" i="7"/>
  <c r="L599" i="7"/>
  <c r="R72" i="7"/>
  <c r="R426" i="7"/>
  <c r="AR13" i="2"/>
  <c r="U13" i="2"/>
  <c r="O540" i="7"/>
  <c r="S532" i="7"/>
  <c r="S540" i="7" s="1"/>
  <c r="G73" i="7"/>
  <c r="DI34" i="2" s="1"/>
  <c r="G67" i="7"/>
  <c r="R241" i="7"/>
  <c r="R198" i="7"/>
  <c r="R255" i="7"/>
  <c r="R261" i="7"/>
  <c r="BT54" i="2" s="1"/>
  <c r="S247" i="5"/>
  <c r="O233" i="5"/>
  <c r="O254" i="5"/>
  <c r="AQ30" i="2"/>
  <c r="T30" i="2"/>
  <c r="I673" i="7"/>
  <c r="I667" i="7"/>
  <c r="O161" i="6"/>
  <c r="O137" i="6"/>
  <c r="S153" i="6"/>
  <c r="S209" i="5"/>
  <c r="S201" i="5"/>
  <c r="N60" i="4"/>
  <c r="N61" i="4"/>
  <c r="N335" i="4"/>
  <c r="N310" i="4"/>
  <c r="B255" i="5"/>
  <c r="O248" i="5"/>
  <c r="AF28" i="2"/>
  <c r="AW50" i="2"/>
  <c r="P364" i="5"/>
  <c r="P359" i="5"/>
  <c r="K172" i="6"/>
  <c r="R156" i="6"/>
  <c r="R164" i="6" s="1"/>
  <c r="K164" i="6"/>
  <c r="M331" i="4"/>
  <c r="M332" i="4"/>
  <c r="B307" i="4"/>
  <c r="R290" i="4"/>
  <c r="Q290" i="4"/>
  <c r="Q289" i="4"/>
  <c r="B47" i="5"/>
  <c r="B53" i="5"/>
  <c r="B35" i="5"/>
  <c r="Q331" i="4"/>
  <c r="Q332" i="4"/>
  <c r="O227" i="5"/>
  <c r="O210" i="5" s="1"/>
  <c r="M356" i="4"/>
  <c r="B332" i="4"/>
  <c r="AL50" i="2"/>
  <c r="AR28" i="2"/>
  <c r="U28" i="2"/>
  <c r="F144" i="5"/>
  <c r="G137" i="5"/>
  <c r="N214" i="4"/>
  <c r="V45" i="2" s="1"/>
  <c r="Q23" i="2"/>
  <c r="N346" i="5"/>
  <c r="R265" i="4"/>
  <c r="O340" i="4"/>
  <c r="O339" i="4"/>
  <c r="N83" i="3"/>
  <c r="N71" i="3"/>
  <c r="R239" i="4"/>
  <c r="O45" i="2" s="1"/>
  <c r="R240" i="4"/>
  <c r="J23" i="2"/>
  <c r="Q47" i="5"/>
  <c r="Q53" i="5"/>
  <c r="P234" i="5"/>
  <c r="R253" i="6"/>
  <c r="R249" i="6"/>
  <c r="R26" i="3"/>
  <c r="R17" i="3"/>
  <c r="O9" i="4"/>
  <c r="N414" i="4"/>
  <c r="B111" i="5"/>
  <c r="O103" i="5"/>
  <c r="N206" i="4"/>
  <c r="V41" i="2" s="1"/>
  <c r="F601" i="7"/>
  <c r="Q521" i="7"/>
  <c r="Q529" i="7" s="1"/>
  <c r="H529" i="7"/>
  <c r="AL32" i="2"/>
  <c r="AR10" i="2"/>
  <c r="U10" i="2"/>
  <c r="O177" i="5"/>
  <c r="S177" i="5" s="1"/>
  <c r="B193" i="5"/>
  <c r="B185" i="5"/>
  <c r="Q148" i="7"/>
  <c r="Q142" i="7"/>
  <c r="Q86" i="7"/>
  <c r="F17" i="7"/>
  <c r="F11" i="7"/>
  <c r="DH16" i="2" s="1"/>
  <c r="S260" i="6"/>
  <c r="S253" i="6"/>
  <c r="E23" i="6"/>
  <c r="DG33" i="2" s="1"/>
  <c r="P17" i="6"/>
  <c r="CP15" i="2"/>
  <c r="Q315" i="4"/>
  <c r="Q314" i="4"/>
  <c r="BC7" i="2"/>
  <c r="BT44" i="2"/>
  <c r="M471" i="7"/>
  <c r="AH48" i="2" s="1"/>
  <c r="M412" i="7"/>
  <c r="S236" i="6"/>
  <c r="S228" i="6"/>
  <c r="D649" i="7"/>
  <c r="D585" i="7"/>
  <c r="D657" i="7"/>
  <c r="D643" i="7"/>
  <c r="R452" i="7"/>
  <c r="U54" i="2" s="1"/>
  <c r="R92" i="7"/>
  <c r="G493" i="7"/>
  <c r="G485" i="7"/>
  <c r="G479" i="7"/>
  <c r="H495" i="7" s="1"/>
  <c r="P117" i="7"/>
  <c r="E129" i="7"/>
  <c r="DG52" i="2" s="1"/>
  <c r="E123" i="7"/>
  <c r="S249" i="6"/>
  <c r="S258" i="6"/>
  <c r="F7" i="8"/>
  <c r="H7" i="8" s="1"/>
  <c r="N83" i="4"/>
  <c r="CL40" i="2" s="1"/>
  <c r="N82" i="4"/>
  <c r="P34" i="4"/>
  <c r="P35" i="4"/>
  <c r="Q463" i="7"/>
  <c r="H471" i="7"/>
  <c r="AC48" i="2" s="1"/>
  <c r="H412" i="7"/>
  <c r="G454" i="7"/>
  <c r="AB49" i="2" s="1"/>
  <c r="G395" i="7"/>
  <c r="P261" i="7"/>
  <c r="BR54" i="2" s="1"/>
  <c r="P255" i="7"/>
  <c r="P198" i="7"/>
  <c r="I236" i="7"/>
  <c r="I242" i="7"/>
  <c r="O65" i="6"/>
  <c r="B44" i="9" s="1"/>
  <c r="O71" i="6"/>
  <c r="BQ51" i="2" s="1"/>
  <c r="B20" i="9" s="1"/>
  <c r="D220" i="6"/>
  <c r="D212" i="6"/>
  <c r="O306" i="4"/>
  <c r="D185" i="5"/>
  <c r="D193" i="5"/>
  <c r="D161" i="5"/>
  <c r="CC32" i="2"/>
  <c r="CT50" i="2"/>
  <c r="Q672" i="7"/>
  <c r="S664" i="7"/>
  <c r="S672" i="7" s="1"/>
  <c r="O541" i="7"/>
  <c r="S533" i="7"/>
  <c r="P477" i="7"/>
  <c r="E479" i="7"/>
  <c r="E485" i="7"/>
  <c r="E493" i="7"/>
  <c r="S679" i="7"/>
  <c r="S625" i="7"/>
  <c r="P428" i="7"/>
  <c r="O562" i="7"/>
  <c r="O446" i="7"/>
  <c r="S111" i="7"/>
  <c r="R566" i="7"/>
  <c r="M435" i="7"/>
  <c r="AH12" i="2" s="1"/>
  <c r="M421" i="7"/>
  <c r="M427" i="7"/>
  <c r="P318" i="7"/>
  <c r="C35" i="9" s="1"/>
  <c r="P326" i="7"/>
  <c r="BA54" i="2" s="1"/>
  <c r="E427" i="7"/>
  <c r="P419" i="7"/>
  <c r="P303" i="7" s="1"/>
  <c r="E421" i="7"/>
  <c r="E435" i="7"/>
  <c r="Z12" i="2" s="1"/>
  <c r="Q360" i="7"/>
  <c r="Q295" i="7" s="1"/>
  <c r="H368" i="7"/>
  <c r="H376" i="7"/>
  <c r="B426" i="7"/>
  <c r="I185" i="7"/>
  <c r="CT52" i="2" s="1"/>
  <c r="I179" i="7"/>
  <c r="J11" i="7"/>
  <c r="J73" i="7"/>
  <c r="DL34" i="2" s="1"/>
  <c r="J67" i="7"/>
  <c r="H185" i="7"/>
  <c r="CS52" i="2" s="1"/>
  <c r="H179" i="7"/>
  <c r="D123" i="7"/>
  <c r="D129" i="7"/>
  <c r="DF52" i="2" s="1"/>
  <c r="D407" i="6"/>
  <c r="D401" i="6"/>
  <c r="S318" i="7"/>
  <c r="F35" i="9" s="1"/>
  <c r="S326" i="7"/>
  <c r="BD54" i="2" s="1"/>
  <c r="S255" i="7"/>
  <c r="Q117" i="7"/>
  <c r="H129" i="7"/>
  <c r="DJ52" i="2" s="1"/>
  <c r="H123" i="7"/>
  <c r="H429" i="7"/>
  <c r="H370" i="7"/>
  <c r="S222" i="7"/>
  <c r="S216" i="7"/>
  <c r="M376" i="7"/>
  <c r="M368" i="7"/>
  <c r="M14" i="7"/>
  <c r="B204" i="7"/>
  <c r="CM54" i="2" s="1"/>
  <c r="B198" i="7"/>
  <c r="B142" i="7"/>
  <c r="R121" i="7"/>
  <c r="R65" i="7"/>
  <c r="R127" i="7"/>
  <c r="M353" i="6"/>
  <c r="M347" i="6"/>
  <c r="R239" i="7"/>
  <c r="R233" i="7"/>
  <c r="R230" i="7"/>
  <c r="I123" i="7"/>
  <c r="I129" i="7"/>
  <c r="DK52" i="2" s="1"/>
  <c r="Q65" i="6"/>
  <c r="Q71" i="6"/>
  <c r="BS51" i="2" s="1"/>
  <c r="P21" i="6"/>
  <c r="P9" i="6"/>
  <c r="CA33" i="2"/>
  <c r="CR51" i="2"/>
  <c r="K140" i="6"/>
  <c r="AF47" i="2" s="1"/>
  <c r="S183" i="6"/>
  <c r="E47" i="6"/>
  <c r="E53" i="6"/>
  <c r="E35" i="6"/>
  <c r="O264" i="4"/>
  <c r="G45" i="2" s="1"/>
  <c r="S263" i="4"/>
  <c r="O265" i="4"/>
  <c r="Q306" i="4"/>
  <c r="Q307" i="4"/>
  <c r="E142" i="5"/>
  <c r="N406" i="4"/>
  <c r="CW32" i="2"/>
  <c r="CF14" i="2"/>
  <c r="DN50" i="2"/>
  <c r="I431" i="4"/>
  <c r="I451" i="4"/>
  <c r="I427" i="4" s="1"/>
  <c r="R210" i="6"/>
  <c r="O52" i="5"/>
  <c r="O46" i="5"/>
  <c r="P340" i="4"/>
  <c r="P339" i="4"/>
  <c r="AI32" i="2"/>
  <c r="AO10" i="2"/>
  <c r="R10" i="2"/>
  <c r="S346" i="5"/>
  <c r="R138" i="6"/>
  <c r="U51" i="2" s="1"/>
  <c r="S21" i="3"/>
  <c r="S222" i="5" s="1"/>
  <c r="R38" i="4"/>
  <c r="DB22" i="2" s="1"/>
  <c r="R64" i="4"/>
  <c r="P215" i="4"/>
  <c r="P214" i="4"/>
  <c r="S45" i="2" s="1"/>
  <c r="M23" i="2"/>
  <c r="Q215" i="4"/>
  <c r="P161" i="4"/>
  <c r="CI34" i="2"/>
  <c r="CZ53" i="2"/>
  <c r="P414" i="4"/>
  <c r="S101" i="5"/>
  <c r="S85" i="5" s="1"/>
  <c r="F32" i="9" s="1"/>
  <c r="O109" i="5"/>
  <c r="Q67" i="4"/>
  <c r="CJ8" i="2" s="1"/>
  <c r="Q68" i="4"/>
  <c r="Q34" i="4"/>
  <c r="K376" i="7"/>
  <c r="R360" i="7"/>
  <c r="R295" i="7" s="1"/>
  <c r="K368" i="7"/>
  <c r="K14" i="7"/>
  <c r="K295" i="7"/>
  <c r="D242" i="7"/>
  <c r="D236" i="7"/>
  <c r="P368" i="7"/>
  <c r="P14" i="7"/>
  <c r="J185" i="7"/>
  <c r="CU52" i="2" s="1"/>
  <c r="J179" i="7"/>
  <c r="S351" i="7"/>
  <c r="BD53" i="2" s="1"/>
  <c r="S343" i="7"/>
  <c r="F34" i="9" s="1"/>
  <c r="E407" i="6"/>
  <c r="P395" i="6"/>
  <c r="P383" i="6" s="1"/>
  <c r="E401" i="6"/>
  <c r="F73" i="7"/>
  <c r="DH34" i="2" s="1"/>
  <c r="F67" i="7"/>
  <c r="D17" i="7"/>
  <c r="D11" i="7"/>
  <c r="DF16" i="2" s="1"/>
  <c r="E626" i="7"/>
  <c r="E570" i="7"/>
  <c r="Q261" i="7"/>
  <c r="BS54" i="2" s="1"/>
  <c r="Q255" i="7"/>
  <c r="G347" i="6"/>
  <c r="G353" i="6"/>
  <c r="S34" i="6"/>
  <c r="C47" i="6"/>
  <c r="C53" i="6"/>
  <c r="C35" i="6"/>
  <c r="L172" i="6"/>
  <c r="L164" i="6"/>
  <c r="H127" i="5"/>
  <c r="AC46" i="2" s="1"/>
  <c r="H111" i="5"/>
  <c r="Q119" i="5"/>
  <c r="S197" i="5"/>
  <c r="S207" i="5"/>
  <c r="O127" i="5"/>
  <c r="D111" i="5"/>
  <c r="D127" i="5"/>
  <c r="Y46" i="2" s="1"/>
  <c r="B439" i="4"/>
  <c r="N463" i="4"/>
  <c r="N439" i="4" s="1"/>
  <c r="O463" i="4"/>
  <c r="O439" i="4" s="1"/>
  <c r="N377" i="4"/>
  <c r="Q42" i="4"/>
  <c r="Q41" i="4"/>
  <c r="G667" i="7"/>
  <c r="G673" i="7"/>
  <c r="G551" i="7"/>
  <c r="G537" i="7"/>
  <c r="G543" i="7"/>
  <c r="G607" i="7"/>
  <c r="G599" i="7"/>
  <c r="G593" i="7"/>
  <c r="H609" i="7" s="1"/>
  <c r="O672" i="7"/>
  <c r="I649" i="7"/>
  <c r="I643" i="7"/>
  <c r="I657" i="7"/>
  <c r="I585" i="7"/>
  <c r="R591" i="7"/>
  <c r="R543" i="7" s="1"/>
  <c r="K593" i="7"/>
  <c r="K607" i="7"/>
  <c r="K599" i="7"/>
  <c r="L421" i="7"/>
  <c r="L427" i="7"/>
  <c r="L368" i="7"/>
  <c r="L435" i="7"/>
  <c r="AG12" i="2" s="1"/>
  <c r="G383" i="6"/>
  <c r="G401" i="6"/>
  <c r="G407" i="6"/>
  <c r="O281" i="4"/>
  <c r="O282" i="4"/>
  <c r="R130" i="4"/>
  <c r="R129" i="4"/>
  <c r="BC22" i="2"/>
  <c r="M340" i="4"/>
  <c r="M339" i="4"/>
  <c r="B315" i="4"/>
  <c r="R338" i="4"/>
  <c r="R31" i="3"/>
  <c r="M30" i="3"/>
  <c r="Q98" i="4"/>
  <c r="CJ42" i="2" s="1"/>
  <c r="Q97" i="4"/>
  <c r="BS22" i="2" s="1"/>
  <c r="M634" i="7"/>
  <c r="M626" i="7"/>
  <c r="Q410" i="7"/>
  <c r="AK53" i="2" s="1"/>
  <c r="Q52" i="7"/>
  <c r="D543" i="7"/>
  <c r="D537" i="7"/>
  <c r="D551" i="7"/>
  <c r="P424" i="7"/>
  <c r="P182" i="7"/>
  <c r="P70" i="7"/>
  <c r="S18" i="2"/>
  <c r="S293" i="7"/>
  <c r="S301" i="7"/>
  <c r="O216" i="7"/>
  <c r="O222" i="7"/>
  <c r="CD15" i="2"/>
  <c r="DL51" i="2"/>
  <c r="CU33" i="2"/>
  <c r="M352" i="4"/>
  <c r="B328" i="4"/>
  <c r="M327" i="4"/>
  <c r="P16" i="4"/>
  <c r="P15" i="4"/>
  <c r="S106" i="5"/>
  <c r="S82" i="5"/>
  <c r="N73" i="4"/>
  <c r="N46" i="4"/>
  <c r="N72" i="4"/>
  <c r="CL7" i="2" s="1"/>
  <c r="O646" i="7"/>
  <c r="S638" i="7"/>
  <c r="S646" i="7" s="1"/>
  <c r="K684" i="7"/>
  <c r="R682" i="7"/>
  <c r="R684" i="7" s="1"/>
  <c r="K624" i="7"/>
  <c r="R616" i="7"/>
  <c r="K632" i="7"/>
  <c r="K618" i="7"/>
  <c r="K568" i="7"/>
  <c r="C105" i="7"/>
  <c r="C49" i="7"/>
  <c r="DE17" i="2" s="1"/>
  <c r="C111" i="7"/>
  <c r="D178" i="7"/>
  <c r="D184" i="7"/>
  <c r="H148" i="6"/>
  <c r="Q132" i="6"/>
  <c r="H140" i="6"/>
  <c r="AC47" i="2" s="1"/>
  <c r="R231" i="6"/>
  <c r="CA32" i="2"/>
  <c r="CR50" i="2"/>
  <c r="O85" i="5"/>
  <c r="B32" i="9" s="1"/>
  <c r="O93" i="5"/>
  <c r="AZ50" i="2" s="1"/>
  <c r="Q265" i="4"/>
  <c r="Q264" i="4"/>
  <c r="I45" i="2" s="1"/>
  <c r="E148" i="6"/>
  <c r="E140" i="6"/>
  <c r="Z47" i="2" s="1"/>
  <c r="P132" i="6"/>
  <c r="P140" i="6" s="1"/>
  <c r="AP47" i="2" s="1"/>
  <c r="N53" i="3"/>
  <c r="AN50" i="2"/>
  <c r="W28" i="2"/>
  <c r="N96" i="4"/>
  <c r="R117" i="7"/>
  <c r="K129" i="7"/>
  <c r="DM52" i="2" s="1"/>
  <c r="K123" i="7"/>
  <c r="Q126" i="7"/>
  <c r="Q120" i="7"/>
  <c r="Q64" i="7"/>
  <c r="S65" i="7"/>
  <c r="S127" i="7"/>
  <c r="R346" i="5"/>
  <c r="R341" i="5"/>
  <c r="O682" i="7"/>
  <c r="B684" i="7"/>
  <c r="R483" i="7"/>
  <c r="S560" i="7"/>
  <c r="S92" i="7"/>
  <c r="H551" i="7"/>
  <c r="H537" i="7"/>
  <c r="I553" i="7" s="1"/>
  <c r="Q535" i="7"/>
  <c r="H543" i="7"/>
  <c r="M454" i="7"/>
  <c r="AH49" i="2" s="1"/>
  <c r="R446" i="7"/>
  <c r="R454" i="7" s="1"/>
  <c r="M395" i="7"/>
  <c r="S294" i="7"/>
  <c r="S302" i="7"/>
  <c r="R370" i="7"/>
  <c r="Q365" i="7"/>
  <c r="AK18" i="2"/>
  <c r="O302" i="7"/>
  <c r="O72" i="7"/>
  <c r="R13" i="2"/>
  <c r="AO13" i="2"/>
  <c r="P300" i="7"/>
  <c r="B73" i="7"/>
  <c r="DD34" i="2" s="1"/>
  <c r="B67" i="7"/>
  <c r="Q177" i="7"/>
  <c r="Q183" i="7"/>
  <c r="Q173" i="7"/>
  <c r="Q121" i="7"/>
  <c r="P66" i="7"/>
  <c r="P128" i="7"/>
  <c r="P122" i="7"/>
  <c r="S171" i="7"/>
  <c r="S121" i="7" s="1"/>
  <c r="O177" i="7"/>
  <c r="O183" i="7"/>
  <c r="D122" i="7"/>
  <c r="B223" i="7"/>
  <c r="CM53" i="2" s="1"/>
  <c r="B161" i="7"/>
  <c r="B217" i="7"/>
  <c r="B178" i="7"/>
  <c r="B184" i="7"/>
  <c r="O172" i="7"/>
  <c r="B618" i="7"/>
  <c r="B632" i="7"/>
  <c r="O616" i="7"/>
  <c r="O568" i="7" s="1"/>
  <c r="B624" i="7"/>
  <c r="K236" i="7"/>
  <c r="K242" i="7"/>
  <c r="CE52" i="2" s="1"/>
  <c r="S178" i="6"/>
  <c r="O186" i="6"/>
  <c r="E196" i="6"/>
  <c r="P180" i="6"/>
  <c r="E188" i="6"/>
  <c r="J333" i="5"/>
  <c r="J325" i="5"/>
  <c r="F148" i="6"/>
  <c r="G133" i="6"/>
  <c r="F140" i="6"/>
  <c r="AA47" i="2" s="1"/>
  <c r="N150" i="4"/>
  <c r="F29" i="9" s="1"/>
  <c r="N151" i="4"/>
  <c r="BD41" i="2" s="1"/>
  <c r="Q364" i="5"/>
  <c r="Q359" i="5"/>
  <c r="H196" i="6"/>
  <c r="Q180" i="6"/>
  <c r="Q188" i="6" s="1"/>
  <c r="H188" i="6"/>
  <c r="R364" i="4"/>
  <c r="P71" i="6"/>
  <c r="BR51" i="2" s="1"/>
  <c r="BQ43" i="2"/>
  <c r="B17" i="9" s="1"/>
  <c r="AI4" i="2"/>
  <c r="C193" i="5"/>
  <c r="C185" i="5"/>
  <c r="C161" i="5"/>
  <c r="S278" i="5"/>
  <c r="R315" i="4"/>
  <c r="R289" i="4"/>
  <c r="R314" i="4"/>
  <c r="O290" i="4"/>
  <c r="H353" i="6"/>
  <c r="CQ50" i="2"/>
  <c r="BZ32" i="2"/>
  <c r="R152" i="4"/>
  <c r="R151" i="4"/>
  <c r="BC41" i="2" s="1"/>
  <c r="R150" i="4"/>
  <c r="E29" i="9" s="1"/>
  <c r="R119" i="4"/>
  <c r="Q15" i="4"/>
  <c r="O68" i="4"/>
  <c r="CY42" i="2" s="1"/>
  <c r="O67" i="4"/>
  <c r="CH8" i="2" s="1"/>
  <c r="Q35" i="5"/>
  <c r="Q152" i="4"/>
  <c r="R13" i="3"/>
  <c r="O231" i="4"/>
  <c r="L41" i="2" s="1"/>
  <c r="O23" i="5"/>
  <c r="CY32" i="2"/>
  <c r="CH14" i="2"/>
  <c r="P295" i="7"/>
  <c r="DH53" i="2"/>
  <c r="CQ34" i="2"/>
  <c r="K529" i="7"/>
  <c r="R521" i="7"/>
  <c r="R529" i="7" s="1"/>
  <c r="Q217" i="7"/>
  <c r="Q223" i="7"/>
  <c r="CJ53" i="2" s="1"/>
  <c r="O217" i="7"/>
  <c r="O161" i="7"/>
  <c r="O223" i="7"/>
  <c r="CH53" i="2" s="1"/>
  <c r="O395" i="6"/>
  <c r="B401" i="6"/>
  <c r="S126" i="7"/>
  <c r="S64" i="7"/>
  <c r="G148" i="6"/>
  <c r="G140" i="6"/>
  <c r="AB47" i="2" s="1"/>
  <c r="Q47" i="6"/>
  <c r="Q53" i="6"/>
  <c r="L333" i="5"/>
  <c r="L325" i="5"/>
  <c r="D47" i="6"/>
  <c r="D53" i="6"/>
  <c r="D35" i="6"/>
  <c r="Q85" i="5"/>
  <c r="D32" i="9" s="1"/>
  <c r="Q93" i="5"/>
  <c r="BB50" i="2" s="1"/>
  <c r="S202" i="5"/>
  <c r="O204" i="5"/>
  <c r="Q65" i="5"/>
  <c r="CF33" i="2"/>
  <c r="CW51" i="2"/>
  <c r="O23" i="2"/>
  <c r="O197" i="4"/>
  <c r="R42" i="4"/>
  <c r="R215" i="4"/>
  <c r="R214" i="4"/>
  <c r="U45" i="2" s="1"/>
  <c r="L657" i="7"/>
  <c r="K657" i="7"/>
  <c r="K649" i="7"/>
  <c r="R641" i="7"/>
  <c r="K643" i="7"/>
  <c r="Q424" i="7"/>
  <c r="Q70" i="7"/>
  <c r="Q182" i="7"/>
  <c r="T18" i="2"/>
  <c r="F370" i="7"/>
  <c r="R33" i="7"/>
  <c r="R393" i="7"/>
  <c r="AL54" i="2" s="1"/>
  <c r="C122" i="7"/>
  <c r="O197" i="7"/>
  <c r="O203" i="7"/>
  <c r="O192" i="7"/>
  <c r="O141" i="7"/>
  <c r="D217" i="7"/>
  <c r="D161" i="7"/>
  <c r="D223" i="7"/>
  <c r="CO53" i="2" s="1"/>
  <c r="Q241" i="7"/>
  <c r="Q235" i="7"/>
  <c r="L140" i="6"/>
  <c r="AG47" i="2" s="1"/>
  <c r="R71" i="5"/>
  <c r="BT50" i="2" s="1"/>
  <c r="R65" i="5"/>
  <c r="CW33" i="2"/>
  <c r="CF15" i="2"/>
  <c r="DN51" i="2"/>
  <c r="S17" i="6"/>
  <c r="S110" i="5"/>
  <c r="H607" i="7"/>
  <c r="F427" i="7"/>
  <c r="O61" i="4"/>
  <c r="CY25" i="2"/>
  <c r="O60" i="4"/>
  <c r="CY41" i="2" s="1"/>
  <c r="Q647" i="7"/>
  <c r="Q583" i="7"/>
  <c r="Q393" i="7"/>
  <c r="AK54" i="2" s="1"/>
  <c r="Q33" i="7"/>
  <c r="R318" i="7"/>
  <c r="E35" i="9" s="1"/>
  <c r="R326" i="7"/>
  <c r="BC54" i="2" s="1"/>
  <c r="Q86" i="6"/>
  <c r="D33" i="9" s="1"/>
  <c r="Q94" i="6"/>
  <c r="BB51" i="2" s="1"/>
  <c r="O641" i="7"/>
  <c r="L673" i="7"/>
  <c r="L667" i="7"/>
  <c r="Q616" i="7"/>
  <c r="O544" i="7"/>
  <c r="S536" i="7"/>
  <c r="H649" i="7"/>
  <c r="H643" i="7"/>
  <c r="Q641" i="7"/>
  <c r="H657" i="7"/>
  <c r="H585" i="7"/>
  <c r="O535" i="7"/>
  <c r="B537" i="7"/>
  <c r="B543" i="7"/>
  <c r="B551" i="7"/>
  <c r="F632" i="7"/>
  <c r="F568" i="7"/>
  <c r="F618" i="7"/>
  <c r="F624" i="7"/>
  <c r="D454" i="7"/>
  <c r="Y49" i="2" s="1"/>
  <c r="O318" i="7"/>
  <c r="B35" i="9" s="1"/>
  <c r="O326" i="7"/>
  <c r="AZ54" i="2" s="1"/>
  <c r="L376" i="7"/>
  <c r="F529" i="7"/>
  <c r="G522" i="7"/>
  <c r="F471" i="7"/>
  <c r="AA48" i="2" s="1"/>
  <c r="Q426" i="7"/>
  <c r="Q370" i="7"/>
  <c r="Q72" i="7"/>
  <c r="Q302" i="7"/>
  <c r="T13" i="2"/>
  <c r="AQ13" i="2"/>
  <c r="DO53" i="2"/>
  <c r="CX34" i="2"/>
  <c r="O502" i="7"/>
  <c r="B504" i="7"/>
  <c r="B510" i="7"/>
  <c r="B452" i="7"/>
  <c r="W54" i="2" s="1"/>
  <c r="R217" i="7"/>
  <c r="R223" i="7"/>
  <c r="CK53" i="2" s="1"/>
  <c r="G179" i="7"/>
  <c r="G185" i="7"/>
  <c r="CR52" i="2" s="1"/>
  <c r="R182" i="7"/>
  <c r="R173" i="7"/>
  <c r="R176" i="7"/>
  <c r="J236" i="7"/>
  <c r="J242" i="7"/>
  <c r="R65" i="6"/>
  <c r="R71" i="6"/>
  <c r="BT51" i="2" s="1"/>
  <c r="S148" i="7"/>
  <c r="O364" i="5"/>
  <c r="O359" i="5"/>
  <c r="K212" i="6"/>
  <c r="K220" i="6"/>
  <c r="R204" i="6"/>
  <c r="R212" i="6" s="1"/>
  <c r="S65" i="6"/>
  <c r="D188" i="6"/>
  <c r="D196" i="6"/>
  <c r="C383" i="6"/>
  <c r="E185" i="5"/>
  <c r="E193" i="5"/>
  <c r="P177" i="5"/>
  <c r="B156" i="6"/>
  <c r="B162" i="6"/>
  <c r="B170" i="6"/>
  <c r="C170" i="6"/>
  <c r="O154" i="6"/>
  <c r="O138" i="6" s="1"/>
  <c r="R51" i="2" s="1"/>
  <c r="E11" i="6"/>
  <c r="DG15" i="2" s="1"/>
  <c r="S123" i="5"/>
  <c r="I333" i="5"/>
  <c r="I325" i="5"/>
  <c r="DG26" i="2"/>
  <c r="CP4" i="2"/>
  <c r="Q315" i="5"/>
  <c r="Q325" i="5" s="1"/>
  <c r="H333" i="5"/>
  <c r="H325" i="5"/>
  <c r="S180" i="5"/>
  <c r="S157" i="5"/>
  <c r="S202" i="6"/>
  <c r="S46" i="5"/>
  <c r="S34" i="5"/>
  <c r="B234" i="5"/>
  <c r="M314" i="4"/>
  <c r="O181" i="4"/>
  <c r="O180" i="4"/>
  <c r="AI41" i="2" s="1"/>
  <c r="P9" i="4"/>
  <c r="P8" i="4"/>
  <c r="N281" i="4"/>
  <c r="N9" i="4"/>
  <c r="N8" i="4"/>
  <c r="P346" i="5"/>
  <c r="P341" i="5"/>
  <c r="P206" i="4"/>
  <c r="S41" i="2" s="1"/>
  <c r="P88" i="4"/>
  <c r="CI41" i="2" s="1"/>
  <c r="P207" i="4"/>
  <c r="M8" i="2" s="1"/>
  <c r="P180" i="4"/>
  <c r="AJ41" i="2" s="1"/>
  <c r="P61" i="4"/>
  <c r="C30" i="9"/>
  <c r="S5" i="2"/>
  <c r="P23" i="5"/>
  <c r="CZ32" i="2"/>
  <c r="CI14" i="2"/>
  <c r="K11" i="7"/>
  <c r="N42" i="4"/>
  <c r="BU40" i="2"/>
  <c r="BD5" i="2"/>
  <c r="N188" i="4"/>
  <c r="V23" i="2" s="1"/>
  <c r="S23" i="5"/>
  <c r="CL14" i="2"/>
  <c r="B383" i="6"/>
  <c r="C389" i="6"/>
  <c r="O377" i="6"/>
  <c r="B389" i="6"/>
  <c r="B220" i="6"/>
  <c r="O204" i="6"/>
  <c r="B212" i="6"/>
  <c r="N129" i="4"/>
  <c r="BD22" i="2"/>
  <c r="N130" i="4"/>
  <c r="BD8" i="2" s="1"/>
  <c r="K493" i="7"/>
  <c r="K485" i="7"/>
  <c r="K479" i="7"/>
  <c r="L495" i="7" s="1"/>
  <c r="R477" i="7"/>
  <c r="R485" i="7" s="1"/>
  <c r="K421" i="7"/>
  <c r="R419" i="7"/>
  <c r="R427" i="7" s="1"/>
  <c r="K435" i="7"/>
  <c r="AF12" i="2" s="1"/>
  <c r="K427" i="7"/>
  <c r="BV33" i="2"/>
  <c r="CM51" i="2"/>
  <c r="P130" i="4"/>
  <c r="P129" i="4"/>
  <c r="BA22" i="2"/>
  <c r="L68" i="4"/>
  <c r="DN42" i="2" s="1"/>
  <c r="L41" i="4"/>
  <c r="L67" i="4"/>
  <c r="CW8" i="2" s="1"/>
  <c r="N66" i="4"/>
  <c r="N351" i="4"/>
  <c r="N352" i="4" s="1"/>
  <c r="B659" i="7"/>
  <c r="Q665" i="7"/>
  <c r="H673" i="7"/>
  <c r="H667" i="7"/>
  <c r="H601" i="7" s="1"/>
  <c r="O92" i="7"/>
  <c r="P425" i="7"/>
  <c r="R280" i="7"/>
  <c r="BT53" i="2" s="1"/>
  <c r="R274" i="7"/>
  <c r="C129" i="7"/>
  <c r="DE52" i="2" s="1"/>
  <c r="Q582" i="7"/>
  <c r="Q646" i="7"/>
  <c r="Q596" i="7"/>
  <c r="R425" i="7"/>
  <c r="R71" i="7"/>
  <c r="S410" i="7"/>
  <c r="S52" i="7"/>
  <c r="O351" i="7"/>
  <c r="AZ53" i="2" s="1"/>
  <c r="O343" i="7"/>
  <c r="B34" i="9" s="1"/>
  <c r="Q682" i="7"/>
  <c r="Q684" i="7" s="1"/>
  <c r="H684" i="7"/>
  <c r="H626" i="7" s="1"/>
  <c r="H624" i="7"/>
  <c r="O360" i="7"/>
  <c r="B368" i="7"/>
  <c r="S360" i="7"/>
  <c r="B376" i="7"/>
  <c r="C376" i="7"/>
  <c r="S72" i="7"/>
  <c r="AS13" i="2"/>
  <c r="O280" i="7"/>
  <c r="BQ53" i="2" s="1"/>
  <c r="B21" i="9" s="1"/>
  <c r="O274" i="7"/>
  <c r="B45" i="9" s="1"/>
  <c r="S300" i="7"/>
  <c r="S292" i="7"/>
  <c r="R122" i="7"/>
  <c r="R128" i="7"/>
  <c r="R66" i="7"/>
  <c r="O148" i="7"/>
  <c r="CY54" i="2" s="1"/>
  <c r="J667" i="7"/>
  <c r="J673" i="7"/>
  <c r="R597" i="7"/>
  <c r="P623" i="7"/>
  <c r="P567" i="7"/>
  <c r="B673" i="7"/>
  <c r="B667" i="7"/>
  <c r="O665" i="7"/>
  <c r="F643" i="7"/>
  <c r="F649" i="7"/>
  <c r="F657" i="7"/>
  <c r="S690" i="7"/>
  <c r="P540" i="7"/>
  <c r="M543" i="7"/>
  <c r="M551" i="7"/>
  <c r="M537" i="7"/>
  <c r="S639" i="7"/>
  <c r="R484" i="7"/>
  <c r="I421" i="7"/>
  <c r="J437" i="7" s="1"/>
  <c r="I435" i="7"/>
  <c r="AD12" i="2" s="1"/>
  <c r="I427" i="7"/>
  <c r="J599" i="7"/>
  <c r="J607" i="7"/>
  <c r="J593" i="7"/>
  <c r="S71" i="7"/>
  <c r="G512" i="7"/>
  <c r="S393" i="7"/>
  <c r="S33" i="7"/>
  <c r="R665" i="7"/>
  <c r="K667" i="7"/>
  <c r="K673" i="7"/>
  <c r="P351" i="7"/>
  <c r="BA53" i="2" s="1"/>
  <c r="P343" i="7"/>
  <c r="C34" i="9" s="1"/>
  <c r="S280" i="7"/>
  <c r="BU53" i="2" s="1"/>
  <c r="S274" i="7"/>
  <c r="L485" i="7"/>
  <c r="S501" i="7"/>
  <c r="O509" i="7"/>
  <c r="O451" i="7"/>
  <c r="R35" i="2" s="1"/>
  <c r="O367" i="7"/>
  <c r="O294" i="7"/>
  <c r="S569" i="7"/>
  <c r="K303" i="7"/>
  <c r="G129" i="7"/>
  <c r="DI52" i="2" s="1"/>
  <c r="G123" i="7"/>
  <c r="E49" i="7"/>
  <c r="DG17" i="2" s="1"/>
  <c r="O292" i="7"/>
  <c r="O300" i="7"/>
  <c r="E179" i="7"/>
  <c r="E185" i="7"/>
  <c r="CP52" i="2" s="1"/>
  <c r="Q61" i="7"/>
  <c r="H67" i="7"/>
  <c r="H73" i="7"/>
  <c r="DJ34" i="2" s="1"/>
  <c r="S170" i="7"/>
  <c r="P568" i="7"/>
  <c r="C173" i="7"/>
  <c r="C123" i="7" s="1"/>
  <c r="M295" i="7"/>
  <c r="M303" i="7"/>
  <c r="P184" i="7"/>
  <c r="P178" i="7"/>
  <c r="P173" i="7"/>
  <c r="S128" i="7"/>
  <c r="S66" i="7"/>
  <c r="Q293" i="7"/>
  <c r="Q301" i="7"/>
  <c r="L185" i="7"/>
  <c r="CW52" i="2" s="1"/>
  <c r="I67" i="7"/>
  <c r="I73" i="7"/>
  <c r="DK34" i="2" s="1"/>
  <c r="L236" i="7"/>
  <c r="L242" i="7"/>
  <c r="CF52" i="2" s="1"/>
  <c r="Q318" i="7"/>
  <c r="D35" i="9" s="1"/>
  <c r="Q326" i="7"/>
  <c r="BB54" i="2" s="1"/>
  <c r="Q178" i="7"/>
  <c r="Q184" i="7"/>
  <c r="R410" i="7"/>
  <c r="AL53" i="2" s="1"/>
  <c r="R52" i="7"/>
  <c r="S41" i="6"/>
  <c r="C8" i="7"/>
  <c r="O211" i="6"/>
  <c r="S203" i="6"/>
  <c r="S211" i="6" s="1"/>
  <c r="S226" i="6"/>
  <c r="S235" i="6"/>
  <c r="P162" i="6"/>
  <c r="P186" i="6"/>
  <c r="F127" i="5"/>
  <c r="AA46" i="2" s="1"/>
  <c r="F111" i="5"/>
  <c r="S251" i="6"/>
  <c r="S259" i="6"/>
  <c r="M333" i="5"/>
  <c r="Q346" i="5"/>
  <c r="P85" i="5"/>
  <c r="C32" i="9" s="1"/>
  <c r="P93" i="5"/>
  <c r="BA50" i="2" s="1"/>
  <c r="R463" i="4"/>
  <c r="R439" i="4" s="1"/>
  <c r="K439" i="4"/>
  <c r="AQ50" i="2"/>
  <c r="Z28" i="2"/>
  <c r="M172" i="6"/>
  <c r="M164" i="6"/>
  <c r="H210" i="5"/>
  <c r="C53" i="5"/>
  <c r="C35" i="5"/>
  <c r="C47" i="5"/>
  <c r="S27" i="2"/>
  <c r="AJ43" i="2"/>
  <c r="M220" i="6"/>
  <c r="M212" i="6"/>
  <c r="B196" i="6"/>
  <c r="O113" i="6"/>
  <c r="AI51" i="2" s="1"/>
  <c r="S130" i="6"/>
  <c r="S71" i="6" s="1"/>
  <c r="BU51" i="2" s="1"/>
  <c r="D451" i="4"/>
  <c r="D427" i="4" s="1"/>
  <c r="D431" i="4"/>
  <c r="P181" i="4"/>
  <c r="CV51" i="2"/>
  <c r="CE33" i="2"/>
  <c r="B161" i="5"/>
  <c r="Q181" i="4"/>
  <c r="Q180" i="4"/>
  <c r="AK41" i="2" s="1"/>
  <c r="H431" i="4"/>
  <c r="O150" i="4"/>
  <c r="B29" i="9" s="1"/>
  <c r="O151" i="4"/>
  <c r="AZ41" i="2" s="1"/>
  <c r="O152" i="4"/>
  <c r="R365" i="6"/>
  <c r="O455" i="4"/>
  <c r="N455" i="4"/>
  <c r="N431" i="4" s="1"/>
  <c r="B451" i="4"/>
  <c r="B431" i="4"/>
  <c r="C435" i="7"/>
  <c r="X12" i="2" s="1"/>
  <c r="C427" i="7"/>
  <c r="C421" i="7"/>
  <c r="J368" i="7"/>
  <c r="J376" i="7"/>
  <c r="J14" i="7"/>
  <c r="DM51" i="2"/>
  <c r="CV33" i="2"/>
  <c r="CE15" i="2"/>
  <c r="R282" i="4"/>
  <c r="R281" i="4"/>
  <c r="S519" i="7"/>
  <c r="S527" i="7" s="1"/>
  <c r="O527" i="7"/>
  <c r="I570" i="7"/>
  <c r="I512" i="7"/>
  <c r="P446" i="7"/>
  <c r="P454" i="7" s="1"/>
  <c r="E454" i="7"/>
  <c r="Z49" i="2" s="1"/>
  <c r="E395" i="7"/>
  <c r="G427" i="7"/>
  <c r="G435" i="7"/>
  <c r="AB12" i="2" s="1"/>
  <c r="G421" i="7"/>
  <c r="O482" i="7"/>
  <c r="S474" i="7"/>
  <c r="C454" i="7"/>
  <c r="X49" i="2" s="1"/>
  <c r="C395" i="7"/>
  <c r="S614" i="7"/>
  <c r="O622" i="7"/>
  <c r="K585" i="7"/>
  <c r="S478" i="7"/>
  <c r="O428" i="7"/>
  <c r="O486" i="7"/>
  <c r="S525" i="7"/>
  <c r="B395" i="7"/>
  <c r="O387" i="7"/>
  <c r="B362" i="7"/>
  <c r="B35" i="7"/>
  <c r="M495" i="7"/>
  <c r="L487" i="7"/>
  <c r="I551" i="7"/>
  <c r="S203" i="7"/>
  <c r="S197" i="7"/>
  <c r="S141" i="7"/>
  <c r="R351" i="7"/>
  <c r="BC53" i="2" s="1"/>
  <c r="R343" i="7"/>
  <c r="E34" i="9" s="1"/>
  <c r="Q292" i="7"/>
  <c r="B122" i="7"/>
  <c r="J295" i="7"/>
  <c r="J303" i="7"/>
  <c r="R183" i="7"/>
  <c r="S615" i="7"/>
  <c r="O623" i="7"/>
  <c r="O567" i="7"/>
  <c r="K347" i="6"/>
  <c r="K353" i="6"/>
  <c r="D73" i="7"/>
  <c r="DF34" i="2" s="1"/>
  <c r="C347" i="6"/>
  <c r="C353" i="6"/>
  <c r="Q35" i="6"/>
  <c r="S187" i="6"/>
  <c r="O326" i="6"/>
  <c r="P126" i="7"/>
  <c r="R330" i="4"/>
  <c r="O307" i="4" s="1"/>
  <c r="S105" i="6"/>
  <c r="P113" i="6"/>
  <c r="AJ51" i="2" s="1"/>
  <c r="I196" i="6"/>
  <c r="B296" i="6"/>
  <c r="B281" i="6"/>
  <c r="S295" i="6"/>
  <c r="S281" i="6" s="1"/>
  <c r="O295" i="6"/>
  <c r="O281" i="6" s="1"/>
  <c r="P86" i="6"/>
  <c r="C33" i="9" s="1"/>
  <c r="P94" i="6"/>
  <c r="BA51" i="2" s="1"/>
  <c r="S182" i="5"/>
  <c r="P332" i="4"/>
  <c r="P331" i="4"/>
  <c r="P257" i="4"/>
  <c r="R136" i="5"/>
  <c r="R119" i="5"/>
  <c r="R343" i="4"/>
  <c r="N93" i="4"/>
  <c r="N92" i="4"/>
  <c r="P364" i="4"/>
  <c r="R66" i="4"/>
  <c r="N35" i="4"/>
  <c r="N34" i="4"/>
  <c r="N16" i="4"/>
  <c r="N15" i="4"/>
  <c r="P120" i="4"/>
  <c r="BR41" i="2" s="1"/>
  <c r="P119" i="4"/>
  <c r="S176" i="5"/>
  <c r="O184" i="5"/>
  <c r="P582" i="7"/>
  <c r="R35" i="6"/>
  <c r="R23" i="6"/>
  <c r="C479" i="7"/>
  <c r="C485" i="7"/>
  <c r="C493" i="7"/>
  <c r="S65" i="5"/>
  <c r="B188" i="6"/>
  <c r="E220" i="6"/>
  <c r="R153" i="5"/>
  <c r="K161" i="5"/>
  <c r="H161" i="5"/>
  <c r="Q153" i="5"/>
  <c r="Q161" i="5" s="1"/>
  <c r="AQ10" i="2"/>
  <c r="T10" i="2"/>
  <c r="AK32" i="2"/>
  <c r="S305" i="6"/>
  <c r="P125" i="5"/>
  <c r="S50" i="2" s="1"/>
  <c r="P53" i="5"/>
  <c r="S117" i="5"/>
  <c r="S71" i="5" s="1"/>
  <c r="BU50" i="2" s="1"/>
  <c r="P264" i="4"/>
  <c r="H45" i="2" s="1"/>
  <c r="P239" i="4"/>
  <c r="M45" i="2" s="1"/>
  <c r="P265" i="4"/>
  <c r="S209" i="6"/>
  <c r="S185" i="6"/>
  <c r="R98" i="4"/>
  <c r="CK42" i="2" s="1"/>
  <c r="R97" i="4"/>
  <c r="BT22" i="2" s="1"/>
  <c r="C148" i="6"/>
  <c r="C140" i="6"/>
  <c r="X47" i="2" s="1"/>
  <c r="CP32" i="2"/>
  <c r="DG50" i="2"/>
  <c r="BY14" i="2"/>
  <c r="R196" i="4"/>
  <c r="CS32" i="2"/>
  <c r="DJ50" i="2"/>
  <c r="CB14" i="2"/>
  <c r="Q339" i="4"/>
  <c r="Q340" i="4"/>
  <c r="P97" i="4"/>
  <c r="BR22" i="2" s="1"/>
  <c r="P98" i="4"/>
  <c r="CI42" i="2" s="1"/>
  <c r="P282" i="4"/>
  <c r="P281" i="4"/>
  <c r="N381" i="4"/>
  <c r="R87" i="4"/>
  <c r="R88" i="4"/>
  <c r="CK41" i="2" s="1"/>
  <c r="M261" i="6"/>
  <c r="R254" i="6"/>
  <c r="R261" i="6" s="1"/>
  <c r="R224" i="5"/>
  <c r="S156" i="5"/>
  <c r="Q57" i="4"/>
  <c r="Q56" i="4"/>
  <c r="DA40" i="2" s="1"/>
  <c r="Q30" i="4"/>
  <c r="B365" i="6"/>
  <c r="O261" i="4"/>
  <c r="O15" i="4"/>
  <c r="O16" i="4"/>
  <c r="N67" i="3"/>
  <c r="N79" i="3"/>
  <c r="H255" i="5"/>
  <c r="Q269" i="5"/>
  <c r="Q255" i="5" s="1"/>
  <c r="Q87" i="4"/>
  <c r="Q88" i="4"/>
  <c r="CJ41" i="2" s="1"/>
  <c r="R600" i="7"/>
  <c r="R544" i="7"/>
  <c r="P52" i="6"/>
  <c r="P46" i="6"/>
  <c r="DL50" i="2"/>
  <c r="CU32" i="2"/>
  <c r="CD14" i="2"/>
  <c r="O65" i="5"/>
  <c r="B43" i="9" s="1"/>
  <c r="O71" i="5"/>
  <c r="BQ50" i="2" s="1"/>
  <c r="B19" i="9" s="1"/>
  <c r="O579" i="7"/>
  <c r="S579" i="7" s="1"/>
  <c r="B529" i="7"/>
  <c r="D493" i="7"/>
  <c r="D479" i="7"/>
  <c r="D485" i="7"/>
  <c r="Q343" i="7"/>
  <c r="D34" i="9" s="1"/>
  <c r="Q351" i="7"/>
  <c r="BB53" i="2" s="1"/>
  <c r="R301" i="7"/>
  <c r="R293" i="7"/>
  <c r="S233" i="7"/>
  <c r="S239" i="7"/>
  <c r="Q122" i="7"/>
  <c r="Q128" i="7"/>
  <c r="Q66" i="7"/>
  <c r="O86" i="6"/>
  <c r="B33" i="9" s="1"/>
  <c r="O94" i="6"/>
  <c r="AZ51" i="2" s="1"/>
  <c r="E383" i="6"/>
  <c r="R278" i="5"/>
  <c r="P34" i="6"/>
  <c r="CX33" i="2"/>
  <c r="DO51" i="2"/>
  <c r="CG15" i="2"/>
  <c r="R53" i="5"/>
  <c r="R47" i="5"/>
  <c r="R648" i="7"/>
  <c r="C618" i="7"/>
  <c r="C632" i="7"/>
  <c r="C624" i="7"/>
  <c r="C568" i="7"/>
  <c r="C607" i="7"/>
  <c r="C599" i="7"/>
  <c r="C593" i="7"/>
  <c r="C673" i="7"/>
  <c r="C667" i="7"/>
  <c r="M673" i="7"/>
  <c r="M667" i="7"/>
  <c r="L543" i="7"/>
  <c r="L551" i="7"/>
  <c r="L537" i="7"/>
  <c r="Q469" i="7"/>
  <c r="T53" i="2" s="1"/>
  <c r="Q300" i="7"/>
  <c r="CV34" i="2"/>
  <c r="DM53" i="2"/>
  <c r="I303" i="7"/>
  <c r="I295" i="7"/>
  <c r="M179" i="7"/>
  <c r="M185" i="7"/>
  <c r="CX52" i="2" s="1"/>
  <c r="P294" i="7"/>
  <c r="P302" i="7"/>
  <c r="H407" i="6"/>
  <c r="DK51" i="2"/>
  <c r="CT33" i="2"/>
  <c r="CC15" i="2"/>
  <c r="C164" i="6"/>
  <c r="I593" i="7"/>
  <c r="I545" i="7" s="1"/>
  <c r="I607" i="7"/>
  <c r="I599" i="7"/>
  <c r="Q591" i="7"/>
  <c r="C585" i="7"/>
  <c r="J649" i="7"/>
  <c r="J643" i="7"/>
  <c r="J657" i="7"/>
  <c r="J585" i="7"/>
  <c r="S663" i="7"/>
  <c r="S671" i="7" s="1"/>
  <c r="G632" i="7"/>
  <c r="Q598" i="7"/>
  <c r="O410" i="7"/>
  <c r="AI53" i="2" s="1"/>
  <c r="O52" i="7"/>
  <c r="F512" i="7"/>
  <c r="G505" i="7"/>
  <c r="F454" i="7"/>
  <c r="AA49" i="2" s="1"/>
  <c r="S475" i="7"/>
  <c r="S425" i="7" s="1"/>
  <c r="O483" i="7"/>
  <c r="O425" i="7"/>
  <c r="H485" i="7"/>
  <c r="S192" i="7"/>
  <c r="F383" i="6"/>
  <c r="F401" i="6"/>
  <c r="F407" i="6"/>
  <c r="O566" i="7"/>
  <c r="O241" i="7"/>
  <c r="S229" i="7"/>
  <c r="O235" i="7"/>
  <c r="O173" i="7"/>
  <c r="R184" i="7"/>
  <c r="G303" i="7"/>
  <c r="G295" i="7"/>
  <c r="I172" i="6"/>
  <c r="I140" i="6"/>
  <c r="AD47" i="2" s="1"/>
  <c r="Q156" i="6"/>
  <c r="I164" i="6"/>
  <c r="O336" i="4"/>
  <c r="O239" i="4"/>
  <c r="L45" i="2" s="1"/>
  <c r="G23" i="2"/>
  <c r="P240" i="4"/>
  <c r="O240" i="4"/>
  <c r="AJ50" i="2"/>
  <c r="AP28" i="2"/>
  <c r="R256" i="4"/>
  <c r="J41" i="2" s="1"/>
  <c r="CS50" i="2"/>
  <c r="CB32" i="2"/>
  <c r="S231" i="5"/>
  <c r="Q119" i="4"/>
  <c r="Q120" i="4"/>
  <c r="BS41" i="2" s="1"/>
  <c r="S288" i="4"/>
  <c r="F5" i="8"/>
  <c r="N108" i="4"/>
  <c r="CL43" i="2" s="1"/>
  <c r="N107" i="4"/>
  <c r="BR43" i="2"/>
  <c r="AJ4" i="2"/>
  <c r="O206" i="4"/>
  <c r="O207" i="4"/>
  <c r="L8" i="2" s="1"/>
  <c r="N160" i="4"/>
  <c r="AM7" i="2" s="1"/>
  <c r="N161" i="4"/>
  <c r="L179" i="7"/>
  <c r="O142" i="5"/>
  <c r="S134" i="5"/>
  <c r="AZ5" i="2"/>
  <c r="BQ40" i="2"/>
  <c r="B15" i="9" s="1"/>
  <c r="O80" i="3"/>
  <c r="O79" i="3"/>
  <c r="R161" i="5" l="1"/>
  <c r="O61" i="7"/>
  <c r="O261" i="6"/>
  <c r="I487" i="7"/>
  <c r="R188" i="6"/>
  <c r="S230" i="7"/>
  <c r="S236" i="7" s="1"/>
  <c r="J487" i="7"/>
  <c r="Q479" i="7"/>
  <c r="BS42" i="2"/>
  <c r="P471" i="7"/>
  <c r="AP48" i="2" s="1"/>
  <c r="BR14" i="2"/>
  <c r="O161" i="5"/>
  <c r="F429" i="7"/>
  <c r="P667" i="7"/>
  <c r="S210" i="6"/>
  <c r="DD51" i="2"/>
  <c r="CM33" i="2"/>
  <c r="CI32" i="2"/>
  <c r="S622" i="7"/>
  <c r="S184" i="5"/>
  <c r="S544" i="7"/>
  <c r="S482" i="7"/>
  <c r="Q427" i="7"/>
  <c r="S424" i="7"/>
  <c r="O47" i="5"/>
  <c r="S521" i="7"/>
  <c r="S529" i="7" s="1"/>
  <c r="S541" i="7"/>
  <c r="S41" i="5"/>
  <c r="S35" i="5" s="1"/>
  <c r="CL32" i="2" s="1"/>
  <c r="R512" i="7"/>
  <c r="S183" i="5"/>
  <c r="J495" i="7"/>
  <c r="Q237" i="6"/>
  <c r="T27" i="2"/>
  <c r="AK43" i="2"/>
  <c r="S584" i="7"/>
  <c r="O383" i="6"/>
  <c r="S254" i="6"/>
  <c r="S261" i="6" s="1"/>
  <c r="S621" i="7"/>
  <c r="R140" i="6"/>
  <c r="AR47" i="2" s="1"/>
  <c r="S463" i="7"/>
  <c r="S471" i="7" s="1"/>
  <c r="AS48" i="2" s="1"/>
  <c r="S107" i="6"/>
  <c r="O115" i="6"/>
  <c r="S647" i="7"/>
  <c r="Q543" i="7"/>
  <c r="AQ49" i="2"/>
  <c r="V30" i="2"/>
  <c r="P217" i="7"/>
  <c r="P223" i="7"/>
  <c r="CI53" i="2" s="1"/>
  <c r="P161" i="7"/>
  <c r="S186" i="6"/>
  <c r="O35" i="5"/>
  <c r="CY50" i="2" s="1"/>
  <c r="S598" i="7"/>
  <c r="Q421" i="7"/>
  <c r="Q429" i="7" s="1"/>
  <c r="P485" i="7"/>
  <c r="CH34" i="2"/>
  <c r="CY53" i="2"/>
  <c r="C626" i="7"/>
  <c r="C634" i="7"/>
  <c r="C570" i="7"/>
  <c r="Q127" i="5"/>
  <c r="Q111" i="5"/>
  <c r="Q129" i="7"/>
  <c r="Q123" i="7"/>
  <c r="L553" i="7"/>
  <c r="L545" i="7"/>
  <c r="Q164" i="6"/>
  <c r="B512" i="7"/>
  <c r="O504" i="7"/>
  <c r="O454" i="7" s="1"/>
  <c r="H651" i="7"/>
  <c r="H659" i="7"/>
  <c r="Q667" i="7"/>
  <c r="Q673" i="7"/>
  <c r="O510" i="7"/>
  <c r="S502" i="7"/>
  <c r="P23" i="6"/>
  <c r="CI15" i="2"/>
  <c r="CZ33" i="2"/>
  <c r="P11" i="6"/>
  <c r="R673" i="7"/>
  <c r="R667" i="7"/>
  <c r="M553" i="7"/>
  <c r="M545" i="7"/>
  <c r="CJ51" i="2"/>
  <c r="BS33" i="2"/>
  <c r="CJ33" i="2"/>
  <c r="BS15" i="2"/>
  <c r="S177" i="7"/>
  <c r="S183" i="7"/>
  <c r="S446" i="7"/>
  <c r="BS32" i="2"/>
  <c r="CJ50" i="2"/>
  <c r="F626" i="7"/>
  <c r="G634" i="7"/>
  <c r="F634" i="7"/>
  <c r="F570" i="7"/>
  <c r="Q368" i="7"/>
  <c r="Q14" i="7"/>
  <c r="B454" i="7"/>
  <c r="W49" i="2" s="1"/>
  <c r="S597" i="7"/>
  <c r="O365" i="6"/>
  <c r="BT15" i="2"/>
  <c r="CK33" i="2"/>
  <c r="B370" i="7"/>
  <c r="C378" i="7"/>
  <c r="B378" i="7"/>
  <c r="O362" i="7"/>
  <c r="B16" i="7"/>
  <c r="G437" i="7"/>
  <c r="G370" i="7"/>
  <c r="G429" i="7"/>
  <c r="S176" i="7"/>
  <c r="S182" i="7"/>
  <c r="O368" i="7"/>
  <c r="O14" i="7"/>
  <c r="N68" i="4"/>
  <c r="N67" i="4"/>
  <c r="CL8" i="2" s="1"/>
  <c r="R185" i="7"/>
  <c r="CK52" i="2" s="1"/>
  <c r="R179" i="7"/>
  <c r="S616" i="7"/>
  <c r="O624" i="7"/>
  <c r="O618" i="7"/>
  <c r="O570" i="7" s="1"/>
  <c r="M32" i="3"/>
  <c r="M31" i="3"/>
  <c r="B23" i="3"/>
  <c r="M22" i="3"/>
  <c r="I659" i="7"/>
  <c r="I651" i="7"/>
  <c r="DE51" i="2"/>
  <c r="CN33" i="2"/>
  <c r="BW15" i="2"/>
  <c r="C448" i="7"/>
  <c r="R73" i="7"/>
  <c r="R67" i="7"/>
  <c r="P73" i="7"/>
  <c r="P67" i="7"/>
  <c r="C423" i="7"/>
  <c r="B429" i="7"/>
  <c r="B437" i="7"/>
  <c r="O421" i="7"/>
  <c r="D626" i="7"/>
  <c r="D634" i="7"/>
  <c r="D570" i="7"/>
  <c r="Q624" i="7"/>
  <c r="Q618" i="7"/>
  <c r="Q568" i="7"/>
  <c r="BS14" i="2"/>
  <c r="CJ32" i="2"/>
  <c r="M234" i="5"/>
  <c r="M210" i="5"/>
  <c r="R227" i="5"/>
  <c r="S227" i="5" s="1"/>
  <c r="R127" i="5"/>
  <c r="R111" i="5"/>
  <c r="O395" i="7"/>
  <c r="S387" i="7"/>
  <c r="O35" i="7"/>
  <c r="K495" i="7"/>
  <c r="K487" i="7"/>
  <c r="R479" i="7"/>
  <c r="K651" i="7"/>
  <c r="K659" i="7"/>
  <c r="L659" i="7"/>
  <c r="S120" i="7"/>
  <c r="CN51" i="2"/>
  <c r="BW33" i="2"/>
  <c r="R368" i="7"/>
  <c r="R14" i="7"/>
  <c r="DG51" i="2"/>
  <c r="CP33" i="2"/>
  <c r="BY15" i="2"/>
  <c r="R236" i="7"/>
  <c r="R242" i="7"/>
  <c r="BT52" i="2" s="1"/>
  <c r="E429" i="7"/>
  <c r="P421" i="7"/>
  <c r="E437" i="7"/>
  <c r="E370" i="7"/>
  <c r="S562" i="7"/>
  <c r="S565" i="7"/>
  <c r="S254" i="5"/>
  <c r="S233" i="5"/>
  <c r="L601" i="7"/>
  <c r="L609" i="7"/>
  <c r="S132" i="6"/>
  <c r="P599" i="7"/>
  <c r="P593" i="7"/>
  <c r="P601" i="7" s="1"/>
  <c r="S141" i="5"/>
  <c r="S124" i="5"/>
  <c r="B609" i="7"/>
  <c r="B601" i="7"/>
  <c r="J553" i="7"/>
  <c r="J545" i="7"/>
  <c r="S136" i="5"/>
  <c r="O144" i="5"/>
  <c r="R471" i="7"/>
  <c r="O427" i="7"/>
  <c r="O188" i="6"/>
  <c r="S180" i="6"/>
  <c r="O694" i="7"/>
  <c r="S692" i="7"/>
  <c r="S694" i="7" s="1"/>
  <c r="S582" i="7"/>
  <c r="P11" i="7"/>
  <c r="P17" i="7"/>
  <c r="S591" i="7"/>
  <c r="O593" i="7"/>
  <c r="O599" i="7"/>
  <c r="BZ33" i="2"/>
  <c r="CQ51" i="2"/>
  <c r="J651" i="7"/>
  <c r="J659" i="7"/>
  <c r="B282" i="6"/>
  <c r="O296" i="6"/>
  <c r="O282" i="6" s="1"/>
  <c r="S296" i="6"/>
  <c r="S282" i="6" s="1"/>
  <c r="O643" i="7"/>
  <c r="S641" i="7"/>
  <c r="O649" i="7"/>
  <c r="O585" i="7"/>
  <c r="O198" i="7"/>
  <c r="O204" i="7"/>
  <c r="CH54" i="2" s="1"/>
  <c r="O142" i="7"/>
  <c r="R643" i="7"/>
  <c r="R651" i="7" s="1"/>
  <c r="R649" i="7"/>
  <c r="R585" i="7"/>
  <c r="B634" i="7"/>
  <c r="B626" i="7"/>
  <c r="R339" i="4"/>
  <c r="R340" i="4"/>
  <c r="O315" i="4"/>
  <c r="CP51" i="2"/>
  <c r="BY33" i="2"/>
  <c r="P427" i="7"/>
  <c r="B570" i="7"/>
  <c r="E609" i="7"/>
  <c r="E601" i="7"/>
  <c r="S217" i="7"/>
  <c r="S223" i="7"/>
  <c r="CL53" i="2" s="1"/>
  <c r="S161" i="7"/>
  <c r="O485" i="7"/>
  <c r="S477" i="7"/>
  <c r="R306" i="4"/>
  <c r="O123" i="7"/>
  <c r="O129" i="7"/>
  <c r="CY52" i="2" s="1"/>
  <c r="D370" i="7"/>
  <c r="D429" i="7"/>
  <c r="D437" i="7"/>
  <c r="R599" i="7"/>
  <c r="R593" i="7"/>
  <c r="R601" i="7" s="1"/>
  <c r="D659" i="7"/>
  <c r="D651" i="7"/>
  <c r="S172" i="7"/>
  <c r="O178" i="7"/>
  <c r="O184" i="7"/>
  <c r="O122" i="7"/>
  <c r="C437" i="7"/>
  <c r="C429" i="7"/>
  <c r="C370" i="7"/>
  <c r="F659" i="7"/>
  <c r="F651" i="7"/>
  <c r="G659" i="7"/>
  <c r="R237" i="6"/>
  <c r="K634" i="7"/>
  <c r="K626" i="7"/>
  <c r="K570" i="7"/>
  <c r="L634" i="7"/>
  <c r="S22" i="3"/>
  <c r="S226" i="5"/>
  <c r="O234" i="5"/>
  <c r="B27" i="3"/>
  <c r="M35" i="3"/>
  <c r="M36" i="3"/>
  <c r="M26" i="3"/>
  <c r="P127" i="5"/>
  <c r="AP46" i="2" s="1"/>
  <c r="P111" i="5"/>
  <c r="D601" i="7"/>
  <c r="D609" i="7"/>
  <c r="S234" i="7"/>
  <c r="S240" i="7"/>
  <c r="Q234" i="5"/>
  <c r="Q210" i="5"/>
  <c r="O255" i="5"/>
  <c r="S248" i="5"/>
  <c r="S255" i="5" s="1"/>
  <c r="BT33" i="2"/>
  <c r="CK51" i="2"/>
  <c r="R67" i="4"/>
  <c r="CK8" i="2" s="1"/>
  <c r="R68" i="4"/>
  <c r="R41" i="4"/>
  <c r="K609" i="7"/>
  <c r="K601" i="7"/>
  <c r="S295" i="7"/>
  <c r="S303" i="7"/>
  <c r="C659" i="7"/>
  <c r="C651" i="7"/>
  <c r="Q242" i="7"/>
  <c r="BS52" i="2" s="1"/>
  <c r="Q236" i="7"/>
  <c r="P643" i="7"/>
  <c r="P651" i="7" s="1"/>
  <c r="P649" i="7"/>
  <c r="P585" i="7"/>
  <c r="Q537" i="7"/>
  <c r="Q487" i="7" s="1"/>
  <c r="H553" i="7"/>
  <c r="H545" i="7"/>
  <c r="S469" i="7"/>
  <c r="V53" i="2" s="1"/>
  <c r="E659" i="7"/>
  <c r="E651" i="7"/>
  <c r="R537" i="7"/>
  <c r="BT32" i="2"/>
  <c r="CK50" i="2"/>
  <c r="C487" i="7"/>
  <c r="C495" i="7"/>
  <c r="M487" i="7"/>
  <c r="S94" i="6"/>
  <c r="BD51" i="2" s="1"/>
  <c r="C185" i="7"/>
  <c r="CN52" i="2" s="1"/>
  <c r="C179" i="7"/>
  <c r="S368" i="7"/>
  <c r="S14" i="7"/>
  <c r="K437" i="7"/>
  <c r="R421" i="7"/>
  <c r="K429" i="7"/>
  <c r="K370" i="7"/>
  <c r="P242" i="7"/>
  <c r="BR52" i="2" s="1"/>
  <c r="P236" i="7"/>
  <c r="O303" i="7"/>
  <c r="O295" i="7"/>
  <c r="BZ15" i="2"/>
  <c r="CQ33" i="2"/>
  <c r="DH51" i="2"/>
  <c r="K545" i="7"/>
  <c r="C609" i="7"/>
  <c r="C601" i="7"/>
  <c r="S23" i="6"/>
  <c r="CL15" i="2"/>
  <c r="G609" i="7"/>
  <c r="G601" i="7"/>
  <c r="O17" i="7"/>
  <c r="O11" i="7"/>
  <c r="B487" i="7"/>
  <c r="O479" i="7"/>
  <c r="B495" i="7"/>
  <c r="S160" i="5"/>
  <c r="Q451" i="4"/>
  <c r="H427" i="4"/>
  <c r="Q17" i="7"/>
  <c r="Q11" i="7"/>
  <c r="S427" i="7"/>
  <c r="S73" i="7"/>
  <c r="O236" i="7"/>
  <c r="S483" i="7"/>
  <c r="Q593" i="7"/>
  <c r="Q599" i="7"/>
  <c r="S47" i="6"/>
  <c r="S53" i="6"/>
  <c r="S566" i="7"/>
  <c r="O537" i="7"/>
  <c r="B545" i="7"/>
  <c r="B553" i="7"/>
  <c r="R129" i="7"/>
  <c r="R123" i="7"/>
  <c r="S235" i="7"/>
  <c r="S241" i="7"/>
  <c r="S53" i="5"/>
  <c r="R144" i="5"/>
  <c r="S113" i="6"/>
  <c r="S86" i="6"/>
  <c r="F33" i="9" s="1"/>
  <c r="S49" i="2"/>
  <c r="AP49" i="2"/>
  <c r="O673" i="7"/>
  <c r="O667" i="7"/>
  <c r="S665" i="7"/>
  <c r="N41" i="4"/>
  <c r="O543" i="7"/>
  <c r="S535" i="7"/>
  <c r="O684" i="7"/>
  <c r="S682" i="7"/>
  <c r="S684" i="7" s="1"/>
  <c r="N97" i="4"/>
  <c r="BU22" i="2" s="1"/>
  <c r="N98" i="4"/>
  <c r="CL42" i="2" s="1"/>
  <c r="S119" i="5"/>
  <c r="P123" i="7"/>
  <c r="P129" i="7"/>
  <c r="CZ52" i="2" s="1"/>
  <c r="F495" i="7"/>
  <c r="F487" i="7"/>
  <c r="N327" i="4"/>
  <c r="O412" i="7"/>
  <c r="S404" i="7"/>
  <c r="O54" i="7"/>
  <c r="C545" i="7"/>
  <c r="C553" i="7"/>
  <c r="S115" i="6"/>
  <c r="H4" i="8"/>
  <c r="O242" i="7"/>
  <c r="BQ52" i="2" s="1"/>
  <c r="S125" i="5"/>
  <c r="V50" i="2" s="1"/>
  <c r="CI50" i="2"/>
  <c r="BR32" i="2"/>
  <c r="S204" i="7"/>
  <c r="CL54" i="2" s="1"/>
  <c r="S198" i="7"/>
  <c r="S142" i="7"/>
  <c r="V13" i="2"/>
  <c r="S103" i="5"/>
  <c r="O111" i="5"/>
  <c r="BR42" i="2"/>
  <c r="BA8" i="2"/>
  <c r="S542" i="7"/>
  <c r="CO33" i="2"/>
  <c r="DF51" i="2"/>
  <c r="BX15" i="2"/>
  <c r="AO48" i="2"/>
  <c r="R48" i="2"/>
  <c r="O73" i="7"/>
  <c r="O67" i="7"/>
  <c r="R624" i="7"/>
  <c r="R568" i="7"/>
  <c r="R618" i="7"/>
  <c r="D545" i="7"/>
  <c r="D553" i="7"/>
  <c r="AO46" i="2"/>
  <c r="R46" i="2"/>
  <c r="AI50" i="2"/>
  <c r="R28" i="2"/>
  <c r="AO28" i="2"/>
  <c r="H437" i="7"/>
  <c r="G495" i="7"/>
  <c r="G487" i="7"/>
  <c r="S161" i="6"/>
  <c r="S137" i="6"/>
  <c r="CH51" i="2"/>
  <c r="BQ33" i="2"/>
  <c r="E545" i="7"/>
  <c r="E553" i="7"/>
  <c r="P537" i="7"/>
  <c r="P153" i="5"/>
  <c r="E161" i="5"/>
  <c r="E144" i="5"/>
  <c r="S596" i="7"/>
  <c r="CZ51" i="2"/>
  <c r="CI33" i="2"/>
  <c r="BR15" i="2"/>
  <c r="O484" i="7"/>
  <c r="S476" i="7"/>
  <c r="O529" i="7"/>
  <c r="BQ32" i="2"/>
  <c r="CH50" i="2"/>
  <c r="S623" i="7"/>
  <c r="S567" i="7"/>
  <c r="S486" i="7"/>
  <c r="S428" i="7"/>
  <c r="I609" i="7"/>
  <c r="I601" i="7"/>
  <c r="D487" i="7"/>
  <c r="D495" i="7"/>
  <c r="U27" i="2"/>
  <c r="AL43" i="2"/>
  <c r="S48" i="2"/>
  <c r="O452" i="7"/>
  <c r="R54" i="2" s="1"/>
  <c r="P188" i="6"/>
  <c r="P164" i="6"/>
  <c r="AR49" i="2"/>
  <c r="U49" i="2"/>
  <c r="Q140" i="6"/>
  <c r="L370" i="7"/>
  <c r="L429" i="7"/>
  <c r="L437" i="7"/>
  <c r="S109" i="5"/>
  <c r="AS28" i="2" s="1"/>
  <c r="Q144" i="5"/>
  <c r="M429" i="7"/>
  <c r="M437" i="7"/>
  <c r="M370" i="7"/>
  <c r="Q471" i="7"/>
  <c r="DD50" i="2"/>
  <c r="CM32" i="2"/>
  <c r="BV14" i="2"/>
  <c r="AK50" i="2"/>
  <c r="AQ28" i="2"/>
  <c r="T28" i="2"/>
  <c r="P543" i="7"/>
  <c r="P159" i="5"/>
  <c r="S151" i="5"/>
  <c r="S159" i="5" s="1"/>
  <c r="S583" i="7"/>
  <c r="P626" i="7"/>
  <c r="N339" i="4"/>
  <c r="BR33" i="2"/>
  <c r="CI51" i="2"/>
  <c r="O179" i="7"/>
  <c r="S173" i="7"/>
  <c r="O185" i="7"/>
  <c r="CH52" i="2" s="1"/>
  <c r="R303" i="7"/>
  <c r="Q73" i="7"/>
  <c r="Q67" i="7"/>
  <c r="S509" i="7"/>
  <c r="S451" i="7"/>
  <c r="V35" i="2" s="1"/>
  <c r="J609" i="7"/>
  <c r="J601" i="7"/>
  <c r="O162" i="6"/>
  <c r="S154" i="6"/>
  <c r="S162" i="6" s="1"/>
  <c r="S204" i="5"/>
  <c r="Q179" i="7"/>
  <c r="Q185" i="7"/>
  <c r="CJ52" i="2" s="1"/>
  <c r="BU14" i="2"/>
  <c r="S93" i="5"/>
  <c r="BD50" i="2" s="1"/>
  <c r="BW14" i="2"/>
  <c r="DE50" i="2"/>
  <c r="CN32" i="2"/>
  <c r="P179" i="7"/>
  <c r="P185" i="7"/>
  <c r="CI52" i="2" s="1"/>
  <c r="B164" i="6"/>
  <c r="C172" i="6"/>
  <c r="O156" i="6"/>
  <c r="B172" i="6"/>
  <c r="B140" i="6"/>
  <c r="W47" i="2" s="1"/>
  <c r="C134" i="6"/>
  <c r="BX33" i="2"/>
  <c r="CO51" i="2"/>
  <c r="AM50" i="2"/>
  <c r="G545" i="7"/>
  <c r="G553" i="7"/>
  <c r="S11" i="6"/>
  <c r="Q485" i="7"/>
  <c r="R332" i="4"/>
  <c r="R331" i="4"/>
  <c r="H487" i="7"/>
  <c r="O451" i="4"/>
  <c r="N451" i="4"/>
  <c r="N427" i="4" s="1"/>
  <c r="B427" i="4"/>
  <c r="BW32" i="2"/>
  <c r="CN50" i="2"/>
  <c r="S35" i="6"/>
  <c r="I437" i="7"/>
  <c r="I370" i="7"/>
  <c r="I429" i="7"/>
  <c r="O212" i="6"/>
  <c r="S204" i="6"/>
  <c r="S212" i="6" s="1"/>
  <c r="Q649" i="7"/>
  <c r="Q643" i="7"/>
  <c r="Q651" i="7" s="1"/>
  <c r="Q585" i="7"/>
  <c r="BU42" i="2"/>
  <c r="BT42" i="2"/>
  <c r="BC8" i="2"/>
  <c r="V10" i="2"/>
  <c r="E487" i="7"/>
  <c r="E495" i="7"/>
  <c r="P479" i="7"/>
  <c r="CM50" i="2"/>
  <c r="BV32" i="2"/>
  <c r="C73" i="7"/>
  <c r="DE34" i="2" s="1"/>
  <c r="C67" i="7"/>
  <c r="P624" i="7"/>
  <c r="M601" i="7"/>
  <c r="M609" i="7"/>
  <c r="S224" i="5"/>
  <c r="J634" i="7"/>
  <c r="J626" i="7"/>
  <c r="J570" i="7"/>
  <c r="S543" i="7" l="1"/>
  <c r="BQ14" i="2"/>
  <c r="U47" i="2"/>
  <c r="CH32" i="2"/>
  <c r="S47" i="5"/>
  <c r="S242" i="7"/>
  <c r="BU52" i="2" s="1"/>
  <c r="S52" i="5"/>
  <c r="R545" i="7"/>
  <c r="P487" i="7"/>
  <c r="Q601" i="7"/>
  <c r="S237" i="6"/>
  <c r="Q545" i="7"/>
  <c r="S138" i="6"/>
  <c r="V51" i="2" s="1"/>
  <c r="O651" i="7"/>
  <c r="S127" i="5"/>
  <c r="AS46" i="2" s="1"/>
  <c r="R487" i="7"/>
  <c r="P429" i="7"/>
  <c r="BU15" i="2"/>
  <c r="CL33" i="2"/>
  <c r="S485" i="7"/>
  <c r="V28" i="2"/>
  <c r="S142" i="5"/>
  <c r="T46" i="2"/>
  <c r="AQ46" i="2"/>
  <c r="R49" i="2"/>
  <c r="V49" i="2" s="1"/>
  <c r="AO49" i="2"/>
  <c r="T48" i="2"/>
  <c r="V48" i="2" s="1"/>
  <c r="AQ48" i="2"/>
  <c r="S234" i="5"/>
  <c r="R429" i="7"/>
  <c r="S178" i="7"/>
  <c r="S184" i="7"/>
  <c r="S122" i="7"/>
  <c r="O164" i="6"/>
  <c r="S156" i="6"/>
  <c r="S164" i="6" s="1"/>
  <c r="O140" i="6"/>
  <c r="R626" i="7"/>
  <c r="R570" i="7"/>
  <c r="S111" i="5"/>
  <c r="S412" i="7"/>
  <c r="S54" i="7"/>
  <c r="S395" i="7"/>
  <c r="S35" i="7"/>
  <c r="P161" i="5"/>
  <c r="S153" i="5"/>
  <c r="S161" i="5" s="1"/>
  <c r="P144" i="5"/>
  <c r="Q626" i="7"/>
  <c r="Q570" i="7"/>
  <c r="P545" i="7"/>
  <c r="CL50" i="2"/>
  <c r="BU32" i="2"/>
  <c r="S188" i="6"/>
  <c r="S210" i="5"/>
  <c r="S667" i="7"/>
  <c r="S673" i="7"/>
  <c r="U48" i="2"/>
  <c r="AR48" i="2"/>
  <c r="O429" i="7"/>
  <c r="S421" i="7"/>
  <c r="BU33" i="2"/>
  <c r="CL51" i="2"/>
  <c r="S479" i="7"/>
  <c r="O487" i="7"/>
  <c r="O370" i="7"/>
  <c r="O16" i="7"/>
  <c r="S362" i="7"/>
  <c r="S624" i="7"/>
  <c r="S618" i="7"/>
  <c r="S626" i="7" s="1"/>
  <c r="T47" i="2"/>
  <c r="AQ47" i="2"/>
  <c r="S185" i="7"/>
  <c r="CL52" i="2" s="1"/>
  <c r="S179" i="7"/>
  <c r="S123" i="7"/>
  <c r="S510" i="7"/>
  <c r="S452" i="7"/>
  <c r="V54" i="2" s="1"/>
  <c r="S484" i="7"/>
  <c r="S426" i="7"/>
  <c r="AR46" i="2"/>
  <c r="U46" i="2"/>
  <c r="V46" i="2" s="1"/>
  <c r="S504" i="7"/>
  <c r="S512" i="7" s="1"/>
  <c r="O512" i="7"/>
  <c r="S537" i="7"/>
  <c r="S545" i="7" s="1"/>
  <c r="O545" i="7"/>
  <c r="O601" i="7"/>
  <c r="S570" i="7"/>
  <c r="R234" i="5"/>
  <c r="R210" i="5"/>
  <c r="S649" i="7"/>
  <c r="S643" i="7"/>
  <c r="S651" i="7" s="1"/>
  <c r="S585" i="7"/>
  <c r="S599" i="7"/>
  <c r="S593" i="7"/>
  <c r="S568" i="7"/>
  <c r="O626" i="7"/>
  <c r="S487" i="7" l="1"/>
  <c r="S144" i="5"/>
  <c r="S601" i="7"/>
  <c r="S370" i="7"/>
  <c r="S16" i="7"/>
  <c r="S140" i="6"/>
  <c r="AS47" i="2" s="1"/>
  <c r="S454" i="7"/>
  <c r="AS49" i="2" s="1"/>
  <c r="AO47" i="2"/>
  <c r="R47" i="2"/>
  <c r="V47" i="2" s="1"/>
  <c r="S4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Qi</author>
  </authors>
  <commentList>
    <comment ref="D31" authorId="0" shapeId="0" xr:uid="{00000000-0006-0000-0200-000001000000}">
      <text>
        <r>
          <rPr>
            <sz val="12"/>
            <rFont val="宋体"/>
            <charset val="134"/>
          </rPr>
          <t xml:space="preserve">CAAC data
</t>
        </r>
      </text>
    </comment>
    <comment ref="O31" authorId="0" shapeId="0" xr:uid="{00000000-0006-0000-0200-000002000000}">
      <text>
        <r>
          <rPr>
            <sz val="12"/>
            <rFont val="宋体"/>
            <charset val="134"/>
          </rPr>
          <t xml:space="preserve">CAAC data
</t>
        </r>
      </text>
    </comment>
    <comment ref="D35" authorId="0" shapeId="0" xr:uid="{00000000-0006-0000-0200-000003000000}">
      <text>
        <r>
          <rPr>
            <sz val="12"/>
            <rFont val="宋体"/>
            <charset val="134"/>
          </rPr>
          <t xml:space="preserve">CAAC data
</t>
        </r>
      </text>
    </comment>
    <comment ref="O35" authorId="0" shapeId="0" xr:uid="{00000000-0006-0000-0200-000004000000}">
      <text>
        <r>
          <rPr>
            <sz val="12"/>
            <rFont val="宋体"/>
            <charset val="134"/>
          </rPr>
          <t xml:space="preserve">CAAC data
</t>
        </r>
      </text>
    </comment>
    <comment ref="D40" authorId="0" shapeId="0" xr:uid="{00000000-0006-0000-0200-000005000000}">
      <text>
        <r>
          <rPr>
            <sz val="12"/>
            <rFont val="宋体"/>
            <charset val="134"/>
          </rPr>
          <t xml:space="preserve">CAAC data
</t>
        </r>
      </text>
    </comment>
    <comment ref="O40" authorId="0" shapeId="0" xr:uid="{00000000-0006-0000-0200-000006000000}">
      <text>
        <r>
          <rPr>
            <sz val="12"/>
            <rFont val="宋体"/>
            <charset val="134"/>
          </rPr>
          <t xml:space="preserve">CAAC data
</t>
        </r>
      </text>
    </comment>
    <comment ref="D44" authorId="0" shapeId="0" xr:uid="{00000000-0006-0000-0200-000007000000}">
      <text>
        <r>
          <rPr>
            <sz val="12"/>
            <rFont val="宋体"/>
            <charset val="134"/>
          </rPr>
          <t xml:space="preserve">CAAC data
</t>
        </r>
      </text>
    </comment>
    <comment ref="O44" authorId="0" shapeId="0" xr:uid="{00000000-0006-0000-0200-000008000000}">
      <text>
        <r>
          <rPr>
            <sz val="12"/>
            <rFont val="宋体"/>
            <charset val="134"/>
          </rPr>
          <t xml:space="preserve">CAAC data
</t>
        </r>
      </text>
    </comment>
    <comment ref="M61" authorId="0" shapeId="0" xr:uid="{00000000-0006-0000-0200-000009000000}">
      <text>
        <r>
          <rPr>
            <sz val="12"/>
            <rFont val="宋体"/>
            <charset val="134"/>
          </rPr>
          <t>Michelle Qi:
On CAAC, it was 19,443,000 and 11.7% yoy growth.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Travel Pulse</author>
    <author>Michelle Qi</author>
  </authors>
  <commentList>
    <comment ref="H3" authorId="0" shapeId="0" xr:uid="{00000000-0006-0000-0300-000001000000}">
      <text>
        <r>
          <rPr>
            <sz val="12"/>
            <rFont val="宋体"/>
            <charset val="134"/>
          </rPr>
          <t>Source: 中国民航2026年7月份主要生产指标统计, 数据期2026年7月, PDF第1页「旅客运输量（万人）」表「旅客运输量·合计」行, https://www.caac.gov.cn/XXGK/XXGK/TJSJ/202608/P020260821408095459831.pdf</t>
        </r>
      </text>
    </comment>
    <comment ref="H11" authorId="0" shapeId="0" xr:uid="{00000000-0006-0000-0300-000002000000}">
      <text>
        <r>
          <rPr>
            <sz val="12"/>
            <rFont val="宋体"/>
            <charset val="134"/>
          </rPr>
          <t>Source: 中国民航2026年7月份主要生产指标统计, 数据期2026年7月, PDF第1页「旅客运输量（万人）」表「国内航线」行, https://www.caac.gov.cn/XXGK/XXGK/TJSJ/202608/P020260821408095459831.pdf</t>
        </r>
      </text>
    </comment>
    <comment ref="H19" authorId="0" shapeId="0" xr:uid="{00000000-0006-0000-0300-000003000000}">
      <text>
        <r>
          <rPr>
            <sz val="12"/>
            <rFont val="宋体"/>
            <charset val="134"/>
          </rPr>
          <t>Source: 中国民航2026年7月份主要生产指标统计, 数据期2026年7月, PDF第1页「旅客运输量（万人）」表「国际航线」行, https://www.caac.gov.cn/XXGK/XXGK/TJSJ/202608/P020260821408095459831.pdf</t>
        </r>
      </text>
    </comment>
    <comment ref="H23" authorId="0" shapeId="0" xr:uid="{00000000-0006-0000-0300-000004000000}">
      <text>
        <r>
          <rPr>
            <sz val="12"/>
            <rFont val="宋体"/>
            <charset val="134"/>
          </rPr>
          <t>Source: 中国民航2026年7月份主要生产指标统计, 数据期2026年7月, PDF第1页「旅客运输量（万人）」表「其中：港澳台航线」行, https://www.caac.gov.cn/XXGK/XXGK/TJSJ/202608/P020260821408095459831.pdf</t>
        </r>
      </text>
    </comment>
    <comment ref="O364" authorId="1" shapeId="0" xr:uid="{00000000-0006-0000-0300-000005000000}">
      <text>
        <r>
          <rPr>
            <sz val="12"/>
            <rFont val="宋体"/>
            <charset val="134"/>
          </rPr>
          <t xml:space="preserve">CAAC data
</t>
        </r>
      </text>
    </comment>
    <comment ref="O368" authorId="1" shapeId="0" xr:uid="{00000000-0006-0000-0300-000006000000}">
      <text>
        <r>
          <rPr>
            <sz val="12"/>
            <rFont val="宋体"/>
            <charset val="134"/>
          </rPr>
          <t xml:space="preserve">CAAC data
</t>
        </r>
      </text>
    </comment>
    <comment ref="O389" authorId="1" shapeId="0" xr:uid="{00000000-0006-0000-0300-000007000000}">
      <text>
        <r>
          <rPr>
            <sz val="12"/>
            <rFont val="宋体"/>
            <charset val="134"/>
          </rPr>
          <t xml:space="preserve">CAAC data
</t>
        </r>
      </text>
    </comment>
    <comment ref="O393" authorId="1" shapeId="0" xr:uid="{00000000-0006-0000-0300-000008000000}">
      <text>
        <r>
          <rPr>
            <sz val="12"/>
            <rFont val="宋体"/>
            <charset val="134"/>
          </rPr>
          <t xml:space="preserve">CAAC data
</t>
        </r>
      </text>
    </comment>
    <comment ref="O414" authorId="1" shapeId="0" xr:uid="{00000000-0006-0000-0300-000009000000}">
      <text>
        <r>
          <rPr>
            <sz val="12"/>
            <rFont val="宋体"/>
            <charset val="134"/>
          </rPr>
          <t xml:space="preserve">CAAC data
</t>
        </r>
      </text>
    </comment>
    <comment ref="O418" authorId="1" shapeId="0" xr:uid="{00000000-0006-0000-0300-00000A000000}">
      <text>
        <r>
          <rPr>
            <sz val="12"/>
            <rFont val="宋体"/>
            <charset val="134"/>
          </rPr>
          <t xml:space="preserve">CAAC data
</t>
        </r>
      </text>
    </comment>
    <comment ref="O439" authorId="1" shapeId="0" xr:uid="{00000000-0006-0000-0300-00000B000000}">
      <text>
        <r>
          <rPr>
            <sz val="12"/>
            <rFont val="宋体"/>
            <charset val="134"/>
          </rPr>
          <t xml:space="preserve">CAAC data
</t>
        </r>
      </text>
    </comment>
    <comment ref="O443" authorId="1" shapeId="0" xr:uid="{00000000-0006-0000-0300-00000C000000}">
      <text>
        <r>
          <rPr>
            <sz val="12"/>
            <rFont val="宋体"/>
            <charset val="134"/>
          </rPr>
          <t xml:space="preserve">CAAC data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Travel Pulse</author>
    <author>IT</author>
  </authors>
  <commentList>
    <comment ref="H2" authorId="0" shapeId="0" xr:uid="{00000000-0006-0000-0400-000001000000}">
      <text>
        <r>
          <rPr>
            <sz val="12"/>
            <rFont val="宋体"/>
            <charset val="134"/>
          </rPr>
          <t>Source: 南方航空：南方航空2026年7月主要运营数据公告, 数据期2026年7月，公告日2026-08-15, PDF第3页「载客人数（千人次）」表「载客人数（千人次）—合计」行, https://static.cninfo.com.cn/finalpage/2026-08-15/1225474242.PDF</t>
        </r>
      </text>
    </comment>
    <comment ref="H3" authorId="0" shapeId="0" xr:uid="{00000000-0006-0000-0400-000002000000}">
      <text>
        <r>
          <rPr>
            <sz val="12"/>
            <rFont val="宋体"/>
            <charset val="134"/>
          </rPr>
          <t>Source: 中国东航：中国东方航空股份有限公司2026年7月运营数据公告, 数据期2026年7月，公告日2026-08-15, PDF第2页「载运旅客人次（千）」表「载运旅客人次（千）—指标名行（总量）」行, https://static.cninfo.com.cn/finalpage/2026-08-15/1225474384.PDF</t>
        </r>
      </text>
    </comment>
    <comment ref="H4" authorId="0" shapeId="0" xr:uid="{00000000-0006-0000-0400-000003000000}">
      <text>
        <r>
          <rPr>
            <sz val="12"/>
            <rFont val="宋体"/>
            <charset val="134"/>
          </rPr>
          <t>Source: 中国国航：中国国际航空股份有限公司2026年7月主要运营数据公告, 数据期2026年7月，公告日2026-08-15, PDF第3页「乘客人数（千）」表「乘客人数（千）—指标名行（总量）」行, https://static.cninfo.com.cn/finalpage/2026-08-15/1225473882.PDF</t>
        </r>
      </text>
    </comment>
    <comment ref="B311" authorId="1" shapeId="0" xr:uid="{00000000-0006-0000-0400-000004000000}">
      <text>
        <r>
          <rPr>
            <sz val="12"/>
            <rFont val="宋体"/>
            <charset val="134"/>
          </rPr>
          <t>IT:
3506.719 Jan CEA alone</t>
        </r>
      </text>
    </comment>
    <comment ref="C311" authorId="1" shapeId="0" xr:uid="{00000000-0006-0000-0400-000005000000}">
      <text>
        <r>
          <rPr>
            <sz val="12"/>
            <rFont val="宋体"/>
            <charset val="134"/>
          </rPr>
          <t>IT:
721.238 Feb CEA alone</t>
        </r>
      </text>
    </comment>
    <comment ref="E311" authorId="1" shapeId="0" xr:uid="{00000000-0006-0000-0400-000006000000}">
      <text>
        <r>
          <rPr>
            <sz val="12"/>
            <rFont val="宋体"/>
            <charset val="134"/>
          </rPr>
          <t>IT:
April: CEA 4,009 alone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Travel Pulse</author>
    <author>IT</author>
  </authors>
  <commentList>
    <comment ref="H2" authorId="0" shapeId="0" xr:uid="{00000000-0006-0000-0500-000001000000}">
      <text>
        <r>
          <rPr>
            <sz val="12"/>
            <rFont val="宋体"/>
            <charset val="134"/>
          </rPr>
          <t>Source: 南方航空：南方航空2026年7月主要运营数据公告, 数据期2026年7月，公告日2026-08-15, PDF第3页「载客人数（千人次）」表「载客人数（千人次）—国内航线」行, https://static.cninfo.com.cn/finalpage/2026-08-15/1225474242.PDF</t>
        </r>
      </text>
    </comment>
    <comment ref="H3" authorId="0" shapeId="0" xr:uid="{00000000-0006-0000-0500-000002000000}">
      <text>
        <r>
          <rPr>
            <sz val="12"/>
            <rFont val="宋体"/>
            <charset val="134"/>
          </rPr>
          <t>Source: 中国东航：中国东方航空股份有限公司2026年7月运营数据公告, 数据期2026年7月，公告日2026-08-15, PDF第2页「载运旅客人次（千）」表「载运旅客人次（千）—国内航线」行, https://static.cninfo.com.cn/finalpage/2026-08-15/1225474384.PDF</t>
        </r>
      </text>
    </comment>
    <comment ref="H4" authorId="0" shapeId="0" xr:uid="{00000000-0006-0000-0500-000003000000}">
      <text>
        <r>
          <rPr>
            <sz val="12"/>
            <rFont val="宋体"/>
            <charset val="134"/>
          </rPr>
          <t>Source: 中国国航：中国国际航空股份有限公司2026年7月主要运营数据公告, 数据期2026年7月，公告日2026-08-15, PDF第3页「乘客人数（千）」表「乘客人数（千）—国内航线」行, https://static.cninfo.com.cn/finalpage/2026-08-15/1225473882.PDF</t>
        </r>
      </text>
    </comment>
    <comment ref="B336" authorId="1" shapeId="0" xr:uid="{00000000-0006-0000-0500-000004000000}">
      <text>
        <r>
          <rPr>
            <sz val="12"/>
            <rFont val="宋体"/>
            <charset val="134"/>
          </rPr>
          <t>IT:
2994 CEA alone</t>
        </r>
      </text>
    </comment>
    <comment ref="C336" authorId="1" shapeId="0" xr:uid="{00000000-0006-0000-0500-000005000000}">
      <text>
        <r>
          <rPr>
            <sz val="12"/>
            <rFont val="宋体"/>
            <charset val="134"/>
          </rPr>
          <t>IT:
3092 CEA alone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Travel Pulse</author>
    <author>Sharon Wu （吴佳盈）</author>
  </authors>
  <commentList>
    <comment ref="H21" authorId="0" shapeId="0" xr:uid="{00000000-0006-0000-0600-000001000000}">
      <text>
        <r>
          <rPr>
            <sz val="12"/>
            <rFont val="宋体"/>
            <charset val="134"/>
          </rPr>
          <t>Source: 南方航空：南方航空2026年7月主要运营数据公告, 数据期2026年7月，公告日2026-08-15, PDF第3页「载客人数（千人次）」表「载客人数（千人次）—国际航线」行, https://static.cninfo.com.cn/finalpage/2026-08-15/1225474242.PDF</t>
        </r>
      </text>
    </comment>
    <comment ref="H22" authorId="0" shapeId="0" xr:uid="{00000000-0006-0000-0600-000002000000}">
      <text>
        <r>
          <rPr>
            <sz val="12"/>
            <rFont val="宋体"/>
            <charset val="134"/>
          </rPr>
          <t>Source: 中国东航：中国东方航空股份有限公司2026年7月运营数据公告, 数据期2026年7月，公告日2026-08-15, PDF第2页「载运旅客人次（千）」表「载运旅客人次（千）—国际航线」行, https://static.cninfo.com.cn/finalpage/2026-08-15/1225474384.PDF</t>
        </r>
      </text>
    </comment>
    <comment ref="H23" authorId="0" shapeId="0" xr:uid="{00000000-0006-0000-0600-000003000000}">
      <text>
        <r>
          <rPr>
            <sz val="12"/>
            <rFont val="宋体"/>
            <charset val="134"/>
          </rPr>
          <t>Source: 中国国航：中国国际航空股份有限公司2026年7月主要运营数据公告, 数据期2026年7月，公告日2026-08-15, PDF第3页「乘客人数（千）」表「乘客人数（千）—国际航线」行, https://static.cninfo.com.cn/finalpage/2026-08-15/1225473882.PDF</t>
        </r>
      </text>
    </comment>
    <comment ref="F27" authorId="1" shapeId="0" xr:uid="{00000000-0006-0000-0600-000004000000}">
      <text>
        <r>
          <rPr>
            <sz val="12"/>
            <rFont val="宋体"/>
            <charset val="134"/>
          </rPr>
          <t xml:space="preserve">Sharon Wu （吴佳盈）:Key in
</t>
        </r>
      </text>
    </comment>
    <comment ref="G27" authorId="1" shapeId="0" xr:uid="{00000000-0006-0000-0600-000005000000}">
      <text>
        <r>
          <rPr>
            <sz val="12"/>
            <rFont val="宋体"/>
            <charset val="134"/>
          </rPr>
          <t xml:space="preserve">Sharon Wu （吴佳盈）:Key in
</t>
        </r>
      </text>
    </comment>
    <comment ref="H40" authorId="0" shapeId="0" xr:uid="{00000000-0006-0000-0600-000006000000}">
      <text>
        <r>
          <rPr>
            <sz val="12"/>
            <rFont val="宋体"/>
            <charset val="134"/>
          </rPr>
          <t>Source: 南方航空：南方航空2026年7月主要运营数据公告, 数据期2026年7月，公告日2026-08-15, PDF第3页「载客人数（千人次）」表「载客人数（千人次）—地区航线」行, https://static.cninfo.com.cn/finalpage/2026-08-15/1225474242.PDF</t>
        </r>
      </text>
    </comment>
    <comment ref="H41" authorId="0" shapeId="0" xr:uid="{00000000-0006-0000-0600-000007000000}">
      <text>
        <r>
          <rPr>
            <sz val="12"/>
            <rFont val="宋体"/>
            <charset val="134"/>
          </rPr>
          <t>Source: 中国东航：中国东方航空股份有限公司2026年7月运营数据公告, 数据期2026年7月，公告日2026-08-15, PDF第2页「载运旅客人次（千）」表「载运旅客人次（千）—地区航线」行, https://static.cninfo.com.cn/finalpage/2026-08-15/1225474384.PDF</t>
        </r>
      </text>
    </comment>
    <comment ref="H42" authorId="0" shapeId="0" xr:uid="{00000000-0006-0000-0600-000008000000}">
      <text>
        <r>
          <rPr>
            <sz val="12"/>
            <rFont val="宋体"/>
            <charset val="134"/>
          </rPr>
          <t>Source: 中国国航：中国国际航空股份有限公司2026年7月主要运营数据公告, 数据期2026年7月，公告日2026-08-15, PDF第3页「乘客人数（千）」表「乘客人数（千）—地区航线」行, https://static.cninfo.com.cn/finalpage/2026-08-15/1225473882.PDF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zx章希</author>
  </authors>
  <commentList>
    <comment ref="J4" authorId="0" shapeId="0" xr:uid="{00000000-0006-0000-0A00-000001000000}">
      <text>
        <r>
          <rPr>
            <sz val="12"/>
            <rFont val="宋体"/>
            <charset val="134"/>
          </rPr>
          <t>zx章希:
numbers restated</t>
        </r>
      </text>
    </comment>
  </commentList>
</comments>
</file>

<file path=xl/sharedStrings.xml><?xml version="1.0" encoding="utf-8"?>
<sst xmlns="http://schemas.openxmlformats.org/spreadsheetml/2006/main" count="4139" uniqueCount="260">
  <si>
    <t>编号</t>
  </si>
  <si>
    <t>数据来源</t>
  </si>
  <si>
    <t>频率</t>
  </si>
  <si>
    <t>Link</t>
  </si>
  <si>
    <t>数据类型</t>
  </si>
  <si>
    <t>民航局</t>
  </si>
  <si>
    <t>每月</t>
  </si>
  <si>
    <t>http://www.caac.gov.cn/XWZX/XWFBH/</t>
  </si>
  <si>
    <t>旅客运输量</t>
  </si>
  <si>
    <t>CAAC Data</t>
  </si>
  <si>
    <t>信息公开-统计数据 每月20号之后</t>
  </si>
  <si>
    <t>四大行</t>
  </si>
  <si>
    <t>http://www.cninfo.com.cn/new/index</t>
  </si>
  <si>
    <t>载运客人次</t>
  </si>
  <si>
    <t>Top4 3 tabs</t>
  </si>
  <si>
    <t>出入境管理局</t>
  </si>
  <si>
    <t>每季度</t>
  </si>
  <si>
    <t>https://www.nia.gov.cn/n741440/n741567/index.html</t>
  </si>
  <si>
    <t>大陆居民出入境
空港出入境</t>
  </si>
  <si>
    <t>每月16号左右更新</t>
  </si>
  <si>
    <t>600029</t>
  </si>
  <si>
    <t>南方航空</t>
  </si>
  <si>
    <t>CSA</t>
  </si>
  <si>
    <t>600115</t>
  </si>
  <si>
    <t>中国东航</t>
  </si>
  <si>
    <t>CEA</t>
  </si>
  <si>
    <t>601111</t>
  </si>
  <si>
    <t>中国国航</t>
  </si>
  <si>
    <t>AC</t>
  </si>
  <si>
    <t>vs. 2019</t>
  </si>
  <si>
    <t>2023 vs. 2019</t>
  </si>
  <si>
    <t>(YoY Growth)</t>
  </si>
  <si>
    <t>16 Q1</t>
  </si>
  <si>
    <t>16 Q2</t>
  </si>
  <si>
    <t>16 Q3</t>
  </si>
  <si>
    <t>16 Q4</t>
  </si>
  <si>
    <t>17 Q1</t>
  </si>
  <si>
    <t>17Q2</t>
  </si>
  <si>
    <t>17Q3</t>
  </si>
  <si>
    <t>17Q4</t>
  </si>
  <si>
    <t>18 Q1</t>
  </si>
  <si>
    <t>18Q2</t>
  </si>
  <si>
    <t>18Q3</t>
  </si>
  <si>
    <t>18Q4</t>
  </si>
  <si>
    <t>Dec</t>
  </si>
  <si>
    <t>FY18</t>
  </si>
  <si>
    <t>19Q1</t>
  </si>
  <si>
    <t>19Q2</t>
  </si>
  <si>
    <t>19Q3</t>
  </si>
  <si>
    <t>19Q4</t>
  </si>
  <si>
    <t>FY19</t>
  </si>
  <si>
    <t>Jan</t>
  </si>
  <si>
    <t>Feb</t>
  </si>
  <si>
    <t>Mar</t>
  </si>
  <si>
    <t>Apr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</si>
  <si>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</si>
  <si>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</si>
  <si>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</si>
  <si>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</si>
  <si>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</si>
  <si>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</si>
  <si>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</si>
  <si>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</si>
  <si>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20Q1</t>
  </si>
  <si>
    <t>20Q2</t>
  </si>
  <si>
    <t>20Q3</t>
  </si>
  <si>
    <t>20Q4</t>
  </si>
  <si>
    <t>FY20</t>
  </si>
  <si>
    <t>January</t>
  </si>
  <si>
    <t>February</t>
  </si>
  <si>
    <t>March</t>
  </si>
  <si>
    <t>April</t>
  </si>
  <si>
    <t>21Q1</t>
  </si>
  <si>
    <t>21Q2</t>
  </si>
  <si>
    <t>21Q3</t>
  </si>
  <si>
    <t>21Q4</t>
  </si>
  <si>
    <t>FY21</t>
  </si>
  <si>
    <t>Jun</t>
  </si>
  <si>
    <t>Jul</t>
  </si>
  <si>
    <t>Aug</t>
  </si>
  <si>
    <t>Sep</t>
  </si>
  <si>
    <t>Oct</t>
  </si>
  <si>
    <t>Nov</t>
  </si>
  <si>
    <t>22Q1</t>
  </si>
  <si>
    <t>22Q2</t>
  </si>
  <si>
    <t>22Q3</t>
  </si>
  <si>
    <t>22Q4</t>
  </si>
  <si>
    <t>FY2022</t>
  </si>
  <si>
    <t>23Q1</t>
  </si>
  <si>
    <t>23Q2</t>
  </si>
  <si>
    <t>23Q3</t>
  </si>
  <si>
    <t>23Q4</t>
  </si>
  <si>
    <t>FY2023</t>
  </si>
  <si>
    <t>24Q1</t>
  </si>
  <si>
    <t>24Q2</t>
  </si>
  <si>
    <t>24Q3</t>
  </si>
  <si>
    <t>24Q4</t>
  </si>
  <si>
    <t>FY2024</t>
  </si>
  <si>
    <t xml:space="preserve">Air Industry  </t>
  </si>
  <si>
    <t xml:space="preserve">Air Industry  Domestic </t>
  </si>
  <si>
    <t>vs 2025</t>
  </si>
  <si>
    <t>Air Industry International (含港澳台）</t>
  </si>
  <si>
    <t xml:space="preserve">Air Industry  Regional (港澳台） </t>
  </si>
  <si>
    <t>Air Industry  Pure Intl.</t>
  </si>
  <si>
    <t>Air Industry  Regional + Int'l</t>
  </si>
  <si>
    <t xml:space="preserve">Top 4  </t>
  </si>
  <si>
    <t xml:space="preserve">Top 4  Domestic </t>
  </si>
  <si>
    <t xml:space="preserve">Top 4  Regional  (港澳台） </t>
  </si>
  <si>
    <t xml:space="preserve">Top 4  International </t>
  </si>
  <si>
    <t>Top 3</t>
  </si>
  <si>
    <t xml:space="preserve">Top 3  Domestic </t>
  </si>
  <si>
    <t>Top 3 International (含港澳台）</t>
  </si>
  <si>
    <t xml:space="preserve">Top 3  Regional  (港澳台） </t>
  </si>
  <si>
    <t>Top 3  Pure Intl.</t>
  </si>
  <si>
    <t>vs 2024</t>
  </si>
  <si>
    <t>vs 2019</t>
  </si>
  <si>
    <t>vs 2023</t>
  </si>
  <si>
    <t>大陆因公</t>
  </si>
  <si>
    <t>大陆因私</t>
  </si>
  <si>
    <t>大陆公民</t>
  </si>
  <si>
    <t>STR-Occupancy Rate</t>
  </si>
  <si>
    <t xml:space="preserve">STR-RevPAR </t>
  </si>
  <si>
    <t>From GM and MS</t>
  </si>
  <si>
    <t>大陆公民出入境人次增长</t>
  </si>
  <si>
    <t>从空港出入境人次</t>
  </si>
  <si>
    <t>HTHT same-hotel RevPar YoY growth</t>
  </si>
  <si>
    <t>内地访港人次</t>
  </si>
  <si>
    <t>unit: '000</t>
  </si>
  <si>
    <t>Year</t>
  </si>
  <si>
    <t>Q1</t>
  </si>
  <si>
    <t>Q2</t>
  </si>
  <si>
    <t>Q3</t>
  </si>
  <si>
    <t>Q4</t>
  </si>
  <si>
    <t>Total</t>
  </si>
  <si>
    <t>YoY</t>
  </si>
  <si>
    <t>MoM</t>
  </si>
  <si>
    <t>QoQ</t>
  </si>
  <si>
    <t>Domestic</t>
  </si>
  <si>
    <t>Ctrip Ticket</t>
  </si>
  <si>
    <t>Market Share</t>
  </si>
  <si>
    <t>-</t>
  </si>
  <si>
    <t>Unit: ,000</t>
  </si>
  <si>
    <t>2026</t>
  </si>
  <si>
    <t>YoY vs 2025</t>
  </si>
  <si>
    <t>YoY vs 2019</t>
  </si>
  <si>
    <t>Domestic+Regional</t>
  </si>
  <si>
    <t>Intl + Regional</t>
  </si>
  <si>
    <t>Pure Intl</t>
  </si>
  <si>
    <t>Regional</t>
  </si>
  <si>
    <t>2025</t>
  </si>
  <si>
    <t>YoY vs 2024</t>
  </si>
  <si>
    <t>2024</t>
  </si>
  <si>
    <t>YoY vs 2023</t>
  </si>
  <si>
    <t>2023</t>
  </si>
  <si>
    <t>YoY vs 2022</t>
  </si>
  <si>
    <t>2022</t>
  </si>
  <si>
    <t>YoY vs 2021</t>
  </si>
  <si>
    <t>2021</t>
  </si>
  <si>
    <t>YoY vs 2020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</si>
  <si>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</si>
  <si>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</si>
  <si>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</si>
  <si>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</si>
  <si>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</si>
  <si>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</si>
  <si>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</si>
  <si>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</si>
  <si>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</si>
  <si>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</si>
  <si>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</si>
  <si>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</si>
  <si>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YTD</t>
  </si>
  <si>
    <t>AC - Consolidated</t>
  </si>
  <si>
    <t>Top 3 Total</t>
  </si>
  <si>
    <t>yoy vs 2025</t>
  </si>
  <si>
    <t xml:space="preserve">CEA </t>
  </si>
  <si>
    <t>yoy vs 2024</t>
  </si>
  <si>
    <t>yoy vs 2023</t>
  </si>
  <si>
    <t>yoy vs 2022</t>
  </si>
  <si>
    <t>yoy vs 2019</t>
  </si>
  <si>
    <t>yoy vs 2021</t>
  </si>
  <si>
    <t>Hainan</t>
  </si>
  <si>
    <t>Top 4 Total</t>
  </si>
  <si>
    <t>yoy vs 2020</t>
  </si>
  <si>
    <t>yoy</t>
  </si>
  <si>
    <t>mom</t>
  </si>
  <si>
    <t xml:space="preserve">  CSA as of total industry</t>
  </si>
  <si>
    <t xml:space="preserve">  CEA as of total industry</t>
  </si>
  <si>
    <t xml:space="preserve">  AC as of total industry</t>
  </si>
  <si>
    <t>Top 3 Total (Consolidated AC</t>
  </si>
  <si>
    <t>CEA (EX 上航）</t>
  </si>
  <si>
    <t>TOTAL</t>
  </si>
  <si>
    <t>Total (EX 上航）</t>
  </si>
  <si>
    <t>Top 3 (EX 上航）</t>
  </si>
  <si>
    <t>QOQ</t>
  </si>
  <si>
    <t>YOY</t>
  </si>
  <si>
    <t>Big 3 Total</t>
  </si>
  <si>
    <t>Big 4 Total</t>
  </si>
  <si>
    <t>Yoy</t>
  </si>
  <si>
    <t>Top 3 Total - Adjusted AC</t>
  </si>
  <si>
    <t>2026 Total</t>
  </si>
  <si>
    <t>Pure International</t>
  </si>
  <si>
    <t>2025 Total</t>
  </si>
  <si>
    <t>2024 Total</t>
  </si>
  <si>
    <t>2023 Total</t>
  </si>
  <si>
    <t>2022 Total</t>
  </si>
  <si>
    <t>2021 Total</t>
  </si>
  <si>
    <t>2020 Total</t>
  </si>
  <si>
    <t>2019 Total</t>
  </si>
  <si>
    <t>2018 Total</t>
  </si>
  <si>
    <t>2017 Total</t>
  </si>
  <si>
    <t>民航局数据</t>
  </si>
  <si>
    <t>旅客运输量（'000)</t>
  </si>
  <si>
    <t>2024E</t>
  </si>
  <si>
    <t>同比</t>
  </si>
  <si>
    <t>国内航线（不含港澳台）</t>
  </si>
  <si>
    <t>港澳台航线</t>
  </si>
  <si>
    <t>国际航线</t>
  </si>
  <si>
    <t>vs 19</t>
  </si>
  <si>
    <t>总计旅客运输量</t>
  </si>
  <si>
    <t>Source：年度民航行业发展统计公报，每月生产指标统计</t>
  </si>
  <si>
    <t>2021 vs. 2019</t>
  </si>
  <si>
    <t xml:space="preserve">Air Industry  International </t>
  </si>
  <si>
    <t xml:space="preserve">Top 3  International </t>
  </si>
  <si>
    <t>2022 vs. 2019</t>
  </si>
  <si>
    <t>FY22</t>
  </si>
  <si>
    <t>2021 vs. 2020</t>
  </si>
  <si>
    <t>2022 vs. 2021</t>
  </si>
  <si>
    <t xml:space="preserve">中国商营航空公司航班订座量 </t>
  </si>
  <si>
    <t>国内</t>
  </si>
  <si>
    <t>国际</t>
  </si>
  <si>
    <t>外国及地区商营航空公司航班订座量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</si>
  <si>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</si>
  <si>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</si>
  <si>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</si>
  <si>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</si>
  <si>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</si>
  <si>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</si>
  <si>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</si>
  <si>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</si>
  <si>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</si>
  <si>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</si>
  <si>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</si>
  <si>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</si>
  <si>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</si>
  <si>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</si>
  <si>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</si>
  <si>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</si>
  <si>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</si>
  <si>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</si>
  <si>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Total outbound travelers</t>
  </si>
  <si>
    <t xml:space="preserve"> 
64497458</t>
  </si>
  <si>
    <t xml:space="preserve"> Total outbound travelers YoY growth</t>
  </si>
  <si>
    <t>Inbound &amp; Outbound travelers through harbours</t>
  </si>
  <si>
    <t>Inbound &amp; Outbound travelers through harbours YoY growth</t>
  </si>
  <si>
    <t>Inbound &amp; Outbound travelers through land ports</t>
  </si>
  <si>
    <t>Inbound &amp; Outbound travelers through   land ports YoY growth</t>
  </si>
  <si>
    <t>Inbound &amp; Outbound travelers through   airports</t>
  </si>
  <si>
    <t>2017Q1-Q3 C+Q SOTO&amp;SITI人程数</t>
  </si>
  <si>
    <t>Inbound &amp; Outbound travelers through airports YoY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</si>
</sst>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6">
    <numFmt numFmtId="41" formatCode="_ * #,##0_ ;_ * \-#,##0_ ;_ * &quot;-&quot;_ ;_ @_ "/>
    <numFmt numFmtId="43" formatCode="_ * #,##0.00_ ;_ * \-#,##0.00_ ;_ * &quot;-&quot;??_ ;_ @_ "/>
    <numFmt numFmtId="176" formatCode="[$-409]d\-mmm\-yy;@"/>
    <numFmt numFmtId="177" formatCode="0.0%"/>
    <numFmt numFmtId="178" formatCode="_ * #,##0_ ;_ * \-#,##0_ ;_ * &quot;-&quot;??_ ;_ @_ "/>
    <numFmt numFmtId="179" formatCode="_-* #,##0.00_-;\-* #,##0.00_-;_-* &quot;-&quot;??_-;_-@_-"/>
    <numFmt numFmtId="180" formatCode="0.000%"/>
    <numFmt numFmtId="181" formatCode="#,##0_ "/>
    <numFmt numFmtId="182" formatCode="0_);[Red]\(0\)"/>
    <numFmt numFmtId="183" formatCode="&quot;$&quot;#,##0_);\(&quot;$&quot;#,##0\)"/>
    <numFmt numFmtId="184" formatCode="&quot;$&quot;#,##0.00_);\(&quot;$&quot;#,##0.00\)"/>
    <numFmt numFmtId="185" formatCode="#,##0.0_);\(#,##0.0\)"/>
    <numFmt numFmtId="186" formatCode="#,##0.000_);\(#,##0.000\)"/>
    <numFmt numFmtId="187" formatCode="_-#,##0_-;\(#,##0\);_-\ \ &quot;-&quot;_-;_-@_-"/>
    <numFmt numFmtId="188" formatCode="_-#,##0.00_-;\(#,##0.00\);_-\ \ &quot;-&quot;_-;_-@_-"/>
    <numFmt numFmtId="189" formatCode="mmm/dd/yyyy;_-\ &quot;N/A&quot;_-;_-\ &quot;-&quot;_-"/>
    <numFmt numFmtId="190" formatCode="mmm/yyyy;_-\ &quot;N/A&quot;_-;_-\ &quot;-&quot;_-"/>
    <numFmt numFmtId="191" formatCode="_-#,##0%_-;\(#,##0%\);_-\ &quot;-&quot;_-"/>
    <numFmt numFmtId="192" formatCode="_-#,###,_-;\(#,###,\);_-\ \ &quot;-&quot;_-;_-@_-"/>
    <numFmt numFmtId="193" formatCode="_-#,###.00,_-;\(#,###.00,\);_-\ \ &quot;-&quot;_-;_-@_-"/>
    <numFmt numFmtId="194" formatCode="_-#0&quot;.&quot;0,_-;\(#0&quot;.&quot;0,\);_-\ \ &quot;-&quot;_-;_-@_-"/>
    <numFmt numFmtId="195" formatCode="_-#0&quot;.&quot;0000_-;\(#0&quot;.&quot;0000\);_-\ \ &quot;-&quot;_-;_-@_-"/>
    <numFmt numFmtId="196" formatCode="_(* #.#._);_(* \(#.#.\);_(* &quot;-&quot;_);_(@@"/>
    <numFmt numFmtId="197" formatCode="_(* #.;_(* \(#.;_(* &quot;-&quot;_);_(@@"/>
    <numFmt numFmtId="198" formatCode="_(* #,##0.0_);_(* \(#,##0.0\);_(* &quot;-&quot;?_);@_)"/>
    <numFmt numFmtId="199" formatCode="_(* #.0.;_(* \(#.0.;_(* &quot;-&quot;_);_(@@"/>
    <numFmt numFmtId="200" formatCode="_-* #,##0.00\ _€_-;\-* #,##0.00\ _€_-;_-* &quot;-&quot;??\ _€_-;_-@_-"/>
    <numFmt numFmtId="201" formatCode="General_)"/>
    <numFmt numFmtId="202" formatCode="_-* #,##0.00\ &quot;€&quot;_-;\-* #,##0.00\ &quot;€&quot;_-;_-* &quot;-&quot;??\ &quot;€&quot;_-;_-@_-"/>
    <numFmt numFmtId="203" formatCode="_(* #,##0.000_);_(* \(#,##0.000\);_(* &quot;-&quot;?_);_(@_)"/>
    <numFmt numFmtId="204" formatCode="_(* #,##0.00000_);_(* \(#,##0.00000\);_(* &quot;-&quot;?????_);_(@_)"/>
    <numFmt numFmtId="205" formatCode="#,##0.000"/>
    <numFmt numFmtId="206" formatCode="&quot;$&quot;#,##0.00_);[Red]\(&quot;$&quot;#,##0.00\)"/>
    <numFmt numFmtId="207" formatCode="&quot;Mkt. Cap.: HK&quot;&quot;\&quot;#,##0&quot;m&quot;"/>
    <numFmt numFmtId="208" formatCode="_ &quot;S/&quot;* #,##0_ ;_ &quot;S/&quot;* \-#,##0_ ;_ &quot;S/&quot;* &quot;-&quot;_ ;_ @_ "/>
    <numFmt numFmtId="209" formatCode="_ &quot;S/&quot;* #,##0.00_ ;_ &quot;S/&quot;* \-#,##0.00_ ;_ &quot;S/&quot;* &quot;-&quot;??_ ;_ @_ "/>
    <numFmt numFmtId="210" formatCode="&quot;$&quot;0"/>
    <numFmt numFmtId="211" formatCode="_ &quot;\&quot;* #,##0.00_ ;_ &quot;\&quot;* &quot;\&quot;&quot;\&quot;&quot;\&quot;\-#,##0.00_ ;_ &quot;\&quot;* &quot;-&quot;??_ ;_ @_ "/>
    <numFmt numFmtId="212" formatCode="#,##0;\(#,##0\)"/>
    <numFmt numFmtId="213" formatCode="#,##0.0_);[Red]\(#,##0.0\)"/>
    <numFmt numFmtId="214" formatCode="[Red][&lt;0]&quot;Bal Error&quot;_);[=0]\-??_);[Red]&quot;Bal Error&quot;_)"/>
    <numFmt numFmtId="215" formatCode="&quot;\&quot;#,##0;[Red]&quot;\&quot;&quot;\&quot;\-#,##0"/>
    <numFmt numFmtId="216" formatCode="&quot;\&quot;#,##0.00;[Red]&quot;\&quot;&quot;\&quot;&quot;\&quot;&quot;\&quot;&quot;\&quot;&quot;\&quot;\-#,##0.00"/>
    <numFmt numFmtId="217" formatCode="&quot;\&quot;#,##0.00;[Red]&quot;\&quot;\-#,##0.00"/>
    <numFmt numFmtId="218" formatCode="&quot;\&quot;#,##0;[Red]&quot;\&quot;\-#,##0"/>
    <numFmt numFmtId="219" formatCode="_-* #,##0_-;\-* #,##0_-;_-* &quot;-&quot;_-;_-@_-"/>
  </numFmts>
  <fonts count="147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0"/>
      <name val="Arial Narrow"/>
      <family val="2"/>
    </font>
    <font>
      <i/>
      <sz val="10"/>
      <name val="Arial Narrow"/>
      <family val="2"/>
    </font>
    <font>
      <sz val="10"/>
      <color indexed="10"/>
      <name val="Arial"/>
      <family val="2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color indexed="8"/>
      <name val="Arial"/>
      <family val="2"/>
    </font>
    <font>
      <sz val="9"/>
      <color indexed="8"/>
      <name val="ˎ̥"/>
      <family val="2"/>
    </font>
    <font>
      <sz val="12"/>
      <color indexed="8"/>
      <name val="ˎ̥"/>
      <family val="2"/>
    </font>
    <font>
      <sz val="9"/>
      <color indexed="8"/>
      <name val="宋体"/>
      <family val="3"/>
      <charset val="134"/>
    </font>
    <font>
      <sz val="10"/>
      <color indexed="10"/>
      <name val="Arial Narrow"/>
      <family val="2"/>
    </font>
    <font>
      <sz val="10"/>
      <color indexed="23"/>
      <name val="Arial"/>
      <family val="2"/>
    </font>
    <font>
      <sz val="10"/>
      <color indexed="23"/>
      <name val="Arial Narrow"/>
      <family val="2"/>
    </font>
    <font>
      <b/>
      <sz val="10"/>
      <color indexed="10"/>
      <name val="Arial"/>
      <family val="2"/>
    </font>
    <font>
      <b/>
      <sz val="12"/>
      <name val="宋体"/>
      <family val="3"/>
      <charset val="134"/>
    </font>
    <font>
      <b/>
      <i/>
      <sz val="10"/>
      <name val="Arial Narrow"/>
      <family val="2"/>
    </font>
    <font>
      <b/>
      <sz val="10"/>
      <color indexed="10"/>
      <name val="Arial Narrow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0"/>
      <color indexed="30"/>
      <name val="Arial"/>
      <family val="2"/>
    </font>
    <font>
      <sz val="10"/>
      <color indexed="30"/>
      <name val="Arial Narrow"/>
      <family val="2"/>
    </font>
    <font>
      <b/>
      <sz val="10"/>
      <color indexed="30"/>
      <name val="Arial Narrow"/>
      <family val="2"/>
    </font>
    <font>
      <b/>
      <sz val="10"/>
      <color indexed="30"/>
      <name val="Arial"/>
      <family val="2"/>
    </font>
    <font>
      <sz val="11"/>
      <color theme="1"/>
      <name val="宋体"/>
      <family val="3"/>
      <charset val="134"/>
      <scheme val="minor"/>
    </font>
    <font>
      <b/>
      <i/>
      <sz val="10"/>
      <color indexed="12"/>
      <name val="Arial"/>
      <family val="2"/>
    </font>
    <font>
      <sz val="9"/>
      <color rgb="FFFF0000"/>
      <name val="ˎ̥"/>
      <family val="2"/>
    </font>
    <font>
      <sz val="10"/>
      <color rgb="FFFF0000"/>
      <name val="Arial"/>
      <family val="2"/>
    </font>
    <font>
      <sz val="11"/>
      <color theme="1"/>
      <name val="宋体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2"/>
      <name val="Times New Roman"/>
      <family val="1"/>
    </font>
    <font>
      <sz val="10"/>
      <name val="BERNHARD"/>
      <family val="1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7"/>
      <name val="Small Fonts"/>
      <family val="2"/>
    </font>
    <font>
      <b/>
      <i/>
      <sz val="16"/>
      <name val="Helv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11"/>
      <color indexed="21"/>
      <name val="Arial"/>
      <family val="2"/>
    </font>
    <font>
      <b/>
      <sz val="22"/>
      <color indexed="8"/>
      <name val="Times New Roman"/>
      <family val="1"/>
    </font>
    <font>
      <sz val="8"/>
      <name val="Helv"/>
      <family val="2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sz val="11"/>
      <name val="ＭＳ Ｐゴシック"/>
      <family val="2"/>
      <charset val="128"/>
    </font>
    <font>
      <sz val="12"/>
      <name val="바탕체"/>
      <family val="3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2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sz val="12"/>
      <name val="Courier"/>
      <family val="3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0"/>
      <color indexed="8"/>
      <name val="Arial Unicode MS"/>
      <family val="2"/>
      <charset val="134"/>
    </font>
    <font>
      <sz val="10"/>
      <name val="Geneva"/>
      <family val="2"/>
    </font>
    <font>
      <sz val="10"/>
      <name val="Arail 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sz val="14"/>
      <name val="柧挬"/>
      <family val="3"/>
      <charset val="134"/>
    </font>
    <font>
      <sz val="11"/>
      <name val="Times New Roman"/>
      <family val="1"/>
    </font>
    <font>
      <sz val="10"/>
      <color indexed="20"/>
      <name val="宋体"/>
      <family val="3"/>
      <charset val="134"/>
    </font>
    <font>
      <sz val="10"/>
      <color indexed="17"/>
      <name val="宋体"/>
      <family val="3"/>
      <charset val="134"/>
    </font>
    <font>
      <sz val="12"/>
      <name val="官帕眉"/>
      <family val="3"/>
      <charset val="134"/>
    </font>
    <font>
      <sz val="10"/>
      <name val="奔覆眉"/>
      <family val="3"/>
      <charset val="134"/>
    </font>
    <font>
      <sz val="12"/>
      <name val="柧挬"/>
      <family val="3"/>
      <charset val="134"/>
    </font>
    <font>
      <i/>
      <sz val="8"/>
      <name val="Arial"/>
      <family val="2"/>
    </font>
    <font>
      <sz val="10"/>
      <name val="MS Sans Serif"/>
      <family val="2"/>
    </font>
    <font>
      <b/>
      <sz val="10"/>
      <color indexed="17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8"/>
      <name val="Times New Roman"/>
      <family val="1"/>
    </font>
    <font>
      <b/>
      <sz val="6"/>
      <name val="Arial"/>
      <family val="2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Courier New"/>
      <family val="3"/>
    </font>
    <font>
      <b/>
      <sz val="11"/>
      <name val="Times New Roman"/>
      <family val="1"/>
    </font>
    <font>
      <sz val="9"/>
      <color indexed="12"/>
      <name val="Times New Roman"/>
      <family val="1"/>
    </font>
    <font>
      <b/>
      <i/>
      <sz val="12"/>
      <color indexed="12"/>
      <name val="Palatino"/>
      <family val="1"/>
    </font>
    <font>
      <sz val="9"/>
      <name val="Helv"/>
      <family val="2"/>
    </font>
    <font>
      <b/>
      <sz val="9"/>
      <name val="Helv"/>
      <family val="2"/>
    </font>
    <font>
      <i/>
      <sz val="9"/>
      <name val="Helv"/>
      <family val="2"/>
    </font>
    <font>
      <sz val="10"/>
      <color indexed="8"/>
      <name val="Times New Roman"/>
      <family val="1"/>
    </font>
    <font>
      <sz val="10"/>
      <name val="Courier"/>
      <family val="3"/>
    </font>
    <font>
      <b/>
      <u/>
      <sz val="9"/>
      <name val="Helv"/>
      <family val="2"/>
    </font>
    <font>
      <b/>
      <sz val="10"/>
      <color indexed="18"/>
      <name val="Symbol"/>
      <family val="1"/>
      <charset val="2"/>
    </font>
    <font>
      <sz val="8"/>
      <color indexed="16"/>
      <name val="Helv"/>
      <family val="2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sz val="10"/>
      <color indexed="39"/>
      <name val="Century Schoolbook"/>
      <family val="1"/>
    </font>
    <font>
      <b/>
      <sz val="10"/>
      <color indexed="9"/>
      <name val="Arial"/>
      <family val="2"/>
    </font>
    <font>
      <sz val="9"/>
      <name val="Helvetica-Black"/>
      <family val="2"/>
    </font>
    <font>
      <sz val="7"/>
      <name val="Palatino"/>
      <family val="1"/>
    </font>
    <font>
      <b/>
      <sz val="10"/>
      <color indexed="13"/>
      <name val="MS Sans Serif"/>
      <family val="2"/>
    </font>
    <font>
      <i/>
      <sz val="10"/>
      <name val="Helv"/>
      <family val="2"/>
    </font>
    <font>
      <sz val="8"/>
      <name val="Sabon"/>
      <family val="2"/>
    </font>
    <font>
      <u/>
      <sz val="10"/>
      <color theme="10"/>
      <name val="Times New Roman"/>
      <family val="1"/>
    </font>
    <font>
      <u/>
      <sz val="10"/>
      <color theme="10"/>
      <name val="Arial"/>
      <family val="2"/>
    </font>
    <font>
      <sz val="10"/>
      <color theme="1"/>
      <name val="Arial Unicode MS"/>
      <family val="2"/>
      <charset val="134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 Narrow"/>
      <family val="2"/>
    </font>
    <font>
      <b/>
      <sz val="10"/>
      <color indexed="8"/>
      <name val="Arial"/>
      <family val="2"/>
    </font>
    <font>
      <sz val="10"/>
      <color rgb="FF0000FF"/>
      <name val="Arial"/>
      <family val="2"/>
    </font>
    <font>
      <sz val="12"/>
      <color rgb="FF0000FF"/>
      <name val="宋体"/>
      <family val="3"/>
      <charset val="134"/>
    </font>
    <font>
      <b/>
      <i/>
      <sz val="8"/>
      <name val="Arial"/>
      <family val="2"/>
    </font>
    <font>
      <u/>
      <sz val="12"/>
      <color theme="10"/>
      <name val="宋体"/>
      <family val="3"/>
      <charset val="134"/>
    </font>
    <font>
      <b/>
      <i/>
      <sz val="10"/>
      <name val="Arial"/>
      <family val="2"/>
    </font>
    <font>
      <sz val="12"/>
      <name val="Arial"/>
      <family val="2"/>
    </font>
    <font>
      <b/>
      <sz val="10"/>
      <color theme="0"/>
      <name val="Arial"/>
      <family val="2"/>
    </font>
    <font>
      <b/>
      <i/>
      <sz val="8"/>
      <color theme="0"/>
      <name val="Arial"/>
      <family val="2"/>
    </font>
    <font>
      <sz val="12"/>
      <color indexed="12"/>
      <name val="Arial"/>
      <family val="2"/>
    </font>
    <font>
      <b/>
      <sz val="11"/>
      <color rgb="FFFFC000"/>
      <name val="Arial"/>
      <family val="2"/>
    </font>
    <font>
      <b/>
      <sz val="10"/>
      <color theme="3" tint="0.39997558519241921"/>
      <name val="Arial Narrow"/>
      <family val="2"/>
    </font>
    <font>
      <b/>
      <sz val="10"/>
      <color theme="3" tint="0.39997558519241921"/>
      <name val="Arial"/>
      <family val="2"/>
    </font>
    <font>
      <i/>
      <sz val="8"/>
      <name val="Times New Roman"/>
      <family val="1"/>
    </font>
    <font>
      <i/>
      <sz val="12"/>
      <color theme="2" tint="-0.499984740745262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0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2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9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19">
    <xf numFmtId="176" fontId="0" fillId="0" borderId="0"/>
    <xf numFmtId="9" fontId="2" fillId="0" borderId="0"/>
    <xf numFmtId="9" fontId="25" fillId="0" borderId="0">
      <alignment vertical="center"/>
    </xf>
    <xf numFmtId="176" fontId="31" fillId="0" borderId="0">
      <alignment vertical="center"/>
    </xf>
    <xf numFmtId="43" fontId="2" fillId="0" borderId="0"/>
    <xf numFmtId="41" fontId="2" fillId="0" borderId="0"/>
    <xf numFmtId="176" fontId="35" fillId="0" borderId="0"/>
    <xf numFmtId="9" fontId="35" fillId="0" borderId="0">
      <alignment vertical="center"/>
    </xf>
    <xf numFmtId="176" fontId="2" fillId="0" borderId="0"/>
    <xf numFmtId="176" fontId="1" fillId="0" borderId="0">
      <alignment vertical="center"/>
    </xf>
    <xf numFmtId="9" fontId="1" fillId="0" borderId="0">
      <alignment vertical="center"/>
    </xf>
    <xf numFmtId="176" fontId="31" fillId="0" borderId="0">
      <alignment vertical="center"/>
    </xf>
    <xf numFmtId="183" fontId="40" fillId="0" borderId="0"/>
    <xf numFmtId="184" fontId="40" fillId="0" borderId="0"/>
    <xf numFmtId="177" fontId="40" fillId="0" borderId="0"/>
    <xf numFmtId="176" fontId="40" fillId="0" borderId="0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37" fontId="40" fillId="0" borderId="23"/>
    <xf numFmtId="185" fontId="11" fillId="0" borderId="0"/>
    <xf numFmtId="186" fontId="40" fillId="0" borderId="24"/>
    <xf numFmtId="186" fontId="40" fillId="0" borderId="24"/>
    <xf numFmtId="186" fontId="40" fillId="0" borderId="24"/>
    <xf numFmtId="186" fontId="40" fillId="0" borderId="24"/>
    <xf numFmtId="186" fontId="40" fillId="0" borderId="24"/>
    <xf numFmtId="186" fontId="40" fillId="0" borderId="24"/>
    <xf numFmtId="39" fontId="11" fillId="0" borderId="0"/>
    <xf numFmtId="186" fontId="40" fillId="0" borderId="0"/>
    <xf numFmtId="185" fontId="11" fillId="0" borderId="0"/>
    <xf numFmtId="2" fontId="40" fillId="0" borderId="0"/>
    <xf numFmtId="186" fontId="40" fillId="0" borderId="0"/>
    <xf numFmtId="176" fontId="4" fillId="0" borderId="0">
      <protection locked="0"/>
    </xf>
    <xf numFmtId="49" fontId="11" fillId="0" borderId="0">
      <alignment horizontal="left"/>
    </xf>
    <xf numFmtId="49" fontId="11" fillId="0" borderId="0">
      <alignment horizontal="left"/>
    </xf>
    <xf numFmtId="49" fontId="11" fillId="0" borderId="0">
      <alignment horizontal="left"/>
    </xf>
    <xf numFmtId="49" fontId="11" fillId="0" borderId="0">
      <alignment horizontal="left"/>
    </xf>
    <xf numFmtId="49" fontId="11" fillId="0" borderId="0">
      <alignment horizontal="left"/>
    </xf>
    <xf numFmtId="49" fontId="11" fillId="0" borderId="0">
      <alignment horizontal="left"/>
    </xf>
    <xf numFmtId="49" fontId="11" fillId="0" borderId="0">
      <alignment horizontal="left"/>
    </xf>
    <xf numFmtId="49" fontId="11" fillId="0" borderId="0">
      <alignment horizontal="left"/>
    </xf>
    <xf numFmtId="176" fontId="4" fillId="0" borderId="0">
      <protection locked="0"/>
    </xf>
    <xf numFmtId="176" fontId="40" fillId="0" borderId="0"/>
    <xf numFmtId="176" fontId="4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12" fillId="0" borderId="0">
      <alignment vertical="top"/>
      <protection locked="0"/>
    </xf>
    <xf numFmtId="176" fontId="4" fillId="0" borderId="0">
      <protection locked="0"/>
    </xf>
    <xf numFmtId="176" fontId="40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79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2" fillId="0" borderId="0">
      <protection locked="0"/>
    </xf>
    <xf numFmtId="176" fontId="42" fillId="0" borderId="0">
      <protection locked="0"/>
    </xf>
    <xf numFmtId="176" fontId="42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12" fillId="0" borderId="0">
      <alignment vertical="top"/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2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12" fillId="0" borderId="0">
      <alignment vertical="top"/>
      <protection locked="0"/>
    </xf>
    <xf numFmtId="176" fontId="42" fillId="0" borderId="0">
      <protection locked="0"/>
    </xf>
    <xf numFmtId="176" fontId="4" fillId="0" borderId="0"/>
    <xf numFmtId="176" fontId="42" fillId="0" borderId="0">
      <protection locked="0"/>
    </xf>
    <xf numFmtId="176" fontId="42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79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87" fontId="11" fillId="0" borderId="0">
      <alignment horizontal="right"/>
    </xf>
    <xf numFmtId="187" fontId="11" fillId="0" borderId="0">
      <alignment horizontal="right"/>
    </xf>
    <xf numFmtId="188" fontId="11" fillId="0" borderId="0">
      <alignment horizontal="right"/>
    </xf>
    <xf numFmtId="188" fontId="11" fillId="0" borderId="0">
      <alignment horizontal="right"/>
    </xf>
    <xf numFmtId="189" fontId="76" fillId="0" borderId="0">
      <alignment horizontal="center"/>
    </xf>
    <xf numFmtId="189" fontId="76" fillId="0" borderId="0">
      <alignment horizontal="center"/>
    </xf>
    <xf numFmtId="190" fontId="76" fillId="0" borderId="0">
      <alignment horizontal="center"/>
    </xf>
    <xf numFmtId="190" fontId="76" fillId="0" borderId="0">
      <alignment horizontal="center"/>
    </xf>
    <xf numFmtId="191" fontId="77" fillId="0" borderId="0">
      <alignment horizontal="right"/>
    </xf>
    <xf numFmtId="191" fontId="77" fillId="0" borderId="0">
      <alignment horizontal="right"/>
    </xf>
    <xf numFmtId="192" fontId="11" fillId="0" borderId="0">
      <alignment horizontal="right"/>
    </xf>
    <xf numFmtId="192" fontId="11" fillId="0" borderId="0">
      <alignment horizontal="right"/>
    </xf>
    <xf numFmtId="193" fontId="11" fillId="0" borderId="0">
      <alignment horizontal="right"/>
    </xf>
    <xf numFmtId="193" fontId="11" fillId="0" borderId="0">
      <alignment horizontal="right"/>
    </xf>
    <xf numFmtId="194" fontId="11" fillId="0" borderId="0">
      <alignment horizontal="right"/>
    </xf>
    <xf numFmtId="194" fontId="11" fillId="0" borderId="0">
      <alignment horizontal="right"/>
    </xf>
    <xf numFmtId="195" fontId="11" fillId="0" borderId="0">
      <alignment horizontal="right"/>
    </xf>
    <xf numFmtId="195" fontId="11" fillId="0" borderId="0">
      <alignment horizontal="right"/>
    </xf>
    <xf numFmtId="196" fontId="4" fillId="0" borderId="0"/>
    <xf numFmtId="197" fontId="4" fillId="0" borderId="0"/>
    <xf numFmtId="176" fontId="40" fillId="0" borderId="0">
      <protection locked="0"/>
    </xf>
    <xf numFmtId="3" fontId="11" fillId="0" borderId="0"/>
    <xf numFmtId="176" fontId="40" fillId="0" borderId="0"/>
    <xf numFmtId="43" fontId="80" fillId="0" borderId="0">
      <alignment horizontal="left"/>
    </xf>
    <xf numFmtId="43" fontId="80" fillId="0" borderId="0">
      <alignment horizontal="left"/>
    </xf>
    <xf numFmtId="176" fontId="11" fillId="0" borderId="0">
      <alignment horizontal="left"/>
    </xf>
    <xf numFmtId="185" fontId="40" fillId="0" borderId="0"/>
    <xf numFmtId="176" fontId="95" fillId="0" borderId="0"/>
    <xf numFmtId="176" fontId="96" fillId="0" borderId="0">
      <alignment horizontal="centerContinuous"/>
    </xf>
    <xf numFmtId="176" fontId="25" fillId="9" borderId="0">
      <alignment vertical="center"/>
    </xf>
    <xf numFmtId="176" fontId="25" fillId="9" borderId="0">
      <alignment vertical="center"/>
    </xf>
    <xf numFmtId="176" fontId="25" fillId="9" borderId="0">
      <alignment vertical="center"/>
    </xf>
    <xf numFmtId="176" fontId="25" fillId="9" borderId="0">
      <alignment vertical="center"/>
    </xf>
    <xf numFmtId="176" fontId="25" fillId="9" borderId="0">
      <alignment vertical="center"/>
    </xf>
    <xf numFmtId="176" fontId="25" fillId="6" borderId="0">
      <alignment vertical="center"/>
    </xf>
    <xf numFmtId="176" fontId="25" fillId="6" borderId="0">
      <alignment vertical="center"/>
    </xf>
    <xf numFmtId="176" fontId="25" fillId="6" borderId="0">
      <alignment vertical="center"/>
    </xf>
    <xf numFmtId="176" fontId="25" fillId="6" borderId="0">
      <alignment vertical="center"/>
    </xf>
    <xf numFmtId="176" fontId="25" fillId="6" borderId="0">
      <alignment vertical="center"/>
    </xf>
    <xf numFmtId="176" fontId="25" fillId="7" borderId="0">
      <alignment vertical="center"/>
    </xf>
    <xf numFmtId="176" fontId="25" fillId="7" borderId="0">
      <alignment vertical="center"/>
    </xf>
    <xf numFmtId="176" fontId="25" fillId="7" borderId="0">
      <alignment vertical="center"/>
    </xf>
    <xf numFmtId="176" fontId="25" fillId="7" borderId="0">
      <alignment vertical="center"/>
    </xf>
    <xf numFmtId="176" fontId="25" fillId="7" borderId="0">
      <alignment vertical="center"/>
    </xf>
    <xf numFmtId="176" fontId="25" fillId="10" borderId="0">
      <alignment vertical="center"/>
    </xf>
    <xf numFmtId="176" fontId="25" fillId="10" borderId="0">
      <alignment vertical="center"/>
    </xf>
    <xf numFmtId="176" fontId="25" fillId="10" borderId="0">
      <alignment vertical="center"/>
    </xf>
    <xf numFmtId="176" fontId="25" fillId="10" borderId="0">
      <alignment vertical="center"/>
    </xf>
    <xf numFmtId="176" fontId="25" fillId="10" borderId="0">
      <alignment vertical="center"/>
    </xf>
    <xf numFmtId="176" fontId="25" fillId="11" borderId="0">
      <alignment vertical="center"/>
    </xf>
    <xf numFmtId="176" fontId="25" fillId="11" borderId="0">
      <alignment vertical="center"/>
    </xf>
    <xf numFmtId="176" fontId="25" fillId="11" borderId="0">
      <alignment vertical="center"/>
    </xf>
    <xf numFmtId="176" fontId="25" fillId="11" borderId="0">
      <alignment vertical="center"/>
    </xf>
    <xf numFmtId="176" fontId="25" fillId="11" borderId="0">
      <alignment vertical="center"/>
    </xf>
    <xf numFmtId="176" fontId="25" fillId="12" borderId="0">
      <alignment vertical="center"/>
    </xf>
    <xf numFmtId="176" fontId="25" fillId="12" borderId="0">
      <alignment vertical="center"/>
    </xf>
    <xf numFmtId="176" fontId="25" fillId="12" borderId="0">
      <alignment vertical="center"/>
    </xf>
    <xf numFmtId="176" fontId="25" fillId="12" borderId="0">
      <alignment vertical="center"/>
    </xf>
    <xf numFmtId="176" fontId="25" fillId="12" borderId="0">
      <alignment vertical="center"/>
    </xf>
    <xf numFmtId="176" fontId="11" fillId="0" borderId="0"/>
    <xf numFmtId="176" fontId="25" fillId="13" borderId="0">
      <alignment vertical="center"/>
    </xf>
    <xf numFmtId="176" fontId="25" fillId="13" borderId="0">
      <alignment vertical="center"/>
    </xf>
    <xf numFmtId="176" fontId="25" fillId="13" borderId="0">
      <alignment vertical="center"/>
    </xf>
    <xf numFmtId="176" fontId="25" fillId="13" borderId="0">
      <alignment vertical="center"/>
    </xf>
    <xf numFmtId="176" fontId="25" fillId="13" borderId="0">
      <alignment vertical="center"/>
    </xf>
    <xf numFmtId="176" fontId="25" fillId="14" borderId="0">
      <alignment vertical="center"/>
    </xf>
    <xf numFmtId="176" fontId="25" fillId="14" borderId="0">
      <alignment vertical="center"/>
    </xf>
    <xf numFmtId="176" fontId="25" fillId="14" borderId="0">
      <alignment vertical="center"/>
    </xf>
    <xf numFmtId="176" fontId="25" fillId="14" borderId="0">
      <alignment vertical="center"/>
    </xf>
    <xf numFmtId="176" fontId="25" fillId="14" borderId="0">
      <alignment vertical="center"/>
    </xf>
    <xf numFmtId="176" fontId="25" fillId="15" borderId="0">
      <alignment vertical="center"/>
    </xf>
    <xf numFmtId="176" fontId="25" fillId="15" borderId="0">
      <alignment vertical="center"/>
    </xf>
    <xf numFmtId="176" fontId="25" fillId="15" borderId="0">
      <alignment vertical="center"/>
    </xf>
    <xf numFmtId="176" fontId="25" fillId="15" borderId="0">
      <alignment vertical="center"/>
    </xf>
    <xf numFmtId="176" fontId="25" fillId="15" borderId="0">
      <alignment vertical="center"/>
    </xf>
    <xf numFmtId="176" fontId="25" fillId="10" borderId="0">
      <alignment vertical="center"/>
    </xf>
    <xf numFmtId="176" fontId="25" fillId="10" borderId="0">
      <alignment vertical="center"/>
    </xf>
    <xf numFmtId="176" fontId="25" fillId="10" borderId="0">
      <alignment vertical="center"/>
    </xf>
    <xf numFmtId="176" fontId="25" fillId="10" borderId="0">
      <alignment vertical="center"/>
    </xf>
    <xf numFmtId="176" fontId="25" fillId="10" borderId="0">
      <alignment vertical="center"/>
    </xf>
    <xf numFmtId="176" fontId="25" fillId="13" borderId="0">
      <alignment vertical="center"/>
    </xf>
    <xf numFmtId="176" fontId="25" fillId="13" borderId="0">
      <alignment vertical="center"/>
    </xf>
    <xf numFmtId="176" fontId="25" fillId="13" borderId="0">
      <alignment vertical="center"/>
    </xf>
    <xf numFmtId="176" fontId="25" fillId="13" borderId="0">
      <alignment vertical="center"/>
    </xf>
    <xf numFmtId="176" fontId="25" fillId="13" borderId="0">
      <alignment vertical="center"/>
    </xf>
    <xf numFmtId="176" fontId="25" fillId="16" borderId="0">
      <alignment vertical="center"/>
    </xf>
    <xf numFmtId="176" fontId="25" fillId="16" borderId="0">
      <alignment vertical="center"/>
    </xf>
    <xf numFmtId="176" fontId="25" fillId="16" borderId="0">
      <alignment vertical="center"/>
    </xf>
    <xf numFmtId="176" fontId="25" fillId="16" borderId="0">
      <alignment vertical="center"/>
    </xf>
    <xf numFmtId="176" fontId="25" fillId="16" borderId="0">
      <alignment vertical="center"/>
    </xf>
    <xf numFmtId="176" fontId="58" fillId="17" borderId="0">
      <alignment vertical="center"/>
    </xf>
    <xf numFmtId="176" fontId="58" fillId="17" borderId="0">
      <alignment vertical="center"/>
    </xf>
    <xf numFmtId="176" fontId="58" fillId="17" borderId="0">
      <alignment vertical="center"/>
    </xf>
    <xf numFmtId="176" fontId="58" fillId="17" borderId="0">
      <alignment vertical="center"/>
    </xf>
    <xf numFmtId="176" fontId="58" fillId="17" borderId="0">
      <alignment vertical="center"/>
    </xf>
    <xf numFmtId="176" fontId="58" fillId="14" borderId="0">
      <alignment vertical="center"/>
    </xf>
    <xf numFmtId="176" fontId="58" fillId="14" borderId="0">
      <alignment vertical="center"/>
    </xf>
    <xf numFmtId="176" fontId="58" fillId="14" borderId="0">
      <alignment vertical="center"/>
    </xf>
    <xf numFmtId="176" fontId="58" fillId="14" borderId="0">
      <alignment vertical="center"/>
    </xf>
    <xf numFmtId="176" fontId="58" fillId="14" borderId="0">
      <alignment vertical="center"/>
    </xf>
    <xf numFmtId="176" fontId="58" fillId="15" borderId="0">
      <alignment vertical="center"/>
    </xf>
    <xf numFmtId="176" fontId="58" fillId="15" borderId="0">
      <alignment vertical="center"/>
    </xf>
    <xf numFmtId="176" fontId="58" fillId="15" borderId="0">
      <alignment vertical="center"/>
    </xf>
    <xf numFmtId="176" fontId="58" fillId="15" borderId="0">
      <alignment vertical="center"/>
    </xf>
    <xf numFmtId="176" fontId="58" fillId="15" borderId="0">
      <alignment vertical="center"/>
    </xf>
    <xf numFmtId="176" fontId="58" fillId="18" borderId="0">
      <alignment vertical="center"/>
    </xf>
    <xf numFmtId="176" fontId="58" fillId="18" borderId="0">
      <alignment vertical="center"/>
    </xf>
    <xf numFmtId="176" fontId="58" fillId="18" borderId="0">
      <alignment vertical="center"/>
    </xf>
    <xf numFmtId="176" fontId="58" fillId="18" borderId="0">
      <alignment vertical="center"/>
    </xf>
    <xf numFmtId="176" fontId="58" fillId="18" borderId="0">
      <alignment vertical="center"/>
    </xf>
    <xf numFmtId="176" fontId="58" fillId="19" borderId="0">
      <alignment vertical="center"/>
    </xf>
    <xf numFmtId="176" fontId="58" fillId="19" borderId="0">
      <alignment vertical="center"/>
    </xf>
    <xf numFmtId="176" fontId="58" fillId="19" borderId="0">
      <alignment vertical="center"/>
    </xf>
    <xf numFmtId="176" fontId="58" fillId="19" borderId="0">
      <alignment vertical="center"/>
    </xf>
    <xf numFmtId="176" fontId="58" fillId="19" borderId="0">
      <alignment vertical="center"/>
    </xf>
    <xf numFmtId="176" fontId="58" fillId="20" borderId="0">
      <alignment vertical="center"/>
    </xf>
    <xf numFmtId="176" fontId="58" fillId="20" borderId="0">
      <alignment vertical="center"/>
    </xf>
    <xf numFmtId="176" fontId="58" fillId="20" borderId="0">
      <alignment vertical="center"/>
    </xf>
    <xf numFmtId="176" fontId="58" fillId="20" borderId="0">
      <alignment vertical="center"/>
    </xf>
    <xf numFmtId="176" fontId="58" fillId="20" borderId="0">
      <alignment vertical="center"/>
    </xf>
    <xf numFmtId="176" fontId="73" fillId="0" borderId="0">
      <alignment horizontal="left"/>
    </xf>
    <xf numFmtId="176" fontId="73" fillId="0" borderId="0">
      <alignment horizontal="left"/>
    </xf>
    <xf numFmtId="176" fontId="4" fillId="0" borderId="0">
      <protection locked="0"/>
    </xf>
    <xf numFmtId="17" fontId="4" fillId="0" borderId="0"/>
    <xf numFmtId="176" fontId="4" fillId="0" borderId="0"/>
    <xf numFmtId="176" fontId="97" fillId="0" borderId="25"/>
    <xf numFmtId="176" fontId="97" fillId="0" borderId="25"/>
    <xf numFmtId="176" fontId="37" fillId="0" borderId="25"/>
    <xf numFmtId="176" fontId="37" fillId="0" borderId="25"/>
    <xf numFmtId="176" fontId="91" fillId="0" borderId="25"/>
    <xf numFmtId="176" fontId="91" fillId="0" borderId="25"/>
    <xf numFmtId="176" fontId="36" fillId="0" borderId="25"/>
    <xf numFmtId="176" fontId="36" fillId="0" borderId="25"/>
    <xf numFmtId="43" fontId="4" fillId="0" borderId="0"/>
    <xf numFmtId="176" fontId="98" fillId="0" borderId="0"/>
    <xf numFmtId="176" fontId="99" fillId="0" borderId="0"/>
    <xf numFmtId="38" fontId="74" fillId="0" borderId="0"/>
    <xf numFmtId="176" fontId="92" fillId="21" borderId="0">
      <alignment horizontal="left"/>
    </xf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76" fontId="94" fillId="0" borderId="23"/>
    <xf numFmtId="1" fontId="122" fillId="0" borderId="13">
      <alignment horizontal="right"/>
    </xf>
    <xf numFmtId="49" fontId="81" fillId="0" borderId="0">
      <alignment horizontal="left"/>
    </xf>
    <xf numFmtId="49" fontId="81" fillId="0" borderId="0">
      <alignment horizontal="left"/>
    </xf>
    <xf numFmtId="198" fontId="23" fillId="0" borderId="0"/>
    <xf numFmtId="198" fontId="23" fillId="0" borderId="0"/>
    <xf numFmtId="177" fontId="36" fillId="0" borderId="0"/>
    <xf numFmtId="177" fontId="36" fillId="0" borderId="0"/>
    <xf numFmtId="49" fontId="36" fillId="0" borderId="0">
      <alignment horizontal="left"/>
    </xf>
    <xf numFmtId="49" fontId="36" fillId="0" borderId="0">
      <alignment horizontal="left"/>
    </xf>
    <xf numFmtId="49" fontId="82" fillId="0" borderId="26">
      <alignment horizontal="left" wrapText="1"/>
    </xf>
    <xf numFmtId="49" fontId="82" fillId="0" borderId="26">
      <alignment horizontal="left" wrapText="1"/>
    </xf>
    <xf numFmtId="49" fontId="82" fillId="0" borderId="0">
      <alignment horizontal="left" wrapText="1"/>
    </xf>
    <xf numFmtId="49" fontId="82" fillId="0" borderId="0">
      <alignment horizontal="left" wrapText="1"/>
    </xf>
    <xf numFmtId="49" fontId="83" fillId="0" borderId="0">
      <alignment horizontal="left"/>
    </xf>
    <xf numFmtId="49" fontId="83" fillId="0" borderId="0">
      <alignment horizontal="left"/>
    </xf>
    <xf numFmtId="199" fontId="4" fillId="0" borderId="0"/>
    <xf numFmtId="176" fontId="100" fillId="0" borderId="0"/>
    <xf numFmtId="176" fontId="100" fillId="0" borderId="0"/>
    <xf numFmtId="176" fontId="100" fillId="0" borderId="0"/>
    <xf numFmtId="176" fontId="100" fillId="0" borderId="0"/>
    <xf numFmtId="176" fontId="100" fillId="0" borderId="0"/>
    <xf numFmtId="176" fontId="40" fillId="0" borderId="0">
      <alignment horizontal="centerContinuous"/>
    </xf>
    <xf numFmtId="176" fontId="100" fillId="0" borderId="0"/>
    <xf numFmtId="176" fontId="100" fillId="0" borderId="0"/>
    <xf numFmtId="176" fontId="100" fillId="0" borderId="0"/>
    <xf numFmtId="176" fontId="100" fillId="0" borderId="0"/>
    <xf numFmtId="176" fontId="100" fillId="0" borderId="0"/>
    <xf numFmtId="176" fontId="40" fillId="0" borderId="0">
      <alignment horizontal="centerContinuous"/>
    </xf>
    <xf numFmtId="176" fontId="4" fillId="0" borderId="0"/>
    <xf numFmtId="176" fontId="101" fillId="0" borderId="0"/>
    <xf numFmtId="176" fontId="37" fillId="0" borderId="15">
      <alignment horizontal="center"/>
    </xf>
    <xf numFmtId="176" fontId="116" fillId="0" borderId="0">
      <alignment horizontal="right"/>
    </xf>
    <xf numFmtId="43" fontId="2" fillId="0" borderId="0"/>
    <xf numFmtId="43" fontId="11" fillId="0" borderId="0"/>
    <xf numFmtId="43" fontId="4" fillId="0" borderId="0"/>
    <xf numFmtId="188" fontId="11" fillId="0" borderId="0">
      <alignment horizontal="right"/>
    </xf>
    <xf numFmtId="43" fontId="11" fillId="0" borderId="0"/>
    <xf numFmtId="200" fontId="4" fillId="0" borderId="0"/>
    <xf numFmtId="43" fontId="4" fillId="0" borderId="0"/>
    <xf numFmtId="43" fontId="2" fillId="0" borderId="0">
      <alignment vertical="center"/>
    </xf>
    <xf numFmtId="43" fontId="4" fillId="0" borderId="0">
      <alignment vertical="center"/>
    </xf>
    <xf numFmtId="188" fontId="11" fillId="0" borderId="0">
      <alignment horizontal="right"/>
    </xf>
    <xf numFmtId="43" fontId="40" fillId="0" borderId="0"/>
    <xf numFmtId="43" fontId="4" fillId="0" borderId="0"/>
    <xf numFmtId="188" fontId="11" fillId="0" borderId="0">
      <alignment horizontal="right"/>
    </xf>
    <xf numFmtId="43" fontId="11" fillId="0" borderId="0"/>
    <xf numFmtId="43" fontId="12" fillId="0" borderId="0"/>
    <xf numFmtId="43" fontId="4" fillId="0" borderId="0"/>
    <xf numFmtId="43" fontId="78" fillId="0" borderId="0"/>
    <xf numFmtId="43" fontId="78" fillId="0" borderId="0"/>
    <xf numFmtId="176" fontId="41" fillId="0" borderId="0"/>
    <xf numFmtId="176" fontId="42" fillId="0" borderId="0"/>
    <xf numFmtId="176" fontId="41" fillId="0" borderId="0"/>
    <xf numFmtId="176" fontId="42" fillId="0" borderId="0"/>
    <xf numFmtId="201" fontId="102" fillId="0" borderId="0">
      <alignment horizontal="left"/>
    </xf>
    <xf numFmtId="176" fontId="40" fillId="0" borderId="14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202" fontId="4" fillId="0" borderId="0"/>
    <xf numFmtId="183" fontId="40" fillId="0" borderId="0"/>
    <xf numFmtId="184" fontId="40" fillId="0" borderId="0"/>
    <xf numFmtId="201" fontId="4" fillId="0" borderId="0"/>
    <xf numFmtId="39" fontId="40" fillId="0" borderId="0"/>
    <xf numFmtId="203" fontId="4" fillId="0" borderId="0"/>
    <xf numFmtId="204" fontId="4" fillId="0" borderId="0"/>
    <xf numFmtId="15" fontId="93" fillId="0" borderId="0"/>
    <xf numFmtId="185" fontId="36" fillId="0" borderId="0"/>
    <xf numFmtId="176" fontId="43" fillId="0" borderId="0">
      <protection locked="0"/>
    </xf>
    <xf numFmtId="205" fontId="11" fillId="0" borderId="0"/>
    <xf numFmtId="176" fontId="103" fillId="0" borderId="24"/>
    <xf numFmtId="176" fontId="103" fillId="0" borderId="24"/>
    <xf numFmtId="176" fontId="103" fillId="0" borderId="24"/>
    <xf numFmtId="176" fontId="103" fillId="0" borderId="24"/>
    <xf numFmtId="176" fontId="103" fillId="0" borderId="24"/>
    <xf numFmtId="176" fontId="103" fillId="0" borderId="24"/>
    <xf numFmtId="206" fontId="98" fillId="0" borderId="0"/>
    <xf numFmtId="176" fontId="40" fillId="0" borderId="27"/>
    <xf numFmtId="176" fontId="44" fillId="0" borderId="0">
      <protection locked="0"/>
    </xf>
    <xf numFmtId="176" fontId="44" fillId="0" borderId="0">
      <protection locked="0"/>
    </xf>
    <xf numFmtId="176" fontId="11" fillId="0" borderId="0"/>
    <xf numFmtId="176" fontId="11" fillId="0" borderId="0"/>
    <xf numFmtId="176" fontId="43" fillId="0" borderId="0">
      <protection locked="0"/>
    </xf>
    <xf numFmtId="176" fontId="43" fillId="0" borderId="0">
      <protection locked="0"/>
    </xf>
    <xf numFmtId="176" fontId="43" fillId="0" borderId="0">
      <protection locked="0"/>
    </xf>
    <xf numFmtId="176" fontId="43" fillId="0" borderId="0">
      <protection locked="0"/>
    </xf>
    <xf numFmtId="176" fontId="43" fillId="0" borderId="0">
      <protection locked="0"/>
    </xf>
    <xf numFmtId="176" fontId="43" fillId="0" borderId="0">
      <protection locked="0"/>
    </xf>
    <xf numFmtId="176" fontId="43" fillId="0" borderId="0">
      <protection locked="0"/>
    </xf>
    <xf numFmtId="176" fontId="43" fillId="0" borderId="0">
      <protection locked="0"/>
    </xf>
    <xf numFmtId="176" fontId="43" fillId="0" borderId="0">
      <protection locked="0"/>
    </xf>
    <xf numFmtId="176" fontId="4" fillId="0" borderId="0"/>
    <xf numFmtId="176" fontId="37" fillId="0" borderId="0"/>
    <xf numFmtId="176" fontId="4" fillId="0" borderId="0"/>
    <xf numFmtId="176" fontId="120" fillId="22" borderId="0">
      <alignment horizontal="left"/>
    </xf>
    <xf numFmtId="38" fontId="36" fillId="2" borderId="0"/>
    <xf numFmtId="38" fontId="36" fillId="2" borderId="0"/>
    <xf numFmtId="38" fontId="36" fillId="2" borderId="0"/>
    <xf numFmtId="176" fontId="72" fillId="0" borderId="3">
      <alignment horizontal="left" vertical="center"/>
    </xf>
    <xf numFmtId="176" fontId="72" fillId="0" borderId="3">
      <alignment horizontal="left" vertical="center"/>
    </xf>
    <xf numFmtId="176" fontId="72" fillId="0" borderId="28">
      <alignment horizontal="left" vertical="center"/>
    </xf>
    <xf numFmtId="176" fontId="72" fillId="0" borderId="28">
      <alignment horizontal="left" vertical="center"/>
    </xf>
    <xf numFmtId="176" fontId="104" fillId="0" borderId="0"/>
    <xf numFmtId="176" fontId="120" fillId="23" borderId="0">
      <alignment horizontal="left"/>
    </xf>
    <xf numFmtId="176" fontId="123" fillId="0" borderId="0">
      <alignment vertical="top"/>
      <protection locked="0"/>
    </xf>
    <xf numFmtId="176" fontId="124" fillId="0" borderId="0">
      <alignment vertical="top"/>
      <protection locked="0"/>
    </xf>
    <xf numFmtId="10" fontId="36" fillId="4" borderId="7"/>
    <xf numFmtId="10" fontId="36" fillId="24" borderId="7"/>
    <xf numFmtId="10" fontId="36" fillId="4" borderId="7"/>
    <xf numFmtId="10" fontId="36" fillId="24" borderId="7"/>
    <xf numFmtId="185" fontId="98" fillId="0" borderId="0">
      <protection locked="0"/>
    </xf>
    <xf numFmtId="176" fontId="4" fillId="0" borderId="0"/>
    <xf numFmtId="184" fontId="98" fillId="0" borderId="0"/>
    <xf numFmtId="176" fontId="2" fillId="0" borderId="0"/>
    <xf numFmtId="41" fontId="4" fillId="0" borderId="0"/>
    <xf numFmtId="43" fontId="4" fillId="0" borderId="0"/>
    <xf numFmtId="207" fontId="122" fillId="0" borderId="0">
      <alignment horizontal="right"/>
    </xf>
    <xf numFmtId="208" fontId="4" fillId="0" borderId="0"/>
    <xf numFmtId="209" fontId="4" fillId="0" borderId="0"/>
    <xf numFmtId="176" fontId="43" fillId="0" borderId="0">
      <protection locked="0"/>
    </xf>
    <xf numFmtId="176" fontId="40" fillId="0" borderId="0">
      <alignment horizontal="centerContinuous"/>
    </xf>
    <xf numFmtId="37" fontId="45" fillId="0" borderId="0"/>
    <xf numFmtId="176" fontId="46" fillId="0" borderId="0"/>
    <xf numFmtId="210" fontId="4" fillId="0" borderId="0"/>
    <xf numFmtId="176" fontId="46" fillId="0" borderId="0"/>
    <xf numFmtId="211" fontId="2" fillId="0" borderId="0"/>
    <xf numFmtId="176" fontId="125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4" fillId="0" borderId="0"/>
    <xf numFmtId="176" fontId="11" fillId="0" borderId="0">
      <protection locked="0"/>
    </xf>
    <xf numFmtId="176" fontId="4" fillId="0" borderId="0"/>
    <xf numFmtId="176" fontId="11" fillId="0" borderId="0">
      <protection locked="0"/>
    </xf>
    <xf numFmtId="176" fontId="4" fillId="0" borderId="0"/>
    <xf numFmtId="176" fontId="36" fillId="0" borderId="0">
      <alignment horizontal="center"/>
    </xf>
    <xf numFmtId="176" fontId="11" fillId="0" borderId="0">
      <protection locked="0"/>
    </xf>
    <xf numFmtId="176" fontId="126" fillId="0" borderId="0"/>
    <xf numFmtId="176" fontId="4" fillId="0" borderId="0">
      <protection locked="0"/>
    </xf>
    <xf numFmtId="176" fontId="31" fillId="0" borderId="0">
      <alignment vertical="center"/>
    </xf>
    <xf numFmtId="176" fontId="75" fillId="0" borderId="0">
      <protection locked="0"/>
    </xf>
    <xf numFmtId="176" fontId="127" fillId="0" borderId="0"/>
    <xf numFmtId="176" fontId="4" fillId="0" borderId="0">
      <protection locked="0"/>
    </xf>
    <xf numFmtId="176" fontId="4" fillId="0" borderId="0"/>
    <xf numFmtId="176" fontId="4" fillId="0" borderId="0">
      <protection locked="0"/>
    </xf>
    <xf numFmtId="176" fontId="126" fillId="0" borderId="0"/>
    <xf numFmtId="176" fontId="31" fillId="0" borderId="0">
      <alignment vertical="center"/>
    </xf>
    <xf numFmtId="176" fontId="126" fillId="0" borderId="0">
      <protection locked="0"/>
    </xf>
    <xf numFmtId="176" fontId="126" fillId="0" borderId="0">
      <protection locked="0"/>
    </xf>
    <xf numFmtId="176" fontId="126" fillId="0" borderId="0">
      <protection locked="0"/>
    </xf>
    <xf numFmtId="176" fontId="121" fillId="0" borderId="29"/>
    <xf numFmtId="176" fontId="105" fillId="0" borderId="29"/>
    <xf numFmtId="176" fontId="106" fillId="0" borderId="29"/>
    <xf numFmtId="40" fontId="47" fillId="4" borderId="0">
      <alignment horizontal="right"/>
    </xf>
    <xf numFmtId="40" fontId="47" fillId="4" borderId="0">
      <alignment horizontal="right"/>
    </xf>
    <xf numFmtId="40" fontId="12" fillId="4" borderId="0">
      <alignment horizontal="right"/>
    </xf>
    <xf numFmtId="176" fontId="48" fillId="4" borderId="0">
      <alignment horizontal="right"/>
    </xf>
    <xf numFmtId="176" fontId="49" fillId="4" borderId="30"/>
    <xf numFmtId="176" fontId="50" fillId="0" borderId="0">
      <alignment horizontal="centerContinuous"/>
    </xf>
    <xf numFmtId="176" fontId="50" fillId="0" borderId="0">
      <alignment horizontal="centerContinuous"/>
    </xf>
    <xf numFmtId="176" fontId="51" fillId="0" borderId="0">
      <alignment horizontal="centerContinuous"/>
    </xf>
    <xf numFmtId="9" fontId="40" fillId="0" borderId="31"/>
    <xf numFmtId="9" fontId="40" fillId="0" borderId="31"/>
    <xf numFmtId="176" fontId="107" fillId="0" borderId="29"/>
    <xf numFmtId="10" fontId="4" fillId="0" borderId="0"/>
    <xf numFmtId="10" fontId="4" fillId="0" borderId="0"/>
    <xf numFmtId="10" fontId="4" fillId="0" borderId="0"/>
    <xf numFmtId="10" fontId="2" fillId="0" borderId="0"/>
    <xf numFmtId="9" fontId="2" fillId="0" borderId="0"/>
    <xf numFmtId="9" fontId="11" fillId="0" borderId="0"/>
    <xf numFmtId="9" fontId="4" fillId="0" borderId="0"/>
    <xf numFmtId="191" fontId="77" fillId="0" borderId="0">
      <alignment horizontal="right"/>
    </xf>
    <xf numFmtId="9" fontId="4" fillId="0" borderId="0"/>
    <xf numFmtId="191" fontId="77" fillId="0" borderId="0">
      <alignment horizontal="right"/>
    </xf>
    <xf numFmtId="9" fontId="12" fillId="0" borderId="0"/>
    <xf numFmtId="9" fontId="4" fillId="0" borderId="0"/>
    <xf numFmtId="176" fontId="43" fillId="0" borderId="0">
      <protection locked="0"/>
    </xf>
    <xf numFmtId="176" fontId="117" fillId="25" borderId="0"/>
    <xf numFmtId="212" fontId="4" fillId="0" borderId="0"/>
    <xf numFmtId="213" fontId="4" fillId="0" borderId="0"/>
    <xf numFmtId="38" fontId="52" fillId="0" borderId="0"/>
    <xf numFmtId="41" fontId="11" fillId="0" borderId="0"/>
    <xf numFmtId="176" fontId="53" fillId="0" borderId="0"/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85" fontId="108" fillId="0" borderId="0"/>
    <xf numFmtId="185" fontId="108" fillId="0" borderId="0"/>
    <xf numFmtId="185" fontId="108" fillId="0" borderId="0"/>
    <xf numFmtId="185" fontId="108" fillId="0" borderId="0"/>
    <xf numFmtId="185" fontId="108" fillId="0" borderId="0"/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protection locked="0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8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109" fillId="0" borderId="32">
      <alignment horizontal="centerContinuous"/>
    </xf>
    <xf numFmtId="176" fontId="40" fillId="0" borderId="0"/>
    <xf numFmtId="176" fontId="54" fillId="0" borderId="7">
      <alignment horizontal="center"/>
    </xf>
    <xf numFmtId="176" fontId="4" fillId="0" borderId="0">
      <protection locked="0"/>
    </xf>
    <xf numFmtId="176" fontId="4" fillId="0" borderId="0"/>
    <xf numFmtId="176" fontId="54" fillId="0" borderId="0">
      <alignment horizontal="center" vertical="center"/>
    </xf>
    <xf numFmtId="176" fontId="55" fillId="26" borderId="0">
      <alignment horizontal="left" vertical="center"/>
    </xf>
    <xf numFmtId="176" fontId="110" fillId="0" borderId="29"/>
    <xf numFmtId="176" fontId="120" fillId="27" borderId="0">
      <alignment horizontal="left"/>
    </xf>
    <xf numFmtId="176" fontId="111" fillId="0" borderId="25"/>
    <xf numFmtId="176" fontId="111" fillId="0" borderId="25"/>
    <xf numFmtId="177" fontId="73" fillId="0" borderId="0"/>
    <xf numFmtId="176" fontId="118" fillId="0" borderId="0">
      <alignment horizontal="left"/>
    </xf>
    <xf numFmtId="176" fontId="119" fillId="0" borderId="33">
      <alignment horizontal="left" vertical="top"/>
    </xf>
    <xf numFmtId="176" fontId="37" fillId="0" borderId="0">
      <alignment horizontal="right"/>
    </xf>
    <xf numFmtId="176" fontId="40" fillId="0" borderId="0"/>
    <xf numFmtId="176" fontId="43" fillId="0" borderId="34">
      <protection locked="0"/>
    </xf>
    <xf numFmtId="176" fontId="36" fillId="0" borderId="0">
      <alignment horizontal="right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76" fontId="40" fillId="0" borderId="23">
      <alignment horizontal="centerContinuous"/>
    </xf>
    <xf numFmtId="183" fontId="40" fillId="0" borderId="27"/>
    <xf numFmtId="176" fontId="112" fillId="0" borderId="0"/>
    <xf numFmtId="176" fontId="113" fillId="0" borderId="25"/>
    <xf numFmtId="176" fontId="113" fillId="0" borderId="25"/>
    <xf numFmtId="176" fontId="114" fillId="0" borderId="25"/>
    <xf numFmtId="176" fontId="114" fillId="0" borderId="25"/>
    <xf numFmtId="176" fontId="115" fillId="0" borderId="25"/>
    <xf numFmtId="176" fontId="115" fillId="0" borderId="25"/>
    <xf numFmtId="214" fontId="74" fillId="0" borderId="0">
      <alignment horizontal="right"/>
      <protection hidden="1"/>
    </xf>
    <xf numFmtId="176" fontId="7" fillId="0" borderId="0"/>
    <xf numFmtId="9" fontId="40" fillId="0" borderId="0"/>
    <xf numFmtId="9" fontId="25" fillId="0" borderId="0">
      <alignment vertical="center"/>
    </xf>
    <xf numFmtId="9" fontId="2" fillId="0" borderId="0"/>
    <xf numFmtId="9" fontId="2" fillId="0" borderId="0">
      <alignment vertical="center"/>
    </xf>
    <xf numFmtId="9" fontId="4" fillId="0" borderId="0"/>
    <xf numFmtId="9" fontId="2" fillId="0" borderId="0">
      <alignment vertical="center"/>
    </xf>
    <xf numFmtId="9" fontId="25" fillId="0" borderId="0">
      <alignment vertical="center"/>
    </xf>
    <xf numFmtId="9" fontId="4" fillId="0" borderId="0"/>
    <xf numFmtId="9" fontId="4" fillId="0" borderId="0"/>
    <xf numFmtId="9" fontId="25" fillId="0" borderId="0">
      <alignment vertical="center"/>
    </xf>
    <xf numFmtId="9" fontId="40" fillId="0" borderId="0"/>
    <xf numFmtId="9" fontId="25" fillId="0" borderId="0">
      <alignment vertical="center"/>
    </xf>
    <xf numFmtId="9" fontId="2" fillId="0" borderId="0"/>
    <xf numFmtId="176" fontId="84" fillId="0" borderId="0"/>
    <xf numFmtId="176" fontId="84" fillId="0" borderId="0"/>
    <xf numFmtId="176" fontId="60" fillId="0" borderId="35">
      <alignment vertical="center"/>
    </xf>
    <xf numFmtId="176" fontId="60" fillId="0" borderId="35">
      <alignment vertical="center"/>
    </xf>
    <xf numFmtId="176" fontId="60" fillId="0" borderId="35">
      <alignment vertical="center"/>
    </xf>
    <xf numFmtId="176" fontId="60" fillId="0" borderId="35">
      <alignment vertical="center"/>
    </xf>
    <xf numFmtId="176" fontId="60" fillId="0" borderId="35">
      <alignment vertical="center"/>
    </xf>
    <xf numFmtId="176" fontId="61" fillId="0" borderId="36">
      <alignment vertical="center"/>
    </xf>
    <xf numFmtId="176" fontId="61" fillId="0" borderId="36">
      <alignment vertical="center"/>
    </xf>
    <xf numFmtId="176" fontId="61" fillId="0" borderId="36">
      <alignment vertical="center"/>
    </xf>
    <xf numFmtId="176" fontId="61" fillId="0" borderId="36">
      <alignment vertical="center"/>
    </xf>
    <xf numFmtId="176" fontId="61" fillId="0" borderId="36">
      <alignment vertical="center"/>
    </xf>
    <xf numFmtId="176" fontId="62" fillId="0" borderId="37">
      <alignment vertical="center"/>
    </xf>
    <xf numFmtId="176" fontId="62" fillId="0" borderId="37">
      <alignment vertical="center"/>
    </xf>
    <xf numFmtId="176" fontId="62" fillId="0" borderId="37">
      <alignment vertical="center"/>
    </xf>
    <xf numFmtId="176" fontId="62" fillId="0" borderId="37">
      <alignment vertical="center"/>
    </xf>
    <xf numFmtId="176" fontId="62" fillId="0" borderId="37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176" fontId="59" fillId="0" borderId="0">
      <alignment vertical="center"/>
    </xf>
    <xf numFmtId="176" fontId="59" fillId="0" borderId="0">
      <alignment vertical="center"/>
    </xf>
    <xf numFmtId="176" fontId="59" fillId="0" borderId="0">
      <alignment vertical="center"/>
    </xf>
    <xf numFmtId="176" fontId="59" fillId="0" borderId="0">
      <alignment vertical="center"/>
    </xf>
    <xf numFmtId="176" fontId="59" fillId="0" borderId="0">
      <alignment vertical="center"/>
    </xf>
    <xf numFmtId="176" fontId="85" fillId="0" borderId="0"/>
    <xf numFmtId="176" fontId="63" fillId="6" borderId="0">
      <alignment vertical="center"/>
    </xf>
    <xf numFmtId="176" fontId="63" fillId="6" borderId="0">
      <alignment vertical="center"/>
    </xf>
    <xf numFmtId="176" fontId="63" fillId="6" borderId="0">
      <alignment vertical="center"/>
    </xf>
    <xf numFmtId="176" fontId="63" fillId="6" borderId="0">
      <alignment vertical="center"/>
    </xf>
    <xf numFmtId="176" fontId="63" fillId="6" borderId="0">
      <alignment vertical="center"/>
    </xf>
    <xf numFmtId="176" fontId="63" fillId="10" borderId="0">
      <alignment vertical="center"/>
    </xf>
    <xf numFmtId="176" fontId="86" fillId="6" borderId="0">
      <alignment vertical="center"/>
    </xf>
    <xf numFmtId="176" fontId="63" fillId="6" borderId="0">
      <alignment vertical="center"/>
    </xf>
    <xf numFmtId="176" fontId="63" fillId="6" borderId="0">
      <alignment vertical="center"/>
    </xf>
    <xf numFmtId="176" fontId="63" fillId="6" borderId="0">
      <alignment vertical="center"/>
    </xf>
    <xf numFmtId="176" fontId="63" fillId="10" borderId="0">
      <alignment vertical="center"/>
    </xf>
    <xf numFmtId="176" fontId="63" fillId="6" borderId="0">
      <alignment vertical="center"/>
    </xf>
    <xf numFmtId="176" fontId="31" fillId="0" borderId="0"/>
    <xf numFmtId="176" fontId="31" fillId="0" borderId="0"/>
    <xf numFmtId="176" fontId="31" fillId="0" borderId="0"/>
    <xf numFmtId="176" fontId="31" fillId="0" borderId="0"/>
    <xf numFmtId="176" fontId="31" fillId="0" borderId="0"/>
    <xf numFmtId="176" fontId="36" fillId="0" borderId="0">
      <alignment horizontal="center"/>
    </xf>
    <xf numFmtId="176" fontId="31" fillId="0" borderId="0"/>
    <xf numFmtId="176" fontId="31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31" fillId="0" borderId="0">
      <alignment vertical="center"/>
      <protection locked="0"/>
    </xf>
    <xf numFmtId="176" fontId="31" fillId="0" borderId="0"/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4" fillId="0" borderId="0">
      <protection locked="0"/>
    </xf>
    <xf numFmtId="176" fontId="11" fillId="0" borderId="0">
      <protection locked="0"/>
    </xf>
    <xf numFmtId="176" fontId="2" fillId="0" borderId="0"/>
    <xf numFmtId="176" fontId="126" fillId="0" borderId="0">
      <protection locked="0"/>
    </xf>
    <xf numFmtId="176" fontId="126" fillId="0" borderId="0">
      <protection locked="0"/>
    </xf>
    <xf numFmtId="176" fontId="2" fillId="0" borderId="0"/>
    <xf numFmtId="176" fontId="11" fillId="0" borderId="0">
      <protection locked="0"/>
    </xf>
    <xf numFmtId="176" fontId="4" fillId="0" borderId="0"/>
    <xf numFmtId="176" fontId="25" fillId="0" borderId="0">
      <alignment vertical="center"/>
    </xf>
    <xf numFmtId="176" fontId="4" fillId="0" borderId="0"/>
    <xf numFmtId="176" fontId="31" fillId="0" borderId="0">
      <alignment vertical="center"/>
    </xf>
    <xf numFmtId="176" fontId="31" fillId="0" borderId="0">
      <alignment vertical="center"/>
    </xf>
    <xf numFmtId="176" fontId="31" fillId="0" borderId="0">
      <alignment vertical="center"/>
    </xf>
    <xf numFmtId="176" fontId="25" fillId="0" borderId="0">
      <alignment vertical="center"/>
    </xf>
    <xf numFmtId="176" fontId="31" fillId="0" borderId="0">
      <alignment vertical="center"/>
    </xf>
    <xf numFmtId="176" fontId="31" fillId="0" borderId="0">
      <alignment vertical="center"/>
    </xf>
    <xf numFmtId="176" fontId="25" fillId="0" borderId="0">
      <alignment vertical="center"/>
    </xf>
    <xf numFmtId="176" fontId="75" fillId="0" borderId="0">
      <protection locked="0"/>
    </xf>
    <xf numFmtId="176" fontId="31" fillId="0" borderId="0">
      <alignment vertical="center"/>
    </xf>
    <xf numFmtId="176" fontId="31" fillId="0" borderId="0"/>
    <xf numFmtId="176" fontId="31" fillId="0" borderId="0"/>
    <xf numFmtId="176" fontId="31" fillId="0" borderId="0"/>
    <xf numFmtId="176" fontId="53" fillId="0" borderId="0"/>
    <xf numFmtId="176" fontId="64" fillId="7" borderId="0">
      <alignment vertical="center"/>
    </xf>
    <xf numFmtId="176" fontId="64" fillId="7" borderId="0">
      <alignment vertical="center"/>
    </xf>
    <xf numFmtId="176" fontId="64" fillId="7" borderId="0">
      <alignment vertical="center"/>
    </xf>
    <xf numFmtId="176" fontId="64" fillId="7" borderId="0">
      <alignment vertical="center"/>
    </xf>
    <xf numFmtId="176" fontId="64" fillId="7" borderId="0">
      <alignment vertical="center"/>
    </xf>
    <xf numFmtId="176" fontId="64" fillId="11" borderId="0">
      <alignment vertical="center"/>
    </xf>
    <xf numFmtId="176" fontId="87" fillId="7" borderId="0">
      <alignment vertical="center"/>
    </xf>
    <xf numFmtId="176" fontId="64" fillId="7" borderId="0">
      <alignment vertical="center"/>
    </xf>
    <xf numFmtId="176" fontId="64" fillId="7" borderId="0">
      <alignment vertical="center"/>
    </xf>
    <xf numFmtId="176" fontId="64" fillId="7" borderId="0">
      <alignment vertical="center"/>
    </xf>
    <xf numFmtId="176" fontId="64" fillId="11" borderId="0">
      <alignment vertical="center"/>
    </xf>
    <xf numFmtId="176" fontId="64" fillId="7" borderId="0">
      <alignment vertical="center"/>
    </xf>
    <xf numFmtId="176" fontId="38" fillId="0" borderId="38">
      <alignment vertical="center"/>
    </xf>
    <xf numFmtId="176" fontId="38" fillId="0" borderId="38">
      <alignment vertical="center"/>
    </xf>
    <xf numFmtId="176" fontId="38" fillId="0" borderId="38">
      <alignment vertical="center"/>
    </xf>
    <xf numFmtId="176" fontId="38" fillId="0" borderId="38">
      <alignment vertical="center"/>
    </xf>
    <xf numFmtId="176" fontId="38" fillId="0" borderId="38">
      <alignment vertical="center"/>
    </xf>
    <xf numFmtId="176" fontId="38" fillId="0" borderId="38">
      <alignment vertical="center"/>
    </xf>
    <xf numFmtId="176" fontId="38" fillId="0" borderId="38">
      <alignment vertical="center"/>
    </xf>
    <xf numFmtId="176" fontId="38" fillId="0" borderId="38">
      <alignment vertical="center"/>
    </xf>
    <xf numFmtId="176" fontId="38" fillId="0" borderId="38">
      <alignment vertical="center"/>
    </xf>
    <xf numFmtId="176" fontId="38" fillId="0" borderId="38">
      <alignment vertical="center"/>
    </xf>
    <xf numFmtId="176" fontId="38" fillId="0" borderId="38">
      <alignment vertical="center"/>
    </xf>
    <xf numFmtId="176" fontId="38" fillId="0" borderId="38">
      <alignment vertical="center"/>
    </xf>
    <xf numFmtId="176" fontId="38" fillId="0" borderId="38">
      <alignment vertical="center"/>
    </xf>
    <xf numFmtId="176" fontId="38" fillId="0" borderId="38">
      <alignment vertical="center"/>
    </xf>
    <xf numFmtId="176" fontId="38" fillId="0" borderId="38">
      <alignment vertical="center"/>
    </xf>
    <xf numFmtId="176" fontId="65" fillId="2" borderId="39">
      <alignment vertical="center"/>
    </xf>
    <xf numFmtId="176" fontId="65" fillId="2" borderId="39">
      <alignment vertical="center"/>
    </xf>
    <xf numFmtId="176" fontId="65" fillId="2" borderId="39">
      <alignment vertical="center"/>
    </xf>
    <xf numFmtId="176" fontId="65" fillId="2" borderId="39">
      <alignment vertical="center"/>
    </xf>
    <xf numFmtId="176" fontId="65" fillId="2" borderId="39">
      <alignment vertical="center"/>
    </xf>
    <xf numFmtId="176" fontId="65" fillId="2" borderId="39">
      <alignment vertical="center"/>
    </xf>
    <xf numFmtId="176" fontId="65" fillId="2" borderId="39">
      <alignment vertical="center"/>
    </xf>
    <xf numFmtId="176" fontId="65" fillId="2" borderId="39">
      <alignment vertical="center"/>
    </xf>
    <xf numFmtId="176" fontId="65" fillId="2" borderId="39">
      <alignment vertical="center"/>
    </xf>
    <xf numFmtId="176" fontId="65" fillId="2" borderId="39">
      <alignment vertical="center"/>
    </xf>
    <xf numFmtId="176" fontId="65" fillId="2" borderId="39">
      <alignment vertical="center"/>
    </xf>
    <xf numFmtId="176" fontId="65" fillId="2" borderId="39">
      <alignment vertical="center"/>
    </xf>
    <xf numFmtId="176" fontId="65" fillId="2" borderId="39">
      <alignment vertical="center"/>
    </xf>
    <xf numFmtId="176" fontId="65" fillId="2" borderId="39">
      <alignment vertical="center"/>
    </xf>
    <xf numFmtId="176" fontId="65" fillId="2" borderId="39">
      <alignment vertical="center"/>
    </xf>
    <xf numFmtId="176" fontId="66" fillId="28" borderId="40">
      <alignment vertical="center"/>
    </xf>
    <xf numFmtId="176" fontId="66" fillId="28" borderId="40">
      <alignment vertical="center"/>
    </xf>
    <xf numFmtId="176" fontId="66" fillId="28" borderId="40">
      <alignment vertical="center"/>
    </xf>
    <xf numFmtId="176" fontId="66" fillId="28" borderId="40">
      <alignment vertical="center"/>
    </xf>
    <xf numFmtId="176" fontId="66" fillId="28" borderId="40">
      <alignment vertical="center"/>
    </xf>
    <xf numFmtId="176" fontId="39" fillId="0" borderId="0">
      <alignment vertical="center"/>
    </xf>
    <xf numFmtId="176" fontId="39" fillId="0" borderId="0">
      <alignment vertical="center"/>
    </xf>
    <xf numFmtId="176" fontId="39" fillId="0" borderId="0">
      <alignment vertical="center"/>
    </xf>
    <xf numFmtId="176" fontId="39" fillId="0" borderId="0">
      <alignment vertical="center"/>
    </xf>
    <xf numFmtId="176" fontId="39" fillId="0" borderId="0">
      <alignment vertical="center"/>
    </xf>
    <xf numFmtId="176" fontId="67" fillId="0" borderId="0">
      <alignment vertical="center"/>
    </xf>
    <xf numFmtId="176" fontId="67" fillId="0" borderId="0">
      <alignment vertical="center"/>
    </xf>
    <xf numFmtId="176" fontId="67" fillId="0" borderId="0">
      <alignment vertical="center"/>
    </xf>
    <xf numFmtId="176" fontId="67" fillId="0" borderId="0">
      <alignment vertical="center"/>
    </xf>
    <xf numFmtId="176" fontId="67" fillId="0" borderId="0">
      <alignment vertical="center"/>
    </xf>
    <xf numFmtId="176" fontId="68" fillId="0" borderId="41">
      <alignment vertical="center"/>
    </xf>
    <xf numFmtId="176" fontId="68" fillId="0" borderId="41">
      <alignment vertical="center"/>
    </xf>
    <xf numFmtId="176" fontId="68" fillId="0" borderId="41">
      <alignment vertical="center"/>
    </xf>
    <xf numFmtId="176" fontId="68" fillId="0" borderId="41">
      <alignment vertical="center"/>
    </xf>
    <xf numFmtId="176" fontId="68" fillId="0" borderId="41">
      <alignment vertical="center"/>
    </xf>
    <xf numFmtId="215" fontId="4" fillId="0" borderId="0"/>
    <xf numFmtId="216" fontId="4" fillId="0" borderId="0"/>
    <xf numFmtId="217" fontId="88" fillId="0" borderId="0"/>
    <xf numFmtId="218" fontId="88" fillId="0" borderId="0"/>
    <xf numFmtId="176" fontId="11" fillId="0" borderId="0"/>
    <xf numFmtId="41" fontId="11" fillId="0" borderId="0"/>
    <xf numFmtId="43" fontId="11" fillId="0" borderId="0"/>
    <xf numFmtId="41" fontId="40" fillId="0" borderId="0"/>
    <xf numFmtId="43" fontId="40" fillId="0" borderId="0"/>
    <xf numFmtId="43" fontId="25" fillId="0" borderId="0">
      <alignment vertical="center"/>
    </xf>
    <xf numFmtId="43" fontId="2" fillId="0" borderId="0"/>
    <xf numFmtId="43" fontId="2" fillId="0" borderId="0"/>
    <xf numFmtId="179" fontId="25" fillId="0" borderId="0">
      <alignment vertical="center"/>
    </xf>
    <xf numFmtId="43" fontId="4" fillId="0" borderId="0"/>
    <xf numFmtId="43" fontId="4" fillId="0" borderId="0"/>
    <xf numFmtId="43" fontId="40" fillId="0" borderId="0"/>
    <xf numFmtId="43" fontId="25" fillId="0" borderId="0"/>
    <xf numFmtId="43" fontId="4" fillId="0" borderId="0"/>
    <xf numFmtId="43" fontId="25" fillId="0" borderId="0">
      <alignment vertical="center"/>
    </xf>
    <xf numFmtId="219" fontId="25" fillId="0" borderId="0">
      <alignment vertical="center"/>
    </xf>
    <xf numFmtId="176" fontId="89" fillId="0" borderId="0"/>
    <xf numFmtId="176" fontId="58" fillId="29" borderId="0">
      <alignment vertical="center"/>
    </xf>
    <xf numFmtId="176" fontId="58" fillId="29" borderId="0">
      <alignment vertical="center"/>
    </xf>
    <xf numFmtId="176" fontId="58" fillId="29" borderId="0">
      <alignment vertical="center"/>
    </xf>
    <xf numFmtId="176" fontId="58" fillId="29" borderId="0">
      <alignment vertical="center"/>
    </xf>
    <xf numFmtId="176" fontId="58" fillId="29" borderId="0">
      <alignment vertical="center"/>
    </xf>
    <xf numFmtId="176" fontId="58" fillId="25" borderId="0">
      <alignment vertical="center"/>
    </xf>
    <xf numFmtId="176" fontId="58" fillId="25" borderId="0">
      <alignment vertical="center"/>
    </xf>
    <xf numFmtId="176" fontId="58" fillId="25" borderId="0">
      <alignment vertical="center"/>
    </xf>
    <xf numFmtId="176" fontId="58" fillId="25" borderId="0">
      <alignment vertical="center"/>
    </xf>
    <xf numFmtId="176" fontId="58" fillId="25" borderId="0">
      <alignment vertical="center"/>
    </xf>
    <xf numFmtId="176" fontId="58" fillId="30" borderId="0">
      <alignment vertical="center"/>
    </xf>
    <xf numFmtId="176" fontId="58" fillId="30" borderId="0">
      <alignment vertical="center"/>
    </xf>
    <xf numFmtId="176" fontId="58" fillId="30" borderId="0">
      <alignment vertical="center"/>
    </xf>
    <xf numFmtId="176" fontId="58" fillId="30" borderId="0">
      <alignment vertical="center"/>
    </xf>
    <xf numFmtId="176" fontId="58" fillId="30" borderId="0">
      <alignment vertical="center"/>
    </xf>
    <xf numFmtId="176" fontId="58" fillId="18" borderId="0">
      <alignment vertical="center"/>
    </xf>
    <xf numFmtId="176" fontId="58" fillId="18" borderId="0">
      <alignment vertical="center"/>
    </xf>
    <xf numFmtId="176" fontId="58" fillId="18" borderId="0">
      <alignment vertical="center"/>
    </xf>
    <xf numFmtId="176" fontId="58" fillId="18" borderId="0">
      <alignment vertical="center"/>
    </xf>
    <xf numFmtId="176" fontId="58" fillId="18" borderId="0">
      <alignment vertical="center"/>
    </xf>
    <xf numFmtId="176" fontId="58" fillId="19" borderId="0">
      <alignment vertical="center"/>
    </xf>
    <xf numFmtId="176" fontId="58" fillId="19" borderId="0">
      <alignment vertical="center"/>
    </xf>
    <xf numFmtId="176" fontId="58" fillId="19" borderId="0">
      <alignment vertical="center"/>
    </xf>
    <xf numFmtId="176" fontId="58" fillId="19" borderId="0">
      <alignment vertical="center"/>
    </xf>
    <xf numFmtId="176" fontId="58" fillId="19" borderId="0">
      <alignment vertical="center"/>
    </xf>
    <xf numFmtId="176" fontId="58" fillId="31" borderId="0">
      <alignment vertical="center"/>
    </xf>
    <xf numFmtId="176" fontId="58" fillId="31" borderId="0">
      <alignment vertical="center"/>
    </xf>
    <xf numFmtId="176" fontId="58" fillId="31" borderId="0">
      <alignment vertical="center"/>
    </xf>
    <xf numFmtId="176" fontId="58" fillId="31" borderId="0">
      <alignment vertical="center"/>
    </xf>
    <xf numFmtId="176" fontId="58" fillId="31" borderId="0">
      <alignment vertical="center"/>
    </xf>
    <xf numFmtId="176" fontId="69" fillId="3" borderId="0">
      <alignment vertical="center"/>
    </xf>
    <xf numFmtId="176" fontId="69" fillId="3" borderId="0">
      <alignment vertical="center"/>
    </xf>
    <xf numFmtId="176" fontId="69" fillId="3" borderId="0">
      <alignment vertical="center"/>
    </xf>
    <xf numFmtId="176" fontId="69" fillId="3" borderId="0">
      <alignment vertical="center"/>
    </xf>
    <xf numFmtId="176" fontId="69" fillId="3" borderId="0">
      <alignment vertical="center"/>
    </xf>
    <xf numFmtId="176" fontId="70" fillId="2" borderId="42">
      <alignment vertical="center"/>
    </xf>
    <xf numFmtId="176" fontId="70" fillId="2" borderId="42">
      <alignment vertical="center"/>
    </xf>
    <xf numFmtId="176" fontId="70" fillId="2" borderId="42">
      <alignment vertical="center"/>
    </xf>
    <xf numFmtId="176" fontId="70" fillId="2" borderId="42">
      <alignment vertical="center"/>
    </xf>
    <xf numFmtId="176" fontId="70" fillId="2" borderId="42">
      <alignment vertical="center"/>
    </xf>
    <xf numFmtId="176" fontId="70" fillId="2" borderId="42">
      <alignment vertical="center"/>
    </xf>
    <xf numFmtId="176" fontId="70" fillId="2" borderId="42">
      <alignment vertical="center"/>
    </xf>
    <xf numFmtId="176" fontId="70" fillId="2" borderId="42">
      <alignment vertical="center"/>
    </xf>
    <xf numFmtId="176" fontId="70" fillId="2" borderId="42">
      <alignment vertical="center"/>
    </xf>
    <xf numFmtId="176" fontId="70" fillId="2" borderId="42">
      <alignment vertical="center"/>
    </xf>
    <xf numFmtId="176" fontId="70" fillId="2" borderId="42">
      <alignment vertical="center"/>
    </xf>
    <xf numFmtId="176" fontId="70" fillId="2" borderId="42">
      <alignment vertical="center"/>
    </xf>
    <xf numFmtId="176" fontId="70" fillId="2" borderId="42">
      <alignment vertical="center"/>
    </xf>
    <xf numFmtId="176" fontId="70" fillId="2" borderId="42">
      <alignment vertical="center"/>
    </xf>
    <xf numFmtId="176" fontId="70" fillId="2" borderId="42">
      <alignment vertical="center"/>
    </xf>
    <xf numFmtId="176" fontId="71" fillId="12" borderId="39">
      <alignment vertical="center"/>
    </xf>
    <xf numFmtId="176" fontId="71" fillId="12" borderId="39">
      <alignment vertical="center"/>
    </xf>
    <xf numFmtId="176" fontId="71" fillId="12" borderId="39">
      <alignment vertical="center"/>
    </xf>
    <xf numFmtId="176" fontId="71" fillId="12" borderId="39">
      <alignment vertical="center"/>
    </xf>
    <xf numFmtId="176" fontId="71" fillId="12" borderId="39">
      <alignment vertical="center"/>
    </xf>
    <xf numFmtId="176" fontId="71" fillId="12" borderId="39">
      <alignment vertical="center"/>
    </xf>
    <xf numFmtId="176" fontId="71" fillId="12" borderId="39">
      <alignment vertical="center"/>
    </xf>
    <xf numFmtId="176" fontId="71" fillId="12" borderId="39">
      <alignment vertical="center"/>
    </xf>
    <xf numFmtId="176" fontId="71" fillId="12" borderId="39">
      <alignment vertical="center"/>
    </xf>
    <xf numFmtId="176" fontId="71" fillId="12" borderId="39">
      <alignment vertical="center"/>
    </xf>
    <xf numFmtId="176" fontId="71" fillId="12" borderId="39">
      <alignment vertical="center"/>
    </xf>
    <xf numFmtId="176" fontId="71" fillId="12" borderId="39">
      <alignment vertical="center"/>
    </xf>
    <xf numFmtId="176" fontId="71" fillId="12" borderId="39">
      <alignment vertical="center"/>
    </xf>
    <xf numFmtId="176" fontId="71" fillId="12" borderId="39">
      <alignment vertical="center"/>
    </xf>
    <xf numFmtId="176" fontId="71" fillId="12" borderId="39">
      <alignment vertical="center"/>
    </xf>
    <xf numFmtId="176" fontId="40" fillId="0" borderId="0"/>
    <xf numFmtId="176" fontId="40" fillId="0" borderId="0"/>
    <xf numFmtId="176" fontId="4" fillId="0" borderId="0">
      <protection locked="0"/>
    </xf>
    <xf numFmtId="176" fontId="122" fillId="0" borderId="0"/>
    <xf numFmtId="176" fontId="90" fillId="0" borderId="0"/>
    <xf numFmtId="40" fontId="84" fillId="0" borderId="0"/>
    <xf numFmtId="38" fontId="84" fillId="0" borderId="0"/>
    <xf numFmtId="176" fontId="25" fillId="24" borderId="43">
      <alignment vertical="center"/>
    </xf>
    <xf numFmtId="176" fontId="25" fillId="24" borderId="43">
      <alignment vertical="center"/>
    </xf>
    <xf numFmtId="176" fontId="25" fillId="24" borderId="43">
      <alignment vertical="center"/>
    </xf>
    <xf numFmtId="176" fontId="25" fillId="24" borderId="43">
      <alignment vertical="center"/>
    </xf>
    <xf numFmtId="176" fontId="25" fillId="24" borderId="43">
      <alignment vertical="center"/>
    </xf>
    <xf numFmtId="176" fontId="25" fillId="24" borderId="43">
      <alignment vertical="center"/>
    </xf>
    <xf numFmtId="176" fontId="25" fillId="24" borderId="43">
      <alignment vertical="center"/>
    </xf>
    <xf numFmtId="176" fontId="25" fillId="24" borderId="43">
      <alignment vertical="center"/>
    </xf>
    <xf numFmtId="176" fontId="25" fillId="24" borderId="43">
      <alignment vertical="center"/>
    </xf>
    <xf numFmtId="176" fontId="25" fillId="24" borderId="43">
      <alignment vertical="center"/>
    </xf>
    <xf numFmtId="176" fontId="25" fillId="24" borderId="43">
      <alignment vertical="center"/>
    </xf>
    <xf numFmtId="176" fontId="25" fillId="24" borderId="43">
      <alignment vertical="center"/>
    </xf>
    <xf numFmtId="176" fontId="25" fillId="24" borderId="43">
      <alignment vertical="center"/>
    </xf>
    <xf numFmtId="176" fontId="25" fillId="24" borderId="43">
      <alignment vertical="center"/>
    </xf>
    <xf numFmtId="176" fontId="25" fillId="24" borderId="43">
      <alignment vertical="center"/>
    </xf>
    <xf numFmtId="43" fontId="4" fillId="0" borderId="0"/>
    <xf numFmtId="38" fontId="56" fillId="0" borderId="0"/>
    <xf numFmtId="40" fontId="56" fillId="0" borderId="0"/>
    <xf numFmtId="176" fontId="56" fillId="0" borderId="0"/>
    <xf numFmtId="176" fontId="56" fillId="0" borderId="0"/>
    <xf numFmtId="176" fontId="57" fillId="0" borderId="0"/>
    <xf numFmtId="176" fontId="1" fillId="0" borderId="0">
      <alignment vertical="center"/>
    </xf>
    <xf numFmtId="43" fontId="1" fillId="0" borderId="0">
      <alignment vertical="center"/>
    </xf>
    <xf numFmtId="9" fontId="1" fillId="0" borderId="0">
      <alignment vertical="center"/>
    </xf>
    <xf numFmtId="176" fontId="136" fillId="0" borderId="0"/>
  </cellStyleXfs>
  <cellXfs count="593">
    <xf numFmtId="176" fontId="0" fillId="0" borderId="0" xfId="0"/>
    <xf numFmtId="3" fontId="4" fillId="0" borderId="0" xfId="0" applyNumberFormat="1" applyFont="1"/>
    <xf numFmtId="9" fontId="4" fillId="0" borderId="2" xfId="1" applyFont="1" applyBorder="1" applyAlignment="1">
      <alignment horizontal="right"/>
    </xf>
    <xf numFmtId="9" fontId="4" fillId="0" borderId="0" xfId="0" applyNumberFormat="1" applyFont="1" applyAlignment="1">
      <alignment horizontal="right"/>
    </xf>
    <xf numFmtId="3" fontId="9" fillId="0" borderId="1" xfId="0" applyNumberFormat="1" applyFont="1" applyBorder="1" applyAlignment="1">
      <alignment horizontal="right"/>
    </xf>
    <xf numFmtId="17" fontId="4" fillId="3" borderId="7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9" fontId="4" fillId="0" borderId="7" xfId="1" applyFont="1" applyBorder="1" applyAlignment="1">
      <alignment horizontal="center"/>
    </xf>
    <xf numFmtId="17" fontId="4" fillId="0" borderId="7" xfId="0" applyNumberFormat="1" applyFont="1" applyBorder="1" applyAlignment="1">
      <alignment horizontal="center"/>
    </xf>
    <xf numFmtId="10" fontId="4" fillId="0" borderId="7" xfId="0" applyNumberFormat="1" applyFont="1" applyBorder="1" applyAlignment="1">
      <alignment horizontal="center"/>
    </xf>
    <xf numFmtId="10" fontId="4" fillId="3" borderId="7" xfId="0" applyNumberFormat="1" applyFont="1" applyFill="1" applyBorder="1"/>
    <xf numFmtId="17" fontId="4" fillId="3" borderId="7" xfId="0" applyNumberFormat="1" applyFont="1" applyFill="1" applyBorder="1"/>
    <xf numFmtId="9" fontId="4" fillId="0" borderId="0" xfId="1" applyFont="1" applyAlignment="1">
      <alignment horizontal="center"/>
    </xf>
    <xf numFmtId="3" fontId="4" fillId="7" borderId="1" xfId="0" applyNumberFormat="1" applyFont="1" applyFill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3" fillId="0" borderId="7" xfId="0" applyNumberFormat="1" applyFont="1" applyBorder="1" applyAlignment="1">
      <alignment horizontal="center"/>
    </xf>
    <xf numFmtId="9" fontId="17" fillId="0" borderId="1" xfId="1" applyFont="1" applyBorder="1" applyAlignment="1">
      <alignment horizontal="right"/>
    </xf>
    <xf numFmtId="9" fontId="4" fillId="0" borderId="12" xfId="1" applyFont="1" applyBorder="1" applyAlignment="1">
      <alignment horizontal="right"/>
    </xf>
    <xf numFmtId="9" fontId="4" fillId="0" borderId="1" xfId="1" applyFont="1" applyBorder="1" applyAlignment="1">
      <alignment horizontal="right"/>
    </xf>
    <xf numFmtId="9" fontId="19" fillId="0" borderId="1" xfId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3" fontId="6" fillId="7" borderId="1" xfId="0" applyNumberFormat="1" applyFont="1" applyFill="1" applyBorder="1" applyAlignment="1">
      <alignment horizontal="right"/>
    </xf>
    <xf numFmtId="9" fontId="6" fillId="0" borderId="0" xfId="1" applyFont="1" applyAlignment="1">
      <alignment horizontal="right"/>
    </xf>
    <xf numFmtId="10" fontId="4" fillId="0" borderId="1" xfId="1" applyNumberFormat="1" applyFont="1" applyBorder="1" applyAlignment="1">
      <alignment horizontal="right"/>
    </xf>
    <xf numFmtId="3" fontId="27" fillId="0" borderId="1" xfId="0" applyNumberFormat="1" applyFont="1" applyBorder="1" applyAlignment="1">
      <alignment horizontal="right"/>
    </xf>
    <xf numFmtId="3" fontId="33" fillId="0" borderId="7" xfId="0" applyNumberFormat="1" applyFont="1" applyBorder="1" applyAlignment="1">
      <alignment horizontal="center"/>
    </xf>
    <xf numFmtId="3" fontId="13" fillId="0" borderId="7" xfId="0" applyNumberFormat="1" applyFont="1" applyBorder="1" applyAlignment="1">
      <alignment horizontal="right"/>
    </xf>
    <xf numFmtId="9" fontId="30" fillId="0" borderId="1" xfId="1" applyFont="1" applyBorder="1" applyAlignment="1">
      <alignment horizontal="right"/>
    </xf>
    <xf numFmtId="9" fontId="6" fillId="0" borderId="1" xfId="1" applyFont="1" applyBorder="1" applyAlignment="1">
      <alignment horizontal="right"/>
    </xf>
    <xf numFmtId="9" fontId="6" fillId="0" borderId="0" xfId="1" applyFont="1"/>
    <xf numFmtId="9" fontId="30" fillId="0" borderId="0" xfId="1" applyFont="1"/>
    <xf numFmtId="9" fontId="128" fillId="8" borderId="1" xfId="1" applyFont="1" applyFill="1" applyBorder="1" applyAlignment="1">
      <alignment horizontal="right"/>
    </xf>
    <xf numFmtId="9" fontId="128" fillId="8" borderId="0" xfId="1" applyFont="1" applyFill="1"/>
    <xf numFmtId="3" fontId="4" fillId="0" borderId="1" xfId="0" applyNumberFormat="1" applyFont="1" applyBorder="1" applyAlignment="1">
      <alignment horizontal="right" wrapText="1"/>
    </xf>
    <xf numFmtId="10" fontId="4" fillId="0" borderId="0" xfId="0" applyNumberFormat="1" applyFont="1"/>
    <xf numFmtId="9" fontId="9" fillId="0" borderId="0" xfId="1" applyFont="1" applyAlignment="1">
      <alignment horizontal="right"/>
    </xf>
    <xf numFmtId="9" fontId="4" fillId="39" borderId="7" xfId="0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right"/>
    </xf>
    <xf numFmtId="3" fontId="126" fillId="0" borderId="0" xfId="0" applyNumberFormat="1" applyFont="1" applyAlignment="1">
      <alignment horizontal="right"/>
    </xf>
    <xf numFmtId="3" fontId="126" fillId="0" borderId="2" xfId="0" applyNumberFormat="1" applyFont="1" applyBorder="1" applyAlignment="1">
      <alignment horizontal="right"/>
    </xf>
    <xf numFmtId="9" fontId="126" fillId="0" borderId="1" xfId="1" applyFont="1" applyBorder="1" applyAlignment="1">
      <alignment horizontal="right"/>
    </xf>
    <xf numFmtId="3" fontId="30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6" fillId="0" borderId="0" xfId="0" applyNumberFormat="1" applyFont="1"/>
    <xf numFmtId="3" fontId="30" fillId="0" borderId="1" xfId="0" applyNumberFormat="1" applyFont="1" applyBorder="1" applyAlignment="1">
      <alignment horizontal="right"/>
    </xf>
    <xf numFmtId="9" fontId="4" fillId="0" borderId="7" xfId="0" applyNumberFormat="1" applyFont="1" applyBorder="1" applyAlignment="1">
      <alignment horizontal="center"/>
    </xf>
    <xf numFmtId="9" fontId="30" fillId="8" borderId="1" xfId="1" applyFont="1" applyFill="1" applyBorder="1" applyAlignment="1">
      <alignment horizontal="right"/>
    </xf>
    <xf numFmtId="9" fontId="30" fillId="8" borderId="0" xfId="1" applyFont="1" applyFill="1"/>
    <xf numFmtId="3" fontId="30" fillId="8" borderId="0" xfId="0" applyNumberFormat="1" applyFont="1" applyFill="1" applyAlignment="1">
      <alignment horizontal="right"/>
    </xf>
    <xf numFmtId="9" fontId="9" fillId="8" borderId="1" xfId="1" applyFont="1" applyFill="1" applyBorder="1" applyAlignment="1">
      <alignment horizontal="right"/>
    </xf>
    <xf numFmtId="10" fontId="6" fillId="8" borderId="1" xfId="1" applyNumberFormat="1" applyFont="1" applyFill="1" applyBorder="1" applyAlignment="1">
      <alignment horizontal="right"/>
    </xf>
    <xf numFmtId="9" fontId="9" fillId="0" borderId="1" xfId="1" applyFont="1" applyBorder="1" applyAlignment="1">
      <alignment horizontal="right"/>
    </xf>
    <xf numFmtId="10" fontId="6" fillId="0" borderId="1" xfId="1" applyNumberFormat="1" applyFont="1" applyBorder="1" applyAlignment="1">
      <alignment horizontal="right"/>
    </xf>
    <xf numFmtId="10" fontId="6" fillId="0" borderId="0" xfId="1" applyNumberFormat="1" applyFont="1" applyAlignment="1">
      <alignment horizontal="right"/>
    </xf>
    <xf numFmtId="17" fontId="6" fillId="3" borderId="7" xfId="0" applyNumberFormat="1" applyFont="1" applyFill="1" applyBorder="1" applyAlignment="1">
      <alignment horizontal="center"/>
    </xf>
    <xf numFmtId="9" fontId="32" fillId="0" borderId="0" xfId="1" applyFont="1" applyAlignment="1">
      <alignment horizontal="right"/>
    </xf>
    <xf numFmtId="9" fontId="24" fillId="0" borderId="0" xfId="1" applyFont="1" applyAlignment="1">
      <alignment horizontal="right"/>
    </xf>
    <xf numFmtId="38" fontId="32" fillId="0" borderId="0" xfId="1" applyNumberFormat="1" applyFont="1" applyAlignment="1">
      <alignment horizontal="right"/>
    </xf>
    <xf numFmtId="38" fontId="24" fillId="0" borderId="0" xfId="1" applyNumberFormat="1" applyFont="1" applyAlignment="1">
      <alignment horizontal="right"/>
    </xf>
    <xf numFmtId="38" fontId="4" fillId="0" borderId="7" xfId="1" applyNumberFormat="1" applyFont="1" applyBorder="1" applyAlignment="1">
      <alignment horizontal="right"/>
    </xf>
    <xf numFmtId="38" fontId="4" fillId="0" borderId="28" xfId="1" applyNumberFormat="1" applyFont="1" applyBorder="1" applyAlignment="1">
      <alignment horizontal="right"/>
    </xf>
    <xf numFmtId="38" fontId="91" fillId="41" borderId="7" xfId="1" applyNumberFormat="1" applyFont="1" applyFill="1" applyBorder="1" applyAlignment="1">
      <alignment horizontal="right"/>
    </xf>
    <xf numFmtId="38" fontId="6" fillId="0" borderId="7" xfId="1" applyNumberFormat="1" applyFont="1" applyBorder="1" applyAlignment="1">
      <alignment horizontal="right"/>
    </xf>
    <xf numFmtId="9" fontId="32" fillId="0" borderId="27" xfId="1" applyFont="1" applyBorder="1" applyAlignment="1">
      <alignment horizontal="right"/>
    </xf>
    <xf numFmtId="9" fontId="24" fillId="0" borderId="27" xfId="1" applyFont="1" applyBorder="1" applyAlignment="1">
      <alignment horizontal="right"/>
    </xf>
    <xf numFmtId="38" fontId="135" fillId="41" borderId="20" xfId="1" applyNumberFormat="1" applyFont="1" applyFill="1" applyBorder="1" applyAlignment="1">
      <alignment horizontal="right"/>
    </xf>
    <xf numFmtId="38" fontId="135" fillId="41" borderId="7" xfId="1" applyNumberFormat="1" applyFont="1" applyFill="1" applyBorder="1" applyAlignment="1">
      <alignment horizontal="right"/>
    </xf>
    <xf numFmtId="9" fontId="32" fillId="0" borderId="10" xfId="1" applyFont="1" applyBorder="1" applyAlignment="1">
      <alignment horizontal="right"/>
    </xf>
    <xf numFmtId="9" fontId="24" fillId="0" borderId="10" xfId="1" applyFont="1" applyBorder="1" applyAlignment="1">
      <alignment horizontal="right"/>
    </xf>
    <xf numFmtId="38" fontId="6" fillId="0" borderId="11" xfId="1" applyNumberFormat="1" applyFont="1" applyBorder="1" applyAlignment="1">
      <alignment horizontal="right"/>
    </xf>
    <xf numFmtId="38" fontId="91" fillId="41" borderId="11" xfId="1" applyNumberFormat="1" applyFont="1" applyFill="1" applyBorder="1" applyAlignment="1">
      <alignment horizontal="right"/>
    </xf>
    <xf numFmtId="38" fontId="4" fillId="0" borderId="45" xfId="1" applyNumberFormat="1" applyFont="1" applyBorder="1" applyAlignment="1">
      <alignment horizontal="right"/>
    </xf>
    <xf numFmtId="38" fontId="4" fillId="0" borderId="16" xfId="1" applyNumberFormat="1" applyFont="1" applyBorder="1" applyAlignment="1">
      <alignment horizontal="right"/>
    </xf>
    <xf numFmtId="38" fontId="4" fillId="0" borderId="23" xfId="1" applyNumberFormat="1" applyFont="1" applyBorder="1" applyAlignment="1">
      <alignment horizontal="right"/>
    </xf>
    <xf numFmtId="38" fontId="4" fillId="0" borderId="47" xfId="1" applyNumberFormat="1" applyFont="1" applyBorder="1" applyAlignment="1">
      <alignment horizontal="right"/>
    </xf>
    <xf numFmtId="38" fontId="91" fillId="41" borderId="19" xfId="1" applyNumberFormat="1" applyFont="1" applyFill="1" applyBorder="1" applyAlignment="1">
      <alignment horizontal="right"/>
    </xf>
    <xf numFmtId="38" fontId="6" fillId="0" borderId="19" xfId="1" applyNumberFormat="1" applyFont="1" applyBorder="1" applyAlignment="1">
      <alignment horizontal="right"/>
    </xf>
    <xf numFmtId="38" fontId="6" fillId="0" borderId="16" xfId="1" applyNumberFormat="1" applyFont="1" applyBorder="1" applyAlignment="1">
      <alignment horizontal="right"/>
    </xf>
    <xf numFmtId="38" fontId="91" fillId="41" borderId="16" xfId="1" applyNumberFormat="1" applyFont="1" applyFill="1" applyBorder="1" applyAlignment="1">
      <alignment horizontal="right"/>
    </xf>
    <xf numFmtId="38" fontId="135" fillId="41" borderId="16" xfId="1" applyNumberFormat="1" applyFont="1" applyFill="1" applyBorder="1" applyAlignment="1">
      <alignment horizontal="right"/>
    </xf>
    <xf numFmtId="38" fontId="135" fillId="41" borderId="57" xfId="1" applyNumberFormat="1" applyFont="1" applyFill="1" applyBorder="1" applyAlignment="1">
      <alignment horizontal="right"/>
    </xf>
    <xf numFmtId="9" fontId="32" fillId="0" borderId="3" xfId="1" applyFont="1" applyBorder="1" applyAlignment="1">
      <alignment horizontal="right"/>
    </xf>
    <xf numFmtId="9" fontId="24" fillId="0" borderId="3" xfId="1" applyFont="1" applyBorder="1" applyAlignment="1">
      <alignment horizontal="right"/>
    </xf>
    <xf numFmtId="9" fontId="6" fillId="0" borderId="3" xfId="1" applyFont="1" applyBorder="1" applyAlignment="1">
      <alignment horizontal="right"/>
    </xf>
    <xf numFmtId="9" fontId="91" fillId="41" borderId="7" xfId="1" applyFont="1" applyFill="1" applyBorder="1" applyAlignment="1">
      <alignment horizontal="right"/>
    </xf>
    <xf numFmtId="9" fontId="135" fillId="41" borderId="7" xfId="1" applyFont="1" applyFill="1" applyBorder="1" applyAlignment="1">
      <alignment horizontal="right"/>
    </xf>
    <xf numFmtId="9" fontId="91" fillId="41" borderId="16" xfId="1" applyFont="1" applyFill="1" applyBorder="1" applyAlignment="1">
      <alignment horizontal="right"/>
    </xf>
    <xf numFmtId="38" fontId="4" fillId="8" borderId="7" xfId="1" applyNumberFormat="1" applyFont="1" applyFill="1" applyBorder="1" applyAlignment="1">
      <alignment horizontal="right"/>
    </xf>
    <xf numFmtId="38" fontId="4" fillId="8" borderId="28" xfId="1" applyNumberFormat="1" applyFont="1" applyFill="1" applyBorder="1" applyAlignment="1">
      <alignment horizontal="right"/>
    </xf>
    <xf numFmtId="38" fontId="4" fillId="8" borderId="45" xfId="1" applyNumberFormat="1" applyFont="1" applyFill="1" applyBorder="1" applyAlignment="1">
      <alignment horizontal="right"/>
    </xf>
    <xf numFmtId="38" fontId="91" fillId="8" borderId="11" xfId="1" applyNumberFormat="1" applyFont="1" applyFill="1" applyBorder="1" applyAlignment="1">
      <alignment horizontal="right"/>
    </xf>
    <xf numFmtId="38" fontId="6" fillId="8" borderId="11" xfId="1" applyNumberFormat="1" applyFont="1" applyFill="1" applyBorder="1" applyAlignment="1">
      <alignment horizontal="right"/>
    </xf>
    <xf numFmtId="38" fontId="91" fillId="8" borderId="7" xfId="1" applyNumberFormat="1" applyFont="1" applyFill="1" applyBorder="1" applyAlignment="1">
      <alignment horizontal="right"/>
    </xf>
    <xf numFmtId="38" fontId="135" fillId="8" borderId="7" xfId="1" applyNumberFormat="1" applyFont="1" applyFill="1" applyBorder="1" applyAlignment="1">
      <alignment horizontal="right"/>
    </xf>
    <xf numFmtId="38" fontId="135" fillId="8" borderId="20" xfId="1" applyNumberFormat="1" applyFont="1" applyFill="1" applyBorder="1" applyAlignment="1">
      <alignment horizontal="right"/>
    </xf>
    <xf numFmtId="38" fontId="32" fillId="8" borderId="0" xfId="1" applyNumberFormat="1" applyFont="1" applyFill="1" applyAlignment="1">
      <alignment horizontal="right"/>
    </xf>
    <xf numFmtId="38" fontId="24" fillId="8" borderId="0" xfId="1" applyNumberFormat="1" applyFont="1" applyFill="1" applyAlignment="1">
      <alignment horizontal="right"/>
    </xf>
    <xf numFmtId="9" fontId="9" fillId="42" borderId="0" xfId="1" applyFont="1" applyFill="1" applyAlignment="1">
      <alignment horizontal="right"/>
    </xf>
    <xf numFmtId="49" fontId="0" fillId="0" borderId="0" xfId="0" applyNumberFormat="1" applyAlignment="1">
      <alignment horizontal="center"/>
    </xf>
    <xf numFmtId="10" fontId="139" fillId="37" borderId="5" xfId="0" applyNumberFormat="1" applyFont="1" applyFill="1" applyBorder="1" applyAlignment="1">
      <alignment horizontal="center"/>
    </xf>
    <xf numFmtId="10" fontId="139" fillId="37" borderId="44" xfId="0" applyNumberFormat="1" applyFont="1" applyFill="1" applyBorder="1" applyAlignment="1">
      <alignment horizontal="center"/>
    </xf>
    <xf numFmtId="10" fontId="140" fillId="37" borderId="5" xfId="0" applyNumberFormat="1" applyFont="1" applyFill="1" applyBorder="1" applyAlignment="1">
      <alignment horizontal="center"/>
    </xf>
    <xf numFmtId="10" fontId="140" fillId="37" borderId="4" xfId="0" applyNumberFormat="1" applyFont="1" applyFill="1" applyBorder="1" applyAlignment="1">
      <alignment horizontal="center"/>
    </xf>
    <xf numFmtId="10" fontId="140" fillId="37" borderId="61" xfId="0" applyNumberFormat="1" applyFont="1" applyFill="1" applyBorder="1" applyAlignment="1">
      <alignment horizontal="center"/>
    </xf>
    <xf numFmtId="38" fontId="4" fillId="0" borderId="6" xfId="0" applyNumberFormat="1" applyFont="1" applyBorder="1" applyAlignment="1">
      <alignment horizontal="left"/>
    </xf>
    <xf numFmtId="38" fontId="141" fillId="0" borderId="0" xfId="0" applyNumberFormat="1" applyFont="1"/>
    <xf numFmtId="38" fontId="4" fillId="8" borderId="6" xfId="0" applyNumberFormat="1" applyFont="1" applyFill="1" applyBorder="1" applyAlignment="1">
      <alignment horizontal="left"/>
    </xf>
    <xf numFmtId="9" fontId="6" fillId="0" borderId="7" xfId="1" applyFont="1" applyBorder="1" applyAlignment="1">
      <alignment horizontal="right"/>
    </xf>
    <xf numFmtId="9" fontId="137" fillId="41" borderId="6" xfId="1" applyFont="1" applyFill="1" applyBorder="1" applyAlignment="1">
      <alignment horizontal="right"/>
    </xf>
    <xf numFmtId="9" fontId="137" fillId="41" borderId="7" xfId="1" applyFont="1" applyFill="1" applyBorder="1" applyAlignment="1">
      <alignment horizontal="right"/>
    </xf>
    <xf numFmtId="9" fontId="137" fillId="41" borderId="8" xfId="1" applyFont="1" applyFill="1" applyBorder="1" applyAlignment="1">
      <alignment horizontal="right"/>
    </xf>
    <xf numFmtId="9" fontId="4" fillId="0" borderId="7" xfId="1" applyFont="1" applyBorder="1" applyAlignment="1">
      <alignment horizontal="right"/>
    </xf>
    <xf numFmtId="9" fontId="4" fillId="0" borderId="28" xfId="1" applyFont="1" applyBorder="1" applyAlignment="1">
      <alignment horizontal="right"/>
    </xf>
    <xf numFmtId="9" fontId="4" fillId="0" borderId="45" xfId="1" applyFont="1" applyBorder="1" applyAlignment="1">
      <alignment horizontal="right"/>
    </xf>
    <xf numFmtId="9" fontId="128" fillId="41" borderId="6" xfId="1" applyFont="1" applyFill="1" applyBorder="1" applyAlignment="1">
      <alignment horizontal="right"/>
    </xf>
    <xf numFmtId="9" fontId="128" fillId="41" borderId="7" xfId="1" applyFont="1" applyFill="1" applyBorder="1" applyAlignment="1">
      <alignment horizontal="right"/>
    </xf>
    <xf numFmtId="9" fontId="128" fillId="41" borderId="8" xfId="1" applyFont="1" applyFill="1" applyBorder="1" applyAlignment="1">
      <alignment horizontal="right"/>
    </xf>
    <xf numFmtId="9" fontId="6" fillId="0" borderId="48" xfId="1" applyFont="1" applyBorder="1" applyAlignment="1">
      <alignment horizontal="right"/>
    </xf>
    <xf numFmtId="9" fontId="6" fillId="0" borderId="16" xfId="1" applyFont="1" applyBorder="1" applyAlignment="1">
      <alignment horizontal="right"/>
    </xf>
    <xf numFmtId="9" fontId="6" fillId="0" borderId="11" xfId="1" applyFont="1" applyBorder="1" applyAlignment="1">
      <alignment horizontal="right"/>
    </xf>
    <xf numFmtId="9" fontId="6" fillId="0" borderId="56" xfId="1" applyFont="1" applyBorder="1" applyAlignment="1">
      <alignment horizontal="right"/>
    </xf>
    <xf numFmtId="9" fontId="4" fillId="0" borderId="62" xfId="1" applyFont="1" applyBorder="1" applyAlignment="1">
      <alignment horizontal="right"/>
    </xf>
    <xf numFmtId="9" fontId="128" fillId="41" borderId="67" xfId="1" applyFont="1" applyFill="1" applyBorder="1" applyAlignment="1">
      <alignment horizontal="right"/>
    </xf>
    <xf numFmtId="9" fontId="128" fillId="41" borderId="63" xfId="1" applyFont="1" applyFill="1" applyBorder="1" applyAlignment="1">
      <alignment horizontal="right"/>
    </xf>
    <xf numFmtId="9" fontId="128" fillId="41" borderId="68" xfId="1" applyFont="1" applyFill="1" applyBorder="1" applyAlignment="1">
      <alignment horizontal="right"/>
    </xf>
    <xf numFmtId="10" fontId="139" fillId="37" borderId="4" xfId="0" applyNumberFormat="1" applyFont="1" applyFill="1" applyBorder="1" applyAlignment="1">
      <alignment horizontal="center"/>
    </xf>
    <xf numFmtId="9" fontId="6" fillId="0" borderId="70" xfId="1" applyFont="1" applyBorder="1" applyAlignment="1">
      <alignment horizontal="right"/>
    </xf>
    <xf numFmtId="9" fontId="4" fillId="0" borderId="6" xfId="1" applyFont="1" applyBorder="1" applyAlignment="1">
      <alignment horizontal="right"/>
    </xf>
    <xf numFmtId="9" fontId="6" fillId="0" borderId="50" xfId="1" applyFont="1" applyBorder="1" applyAlignment="1">
      <alignment horizontal="right"/>
    </xf>
    <xf numFmtId="9" fontId="6" fillId="0" borderId="18" xfId="1" applyFont="1" applyBorder="1" applyAlignment="1">
      <alignment horizontal="right"/>
    </xf>
    <xf numFmtId="9" fontId="6" fillId="0" borderId="6" xfId="1" applyFont="1" applyBorder="1" applyAlignment="1">
      <alignment horizontal="right"/>
    </xf>
    <xf numFmtId="9" fontId="6" fillId="0" borderId="71" xfId="1" applyFont="1" applyBorder="1" applyAlignment="1">
      <alignment horizontal="right"/>
    </xf>
    <xf numFmtId="9" fontId="4" fillId="0" borderId="71" xfId="1" applyFont="1" applyBorder="1" applyAlignment="1">
      <alignment horizontal="right"/>
    </xf>
    <xf numFmtId="9" fontId="4" fillId="0" borderId="67" xfId="1" applyFont="1" applyBorder="1" applyAlignment="1">
      <alignment horizontal="right"/>
    </xf>
    <xf numFmtId="9" fontId="6" fillId="0" borderId="45" xfId="1" applyFont="1" applyBorder="1" applyAlignment="1">
      <alignment horizontal="right"/>
    </xf>
    <xf numFmtId="9" fontId="6" fillId="0" borderId="34" xfId="1" applyFont="1" applyBorder="1" applyAlignment="1">
      <alignment horizontal="right"/>
    </xf>
    <xf numFmtId="9" fontId="6" fillId="0" borderId="47" xfId="1" applyFont="1" applyBorder="1" applyAlignment="1">
      <alignment horizontal="right"/>
    </xf>
    <xf numFmtId="9" fontId="6" fillId="0" borderId="28" xfId="1" applyFont="1" applyBorder="1" applyAlignment="1">
      <alignment horizontal="right"/>
    </xf>
    <xf numFmtId="9" fontId="4" fillId="0" borderId="72" xfId="1" applyFont="1" applyBorder="1" applyAlignment="1">
      <alignment horizontal="right"/>
    </xf>
    <xf numFmtId="9" fontId="6" fillId="38" borderId="65" xfId="1" applyFont="1" applyFill="1" applyBorder="1" applyAlignment="1">
      <alignment horizontal="right"/>
    </xf>
    <xf numFmtId="9" fontId="4" fillId="38" borderId="65" xfId="1" applyFont="1" applyFill="1" applyBorder="1" applyAlignment="1">
      <alignment horizontal="right"/>
    </xf>
    <xf numFmtId="9" fontId="4" fillId="38" borderId="66" xfId="1" applyFont="1" applyFill="1" applyBorder="1" applyAlignment="1">
      <alignment horizontal="right"/>
    </xf>
    <xf numFmtId="16" fontId="142" fillId="37" borderId="64" xfId="0" quotePrefix="1" applyNumberFormat="1" applyFont="1" applyFill="1" applyBorder="1" applyAlignment="1">
      <alignment horizontal="center" wrapText="1"/>
    </xf>
    <xf numFmtId="10" fontId="4" fillId="0" borderId="0" xfId="1" applyNumberFormat="1" applyFont="1" applyAlignment="1">
      <alignment horizontal="right"/>
    </xf>
    <xf numFmtId="10" fontId="4" fillId="0" borderId="0" xfId="1" applyNumberFormat="1" applyFont="1"/>
    <xf numFmtId="10" fontId="144" fillId="0" borderId="0" xfId="1" applyNumberFormat="1" applyFont="1" applyAlignment="1">
      <alignment horizontal="right"/>
    </xf>
    <xf numFmtId="10" fontId="144" fillId="0" borderId="0" xfId="1" applyNumberFormat="1" applyFont="1"/>
    <xf numFmtId="9" fontId="137" fillId="41" borderId="70" xfId="1" applyFont="1" applyFill="1" applyBorder="1" applyAlignment="1">
      <alignment horizontal="right"/>
    </xf>
    <xf numFmtId="9" fontId="128" fillId="41" borderId="70" xfId="1" applyFont="1" applyFill="1" applyBorder="1" applyAlignment="1">
      <alignment horizontal="right"/>
    </xf>
    <xf numFmtId="9" fontId="128" fillId="41" borderId="73" xfId="1" applyFont="1" applyFill="1" applyBorder="1" applyAlignment="1">
      <alignment horizontal="right"/>
    </xf>
    <xf numFmtId="9" fontId="4" fillId="0" borderId="0" xfId="1" applyFont="1" applyAlignment="1">
      <alignment horizontal="right"/>
    </xf>
    <xf numFmtId="9" fontId="6" fillId="3" borderId="7" xfId="1" applyFont="1" applyFill="1" applyBorder="1"/>
    <xf numFmtId="10" fontId="139" fillId="37" borderId="75" xfId="0" applyNumberFormat="1" applyFont="1" applyFill="1" applyBorder="1" applyAlignment="1">
      <alignment horizontal="center"/>
    </xf>
    <xf numFmtId="10" fontId="139" fillId="37" borderId="76" xfId="0" applyNumberFormat="1" applyFont="1" applyFill="1" applyBorder="1" applyAlignment="1">
      <alignment horizontal="center"/>
    </xf>
    <xf numFmtId="16" fontId="139" fillId="37" borderId="75" xfId="0" quotePrefix="1" applyNumberFormat="1" applyFont="1" applyFill="1" applyBorder="1" applyAlignment="1">
      <alignment horizontal="center" wrapText="1"/>
    </xf>
    <xf numFmtId="10" fontId="139" fillId="37" borderId="77" xfId="0" applyNumberFormat="1" applyFont="1" applyFill="1" applyBorder="1" applyAlignment="1">
      <alignment horizontal="center"/>
    </xf>
    <xf numFmtId="16" fontId="139" fillId="37" borderId="76" xfId="0" quotePrefix="1" applyNumberFormat="1" applyFont="1" applyFill="1" applyBorder="1" applyAlignment="1">
      <alignment horizontal="center" wrapText="1"/>
    </xf>
    <xf numFmtId="10" fontId="140" fillId="37" borderId="77" xfId="0" applyNumberFormat="1" applyFont="1" applyFill="1" applyBorder="1" applyAlignment="1">
      <alignment horizontal="center"/>
    </xf>
    <xf numFmtId="10" fontId="140" fillId="37" borderId="76" xfId="0" applyNumberFormat="1" applyFont="1" applyFill="1" applyBorder="1" applyAlignment="1">
      <alignment horizontal="center"/>
    </xf>
    <xf numFmtId="10" fontId="140" fillId="37" borderId="75" xfId="0" applyNumberFormat="1" applyFont="1" applyFill="1" applyBorder="1" applyAlignment="1">
      <alignment horizontal="center"/>
    </xf>
    <xf numFmtId="10" fontId="140" fillId="37" borderId="78" xfId="0" applyNumberFormat="1" applyFont="1" applyFill="1" applyBorder="1" applyAlignment="1">
      <alignment horizontal="center"/>
    </xf>
    <xf numFmtId="10" fontId="139" fillId="37" borderId="74" xfId="0" applyNumberFormat="1" applyFont="1" applyFill="1" applyBorder="1" applyAlignment="1">
      <alignment horizontal="center"/>
    </xf>
    <xf numFmtId="16" fontId="142" fillId="37" borderId="79" xfId="0" quotePrefix="1" applyNumberFormat="1" applyFont="1" applyFill="1" applyBorder="1" applyAlignment="1">
      <alignment horizontal="center" wrapText="1"/>
    </xf>
    <xf numFmtId="10" fontId="140" fillId="37" borderId="74" xfId="0" applyNumberFormat="1" applyFont="1" applyFill="1" applyBorder="1" applyAlignment="1">
      <alignment horizontal="center"/>
    </xf>
    <xf numFmtId="10" fontId="140" fillId="37" borderId="80" xfId="0" applyNumberFormat="1" applyFont="1" applyFill="1" applyBorder="1" applyAlignment="1">
      <alignment horizontal="center"/>
    </xf>
    <xf numFmtId="9" fontId="6" fillId="0" borderId="81" xfId="1" applyFont="1" applyBorder="1" applyAlignment="1">
      <alignment horizontal="right"/>
    </xf>
    <xf numFmtId="9" fontId="6" fillId="0" borderId="84" xfId="1" applyFont="1" applyBorder="1" applyAlignment="1">
      <alignment horizontal="right"/>
    </xf>
    <xf numFmtId="9" fontId="6" fillId="0" borderId="27" xfId="1" applyFont="1" applyBorder="1" applyAlignment="1">
      <alignment horizontal="right"/>
    </xf>
    <xf numFmtId="9" fontId="6" fillId="38" borderId="86" xfId="1" applyFont="1" applyFill="1" applyBorder="1" applyAlignment="1">
      <alignment horizontal="right"/>
    </xf>
    <xf numFmtId="9" fontId="137" fillId="41" borderId="18" xfId="1" applyFont="1" applyFill="1" applyBorder="1" applyAlignment="1">
      <alignment horizontal="right"/>
    </xf>
    <xf numFmtId="9" fontId="137" fillId="41" borderId="16" xfId="1" applyFont="1" applyFill="1" applyBorder="1" applyAlignment="1">
      <alignment horizontal="right"/>
    </xf>
    <xf numFmtId="9" fontId="137" fillId="41" borderId="17" xfId="1" applyFont="1" applyFill="1" applyBorder="1" applyAlignment="1">
      <alignment horizontal="right"/>
    </xf>
    <xf numFmtId="9" fontId="137" fillId="41" borderId="87" xfId="1" applyFont="1" applyFill="1" applyBorder="1" applyAlignment="1">
      <alignment horizontal="right"/>
    </xf>
    <xf numFmtId="9" fontId="6" fillId="0" borderId="89" xfId="1" applyFont="1" applyBorder="1" applyAlignment="1">
      <alignment horizontal="right"/>
    </xf>
    <xf numFmtId="9" fontId="6" fillId="0" borderId="5" xfId="1" applyFont="1" applyBorder="1" applyAlignment="1">
      <alignment horizontal="right"/>
    </xf>
    <xf numFmtId="9" fontId="6" fillId="0" borderId="44" xfId="1" applyFont="1" applyBorder="1" applyAlignment="1">
      <alignment horizontal="right"/>
    </xf>
    <xf numFmtId="9" fontId="6" fillId="38" borderId="64" xfId="1" applyFont="1" applyFill="1" applyBorder="1" applyAlignment="1">
      <alignment horizontal="right"/>
    </xf>
    <xf numFmtId="9" fontId="137" fillId="41" borderId="4" xfId="1" applyFont="1" applyFill="1" applyBorder="1" applyAlignment="1">
      <alignment horizontal="right"/>
    </xf>
    <xf numFmtId="9" fontId="137" fillId="41" borderId="5" xfId="1" applyFont="1" applyFill="1" applyBorder="1" applyAlignment="1">
      <alignment horizontal="right"/>
    </xf>
    <xf numFmtId="9" fontId="137" fillId="41" borderId="61" xfId="1" applyFont="1" applyFill="1" applyBorder="1" applyAlignment="1">
      <alignment horizontal="right"/>
    </xf>
    <xf numFmtId="9" fontId="137" fillId="41" borderId="89" xfId="1" applyFont="1" applyFill="1" applyBorder="1" applyAlignment="1">
      <alignment horizontal="right"/>
    </xf>
    <xf numFmtId="9" fontId="4" fillId="0" borderId="90" xfId="1" applyFont="1" applyBorder="1" applyAlignment="1">
      <alignment horizontal="right"/>
    </xf>
    <xf numFmtId="9" fontId="12" fillId="0" borderId="7" xfId="1" applyFont="1" applyBorder="1" applyAlignment="1">
      <alignment horizontal="center" vertical="center"/>
    </xf>
    <xf numFmtId="17" fontId="6" fillId="0" borderId="7" xfId="0" applyNumberFormat="1" applyFont="1" applyBorder="1"/>
    <xf numFmtId="9" fontId="4" fillId="0" borderId="7" xfId="1" applyFont="1" applyBorder="1"/>
    <xf numFmtId="9" fontId="4" fillId="0" borderId="0" xfId="1" applyFont="1"/>
    <xf numFmtId="17" fontId="4" fillId="0" borderId="7" xfId="0" applyNumberFormat="1" applyFont="1" applyBorder="1"/>
    <xf numFmtId="9" fontId="6" fillId="38" borderId="23" xfId="1" applyFont="1" applyFill="1" applyBorder="1" applyAlignment="1">
      <alignment horizontal="right"/>
    </xf>
    <xf numFmtId="9" fontId="6" fillId="38" borderId="28" xfId="1" applyFont="1" applyFill="1" applyBorder="1" applyAlignment="1">
      <alignment horizontal="right"/>
    </xf>
    <xf numFmtId="9" fontId="40" fillId="0" borderId="0" xfId="1" applyFont="1"/>
    <xf numFmtId="9" fontId="4" fillId="0" borderId="63" xfId="1" applyFont="1" applyBorder="1" applyAlignment="1">
      <alignment horizontal="right"/>
    </xf>
    <xf numFmtId="9" fontId="6" fillId="38" borderId="16" xfId="1" applyFont="1" applyFill="1" applyBorder="1" applyAlignment="1">
      <alignment horizontal="right"/>
    </xf>
    <xf numFmtId="9" fontId="6" fillId="38" borderId="7" xfId="1" applyFont="1" applyFill="1" applyBorder="1" applyAlignment="1">
      <alignment horizontal="right"/>
    </xf>
    <xf numFmtId="9" fontId="137" fillId="41" borderId="44" xfId="1" applyFont="1" applyFill="1" applyBorder="1" applyAlignment="1">
      <alignment horizontal="right"/>
    </xf>
    <xf numFmtId="9" fontId="128" fillId="41" borderId="45" xfId="1" applyFont="1" applyFill="1" applyBorder="1" applyAlignment="1">
      <alignment horizontal="right"/>
    </xf>
    <xf numFmtId="9" fontId="128" fillId="41" borderId="90" xfId="1" applyFont="1" applyFill="1" applyBorder="1" applyAlignment="1">
      <alignment horizontal="right"/>
    </xf>
    <xf numFmtId="9" fontId="137" fillId="41" borderId="47" xfId="1" applyFont="1" applyFill="1" applyBorder="1" applyAlignment="1">
      <alignment horizontal="right"/>
    </xf>
    <xf numFmtId="9" fontId="137" fillId="41" borderId="45" xfId="1" applyFont="1" applyFill="1" applyBorder="1" applyAlignment="1">
      <alignment horizontal="right"/>
    </xf>
    <xf numFmtId="9" fontId="6" fillId="0" borderId="49" xfId="1" applyFont="1" applyBorder="1" applyAlignment="1">
      <alignment horizontal="right"/>
    </xf>
    <xf numFmtId="9" fontId="6" fillId="0" borderId="4" xfId="1" applyFont="1" applyBorder="1" applyAlignment="1">
      <alignment horizontal="right"/>
    </xf>
    <xf numFmtId="9" fontId="6" fillId="38" borderId="18" xfId="1" applyFont="1" applyFill="1" applyBorder="1" applyAlignment="1">
      <alignment horizontal="right"/>
    </xf>
    <xf numFmtId="9" fontId="6" fillId="38" borderId="6" xfId="1" applyFont="1" applyFill="1" applyBorder="1" applyAlignment="1">
      <alignment horizontal="right"/>
    </xf>
    <xf numFmtId="10" fontId="140" fillId="45" borderId="80" xfId="0" applyNumberFormat="1" applyFont="1" applyFill="1" applyBorder="1" applyAlignment="1">
      <alignment horizontal="center"/>
    </xf>
    <xf numFmtId="9" fontId="40" fillId="0" borderId="7" xfId="1" applyFont="1" applyBorder="1" applyAlignment="1">
      <alignment horizontal="center"/>
    </xf>
    <xf numFmtId="9" fontId="94" fillId="0" borderId="7" xfId="1" applyFont="1" applyBorder="1" applyAlignment="1">
      <alignment horizontal="center"/>
    </xf>
    <xf numFmtId="9" fontId="144" fillId="0" borderId="0" xfId="1" applyFont="1"/>
    <xf numFmtId="9" fontId="4" fillId="44" borderId="6" xfId="1" applyFont="1" applyFill="1" applyBorder="1" applyAlignment="1">
      <alignment horizontal="right"/>
    </xf>
    <xf numFmtId="9" fontId="4" fillId="44" borderId="28" xfId="1" applyFont="1" applyFill="1" applyBorder="1" applyAlignment="1">
      <alignment horizontal="right"/>
    </xf>
    <xf numFmtId="9" fontId="4" fillId="44" borderId="45" xfId="1" applyFont="1" applyFill="1" applyBorder="1" applyAlignment="1">
      <alignment horizontal="right"/>
    </xf>
    <xf numFmtId="9" fontId="4" fillId="44" borderId="65" xfId="1" applyFont="1" applyFill="1" applyBorder="1" applyAlignment="1">
      <alignment horizontal="right"/>
    </xf>
    <xf numFmtId="9" fontId="128" fillId="44" borderId="6" xfId="1" applyFont="1" applyFill="1" applyBorder="1" applyAlignment="1">
      <alignment horizontal="right"/>
    </xf>
    <xf numFmtId="9" fontId="128" fillId="44" borderId="7" xfId="1" applyFont="1" applyFill="1" applyBorder="1" applyAlignment="1">
      <alignment horizontal="right"/>
    </xf>
    <xf numFmtId="9" fontId="128" fillId="44" borderId="70" xfId="1" applyFont="1" applyFill="1" applyBorder="1" applyAlignment="1">
      <alignment horizontal="right"/>
    </xf>
    <xf numFmtId="9" fontId="128" fillId="44" borderId="45" xfId="1" applyFont="1" applyFill="1" applyBorder="1" applyAlignment="1">
      <alignment horizontal="right"/>
    </xf>
    <xf numFmtId="9" fontId="4" fillId="44" borderId="7" xfId="1" applyFont="1" applyFill="1" applyBorder="1" applyAlignment="1">
      <alignment horizontal="right"/>
    </xf>
    <xf numFmtId="9" fontId="128" fillId="44" borderId="8" xfId="1" applyFont="1" applyFill="1" applyBorder="1" applyAlignment="1">
      <alignment horizontal="right"/>
    </xf>
    <xf numFmtId="9" fontId="4" fillId="44" borderId="73" xfId="1" applyFont="1" applyFill="1" applyBorder="1" applyAlignment="1">
      <alignment horizontal="right"/>
    </xf>
    <xf numFmtId="9" fontId="4" fillId="44" borderId="63" xfId="1" applyFont="1" applyFill="1" applyBorder="1" applyAlignment="1">
      <alignment horizontal="right"/>
    </xf>
    <xf numFmtId="9" fontId="4" fillId="44" borderId="90" xfId="1" applyFont="1" applyFill="1" applyBorder="1" applyAlignment="1">
      <alignment horizontal="right"/>
    </xf>
    <xf numFmtId="9" fontId="4" fillId="44" borderId="66" xfId="1" applyFont="1" applyFill="1" applyBorder="1" applyAlignment="1">
      <alignment horizontal="right"/>
    </xf>
    <xf numFmtId="9" fontId="128" fillId="44" borderId="67" xfId="1" applyFont="1" applyFill="1" applyBorder="1" applyAlignment="1">
      <alignment horizontal="right"/>
    </xf>
    <xf numFmtId="9" fontId="128" fillId="44" borderId="63" xfId="1" applyFont="1" applyFill="1" applyBorder="1" applyAlignment="1">
      <alignment horizontal="right"/>
    </xf>
    <xf numFmtId="9" fontId="128" fillId="44" borderId="68" xfId="1" applyFont="1" applyFill="1" applyBorder="1" applyAlignment="1">
      <alignment horizontal="right"/>
    </xf>
    <xf numFmtId="9" fontId="128" fillId="44" borderId="73" xfId="1" applyFont="1" applyFill="1" applyBorder="1" applyAlignment="1">
      <alignment horizontal="right"/>
    </xf>
    <xf numFmtId="9" fontId="128" fillId="44" borderId="90" xfId="1" applyFont="1" applyFill="1" applyBorder="1" applyAlignment="1">
      <alignment horizontal="right"/>
    </xf>
    <xf numFmtId="9" fontId="4" fillId="44" borderId="67" xfId="1" applyFont="1" applyFill="1" applyBorder="1" applyAlignment="1">
      <alignment horizontal="right"/>
    </xf>
    <xf numFmtId="9" fontId="4" fillId="44" borderId="72" xfId="1" applyFont="1" applyFill="1" applyBorder="1" applyAlignment="1">
      <alignment horizontal="right"/>
    </xf>
    <xf numFmtId="9" fontId="4" fillId="44" borderId="92" xfId="1" applyFont="1" applyFill="1" applyBorder="1" applyAlignment="1">
      <alignment horizontal="right"/>
    </xf>
    <xf numFmtId="9" fontId="4" fillId="44" borderId="16" xfId="1" applyFont="1" applyFill="1" applyBorder="1" applyAlignment="1">
      <alignment horizontal="right"/>
    </xf>
    <xf numFmtId="9" fontId="4" fillId="44" borderId="47" xfId="1" applyFont="1" applyFill="1" applyBorder="1" applyAlignment="1">
      <alignment horizontal="right"/>
    </xf>
    <xf numFmtId="9" fontId="4" fillId="44" borderId="86" xfId="1" applyFont="1" applyFill="1" applyBorder="1" applyAlignment="1">
      <alignment horizontal="right"/>
    </xf>
    <xf numFmtId="9" fontId="128" fillId="44" borderId="18" xfId="1" applyFont="1" applyFill="1" applyBorder="1" applyAlignment="1">
      <alignment horizontal="right"/>
    </xf>
    <xf numFmtId="9" fontId="128" fillId="44" borderId="16" xfId="1" applyFont="1" applyFill="1" applyBorder="1" applyAlignment="1">
      <alignment horizontal="right"/>
    </xf>
    <xf numFmtId="9" fontId="128" fillId="44" borderId="17" xfId="1" applyFont="1" applyFill="1" applyBorder="1" applyAlignment="1">
      <alignment horizontal="right"/>
    </xf>
    <xf numFmtId="9" fontId="128" fillId="44" borderId="87" xfId="1" applyFont="1" applyFill="1" applyBorder="1" applyAlignment="1">
      <alignment horizontal="right"/>
    </xf>
    <xf numFmtId="9" fontId="128" fillId="44" borderId="47" xfId="1" applyFont="1" applyFill="1" applyBorder="1" applyAlignment="1">
      <alignment horizontal="right"/>
    </xf>
    <xf numFmtId="9" fontId="4" fillId="44" borderId="18" xfId="1" applyFont="1" applyFill="1" applyBorder="1" applyAlignment="1">
      <alignment horizontal="right"/>
    </xf>
    <xf numFmtId="9" fontId="4" fillId="44" borderId="23" xfId="1" applyFont="1" applyFill="1" applyBorder="1" applyAlignment="1">
      <alignment horizontal="right"/>
    </xf>
    <xf numFmtId="0" fontId="138" fillId="46" borderId="0" xfId="0" applyNumberFormat="1" applyFont="1" applyFill="1" applyAlignment="1">
      <alignment horizontal="center"/>
    </xf>
    <xf numFmtId="0" fontId="5" fillId="2" borderId="1" xfId="0" applyNumberFormat="1" applyFont="1" applyFill="1" applyBorder="1" applyAlignment="1">
      <alignment horizontal="left"/>
    </xf>
    <xf numFmtId="9" fontId="144" fillId="0" borderId="1" xfId="1" applyFont="1" applyBorder="1" applyAlignment="1">
      <alignment horizontal="right"/>
    </xf>
    <xf numFmtId="0" fontId="138" fillId="48" borderId="0" xfId="0" applyNumberFormat="1" applyFont="1" applyFill="1" applyAlignment="1">
      <alignment horizontal="center"/>
    </xf>
    <xf numFmtId="9" fontId="4" fillId="0" borderId="7" xfId="1" applyFont="1" applyBorder="1" applyAlignment="1">
      <alignment vertical="center"/>
    </xf>
    <xf numFmtId="9" fontId="4" fillId="40" borderId="0" xfId="1" applyFont="1" applyFill="1"/>
    <xf numFmtId="0" fontId="0" fillId="0" borderId="0" xfId="0" applyNumberFormat="1"/>
    <xf numFmtId="176" fontId="20" fillId="0" borderId="0" xfId="0" applyFont="1" applyAlignment="1">
      <alignment horizontal="center"/>
    </xf>
    <xf numFmtId="176" fontId="0" fillId="0" borderId="0" xfId="0" applyAlignment="1">
      <alignment horizontal="center"/>
    </xf>
    <xf numFmtId="176" fontId="2" fillId="0" borderId="0" xfId="0" applyFont="1" applyAlignment="1">
      <alignment horizontal="center"/>
    </xf>
    <xf numFmtId="176" fontId="136" fillId="0" borderId="0" xfId="1418"/>
    <xf numFmtId="176" fontId="2" fillId="0" borderId="0" xfId="0" applyFont="1"/>
    <xf numFmtId="176" fontId="0" fillId="0" borderId="0" xfId="0"/>
    <xf numFmtId="176" fontId="2" fillId="0" borderId="0" xfId="0" applyFont="1" applyAlignment="1">
      <alignment wrapText="1"/>
    </xf>
    <xf numFmtId="176" fontId="2" fillId="0" borderId="0" xfId="0" quotePrefix="1" applyFont="1"/>
    <xf numFmtId="176" fontId="138" fillId="0" borderId="0" xfId="0" applyFont="1"/>
    <xf numFmtId="176" fontId="4" fillId="0" borderId="0" xfId="0" applyFont="1" applyAlignment="1">
      <alignment horizontal="left"/>
    </xf>
    <xf numFmtId="176" fontId="4" fillId="42" borderId="0" xfId="0" applyFont="1" applyFill="1" applyAlignment="1">
      <alignment horizontal="left"/>
    </xf>
    <xf numFmtId="176" fontId="138" fillId="42" borderId="0" xfId="0" applyFont="1" applyFill="1"/>
    <xf numFmtId="176" fontId="138" fillId="47" borderId="0" xfId="0" applyFont="1" applyFill="1" applyAlignment="1">
      <alignment horizontal="center" wrapText="1"/>
    </xf>
    <xf numFmtId="176" fontId="139" fillId="37" borderId="74" xfId="0" applyFont="1" applyFill="1" applyBorder="1" applyAlignment="1">
      <alignment horizontal="left"/>
    </xf>
    <xf numFmtId="176" fontId="6" fillId="0" borderId="4" xfId="0" applyFont="1" applyBorder="1" applyAlignment="1">
      <alignment horizontal="left"/>
    </xf>
    <xf numFmtId="177" fontId="4" fillId="0" borderId="5" xfId="1" applyNumberFormat="1" applyFont="1" applyBorder="1" applyAlignment="1">
      <alignment horizontal="right"/>
    </xf>
    <xf numFmtId="177" fontId="4" fillId="0" borderId="44" xfId="1" applyNumberFormat="1" applyFont="1" applyBorder="1" applyAlignment="1">
      <alignment horizontal="right"/>
    </xf>
    <xf numFmtId="177" fontId="91" fillId="41" borderId="49" xfId="1" applyNumberFormat="1" applyFont="1" applyFill="1" applyBorder="1" applyAlignment="1">
      <alignment horizontal="right"/>
    </xf>
    <xf numFmtId="177" fontId="6" fillId="0" borderId="88" xfId="1" applyNumberFormat="1" applyFont="1" applyBorder="1" applyAlignment="1">
      <alignment horizontal="right"/>
    </xf>
    <xf numFmtId="177" fontId="6" fillId="0" borderId="44" xfId="1" applyNumberFormat="1" applyFont="1" applyBorder="1" applyAlignment="1">
      <alignment horizontal="right"/>
    </xf>
    <xf numFmtId="177" fontId="91" fillId="41" borderId="44" xfId="1" applyNumberFormat="1" applyFont="1" applyFill="1" applyBorder="1" applyAlignment="1">
      <alignment horizontal="right"/>
    </xf>
    <xf numFmtId="177" fontId="135" fillId="41" borderId="5" xfId="1" applyNumberFormat="1" applyFont="1" applyFill="1" applyBorder="1" applyAlignment="1">
      <alignment horizontal="right"/>
    </xf>
    <xf numFmtId="177" fontId="135" fillId="41" borderId="21" xfId="1" applyNumberFormat="1" applyFont="1" applyFill="1" applyBorder="1" applyAlignment="1">
      <alignment horizontal="right"/>
    </xf>
    <xf numFmtId="177" fontId="6" fillId="0" borderId="5" xfId="1" applyNumberFormat="1" applyFont="1" applyBorder="1" applyAlignment="1">
      <alignment horizontal="right"/>
    </xf>
    <xf numFmtId="177" fontId="135" fillId="41" borderId="49" xfId="1" applyNumberFormat="1" applyFont="1" applyFill="1" applyBorder="1" applyAlignment="1">
      <alignment horizontal="right"/>
    </xf>
    <xf numFmtId="176" fontId="4" fillId="44" borderId="6" xfId="0" applyFont="1" applyFill="1" applyBorder="1" applyAlignment="1">
      <alignment horizontal="left"/>
    </xf>
    <xf numFmtId="177" fontId="4" fillId="44" borderId="7" xfId="1" applyNumberFormat="1" applyFont="1" applyFill="1" applyBorder="1" applyAlignment="1">
      <alignment horizontal="right"/>
    </xf>
    <xf numFmtId="177" fontId="4" fillId="44" borderId="45" xfId="1" applyNumberFormat="1" applyFont="1" applyFill="1" applyBorder="1" applyAlignment="1">
      <alignment horizontal="right"/>
    </xf>
    <xf numFmtId="177" fontId="91" fillId="44" borderId="28" xfId="1" applyNumberFormat="1" applyFont="1" applyFill="1" applyBorder="1" applyAlignment="1">
      <alignment horizontal="right"/>
    </xf>
    <xf numFmtId="177" fontId="6" fillId="44" borderId="28" xfId="1" applyNumberFormat="1" applyFont="1" applyFill="1" applyBorder="1" applyAlignment="1">
      <alignment horizontal="right"/>
    </xf>
    <xf numFmtId="177" fontId="6" fillId="44" borderId="45" xfId="1" applyNumberFormat="1" applyFont="1" applyFill="1" applyBorder="1" applyAlignment="1">
      <alignment horizontal="right"/>
    </xf>
    <xf numFmtId="177" fontId="91" fillId="44" borderId="45" xfId="1" applyNumberFormat="1" applyFont="1" applyFill="1" applyBorder="1" applyAlignment="1">
      <alignment horizontal="right"/>
    </xf>
    <xf numFmtId="177" fontId="91" fillId="44" borderId="7" xfId="1" applyNumberFormat="1" applyFont="1" applyFill="1" applyBorder="1" applyAlignment="1">
      <alignment horizontal="right"/>
    </xf>
    <xf numFmtId="176" fontId="4" fillId="0" borderId="6" xfId="0" applyFont="1" applyBorder="1" applyAlignment="1">
      <alignment horizontal="left" indent="1"/>
    </xf>
    <xf numFmtId="177" fontId="4" fillId="0" borderId="7" xfId="1" applyNumberFormat="1" applyFont="1" applyBorder="1" applyAlignment="1">
      <alignment horizontal="right"/>
    </xf>
    <xf numFmtId="177" fontId="4" fillId="0" borderId="45" xfId="1" applyNumberFormat="1" applyFont="1" applyBorder="1" applyAlignment="1">
      <alignment horizontal="right"/>
    </xf>
    <xf numFmtId="177" fontId="91" fillId="41" borderId="28" xfId="1" applyNumberFormat="1" applyFont="1" applyFill="1" applyBorder="1" applyAlignment="1">
      <alignment horizontal="right"/>
    </xf>
    <xf numFmtId="177" fontId="6" fillId="0" borderId="28" xfId="1" applyNumberFormat="1" applyFont="1" applyBorder="1" applyAlignment="1">
      <alignment horizontal="right"/>
    </xf>
    <xf numFmtId="177" fontId="6" fillId="0" borderId="45" xfId="1" applyNumberFormat="1" applyFont="1" applyBorder="1" applyAlignment="1">
      <alignment horizontal="right"/>
    </xf>
    <xf numFmtId="177" fontId="91" fillId="41" borderId="45" xfId="1" applyNumberFormat="1" applyFont="1" applyFill="1" applyBorder="1" applyAlignment="1">
      <alignment horizontal="right"/>
    </xf>
    <xf numFmtId="177" fontId="91" fillId="41" borderId="7" xfId="1" applyNumberFormat="1" applyFont="1" applyFill="1" applyBorder="1" applyAlignment="1">
      <alignment horizontal="right"/>
    </xf>
    <xf numFmtId="176" fontId="4" fillId="0" borderId="67" xfId="0" applyFont="1" applyBorder="1" applyAlignment="1">
      <alignment horizontal="left" indent="1"/>
    </xf>
    <xf numFmtId="177" fontId="4" fillId="0" borderId="63" xfId="1" applyNumberFormat="1" applyFont="1" applyBorder="1" applyAlignment="1">
      <alignment horizontal="right"/>
    </xf>
    <xf numFmtId="177" fontId="4" fillId="0" borderId="90" xfId="1" applyNumberFormat="1" applyFont="1" applyBorder="1" applyAlignment="1">
      <alignment horizontal="right"/>
    </xf>
    <xf numFmtId="177" fontId="91" fillId="41" borderId="72" xfId="1" applyNumberFormat="1" applyFont="1" applyFill="1" applyBorder="1" applyAlignment="1">
      <alignment horizontal="right"/>
    </xf>
    <xf numFmtId="177" fontId="6" fillId="0" borderId="72" xfId="1" applyNumberFormat="1" applyFont="1" applyBorder="1" applyAlignment="1">
      <alignment horizontal="right"/>
    </xf>
    <xf numFmtId="177" fontId="6" fillId="0" borderId="90" xfId="1" applyNumberFormat="1" applyFont="1" applyBorder="1" applyAlignment="1">
      <alignment horizontal="right"/>
    </xf>
    <xf numFmtId="177" fontId="91" fillId="41" borderId="90" xfId="1" applyNumberFormat="1" applyFont="1" applyFill="1" applyBorder="1" applyAlignment="1">
      <alignment horizontal="right"/>
    </xf>
    <xf numFmtId="177" fontId="91" fillId="41" borderId="63" xfId="1" applyNumberFormat="1" applyFont="1" applyFill="1" applyBorder="1" applyAlignment="1">
      <alignment horizontal="right"/>
    </xf>
    <xf numFmtId="177" fontId="135" fillId="41" borderId="68" xfId="1" applyNumberFormat="1" applyFont="1" applyFill="1" applyBorder="1" applyAlignment="1">
      <alignment horizontal="right"/>
    </xf>
    <xf numFmtId="177" fontId="135" fillId="41" borderId="90" xfId="1" applyNumberFormat="1" applyFont="1" applyFill="1" applyBorder="1" applyAlignment="1">
      <alignment horizontal="right"/>
    </xf>
    <xf numFmtId="176" fontId="4" fillId="0" borderId="81" xfId="0" applyFont="1" applyBorder="1" applyAlignment="1">
      <alignment horizontal="left"/>
    </xf>
    <xf numFmtId="177" fontId="4" fillId="0" borderId="82" xfId="1" applyNumberFormat="1" applyFont="1" applyBorder="1" applyAlignment="1">
      <alignment horizontal="right"/>
    </xf>
    <xf numFmtId="177" fontId="4" fillId="0" borderId="83" xfId="1" applyNumberFormat="1" applyFont="1" applyBorder="1" applyAlignment="1">
      <alignment horizontal="right"/>
    </xf>
    <xf numFmtId="177" fontId="91" fillId="41" borderId="27" xfId="1" applyNumberFormat="1" applyFont="1" applyFill="1" applyBorder="1" applyAlignment="1">
      <alignment horizontal="right"/>
    </xf>
    <xf numFmtId="177" fontId="6" fillId="0" borderId="84" xfId="1" applyNumberFormat="1" applyFont="1" applyBorder="1" applyAlignment="1">
      <alignment horizontal="right"/>
    </xf>
    <xf numFmtId="177" fontId="6" fillId="0" borderId="27" xfId="1" applyNumberFormat="1" applyFont="1" applyBorder="1" applyAlignment="1">
      <alignment horizontal="right"/>
    </xf>
    <xf numFmtId="177" fontId="91" fillId="41" borderId="83" xfId="1" applyNumberFormat="1" applyFont="1" applyFill="1" applyBorder="1" applyAlignment="1">
      <alignment horizontal="right"/>
    </xf>
    <xf numFmtId="177" fontId="135" fillId="41" borderId="82" xfId="1" applyNumberFormat="1" applyFont="1" applyFill="1" applyBorder="1" applyAlignment="1">
      <alignment horizontal="right"/>
    </xf>
    <xf numFmtId="177" fontId="135" fillId="41" borderId="85" xfId="1" applyNumberFormat="1" applyFont="1" applyFill="1" applyBorder="1" applyAlignment="1">
      <alignment horizontal="right"/>
    </xf>
    <xf numFmtId="177" fontId="135" fillId="41" borderId="27" xfId="1" applyNumberFormat="1" applyFont="1" applyFill="1" applyBorder="1" applyAlignment="1">
      <alignment horizontal="right"/>
    </xf>
    <xf numFmtId="176" fontId="4" fillId="0" borderId="18" xfId="0" applyFont="1" applyBorder="1" applyAlignment="1">
      <alignment horizontal="left"/>
    </xf>
    <xf numFmtId="177" fontId="4" fillId="0" borderId="16" xfId="1" applyNumberFormat="1" applyFont="1" applyBorder="1" applyAlignment="1">
      <alignment horizontal="right"/>
    </xf>
    <xf numFmtId="177" fontId="4" fillId="0" borderId="47" xfId="1" applyNumberFormat="1" applyFont="1" applyBorder="1" applyAlignment="1">
      <alignment horizontal="right"/>
    </xf>
    <xf numFmtId="177" fontId="4" fillId="0" borderId="23" xfId="1" applyNumberFormat="1" applyFont="1" applyBorder="1" applyAlignment="1">
      <alignment horizontal="right"/>
    </xf>
    <xf numFmtId="177" fontId="91" fillId="41" borderId="19" xfId="1" applyNumberFormat="1" applyFont="1" applyFill="1" applyBorder="1" applyAlignment="1">
      <alignment horizontal="right"/>
    </xf>
    <xf numFmtId="177" fontId="6" fillId="0" borderId="19" xfId="1" applyNumberFormat="1" applyFont="1" applyBorder="1" applyAlignment="1">
      <alignment horizontal="right"/>
    </xf>
    <xf numFmtId="177" fontId="6" fillId="0" borderId="16" xfId="1" applyNumberFormat="1" applyFont="1" applyBorder="1" applyAlignment="1">
      <alignment horizontal="right"/>
    </xf>
    <xf numFmtId="177" fontId="91" fillId="41" borderId="16" xfId="1" applyNumberFormat="1" applyFont="1" applyFill="1" applyBorder="1" applyAlignment="1">
      <alignment horizontal="right"/>
    </xf>
    <xf numFmtId="177" fontId="135" fillId="41" borderId="16" xfId="1" applyNumberFormat="1" applyFont="1" applyFill="1" applyBorder="1" applyAlignment="1">
      <alignment horizontal="right"/>
    </xf>
    <xf numFmtId="177" fontId="135" fillId="41" borderId="17" xfId="1" applyNumberFormat="1" applyFont="1" applyFill="1" applyBorder="1" applyAlignment="1">
      <alignment horizontal="right"/>
    </xf>
    <xf numFmtId="177" fontId="135" fillId="41" borderId="47" xfId="1" applyNumberFormat="1" applyFont="1" applyFill="1" applyBorder="1" applyAlignment="1">
      <alignment horizontal="right"/>
    </xf>
    <xf numFmtId="176" fontId="4" fillId="0" borderId="6" xfId="0" applyFont="1" applyBorder="1" applyAlignment="1">
      <alignment horizontal="left"/>
    </xf>
    <xf numFmtId="177" fontId="4" fillId="0" borderId="28" xfId="1" applyNumberFormat="1" applyFont="1" applyBorder="1" applyAlignment="1">
      <alignment horizontal="right"/>
    </xf>
    <xf numFmtId="177" fontId="91" fillId="41" borderId="11" xfId="1" applyNumberFormat="1" applyFont="1" applyFill="1" applyBorder="1" applyAlignment="1">
      <alignment horizontal="right"/>
    </xf>
    <xf numFmtId="177" fontId="6" fillId="0" borderId="11" xfId="1" applyNumberFormat="1" applyFont="1" applyBorder="1" applyAlignment="1">
      <alignment horizontal="right"/>
    </xf>
    <xf numFmtId="177" fontId="6" fillId="0" borderId="7" xfId="1" applyNumberFormat="1" applyFont="1" applyBorder="1" applyAlignment="1">
      <alignment horizontal="right"/>
    </xf>
    <xf numFmtId="177" fontId="135" fillId="41" borderId="7" xfId="1" applyNumberFormat="1" applyFont="1" applyFill="1" applyBorder="1" applyAlignment="1">
      <alignment horizontal="right"/>
    </xf>
    <xf numFmtId="177" fontId="135" fillId="41" borderId="8" xfId="1" applyNumberFormat="1" applyFont="1" applyFill="1" applyBorder="1" applyAlignment="1">
      <alignment horizontal="right"/>
    </xf>
    <xf numFmtId="177" fontId="135" fillId="41" borderId="45" xfId="1" applyNumberFormat="1" applyFont="1" applyFill="1" applyBorder="1" applyAlignment="1">
      <alignment horizontal="right"/>
    </xf>
    <xf numFmtId="176" fontId="4" fillId="0" borderId="50" xfId="0" applyFont="1" applyBorder="1" applyAlignment="1">
      <alignment horizontal="left"/>
    </xf>
    <xf numFmtId="177" fontId="4" fillId="0" borderId="22" xfId="1" applyNumberFormat="1" applyFont="1" applyBorder="1" applyAlignment="1">
      <alignment horizontal="right"/>
    </xf>
    <xf numFmtId="177" fontId="4" fillId="0" borderId="46" xfId="1" applyNumberFormat="1" applyFont="1" applyBorder="1" applyAlignment="1">
      <alignment horizontal="right"/>
    </xf>
    <xf numFmtId="177" fontId="4" fillId="0" borderId="34" xfId="1" applyNumberFormat="1" applyFont="1" applyBorder="1" applyAlignment="1">
      <alignment horizontal="right"/>
    </xf>
    <xf numFmtId="177" fontId="91" fillId="41" borderId="48" xfId="1" applyNumberFormat="1" applyFont="1" applyFill="1" applyBorder="1" applyAlignment="1">
      <alignment horizontal="right"/>
    </xf>
    <xf numFmtId="177" fontId="6" fillId="0" borderId="48" xfId="1" applyNumberFormat="1" applyFont="1" applyBorder="1" applyAlignment="1">
      <alignment horizontal="right"/>
    </xf>
    <xf numFmtId="177" fontId="91" fillId="41" borderId="22" xfId="1" applyNumberFormat="1" applyFont="1" applyFill="1" applyBorder="1" applyAlignment="1">
      <alignment horizontal="right"/>
    </xf>
    <xf numFmtId="177" fontId="135" fillId="41" borderId="22" xfId="1" applyNumberFormat="1" applyFont="1" applyFill="1" applyBorder="1" applyAlignment="1">
      <alignment horizontal="right"/>
    </xf>
    <xf numFmtId="177" fontId="135" fillId="41" borderId="52" xfId="1" applyNumberFormat="1" applyFont="1" applyFill="1" applyBorder="1" applyAlignment="1">
      <alignment horizontal="right"/>
    </xf>
    <xf numFmtId="177" fontId="135" fillId="41" borderId="46" xfId="1" applyNumberFormat="1" applyFont="1" applyFill="1" applyBorder="1" applyAlignment="1">
      <alignment horizontal="right"/>
    </xf>
    <xf numFmtId="176" fontId="6" fillId="0" borderId="18" xfId="0" applyFont="1" applyBorder="1" applyAlignment="1">
      <alignment horizontal="left"/>
    </xf>
    <xf numFmtId="177" fontId="4" fillId="0" borderId="0" xfId="1" applyNumberFormat="1" applyFont="1" applyAlignment="1">
      <alignment horizontal="right"/>
    </xf>
    <xf numFmtId="177" fontId="4" fillId="0" borderId="15" xfId="1" applyNumberFormat="1" applyFont="1" applyBorder="1" applyAlignment="1">
      <alignment horizontal="right"/>
    </xf>
    <xf numFmtId="177" fontId="4" fillId="0" borderId="24" xfId="1" applyNumberFormat="1" applyFont="1" applyBorder="1" applyAlignment="1">
      <alignment horizontal="right"/>
    </xf>
    <xf numFmtId="177" fontId="4" fillId="0" borderId="55" xfId="1" applyNumberFormat="1" applyFont="1" applyBorder="1" applyAlignment="1">
      <alignment horizontal="right"/>
    </xf>
    <xf numFmtId="177" fontId="91" fillId="41" borderId="56" xfId="1" applyNumberFormat="1" applyFont="1" applyFill="1" applyBorder="1" applyAlignment="1">
      <alignment horizontal="right"/>
    </xf>
    <xf numFmtId="177" fontId="6" fillId="0" borderId="56" xfId="1" applyNumberFormat="1" applyFont="1" applyBorder="1" applyAlignment="1">
      <alignment horizontal="right"/>
    </xf>
    <xf numFmtId="177" fontId="91" fillId="41" borderId="15" xfId="1" applyNumberFormat="1" applyFont="1" applyFill="1" applyBorder="1" applyAlignment="1">
      <alignment horizontal="right"/>
    </xf>
    <xf numFmtId="177" fontId="91" fillId="41" borderId="55" xfId="1" applyNumberFormat="1" applyFont="1" applyFill="1" applyBorder="1" applyAlignment="1">
      <alignment horizontal="right"/>
    </xf>
    <xf numFmtId="176" fontId="4" fillId="44" borderId="67" xfId="0" applyFont="1" applyFill="1" applyBorder="1" applyAlignment="1">
      <alignment horizontal="left"/>
    </xf>
    <xf numFmtId="177" fontId="4" fillId="44" borderId="14" xfId="1" applyNumberFormat="1" applyFont="1" applyFill="1" applyBorder="1" applyAlignment="1">
      <alignment horizontal="right"/>
    </xf>
    <xf numFmtId="177" fontId="4" fillId="44" borderId="63" xfId="1" applyNumberFormat="1" applyFont="1" applyFill="1" applyBorder="1" applyAlignment="1">
      <alignment horizontal="right"/>
    </xf>
    <xf numFmtId="177" fontId="4" fillId="44" borderId="72" xfId="1" applyNumberFormat="1" applyFont="1" applyFill="1" applyBorder="1" applyAlignment="1">
      <alignment horizontal="right"/>
    </xf>
    <xf numFmtId="177" fontId="4" fillId="44" borderId="90" xfId="1" applyNumberFormat="1" applyFont="1" applyFill="1" applyBorder="1" applyAlignment="1">
      <alignment horizontal="right"/>
    </xf>
    <xf numFmtId="177" fontId="91" fillId="44" borderId="62" xfId="1" applyNumberFormat="1" applyFont="1" applyFill="1" applyBorder="1" applyAlignment="1">
      <alignment horizontal="right"/>
    </xf>
    <xf numFmtId="177" fontId="6" fillId="44" borderId="62" xfId="1" applyNumberFormat="1" applyFont="1" applyFill="1" applyBorder="1" applyAlignment="1">
      <alignment horizontal="right"/>
    </xf>
    <xf numFmtId="177" fontId="91" fillId="44" borderId="63" xfId="1" applyNumberFormat="1" applyFont="1" applyFill="1" applyBorder="1" applyAlignment="1">
      <alignment horizontal="right"/>
    </xf>
    <xf numFmtId="177" fontId="91" fillId="44" borderId="90" xfId="1" applyNumberFormat="1" applyFont="1" applyFill="1" applyBorder="1" applyAlignment="1">
      <alignment horizontal="right"/>
    </xf>
    <xf numFmtId="176" fontId="4" fillId="44" borderId="18" xfId="0" applyFont="1" applyFill="1" applyBorder="1" applyAlignment="1">
      <alignment horizontal="left"/>
    </xf>
    <xf numFmtId="177" fontId="4" fillId="44" borderId="0" xfId="1" applyNumberFormat="1" applyFont="1" applyFill="1" applyAlignment="1">
      <alignment horizontal="right"/>
    </xf>
    <xf numFmtId="177" fontId="4" fillId="44" borderId="29" xfId="1" applyNumberFormat="1" applyFont="1" applyFill="1" applyBorder="1" applyAlignment="1">
      <alignment horizontal="right"/>
    </xf>
    <xf numFmtId="177" fontId="4" fillId="44" borderId="33" xfId="1" applyNumberFormat="1" applyFont="1" applyFill="1" applyBorder="1" applyAlignment="1">
      <alignment horizontal="right"/>
    </xf>
    <xf numFmtId="177" fontId="91" fillId="44" borderId="30" xfId="1" applyNumberFormat="1" applyFont="1" applyFill="1" applyBorder="1" applyAlignment="1">
      <alignment horizontal="right"/>
    </xf>
    <xf numFmtId="177" fontId="6" fillId="44" borderId="30" xfId="1" applyNumberFormat="1" applyFont="1" applyFill="1" applyBorder="1" applyAlignment="1">
      <alignment horizontal="right"/>
    </xf>
    <xf numFmtId="177" fontId="91" fillId="44" borderId="29" xfId="1" applyNumberFormat="1" applyFont="1" applyFill="1" applyBorder="1" applyAlignment="1">
      <alignment horizontal="right"/>
    </xf>
    <xf numFmtId="177" fontId="91" fillId="44" borderId="33" xfId="1" applyNumberFormat="1" applyFont="1" applyFill="1" applyBorder="1" applyAlignment="1">
      <alignment horizontal="right"/>
    </xf>
    <xf numFmtId="177" fontId="4" fillId="0" borderId="27" xfId="1" applyNumberFormat="1" applyFont="1" applyBorder="1" applyAlignment="1">
      <alignment horizontal="right"/>
    </xf>
    <xf numFmtId="177" fontId="91" fillId="41" borderId="46" xfId="1" applyNumberFormat="1" applyFont="1" applyFill="1" applyBorder="1" applyAlignment="1">
      <alignment horizontal="right"/>
    </xf>
    <xf numFmtId="177" fontId="135" fillId="41" borderId="20" xfId="1" applyNumberFormat="1" applyFont="1" applyFill="1" applyBorder="1" applyAlignment="1">
      <alignment horizontal="right"/>
    </xf>
    <xf numFmtId="177" fontId="6" fillId="8" borderId="11" xfId="1" applyNumberFormat="1" applyFont="1" applyFill="1" applyBorder="1" applyAlignment="1">
      <alignment horizontal="right"/>
    </xf>
    <xf numFmtId="177" fontId="135" fillId="8" borderId="20" xfId="1" applyNumberFormat="1" applyFont="1" applyFill="1" applyBorder="1" applyAlignment="1">
      <alignment horizontal="right"/>
    </xf>
    <xf numFmtId="176" fontId="141" fillId="0" borderId="0" xfId="0" applyFont="1"/>
    <xf numFmtId="177" fontId="4" fillId="0" borderId="11" xfId="1" applyNumberFormat="1" applyFont="1" applyBorder="1" applyAlignment="1">
      <alignment horizontal="right"/>
    </xf>
    <xf numFmtId="177" fontId="6" fillId="0" borderId="22" xfId="1" applyNumberFormat="1" applyFont="1" applyBorder="1" applyAlignment="1">
      <alignment horizontal="right"/>
    </xf>
    <xf numFmtId="177" fontId="135" fillId="41" borderId="51" xfId="1" applyNumberFormat="1" applyFont="1" applyFill="1" applyBorder="1" applyAlignment="1">
      <alignment horizontal="right"/>
    </xf>
    <xf numFmtId="176" fontId="4" fillId="0" borderId="9" xfId="0" applyFont="1" applyBorder="1" applyAlignment="1">
      <alignment horizontal="left"/>
    </xf>
    <xf numFmtId="177" fontId="4" fillId="0" borderId="10" xfId="1" applyNumberFormat="1" applyFont="1" applyBorder="1" applyAlignment="1">
      <alignment horizontal="right"/>
    </xf>
    <xf numFmtId="177" fontId="4" fillId="0" borderId="53" xfId="1" applyNumberFormat="1" applyFont="1" applyBorder="1" applyAlignment="1">
      <alignment horizontal="right"/>
    </xf>
    <xf numFmtId="177" fontId="91" fillId="41" borderId="54" xfId="1" applyNumberFormat="1" applyFont="1" applyFill="1" applyBorder="1" applyAlignment="1">
      <alignment horizontal="right"/>
    </xf>
    <xf numFmtId="177" fontId="6" fillId="0" borderId="54" xfId="1" applyNumberFormat="1" applyFont="1" applyBorder="1" applyAlignment="1">
      <alignment horizontal="right"/>
    </xf>
    <xf numFmtId="177" fontId="6" fillId="0" borderId="10" xfId="1" applyNumberFormat="1" applyFont="1" applyBorder="1" applyAlignment="1">
      <alignment horizontal="right"/>
    </xf>
    <xf numFmtId="177" fontId="6" fillId="0" borderId="59" xfId="1" applyNumberFormat="1" applyFont="1" applyBorder="1" applyAlignment="1">
      <alignment horizontal="right"/>
    </xf>
    <xf numFmtId="177" fontId="91" fillId="41" borderId="29" xfId="1" applyNumberFormat="1" applyFont="1" applyFill="1" applyBorder="1" applyAlignment="1">
      <alignment horizontal="right"/>
    </xf>
    <xf numFmtId="177" fontId="135" fillId="41" borderId="29" xfId="1" applyNumberFormat="1" applyFont="1" applyFill="1" applyBorder="1" applyAlignment="1">
      <alignment horizontal="right"/>
    </xf>
    <xf numFmtId="177" fontId="135" fillId="41" borderId="58" xfId="1" applyNumberFormat="1" applyFont="1" applyFill="1" applyBorder="1" applyAlignment="1">
      <alignment horizontal="right"/>
    </xf>
    <xf numFmtId="177" fontId="135" fillId="41" borderId="60" xfId="1" applyNumberFormat="1" applyFont="1" applyFill="1" applyBorder="1" applyAlignment="1">
      <alignment horizontal="right"/>
    </xf>
    <xf numFmtId="176" fontId="4" fillId="0" borderId="3" xfId="0" applyFont="1" applyBorder="1" applyAlignment="1">
      <alignment horizontal="left"/>
    </xf>
    <xf numFmtId="177" fontId="4" fillId="0" borderId="3" xfId="1" applyNumberFormat="1" applyFont="1" applyBorder="1" applyAlignment="1">
      <alignment horizontal="right"/>
    </xf>
    <xf numFmtId="177" fontId="91" fillId="41" borderId="3" xfId="1" applyNumberFormat="1" applyFont="1" applyFill="1" applyBorder="1" applyAlignment="1">
      <alignment horizontal="right"/>
    </xf>
    <xf numFmtId="176" fontId="4" fillId="0" borderId="0" xfId="0" applyFont="1"/>
    <xf numFmtId="176" fontId="4" fillId="0" borderId="0" xfId="0" applyFont="1" applyAlignment="1">
      <alignment horizontal="center"/>
    </xf>
    <xf numFmtId="178" fontId="4" fillId="0" borderId="0" xfId="0" applyNumberFormat="1" applyFont="1"/>
    <xf numFmtId="176" fontId="6" fillId="6" borderId="7" xfId="0" applyFont="1" applyFill="1" applyBorder="1" applyAlignment="1">
      <alignment horizontal="left"/>
    </xf>
    <xf numFmtId="176" fontId="4" fillId="3" borderId="7" xfId="0" applyFont="1" applyFill="1" applyBorder="1"/>
    <xf numFmtId="176" fontId="4" fillId="0" borderId="7" xfId="0" applyFont="1" applyBorder="1"/>
    <xf numFmtId="178" fontId="12" fillId="0" borderId="7" xfId="4" applyNumberFormat="1" applyFont="1" applyBorder="1" applyAlignment="1">
      <alignment horizontal="center" vertical="center"/>
    </xf>
    <xf numFmtId="178" fontId="12" fillId="0" borderId="7" xfId="4" applyNumberFormat="1" applyFont="1" applyBorder="1" applyAlignment="1">
      <alignment horizontal="center" vertical="center" wrapText="1"/>
    </xf>
    <xf numFmtId="178" fontId="4" fillId="3" borderId="7" xfId="4" applyNumberFormat="1" applyFont="1" applyFill="1" applyBorder="1"/>
    <xf numFmtId="178" fontId="12" fillId="0" borderId="7" xfId="0" applyNumberFormat="1" applyFont="1" applyBorder="1" applyAlignment="1">
      <alignment horizontal="center" vertical="center"/>
    </xf>
    <xf numFmtId="41" fontId="12" fillId="0" borderId="7" xfId="5" applyFont="1" applyBorder="1" applyAlignment="1">
      <alignment horizontal="center" vertical="center"/>
    </xf>
    <xf numFmtId="177" fontId="4" fillId="0" borderId="7" xfId="1" applyNumberFormat="1" applyFont="1" applyBorder="1" applyAlignment="1">
      <alignment vertical="center"/>
    </xf>
    <xf numFmtId="177" fontId="4" fillId="3" borderId="7" xfId="1" applyNumberFormat="1" applyFont="1" applyFill="1" applyBorder="1"/>
    <xf numFmtId="177" fontId="4" fillId="0" borderId="7" xfId="0" applyNumberFormat="1" applyFont="1" applyBorder="1" applyAlignment="1">
      <alignment horizontal="center"/>
    </xf>
    <xf numFmtId="177" fontId="4" fillId="0" borderId="7" xfId="0" applyNumberFormat="1" applyFont="1" applyBorder="1"/>
    <xf numFmtId="176" fontId="6" fillId="3" borderId="7" xfId="0" applyFont="1" applyFill="1" applyBorder="1"/>
    <xf numFmtId="177" fontId="4" fillId="0" borderId="7" xfId="0" applyNumberFormat="1" applyFont="1" applyBorder="1" applyAlignment="1">
      <alignment horizontal="right"/>
    </xf>
    <xf numFmtId="177" fontId="4" fillId="4" borderId="0" xfId="0" applyNumberFormat="1" applyFont="1" applyFill="1"/>
    <xf numFmtId="177" fontId="4" fillId="4" borderId="0" xfId="1" applyNumberFormat="1" applyFont="1" applyFill="1" applyAlignment="1">
      <alignment vertical="center"/>
    </xf>
    <xf numFmtId="176" fontId="4" fillId="4" borderId="0" xfId="0" applyFont="1" applyFill="1"/>
    <xf numFmtId="41" fontId="34" fillId="0" borderId="7" xfId="5" applyFont="1" applyBorder="1" applyAlignment="1">
      <alignment horizontal="center" vertical="center"/>
    </xf>
    <xf numFmtId="178" fontId="34" fillId="0" borderId="0" xfId="0" applyNumberFormat="1" applyFont="1"/>
    <xf numFmtId="177" fontId="34" fillId="0" borderId="7" xfId="1" applyNumberFormat="1" applyFont="1" applyBorder="1" applyAlignment="1">
      <alignment vertical="center"/>
    </xf>
    <xf numFmtId="177" fontId="34" fillId="0" borderId="7" xfId="0" applyNumberFormat="1" applyFont="1" applyBorder="1"/>
    <xf numFmtId="177" fontId="9" fillId="0" borderId="7" xfId="0" applyNumberFormat="1" applyFont="1" applyBorder="1" applyAlignment="1">
      <alignment horizontal="center"/>
    </xf>
    <xf numFmtId="178" fontId="12" fillId="5" borderId="7" xfId="4" applyNumberFormat="1" applyFont="1" applyFill="1" applyBorder="1" applyAlignment="1">
      <alignment horizontal="center" vertical="center"/>
    </xf>
    <xf numFmtId="176" fontId="12" fillId="0" borderId="7" xfId="0" applyFont="1" applyBorder="1" applyAlignment="1">
      <alignment horizontal="center" vertical="center"/>
    </xf>
    <xf numFmtId="176" fontId="4" fillId="0" borderId="7" xfId="0" applyFont="1" applyBorder="1" applyAlignment="1">
      <alignment horizontal="center"/>
    </xf>
    <xf numFmtId="179" fontId="4" fillId="0" borderId="7" xfId="0" applyNumberFormat="1" applyFont="1" applyBorder="1"/>
    <xf numFmtId="178" fontId="12" fillId="7" borderId="7" xfId="4" applyNumberFormat="1" applyFont="1" applyFill="1" applyBorder="1" applyAlignment="1">
      <alignment horizontal="center" vertical="center"/>
    </xf>
    <xf numFmtId="177" fontId="4" fillId="7" borderId="7" xfId="1" applyNumberFormat="1" applyFont="1" applyFill="1" applyBorder="1" applyAlignment="1">
      <alignment vertical="center"/>
    </xf>
    <xf numFmtId="177" fontId="4" fillId="7" borderId="7" xfId="0" applyNumberFormat="1" applyFont="1" applyFill="1" applyBorder="1"/>
    <xf numFmtId="177" fontId="4" fillId="0" borderId="7" xfId="1" applyNumberFormat="1" applyFont="1" applyBorder="1" applyAlignment="1">
      <alignment horizontal="center" vertical="center"/>
    </xf>
    <xf numFmtId="177" fontId="4" fillId="0" borderId="0" xfId="1" applyNumberFormat="1" applyFont="1" applyAlignment="1">
      <alignment horizontal="center" vertical="center"/>
    </xf>
    <xf numFmtId="176" fontId="15" fillId="0" borderId="0" xfId="0" applyFont="1" applyAlignment="1">
      <alignment horizontal="center"/>
    </xf>
    <xf numFmtId="176" fontId="14" fillId="0" borderId="0" xfId="0" applyFont="1" applyAlignment="1">
      <alignment horizontal="center"/>
    </xf>
    <xf numFmtId="176" fontId="13" fillId="0" borderId="0" xfId="0" applyFont="1" applyAlignment="1">
      <alignment horizontal="center"/>
    </xf>
    <xf numFmtId="176" fontId="6" fillId="6" borderId="7" xfId="0" quotePrefix="1" applyFont="1" applyFill="1" applyBorder="1" applyAlignment="1">
      <alignment horizontal="left"/>
    </xf>
    <xf numFmtId="176" fontId="4" fillId="8" borderId="7" xfId="0" applyFont="1" applyFill="1" applyBorder="1"/>
    <xf numFmtId="178" fontId="133" fillId="0" borderId="7" xfId="4" applyNumberFormat="1" applyFont="1" applyBorder="1" applyAlignment="1">
      <alignment horizontal="center" vertical="center"/>
    </xf>
    <xf numFmtId="178" fontId="12" fillId="0" borderId="29" xfId="4" applyNumberFormat="1" applyFont="1" applyBorder="1" applyAlignment="1">
      <alignment horizontal="center" vertical="center"/>
    </xf>
    <xf numFmtId="177" fontId="4" fillId="0" borderId="15" xfId="1" applyNumberFormat="1" applyFont="1" applyBorder="1" applyAlignment="1">
      <alignment vertical="center"/>
    </xf>
    <xf numFmtId="177" fontId="4" fillId="0" borderId="0" xfId="1" applyNumberFormat="1" applyFont="1" applyAlignment="1">
      <alignment vertical="center"/>
    </xf>
    <xf numFmtId="176" fontId="4" fillId="34" borderId="7" xfId="0" applyFont="1" applyFill="1" applyBorder="1"/>
    <xf numFmtId="176" fontId="4" fillId="33" borderId="7" xfId="0" applyFont="1" applyFill="1" applyBorder="1"/>
    <xf numFmtId="176" fontId="4" fillId="32" borderId="7" xfId="0" applyFont="1" applyFill="1" applyBorder="1"/>
    <xf numFmtId="176" fontId="4" fillId="35" borderId="7" xfId="0" applyFont="1" applyFill="1" applyBorder="1"/>
    <xf numFmtId="178" fontId="12" fillId="0" borderId="15" xfId="0" applyNumberFormat="1" applyFont="1" applyBorder="1" applyAlignment="1">
      <alignment horizontal="center" vertical="center"/>
    </xf>
    <xf numFmtId="176" fontId="4" fillId="36" borderId="7" xfId="0" applyFont="1" applyFill="1" applyBorder="1"/>
    <xf numFmtId="177" fontId="4" fillId="0" borderId="0" xfId="0" applyNumberFormat="1" applyFont="1"/>
    <xf numFmtId="177" fontId="4" fillId="0" borderId="7" xfId="1" applyNumberFormat="1" applyFont="1" applyBorder="1"/>
    <xf numFmtId="176" fontId="6" fillId="3" borderId="0" xfId="0" applyFont="1" applyFill="1"/>
    <xf numFmtId="177" fontId="4" fillId="0" borderId="0" xfId="0" applyNumberFormat="1" applyFont="1" applyAlignment="1">
      <alignment horizontal="right"/>
    </xf>
    <xf numFmtId="177" fontId="4" fillId="0" borderId="0" xfId="0" applyNumberFormat="1" applyFont="1" applyAlignment="1">
      <alignment horizontal="center"/>
    </xf>
    <xf numFmtId="178" fontId="4" fillId="0" borderId="7" xfId="4" applyNumberFormat="1" applyFont="1" applyBorder="1" applyAlignment="1">
      <alignment horizontal="center" vertical="center"/>
    </xf>
    <xf numFmtId="178" fontId="4" fillId="0" borderId="7" xfId="0" applyNumberFormat="1" applyFont="1" applyBorder="1" applyAlignment="1">
      <alignment horizontal="center" vertical="center"/>
    </xf>
    <xf numFmtId="41" fontId="133" fillId="0" borderId="7" xfId="5" applyFont="1" applyBorder="1" applyAlignment="1">
      <alignment horizontal="center" vertical="center"/>
    </xf>
    <xf numFmtId="178" fontId="133" fillId="0" borderId="7" xfId="0" applyNumberFormat="1" applyFont="1" applyBorder="1" applyAlignment="1">
      <alignment horizontal="center" vertical="center"/>
    </xf>
    <xf numFmtId="178" fontId="4" fillId="0" borderId="0" xfId="4" applyNumberFormat="1" applyFont="1"/>
    <xf numFmtId="176" fontId="20" fillId="0" borderId="0" xfId="0" applyFont="1"/>
    <xf numFmtId="176" fontId="6" fillId="0" borderId="0" xfId="0" applyFont="1"/>
    <xf numFmtId="178" fontId="0" fillId="0" borderId="0" xfId="4" applyNumberFormat="1" applyFont="1"/>
    <xf numFmtId="178" fontId="4" fillId="4" borderId="0" xfId="4" applyNumberFormat="1" applyFont="1" applyFill="1"/>
    <xf numFmtId="176" fontId="134" fillId="0" borderId="0" xfId="0" applyFont="1"/>
    <xf numFmtId="178" fontId="133" fillId="0" borderId="0" xfId="4" applyNumberFormat="1" applyFont="1"/>
    <xf numFmtId="178" fontId="134" fillId="0" borderId="0" xfId="4" applyNumberFormat="1" applyFont="1"/>
    <xf numFmtId="176" fontId="133" fillId="0" borderId="0" xfId="0" applyFont="1"/>
    <xf numFmtId="178" fontId="133" fillId="3" borderId="7" xfId="4" applyNumberFormat="1" applyFont="1" applyFill="1" applyBorder="1"/>
    <xf numFmtId="41" fontId="4" fillId="0" borderId="7" xfId="5" applyFont="1" applyBorder="1" applyAlignment="1">
      <alignment horizontal="center" vertical="center"/>
    </xf>
    <xf numFmtId="43" fontId="12" fillId="0" borderId="7" xfId="4" applyFont="1" applyBorder="1" applyAlignment="1">
      <alignment horizontal="center" vertical="center"/>
    </xf>
    <xf numFmtId="178" fontId="129" fillId="0" borderId="7" xfId="4" applyNumberFormat="1" applyFont="1" applyBorder="1" applyAlignment="1">
      <alignment horizontal="center" vertical="center"/>
    </xf>
    <xf numFmtId="178" fontId="4" fillId="4" borderId="0" xfId="0" applyNumberFormat="1" applyFont="1" applyFill="1"/>
    <xf numFmtId="178" fontId="0" fillId="0" borderId="0" xfId="0" applyNumberFormat="1"/>
    <xf numFmtId="178" fontId="132" fillId="0" borderId="7" xfId="4" applyNumberFormat="1" applyFont="1" applyBorder="1" applyAlignment="1">
      <alignment horizontal="center" vertical="center"/>
    </xf>
    <xf numFmtId="178" fontId="132" fillId="0" borderId="7" xfId="0" applyNumberFormat="1" applyFont="1" applyBorder="1" applyAlignment="1">
      <alignment horizontal="center" vertical="center"/>
    </xf>
    <xf numFmtId="41" fontId="132" fillId="0" borderId="7" xfId="5" applyFont="1" applyBorder="1" applyAlignment="1">
      <alignment horizontal="center" vertical="center"/>
    </xf>
    <xf numFmtId="177" fontId="6" fillId="8" borderId="7" xfId="1" applyNumberFormat="1" applyFont="1" applyFill="1" applyBorder="1" applyAlignment="1">
      <alignment vertical="center"/>
    </xf>
    <xf numFmtId="177" fontId="6" fillId="0" borderId="7" xfId="1" applyNumberFormat="1" applyFont="1" applyBorder="1" applyAlignment="1">
      <alignment vertical="center"/>
    </xf>
    <xf numFmtId="177" fontId="129" fillId="0" borderId="7" xfId="1" applyNumberFormat="1" applyFont="1" applyBorder="1" applyAlignment="1">
      <alignment vertical="center"/>
    </xf>
    <xf numFmtId="177" fontId="129" fillId="40" borderId="7" xfId="1" applyNumberFormat="1" applyFont="1" applyFill="1" applyBorder="1" applyAlignment="1">
      <alignment vertical="center"/>
    </xf>
    <xf numFmtId="176" fontId="6" fillId="34" borderId="7" xfId="0" applyFont="1" applyFill="1" applyBorder="1"/>
    <xf numFmtId="176" fontId="6" fillId="32" borderId="7" xfId="0" applyFont="1" applyFill="1" applyBorder="1"/>
    <xf numFmtId="177" fontId="129" fillId="0" borderId="7" xfId="1" applyNumberFormat="1" applyFont="1" applyBorder="1" applyAlignment="1">
      <alignment vertical="center" wrapText="1"/>
    </xf>
    <xf numFmtId="178" fontId="6" fillId="0" borderId="7" xfId="4" applyNumberFormat="1" applyFont="1" applyBorder="1" applyAlignment="1">
      <alignment horizontal="center" vertical="center"/>
    </xf>
    <xf numFmtId="176" fontId="7" fillId="0" borderId="0" xfId="0" applyFont="1" applyAlignment="1">
      <alignment horizontal="left"/>
    </xf>
    <xf numFmtId="176" fontId="4" fillId="0" borderId="0" xfId="0" applyFont="1" applyAlignment="1">
      <alignment horizontal="right"/>
    </xf>
    <xf numFmtId="176" fontId="5" fillId="2" borderId="1" xfId="0" quotePrefix="1" applyFont="1" applyFill="1" applyBorder="1" applyAlignment="1">
      <alignment horizontal="left"/>
    </xf>
    <xf numFmtId="176" fontId="6" fillId="0" borderId="1" xfId="0" applyFont="1" applyBorder="1" applyAlignment="1">
      <alignment horizontal="right"/>
    </xf>
    <xf numFmtId="176" fontId="6" fillId="3" borderId="1" xfId="0" applyFont="1" applyFill="1" applyBorder="1" applyAlignment="1">
      <alignment horizontal="right"/>
    </xf>
    <xf numFmtId="176" fontId="7" fillId="0" borderId="1" xfId="0" applyFont="1" applyBorder="1" applyAlignment="1">
      <alignment horizontal="left"/>
    </xf>
    <xf numFmtId="178" fontId="4" fillId="0" borderId="0" xfId="4" applyNumberFormat="1" applyFont="1" applyAlignment="1">
      <alignment horizontal="right"/>
    </xf>
    <xf numFmtId="176" fontId="143" fillId="0" borderId="0" xfId="0" applyFont="1" applyAlignment="1">
      <alignment horizontal="left"/>
    </xf>
    <xf numFmtId="178" fontId="144" fillId="0" borderId="0" xfId="4" applyNumberFormat="1" applyFont="1" applyAlignment="1">
      <alignment horizontal="right"/>
    </xf>
    <xf numFmtId="176" fontId="5" fillId="0" borderId="0" xfId="0" applyFont="1" applyAlignment="1">
      <alignment horizontal="left"/>
    </xf>
    <xf numFmtId="176" fontId="21" fillId="0" borderId="1" xfId="0" applyFont="1" applyBorder="1" applyAlignment="1">
      <alignment horizontal="left"/>
    </xf>
    <xf numFmtId="176" fontId="143" fillId="0" borderId="1" xfId="0" applyFont="1" applyBorder="1" applyAlignment="1">
      <alignment horizontal="left"/>
    </xf>
    <xf numFmtId="176" fontId="144" fillId="0" borderId="0" xfId="0" applyFont="1"/>
    <xf numFmtId="178" fontId="144" fillId="0" borderId="0" xfId="4" applyNumberFormat="1" applyFont="1"/>
    <xf numFmtId="177" fontId="4" fillId="0" borderId="1" xfId="1" applyNumberFormat="1" applyFont="1" applyBorder="1" applyAlignment="1">
      <alignment horizontal="right"/>
    </xf>
    <xf numFmtId="177" fontId="6" fillId="0" borderId="1" xfId="1" applyNumberFormat="1" applyFont="1" applyBorder="1" applyAlignment="1">
      <alignment horizontal="right"/>
    </xf>
    <xf numFmtId="176" fontId="5" fillId="8" borderId="0" xfId="0" applyFont="1" applyFill="1" applyAlignment="1">
      <alignment horizontal="left"/>
    </xf>
    <xf numFmtId="177" fontId="6" fillId="8" borderId="12" xfId="1" applyNumberFormat="1" applyFont="1" applyFill="1" applyBorder="1" applyAlignment="1">
      <alignment horizontal="right"/>
    </xf>
    <xf numFmtId="177" fontId="6" fillId="0" borderId="0" xfId="1" applyNumberFormat="1" applyFont="1" applyAlignment="1">
      <alignment horizontal="right"/>
    </xf>
    <xf numFmtId="176" fontId="4" fillId="0" borderId="1" xfId="0" applyFont="1" applyBorder="1" applyAlignment="1">
      <alignment horizontal="right"/>
    </xf>
    <xf numFmtId="176" fontId="4" fillId="8" borderId="0" xfId="0" applyFont="1" applyFill="1"/>
    <xf numFmtId="177" fontId="6" fillId="0" borderId="12" xfId="1" applyNumberFormat="1" applyFont="1" applyBorder="1" applyAlignment="1">
      <alignment horizontal="right"/>
    </xf>
    <xf numFmtId="177" fontId="6" fillId="8" borderId="1" xfId="1" applyNumberFormat="1" applyFont="1" applyFill="1" applyBorder="1" applyAlignment="1">
      <alignment horizontal="right"/>
    </xf>
    <xf numFmtId="176" fontId="9" fillId="0" borderId="0" xfId="0" applyFont="1"/>
    <xf numFmtId="176" fontId="7" fillId="0" borderId="12" xfId="0" applyFont="1" applyBorder="1" applyAlignment="1">
      <alignment horizontal="left"/>
    </xf>
    <xf numFmtId="176" fontId="6" fillId="0" borderId="0" xfId="0" applyFont="1" applyAlignment="1">
      <alignment horizontal="right"/>
    </xf>
    <xf numFmtId="177" fontId="4" fillId="0" borderId="12" xfId="1" applyNumberFormat="1" applyFont="1" applyBorder="1" applyAlignment="1">
      <alignment horizontal="right"/>
    </xf>
    <xf numFmtId="176" fontId="8" fillId="8" borderId="1" xfId="1" applyNumberFormat="1" applyFont="1" applyFill="1" applyBorder="1" applyAlignment="1">
      <alignment horizontal="left"/>
    </xf>
    <xf numFmtId="176" fontId="19" fillId="0" borderId="0" xfId="0" applyFont="1"/>
    <xf numFmtId="176" fontId="22" fillId="0" borderId="0" xfId="0" applyFont="1" applyAlignment="1">
      <alignment horizontal="left"/>
    </xf>
    <xf numFmtId="177" fontId="19" fillId="0" borderId="1" xfId="1" applyNumberFormat="1" applyFont="1" applyBorder="1" applyAlignment="1">
      <alignment horizontal="right"/>
    </xf>
    <xf numFmtId="176" fontId="5" fillId="2" borderId="1" xfId="0" applyFont="1" applyFill="1" applyBorder="1" applyAlignment="1">
      <alignment horizontal="left"/>
    </xf>
    <xf numFmtId="176" fontId="27" fillId="0" borderId="0" xfId="0" applyFont="1"/>
    <xf numFmtId="176" fontId="28" fillId="0" borderId="1" xfId="0" applyFont="1" applyBorder="1" applyAlignment="1">
      <alignment horizontal="left"/>
    </xf>
    <xf numFmtId="176" fontId="29" fillId="0" borderId="0" xfId="0" applyFont="1" applyAlignment="1">
      <alignment horizontal="left"/>
    </xf>
    <xf numFmtId="176" fontId="8" fillId="0" borderId="1" xfId="0" applyFont="1" applyBorder="1" applyAlignment="1">
      <alignment horizontal="left"/>
    </xf>
    <xf numFmtId="176" fontId="5" fillId="0" borderId="1" xfId="0" applyFont="1" applyBorder="1" applyAlignment="1">
      <alignment horizontal="left"/>
    </xf>
    <xf numFmtId="176" fontId="17" fillId="0" borderId="0" xfId="0" applyFont="1"/>
    <xf numFmtId="176" fontId="18" fillId="0" borderId="1" xfId="0" applyFont="1" applyBorder="1" applyAlignment="1">
      <alignment horizontal="left"/>
    </xf>
    <xf numFmtId="177" fontId="9" fillId="0" borderId="1" xfId="1" applyNumberFormat="1" applyFont="1" applyBorder="1" applyAlignment="1">
      <alignment horizontal="right"/>
    </xf>
    <xf numFmtId="180" fontId="4" fillId="0" borderId="1" xfId="1" applyNumberFormat="1" applyFont="1" applyBorder="1" applyAlignment="1">
      <alignment horizontal="right"/>
    </xf>
    <xf numFmtId="176" fontId="4" fillId="5" borderId="1" xfId="0" applyFont="1" applyFill="1" applyBorder="1" applyAlignment="1">
      <alignment horizontal="right"/>
    </xf>
    <xf numFmtId="178" fontId="4" fillId="8" borderId="0" xfId="4" applyNumberFormat="1" applyFont="1" applyFill="1" applyAlignment="1">
      <alignment horizontal="right"/>
    </xf>
    <xf numFmtId="178" fontId="4" fillId="0" borderId="1" xfId="4" applyNumberFormat="1" applyFont="1" applyBorder="1" applyAlignment="1">
      <alignment horizontal="right"/>
    </xf>
    <xf numFmtId="176" fontId="29" fillId="0" borderId="1" xfId="0" applyFont="1" applyBorder="1" applyAlignment="1">
      <alignment horizontal="left"/>
    </xf>
    <xf numFmtId="176" fontId="9" fillId="0" borderId="1" xfId="0" applyFont="1" applyBorder="1" applyAlignment="1">
      <alignment horizontal="right"/>
    </xf>
    <xf numFmtId="177" fontId="131" fillId="0" borderId="1" xfId="1" applyNumberFormat="1" applyFont="1" applyBorder="1" applyAlignment="1">
      <alignment horizontal="right"/>
    </xf>
    <xf numFmtId="176" fontId="29" fillId="8" borderId="1" xfId="0" applyFont="1" applyFill="1" applyBorder="1" applyAlignment="1">
      <alignment horizontal="left"/>
    </xf>
    <xf numFmtId="177" fontId="29" fillId="8" borderId="1" xfId="1" applyNumberFormat="1" applyFont="1" applyFill="1" applyBorder="1" applyAlignment="1">
      <alignment horizontal="right"/>
    </xf>
    <xf numFmtId="177" fontId="29" fillId="0" borderId="1" xfId="1" applyNumberFormat="1" applyFont="1" applyBorder="1" applyAlignment="1">
      <alignment horizontal="right"/>
    </xf>
    <xf numFmtId="177" fontId="130" fillId="0" borderId="1" xfId="1" applyNumberFormat="1" applyFont="1" applyBorder="1" applyAlignment="1">
      <alignment horizontal="right"/>
    </xf>
    <xf numFmtId="176" fontId="30" fillId="0" borderId="0" xfId="0" applyFont="1"/>
    <xf numFmtId="176" fontId="9" fillId="5" borderId="1" xfId="0" applyFont="1" applyFill="1" applyBorder="1" applyAlignment="1">
      <alignment horizontal="right"/>
    </xf>
    <xf numFmtId="177" fontId="30" fillId="0" borderId="1" xfId="1" applyNumberFormat="1" applyFont="1" applyBorder="1" applyAlignment="1">
      <alignment horizontal="right"/>
    </xf>
    <xf numFmtId="176" fontId="22" fillId="0" borderId="1" xfId="0" applyFont="1" applyBorder="1" applyAlignment="1">
      <alignment horizontal="left"/>
    </xf>
    <xf numFmtId="176" fontId="16" fillId="0" borderId="1" xfId="0" applyFont="1" applyBorder="1" applyAlignment="1">
      <alignment horizontal="left"/>
    </xf>
    <xf numFmtId="176" fontId="6" fillId="2" borderId="1" xfId="0" applyFont="1" applyFill="1" applyBorder="1" applyAlignment="1">
      <alignment horizontal="left"/>
    </xf>
    <xf numFmtId="176" fontId="4" fillId="0" borderId="1" xfId="0" applyFont="1" applyBorder="1" applyAlignment="1">
      <alignment horizontal="left"/>
    </xf>
    <xf numFmtId="176" fontId="144" fillId="0" borderId="1" xfId="0" applyFont="1" applyBorder="1" applyAlignment="1">
      <alignment horizontal="left"/>
    </xf>
    <xf numFmtId="176" fontId="128" fillId="0" borderId="1" xfId="0" applyFont="1" applyBorder="1" applyAlignment="1">
      <alignment horizontal="left"/>
    </xf>
    <xf numFmtId="176" fontId="144" fillId="0" borderId="1" xfId="1" applyNumberFormat="1" applyFont="1" applyBorder="1" applyAlignment="1">
      <alignment horizontal="left"/>
    </xf>
    <xf numFmtId="177" fontId="4" fillId="0" borderId="0" xfId="1" applyNumberFormat="1" applyFont="1"/>
    <xf numFmtId="176" fontId="144" fillId="0" borderId="0" xfId="1" applyNumberFormat="1" applyFont="1" applyAlignment="1">
      <alignment horizontal="left"/>
    </xf>
    <xf numFmtId="176" fontId="30" fillId="0" borderId="0" xfId="0" applyFont="1" applyAlignment="1">
      <alignment horizontal="left"/>
    </xf>
    <xf numFmtId="176" fontId="6" fillId="2" borderId="1" xfId="0" quotePrefix="1" applyFont="1" applyFill="1" applyBorder="1" applyAlignment="1">
      <alignment horizontal="left"/>
    </xf>
    <xf numFmtId="176" fontId="144" fillId="0" borderId="0" xfId="0" applyFont="1" applyAlignment="1">
      <alignment horizontal="left"/>
    </xf>
    <xf numFmtId="176" fontId="30" fillId="0" borderId="1" xfId="0" applyFont="1" applyBorder="1" applyAlignment="1">
      <alignment horizontal="left"/>
    </xf>
    <xf numFmtId="176" fontId="30" fillId="0" borderId="1" xfId="1" applyNumberFormat="1" applyFont="1" applyBorder="1" applyAlignment="1">
      <alignment horizontal="left"/>
    </xf>
    <xf numFmtId="176" fontId="30" fillId="8" borderId="1" xfId="1" applyNumberFormat="1" applyFont="1" applyFill="1" applyBorder="1" applyAlignment="1">
      <alignment horizontal="left"/>
    </xf>
    <xf numFmtId="177" fontId="4" fillId="0" borderId="2" xfId="1" applyNumberFormat="1" applyFont="1" applyBorder="1" applyAlignment="1">
      <alignment horizontal="right"/>
    </xf>
    <xf numFmtId="176" fontId="30" fillId="8" borderId="1" xfId="0" applyFont="1" applyFill="1" applyBorder="1" applyAlignment="1">
      <alignment horizontal="left"/>
    </xf>
    <xf numFmtId="177" fontId="130" fillId="8" borderId="1" xfId="1" applyNumberFormat="1" applyFont="1" applyFill="1" applyBorder="1" applyAlignment="1">
      <alignment horizontal="right"/>
    </xf>
    <xf numFmtId="177" fontId="6" fillId="8" borderId="0" xfId="1" applyNumberFormat="1" applyFont="1" applyFill="1" applyAlignment="1">
      <alignment horizontal="right"/>
    </xf>
    <xf numFmtId="176" fontId="30" fillId="8" borderId="0" xfId="0" applyFont="1" applyFill="1"/>
    <xf numFmtId="178" fontId="12" fillId="0" borderId="0" xfId="4" applyNumberFormat="1" applyFont="1" applyAlignment="1">
      <alignment horizontal="center" vertical="center"/>
    </xf>
    <xf numFmtId="177" fontId="126" fillId="0" borderId="1" xfId="1" applyNumberFormat="1" applyFont="1" applyBorder="1" applyAlignment="1">
      <alignment horizontal="right"/>
    </xf>
    <xf numFmtId="177" fontId="4" fillId="38" borderId="0" xfId="1" applyNumberFormat="1" applyFont="1" applyFill="1" applyAlignment="1">
      <alignment horizontal="right"/>
    </xf>
    <xf numFmtId="182" fontId="4" fillId="0" borderId="0" xfId="0" applyNumberFormat="1" applyFont="1"/>
    <xf numFmtId="182" fontId="4" fillId="0" borderId="1" xfId="1" applyNumberFormat="1" applyFont="1" applyBorder="1" applyAlignment="1">
      <alignment horizontal="right"/>
    </xf>
    <xf numFmtId="182" fontId="4" fillId="0" borderId="0" xfId="0" applyNumberFormat="1" applyFont="1" applyAlignment="1">
      <alignment horizontal="right"/>
    </xf>
    <xf numFmtId="176" fontId="40" fillId="0" borderId="0" xfId="0" applyFont="1"/>
    <xf numFmtId="176" fontId="40" fillId="0" borderId="0" xfId="0" applyFont="1" applyAlignment="1">
      <alignment horizontal="center"/>
    </xf>
    <xf numFmtId="176" fontId="94" fillId="0" borderId="0" xfId="0" applyFont="1"/>
    <xf numFmtId="176" fontId="94" fillId="44" borderId="7" xfId="0" applyFont="1" applyFill="1" applyBorder="1"/>
    <xf numFmtId="176" fontId="94" fillId="44" borderId="7" xfId="0" applyFont="1" applyFill="1" applyBorder="1" applyAlignment="1">
      <alignment horizontal="center"/>
    </xf>
    <xf numFmtId="176" fontId="20" fillId="44" borderId="7" xfId="0" applyFont="1" applyFill="1" applyBorder="1" applyAlignment="1">
      <alignment horizontal="center"/>
    </xf>
    <xf numFmtId="176" fontId="2" fillId="0" borderId="7" xfId="0" applyFont="1" applyBorder="1"/>
    <xf numFmtId="178" fontId="40" fillId="0" borderId="7" xfId="4" applyNumberFormat="1" applyFont="1" applyBorder="1"/>
    <xf numFmtId="178" fontId="40" fillId="0" borderId="7" xfId="4" applyNumberFormat="1" applyFont="1" applyBorder="1" applyAlignment="1">
      <alignment horizontal="center"/>
    </xf>
    <xf numFmtId="176" fontId="40" fillId="0" borderId="7" xfId="0" applyFont="1" applyBorder="1"/>
    <xf numFmtId="176" fontId="94" fillId="0" borderId="7" xfId="0" applyFont="1" applyBorder="1"/>
    <xf numFmtId="178" fontId="94" fillId="0" borderId="7" xfId="4" applyNumberFormat="1" applyFont="1" applyBorder="1"/>
    <xf numFmtId="178" fontId="94" fillId="0" borderId="7" xfId="4" applyNumberFormat="1" applyFont="1" applyBorder="1" applyAlignment="1">
      <alignment horizontal="center"/>
    </xf>
    <xf numFmtId="176" fontId="145" fillId="0" borderId="0" xfId="0" applyFont="1"/>
    <xf numFmtId="178" fontId="40" fillId="0" borderId="0" xfId="0" applyNumberFormat="1" applyFont="1"/>
    <xf numFmtId="177" fontId="40" fillId="0" borderId="0" xfId="1" applyNumberFormat="1" applyFont="1"/>
    <xf numFmtId="178" fontId="40" fillId="0" borderId="0" xfId="0" applyNumberFormat="1" applyFont="1" applyAlignment="1">
      <alignment horizontal="center"/>
    </xf>
    <xf numFmtId="176" fontId="0" fillId="42" borderId="0" xfId="0" applyFill="1"/>
    <xf numFmtId="176" fontId="139" fillId="37" borderId="4" xfId="0" applyFont="1" applyFill="1" applyBorder="1" applyAlignment="1">
      <alignment horizontal="left"/>
    </xf>
    <xf numFmtId="176" fontId="4" fillId="0" borderId="66" xfId="0" applyFont="1" applyBorder="1" applyAlignment="1">
      <alignment horizontal="left"/>
    </xf>
    <xf numFmtId="176" fontId="0" fillId="42" borderId="27" xfId="0" applyFill="1" applyBorder="1"/>
    <xf numFmtId="176" fontId="10" fillId="8" borderId="7" xfId="0" applyFont="1" applyFill="1" applyBorder="1"/>
    <xf numFmtId="176" fontId="10" fillId="34" borderId="7" xfId="0" applyFont="1" applyFill="1" applyBorder="1"/>
    <xf numFmtId="176" fontId="26" fillId="0" borderId="0" xfId="0" applyFont="1"/>
    <xf numFmtId="176" fontId="4" fillId="0" borderId="0" xfId="0" applyFont="1" applyAlignment="1">
      <alignment wrapText="1"/>
    </xf>
    <xf numFmtId="181" fontId="4" fillId="0" borderId="0" xfId="0" applyNumberFormat="1" applyFont="1"/>
    <xf numFmtId="181" fontId="4" fillId="0" borderId="0" xfId="0" applyNumberFormat="1" applyFont="1" applyAlignment="1">
      <alignment wrapText="1"/>
    </xf>
    <xf numFmtId="181" fontId="129" fillId="0" borderId="0" xfId="0" applyNumberFormat="1" applyFont="1"/>
    <xf numFmtId="181" fontId="129" fillId="0" borderId="0" xfId="0" applyNumberFormat="1" applyFont="1" applyAlignment="1">
      <alignment wrapText="1"/>
    </xf>
    <xf numFmtId="177" fontId="4" fillId="0" borderId="0" xfId="0" applyNumberFormat="1" applyFont="1" applyAlignment="1">
      <alignment wrapText="1"/>
    </xf>
    <xf numFmtId="181" fontId="129" fillId="0" borderId="0" xfId="4" applyNumberFormat="1" applyFont="1"/>
    <xf numFmtId="176" fontId="146" fillId="0" borderId="33" xfId="0" applyFont="1" applyBorder="1" applyAlignment="1">
      <alignment horizontal="center" vertical="center"/>
    </xf>
    <xf numFmtId="0" fontId="0" fillId="0" borderId="33" xfId="0" applyNumberFormat="1" applyBorder="1"/>
    <xf numFmtId="176" fontId="138" fillId="43" borderId="93" xfId="0" applyFont="1" applyFill="1" applyBorder="1" applyAlignment="1">
      <alignment horizontal="center"/>
    </xf>
    <xf numFmtId="0" fontId="0" fillId="0" borderId="3" xfId="0" applyNumberFormat="1" applyBorder="1"/>
    <xf numFmtId="0" fontId="0" fillId="0" borderId="69" xfId="0" applyNumberFormat="1" applyBorder="1"/>
    <xf numFmtId="176" fontId="138" fillId="0" borderId="33" xfId="0" applyFont="1" applyBorder="1" applyAlignment="1">
      <alignment horizontal="center" vertical="center"/>
    </xf>
    <xf numFmtId="0" fontId="138" fillId="48" borderId="14" xfId="0" applyNumberFormat="1" applyFont="1" applyFill="1" applyBorder="1" applyAlignment="1">
      <alignment horizontal="center"/>
    </xf>
    <xf numFmtId="0" fontId="0" fillId="0" borderId="14" xfId="0" applyNumberFormat="1" applyBorder="1"/>
    <xf numFmtId="176" fontId="138" fillId="47" borderId="91" xfId="0" applyFont="1" applyFill="1" applyBorder="1" applyAlignment="1">
      <alignment horizontal="center" wrapText="1"/>
    </xf>
    <xf numFmtId="0" fontId="138" fillId="46" borderId="14" xfId="0" applyNumberFormat="1" applyFont="1" applyFill="1" applyBorder="1" applyAlignment="1">
      <alignment horizontal="center"/>
    </xf>
    <xf numFmtId="178" fontId="40" fillId="0" borderId="7" xfId="4" applyNumberFormat="1" applyFont="1" applyBorder="1" applyAlignment="1">
      <alignment horizontal="center" vertical="center"/>
    </xf>
    <xf numFmtId="0" fontId="0" fillId="0" borderId="16" xfId="0" applyNumberFormat="1" applyBorder="1"/>
    <xf numFmtId="177" fontId="40" fillId="0" borderId="7" xfId="1" applyNumberFormat="1" applyFont="1" applyBorder="1" applyAlignment="1">
      <alignment horizontal="center" vertical="center"/>
    </xf>
  </cellXfs>
  <cellStyles count="1419">
    <cellStyle name="$" xfId="12" xr:uid="{00000000-0005-0000-0000-00000C000000}"/>
    <cellStyle name="$." xfId="13" xr:uid="{00000000-0005-0000-0000-00000D000000}"/>
    <cellStyle name="%" xfId="14" xr:uid="{00000000-0005-0000-0000-00000E000000}"/>
    <cellStyle name="%." xfId="15" xr:uid="{00000000-0005-0000-0000-00000F000000}"/>
    <cellStyle name="." xfId="16" xr:uid="{00000000-0005-0000-0000-000010000000}"/>
    <cellStyle name=". 2" xfId="17" xr:uid="{00000000-0005-0000-0000-000011000000}"/>
    <cellStyle name=". 2 10" xfId="18" xr:uid="{00000000-0005-0000-0000-000012000000}"/>
    <cellStyle name=". 2 2" xfId="19" xr:uid="{00000000-0005-0000-0000-000013000000}"/>
    <cellStyle name=". 2 2 2" xfId="20" xr:uid="{00000000-0005-0000-0000-000014000000}"/>
    <cellStyle name=". 2 2 3" xfId="21" xr:uid="{00000000-0005-0000-0000-000015000000}"/>
    <cellStyle name=". 2 2 4" xfId="22" xr:uid="{00000000-0005-0000-0000-000016000000}"/>
    <cellStyle name=". 2 2 5" xfId="23" xr:uid="{00000000-0005-0000-0000-000017000000}"/>
    <cellStyle name=". 2 2 6" xfId="24" xr:uid="{00000000-0005-0000-0000-000018000000}"/>
    <cellStyle name=". 2 2 7" xfId="25" xr:uid="{00000000-0005-0000-0000-000019000000}"/>
    <cellStyle name=". 2 2 8" xfId="26" xr:uid="{00000000-0005-0000-0000-00001A000000}"/>
    <cellStyle name=". 2 3" xfId="27" xr:uid="{00000000-0005-0000-0000-00001B000000}"/>
    <cellStyle name=". 2 3 2" xfId="28" xr:uid="{00000000-0005-0000-0000-00001C000000}"/>
    <cellStyle name=". 2 3 3" xfId="29" xr:uid="{00000000-0005-0000-0000-00001D000000}"/>
    <cellStyle name=". 2 3 4" xfId="30" xr:uid="{00000000-0005-0000-0000-00001E000000}"/>
    <cellStyle name=". 2 3 5" xfId="31" xr:uid="{00000000-0005-0000-0000-00001F000000}"/>
    <cellStyle name=". 2 3 6" xfId="32" xr:uid="{00000000-0005-0000-0000-000020000000}"/>
    <cellStyle name=". 2 3 7" xfId="33" xr:uid="{00000000-0005-0000-0000-000021000000}"/>
    <cellStyle name=". 2 3 8" xfId="34" xr:uid="{00000000-0005-0000-0000-000022000000}"/>
    <cellStyle name=". 2 4" xfId="35" xr:uid="{00000000-0005-0000-0000-000023000000}"/>
    <cellStyle name=". 2 5" xfId="36" xr:uid="{00000000-0005-0000-0000-000024000000}"/>
    <cellStyle name=". 2 6" xfId="37" xr:uid="{00000000-0005-0000-0000-000025000000}"/>
    <cellStyle name=". 2 7" xfId="38" xr:uid="{00000000-0005-0000-0000-000026000000}"/>
    <cellStyle name=". 2 8" xfId="39" xr:uid="{00000000-0005-0000-0000-000027000000}"/>
    <cellStyle name=". 2 9" xfId="40" xr:uid="{00000000-0005-0000-0000-000028000000}"/>
    <cellStyle name=".0" xfId="41" xr:uid="{00000000-0005-0000-0000-000029000000}"/>
    <cellStyle name=".0\" xfId="42" xr:uid="{00000000-0005-0000-0000-00002A000000}"/>
    <cellStyle name=".0\ 2" xfId="43" xr:uid="{00000000-0005-0000-0000-00002B000000}"/>
    <cellStyle name=".0\ 2 2" xfId="44" xr:uid="{00000000-0005-0000-0000-00002C000000}"/>
    <cellStyle name=".0\ 3" xfId="45" xr:uid="{00000000-0005-0000-0000-00002D000000}"/>
    <cellStyle name=".0\ 4" xfId="46" xr:uid="{00000000-0005-0000-0000-00002E000000}"/>
    <cellStyle name=".0\ 4 2" xfId="47" xr:uid="{00000000-0005-0000-0000-00002F000000}"/>
    <cellStyle name=".00" xfId="48" xr:uid="{00000000-0005-0000-0000-000030000000}"/>
    <cellStyle name=".000" xfId="49" xr:uid="{00000000-0005-0000-0000-000031000000}"/>
    <cellStyle name=".1" xfId="50" xr:uid="{00000000-0005-0000-0000-000032000000}"/>
    <cellStyle name=".2" xfId="51" xr:uid="{00000000-0005-0000-0000-000033000000}"/>
    <cellStyle name=".3" xfId="52" xr:uid="{00000000-0005-0000-0000-000034000000}"/>
    <cellStyle name="??&amp;O龡&amp;H?_x0008_??_x0007__x0001__x0001_" xfId="53" xr:uid="{00000000-0005-0000-0000-000035000000}"/>
    <cellStyle name="@_text" xfId="54" xr:uid="{00000000-0005-0000-0000-000036000000}"/>
    <cellStyle name="@_text 2" xfId="55" xr:uid="{00000000-0005-0000-0000-000037000000}"/>
    <cellStyle name="@_text_CIP" xfId="56" xr:uid="{00000000-0005-0000-0000-000038000000}"/>
    <cellStyle name="@_text_Lina-Update" xfId="57" xr:uid="{00000000-0005-0000-0000-000039000000}"/>
    <cellStyle name="@_text_ZA－货币资金2009.6(n)" xfId="58" xr:uid="{00000000-0005-0000-0000-00003A000000}"/>
    <cellStyle name="@_text_追踪表" xfId="59" xr:uid="{00000000-0005-0000-0000-00003B000000}"/>
    <cellStyle name="@_text_追踪表_审计资料0912" xfId="60" xr:uid="{00000000-0005-0000-0000-00003C000000}"/>
    <cellStyle name="@_text_子公司借款" xfId="61" xr:uid="{00000000-0005-0000-0000-00003D000000}"/>
    <cellStyle name="_0912loan movement-陈怡" xfId="62" xr:uid="{00000000-0005-0000-0000-00003E000000}"/>
    <cellStyle name="_2007年终审计资料（纽约）" xfId="63" xr:uid="{00000000-0005-0000-0000-00003F000000}"/>
    <cellStyle name="_Book1" xfId="64" xr:uid="{00000000-0005-0000-0000-000040000000}"/>
    <cellStyle name="_Cash &amp; Bank WP" xfId="65" xr:uid="{00000000-0005-0000-0000-000041000000}"/>
    <cellStyle name="_Cash &amp; Bank WP_0912loan movement-陈怡" xfId="66" xr:uid="{00000000-0005-0000-0000-000042000000}"/>
    <cellStyle name="_Cash &amp; Bank WP_FEWP" xfId="67" xr:uid="{00000000-0005-0000-0000-000043000000}"/>
    <cellStyle name="_Cash &amp; Bank WP_Lead" xfId="68" xr:uid="{00000000-0005-0000-0000-000044000000}"/>
    <cellStyle name="_Cash &amp; Bank WP_Loan Disclosure" xfId="69" xr:uid="{00000000-0005-0000-0000-000045000000}"/>
    <cellStyle name="_Cash &amp; Bank WP_Loan Disclosure_0912loan movement-陈怡" xfId="70" xr:uid="{00000000-0005-0000-0000-000046000000}"/>
    <cellStyle name="_Cash &amp; Bank WP_Loan Disclosure_FEWP" xfId="71" xr:uid="{00000000-0005-0000-0000-000047000000}"/>
    <cellStyle name="_Cash &amp; Bank WP_Loan Disclosure_Lead" xfId="72" xr:uid="{00000000-0005-0000-0000-000048000000}"/>
    <cellStyle name="_Cash &amp; Bank WP_Loan Disclosure_借款Breakdown" xfId="73" xr:uid="{00000000-0005-0000-0000-000049000000}"/>
    <cellStyle name="_Cash &amp; Bank WP_Loan Disclosure0704" xfId="74" xr:uid="{00000000-0005-0000-0000-00004A000000}"/>
    <cellStyle name="_Cash &amp; Bank WP_Loan Disclosure0704_0912loan movement-陈怡" xfId="75" xr:uid="{00000000-0005-0000-0000-00004B000000}"/>
    <cellStyle name="_Cash &amp; Bank WP_Loan Disclosure0704_FEWP" xfId="76" xr:uid="{00000000-0005-0000-0000-00004C000000}"/>
    <cellStyle name="_Cash &amp; Bank WP_Loan Disclosure0704_Lead" xfId="77" xr:uid="{00000000-0005-0000-0000-00004D000000}"/>
    <cellStyle name="_Cash &amp; Bank WP_Loan Disclosure0704_借款Breakdown" xfId="78" xr:uid="{00000000-0005-0000-0000-00004E000000}"/>
    <cellStyle name="_Cash &amp; Bank WP_借款Breakdown" xfId="79" xr:uid="{00000000-0005-0000-0000-00004F000000}"/>
    <cellStyle name="_Cash &amp; bank_Loan FAR_" xfId="80" xr:uid="{00000000-0005-0000-0000-000050000000}"/>
    <cellStyle name="_Cash&amp;bank WP" xfId="81" xr:uid="{00000000-0005-0000-0000-000051000000}"/>
    <cellStyle name="_cash-lead" xfId="82" xr:uid="{00000000-0005-0000-0000-000052000000}"/>
    <cellStyle name="_Copy of OBS 审计资料明细" xfId="83" xr:uid="{00000000-0005-0000-0000-000053000000}"/>
    <cellStyle name="_Copy of OBS 审计资料明细_0912审计资料-SAL样板-new" xfId="84" xr:uid="{00000000-0005-0000-0000-000054000000}"/>
    <cellStyle name="_Copy of OBS 审计资料明细_112233" xfId="85" xr:uid="{00000000-0005-0000-0000-000055000000}"/>
    <cellStyle name="_Copy of OBS 审计资料明细_2009 12审计资料pwc-new (2)" xfId="86" xr:uid="{00000000-0005-0000-0000-000056000000}"/>
    <cellStyle name="_Copy of OBS 审计资料明细_核对表" xfId="87" xr:uid="{00000000-0005-0000-0000-000057000000}"/>
    <cellStyle name="_Copy of OBS 审计资料明细_货币资金NEW (3)" xfId="88" xr:uid="{00000000-0005-0000-0000-000058000000}"/>
    <cellStyle name="_Copy of OBS 审计资料明细_货币资金NEW (4)" xfId="89" xr:uid="{00000000-0005-0000-0000-000059000000}"/>
    <cellStyle name="_Copy of OBS 审计资料明细_审计资料0912" xfId="90" xr:uid="{00000000-0005-0000-0000-00005A000000}"/>
    <cellStyle name="_Copy of OBS 审计资料明细_审计资料3" xfId="91" xr:uid="{00000000-0005-0000-0000-00005B000000}"/>
    <cellStyle name="_Copy of OBS 审计资料明细_审计资料3_审计资料-new" xfId="92" xr:uid="{00000000-0005-0000-0000-00005C000000}"/>
    <cellStyle name="_Copy of OBS 审计资料明细_审计资料3_审计资料-new_0912审计资料-SAL样板-new" xfId="93" xr:uid="{00000000-0005-0000-0000-00005D000000}"/>
    <cellStyle name="_Copy of OBS 审计资料明细_审计资料3_审计资料-new_112233" xfId="94" xr:uid="{00000000-0005-0000-0000-00005E000000}"/>
    <cellStyle name="_Copy of OBS 审计资料明细_审计资料3_审计资料-new_2009 12审计资料pwc-new (2)" xfId="95" xr:uid="{00000000-0005-0000-0000-00005F000000}"/>
    <cellStyle name="_Copy of OBS 审计资料明细_审计资料3_审计资料-new_核对表" xfId="96" xr:uid="{00000000-0005-0000-0000-000060000000}"/>
    <cellStyle name="_Copy of OBS 审计资料明细_审计资料3_审计资料-new_货币资金NEW (3)" xfId="97" xr:uid="{00000000-0005-0000-0000-000061000000}"/>
    <cellStyle name="_Copy of OBS 审计资料明细_审计资料3_审计资料-new_货币资金NEW (4)" xfId="98" xr:uid="{00000000-0005-0000-0000-000062000000}"/>
    <cellStyle name="_Copy of OBS 审计资料明细_审计资料3_审计资料-new_审计资料0912" xfId="99" xr:uid="{00000000-0005-0000-0000-000063000000}"/>
    <cellStyle name="_Copy of OBS 审计资料明细_审计资料3_审计资料-new_审计资料-SAL样板-2" xfId="100" xr:uid="{00000000-0005-0000-0000-000064000000}"/>
    <cellStyle name="_Copy of OBS 审计资料明细_审计资料3_审计资料-new_审计资料-SAL样板-new (1) (2)" xfId="101" xr:uid="{00000000-0005-0000-0000-000065000000}"/>
    <cellStyle name="_Copy of OBS 审计资料明细_审计资料3_审计资料-new_审计资料-SAL样板-new (2)" xfId="102" xr:uid="{00000000-0005-0000-0000-000066000000}"/>
    <cellStyle name="_Copy of OBS 审计资料明细_审计资料3_审计资料-new_审计资料-SAL样板-new (3)" xfId="103" xr:uid="{00000000-0005-0000-0000-000067000000}"/>
    <cellStyle name="_Copy of OBS 审计资料明细_审计资料3_审计资料-new_审计资料-SAL样板-new (4)" xfId="104" xr:uid="{00000000-0005-0000-0000-000068000000}"/>
    <cellStyle name="_Copy of OBS 审计资料明细_审计资料3_审计资料-new_审计资料-SAL样板-new (6)" xfId="105" xr:uid="{00000000-0005-0000-0000-000069000000}"/>
    <cellStyle name="_Copy of OBS 审计资料明细_审计资料3_审计资料-new_审计资料-SAL样板-new (7)" xfId="106" xr:uid="{00000000-0005-0000-0000-00006A000000}"/>
    <cellStyle name="_Copy of OBS 审计资料明细_审计资料3_审计资料-new_追踪表" xfId="107" xr:uid="{00000000-0005-0000-0000-00006B000000}"/>
    <cellStyle name="_Copy of OBS 审计资料明细_审计资料-SAL样板-2" xfId="108" xr:uid="{00000000-0005-0000-0000-00006C000000}"/>
    <cellStyle name="_Copy of OBS 审计资料明细_审计资料-SAL样板-new (1) (2)" xfId="109" xr:uid="{00000000-0005-0000-0000-00006D000000}"/>
    <cellStyle name="_Copy of OBS 审计资料明细_审计资料-SAL样板-new (2)" xfId="110" xr:uid="{00000000-0005-0000-0000-00006E000000}"/>
    <cellStyle name="_Copy of OBS 审计资料明细_审计资料-SAL样板-new (3)" xfId="111" xr:uid="{00000000-0005-0000-0000-00006F000000}"/>
    <cellStyle name="_Copy of OBS 审计资料明细_审计资料-SAL样板-new (4)" xfId="112" xr:uid="{00000000-0005-0000-0000-000070000000}"/>
    <cellStyle name="_Copy of OBS 审计资料明细_审计资料-SAL样板-new (6)" xfId="113" xr:uid="{00000000-0005-0000-0000-000071000000}"/>
    <cellStyle name="_Copy of OBS 审计资料明细_审计资料-SAL样板-new (7)" xfId="114" xr:uid="{00000000-0005-0000-0000-000072000000}"/>
    <cellStyle name="_Copy of OBS 审计资料明细_追踪表" xfId="115" xr:uid="{00000000-0005-0000-0000-000073000000}"/>
    <cellStyle name="_Copy of 上航FFP所需资料" xfId="116" xr:uid="{00000000-0005-0000-0000-000074000000}"/>
    <cellStyle name="_Copy of 上航FFP所需资料_0912审计资料-SAL样板-new" xfId="117" xr:uid="{00000000-0005-0000-0000-000075000000}"/>
    <cellStyle name="_Copy of 上航FFP所需资料_112233" xfId="118" xr:uid="{00000000-0005-0000-0000-000076000000}"/>
    <cellStyle name="_Copy of 上航FFP所需资料_2009 12审计资料pwc-new (2)" xfId="119" xr:uid="{00000000-0005-0000-0000-000077000000}"/>
    <cellStyle name="_Copy of 上航FFP所需资料_核对表" xfId="120" xr:uid="{00000000-0005-0000-0000-000078000000}"/>
    <cellStyle name="_Copy of 上航FFP所需资料_货币资金NEW (3)" xfId="121" xr:uid="{00000000-0005-0000-0000-000079000000}"/>
    <cellStyle name="_Copy of 上航FFP所需资料_货币资金NEW (4)" xfId="122" xr:uid="{00000000-0005-0000-0000-00007A000000}"/>
    <cellStyle name="_Copy of 上航FFP所需资料_审计资料0912" xfId="123" xr:uid="{00000000-0005-0000-0000-00007B000000}"/>
    <cellStyle name="_Copy of 上航FFP所需资料_审计资料-SAL样板-2" xfId="124" xr:uid="{00000000-0005-0000-0000-00007C000000}"/>
    <cellStyle name="_Copy of 上航FFP所需资料_审计资料-SAL样板-new (1) (2)" xfId="125" xr:uid="{00000000-0005-0000-0000-00007D000000}"/>
    <cellStyle name="_Copy of 上航FFP所需资料_审计资料-SAL样板-new (2)" xfId="126" xr:uid="{00000000-0005-0000-0000-00007E000000}"/>
    <cellStyle name="_Copy of 上航FFP所需资料_审计资料-SAL样板-new (3)" xfId="127" xr:uid="{00000000-0005-0000-0000-00007F000000}"/>
    <cellStyle name="_Copy of 上航FFP所需资料_审计资料-SAL样板-new (4)" xfId="128" xr:uid="{00000000-0005-0000-0000-000080000000}"/>
    <cellStyle name="_Copy of 上航FFP所需资料_审计资料-SAL样板-new (6)" xfId="129" xr:uid="{00000000-0005-0000-0000-000081000000}"/>
    <cellStyle name="_Copy of 上航FFP所需资料_审计资料-SAL样板-new (7)" xfId="130" xr:uid="{00000000-0005-0000-0000-000082000000}"/>
    <cellStyle name="_Copy of 上航FFP所需资料_追踪表" xfId="131" xr:uid="{00000000-0005-0000-0000-000083000000}"/>
    <cellStyle name="_Copy of 上航提供资料-FA team" xfId="132" xr:uid="{00000000-0005-0000-0000-000084000000}"/>
    <cellStyle name="_Copy of 需要上航提供的信息-expense team" xfId="133" xr:uid="{00000000-0005-0000-0000-000085000000}"/>
    <cellStyle name="_Copy of 需要上航提供的信息-expense team_0912审计资料-SAL样板-new" xfId="134" xr:uid="{00000000-0005-0000-0000-000086000000}"/>
    <cellStyle name="_Copy of 需要上航提供的信息-expense team_112233" xfId="135" xr:uid="{00000000-0005-0000-0000-000087000000}"/>
    <cellStyle name="_Copy of 需要上航提供的信息-expense team_2009 12审计资料pwc-new (2)" xfId="136" xr:uid="{00000000-0005-0000-0000-000088000000}"/>
    <cellStyle name="_Copy of 需要上航提供的信息-expense team_核对表" xfId="137" xr:uid="{00000000-0005-0000-0000-000089000000}"/>
    <cellStyle name="_Copy of 需要上航提供的信息-expense team_货币资金NEW (3)" xfId="138" xr:uid="{00000000-0005-0000-0000-00008A000000}"/>
    <cellStyle name="_Copy of 需要上航提供的信息-expense team_货币资金NEW (4)" xfId="139" xr:uid="{00000000-0005-0000-0000-00008B000000}"/>
    <cellStyle name="_Copy of 需要上航提供的信息-expense team_审计资料0912" xfId="140" xr:uid="{00000000-0005-0000-0000-00008C000000}"/>
    <cellStyle name="_Copy of 需要上航提供的信息-expense team_审计资料-SAL样板-2" xfId="141" xr:uid="{00000000-0005-0000-0000-00008D000000}"/>
    <cellStyle name="_Copy of 需要上航提供的信息-expense team_审计资料-SAL样板-new (1) (2)" xfId="142" xr:uid="{00000000-0005-0000-0000-00008E000000}"/>
    <cellStyle name="_Copy of 需要上航提供的信息-expense team_审计资料-SAL样板-new (2)" xfId="143" xr:uid="{00000000-0005-0000-0000-00008F000000}"/>
    <cellStyle name="_Copy of 需要上航提供的信息-expense team_审计资料-SAL样板-new (3)" xfId="144" xr:uid="{00000000-0005-0000-0000-000090000000}"/>
    <cellStyle name="_Copy of 需要上航提供的信息-expense team_审计资料-SAL样板-new (4)" xfId="145" xr:uid="{00000000-0005-0000-0000-000091000000}"/>
    <cellStyle name="_Copy of 需要上航提供的信息-expense team_审计资料-SAL样板-new (6)" xfId="146" xr:uid="{00000000-0005-0000-0000-000092000000}"/>
    <cellStyle name="_Copy of 需要上航提供的信息-expense team_审计资料-SAL样板-new (7)" xfId="147" xr:uid="{00000000-0005-0000-0000-000093000000}"/>
    <cellStyle name="_Copy of 需要上航提供的信息-expense team_追踪表" xfId="148" xr:uid="{00000000-0005-0000-0000-000094000000}"/>
    <cellStyle name="_ET_STYLE_NoName_00_" xfId="149" xr:uid="{00000000-0005-0000-0000-000095000000}"/>
    <cellStyle name="_ET_STYLE_NoName_00__loan-2008.12.31 v5" xfId="150" xr:uid="{00000000-0005-0000-0000-000096000000}"/>
    <cellStyle name="_ET_STYLE_NoName_00__loan-2008.12.31 v5_Loan2008-12v3" xfId="151" xr:uid="{00000000-0005-0000-0000-000097000000}"/>
    <cellStyle name="_ET_STYLE_NoName_00__Loan2008-12v3" xfId="152" xr:uid="{00000000-0005-0000-0000-000098000000}"/>
    <cellStyle name="_ET_STYLE_NoName_00__短期借款version1" xfId="153" xr:uid="{00000000-0005-0000-0000-000099000000}"/>
    <cellStyle name="_ET_STYLE_NoName_00__短期借款version1_Loan2008-12v3" xfId="154" xr:uid="{00000000-0005-0000-0000-00009A000000}"/>
    <cellStyle name="_ET_STYLE_NoName_00__票据version1" xfId="155" xr:uid="{00000000-0005-0000-0000-00009B000000}"/>
    <cellStyle name="_ET_STYLE_NoName_00__长期借款versoin1" xfId="156" xr:uid="{00000000-0005-0000-0000-00009C000000}"/>
    <cellStyle name="_ET_STYLE_NoName_00__长期借款versoin1_Loan2008-12v3" xfId="157" xr:uid="{00000000-0005-0000-0000-00009D000000}"/>
    <cellStyle name="_Fair value of long-term bank loan" xfId="158" xr:uid="{00000000-0005-0000-0000-00009E000000}"/>
    <cellStyle name="_Fair value of long-term bank loan_0912loan movement-陈怡" xfId="159" xr:uid="{00000000-0005-0000-0000-00009F000000}"/>
    <cellStyle name="_Fair value of long-term bank loan_FEWP" xfId="160" xr:uid="{00000000-0005-0000-0000-0000A0000000}"/>
    <cellStyle name="_Fair value of long-term bank loan_Lead" xfId="161" xr:uid="{00000000-0005-0000-0000-0000A1000000}"/>
    <cellStyle name="_Fair value of long-term bank loan_借款Breakdown" xfId="162" xr:uid="{00000000-0005-0000-0000-0000A2000000}"/>
    <cellStyle name="_FEWP" xfId="163" xr:uid="{00000000-0005-0000-0000-0000A3000000}"/>
    <cellStyle name="_financial highlight BS _yiyi" xfId="164" xr:uid="{00000000-0005-0000-0000-0000A4000000}"/>
    <cellStyle name="_Lead" xfId="165" xr:uid="{00000000-0005-0000-0000-0000A5000000}"/>
    <cellStyle name="_Lina-Update" xfId="166" xr:uid="{00000000-0005-0000-0000-0000A6000000}"/>
    <cellStyle name="_Loan &amp; Interest Movement 0714" xfId="167" xr:uid="{00000000-0005-0000-0000-0000A7000000}"/>
    <cellStyle name="_Loan confirmation control sheet" xfId="168" xr:uid="{00000000-0005-0000-0000-0000A8000000}"/>
    <cellStyle name="_Loan Control Sheet-0803" xfId="169" xr:uid="{00000000-0005-0000-0000-0000A9000000}"/>
    <cellStyle name="_Loan WP" xfId="170" xr:uid="{00000000-0005-0000-0000-0000AA000000}"/>
    <cellStyle name="_Loan WP_0912loan movement-陈怡" xfId="171" xr:uid="{00000000-0005-0000-0000-0000AB000000}"/>
    <cellStyle name="_Loan WP_FEWP" xfId="172" xr:uid="{00000000-0005-0000-0000-0000AC000000}"/>
    <cellStyle name="_Loan WP_Lead" xfId="173" xr:uid="{00000000-0005-0000-0000-0000AD000000}"/>
    <cellStyle name="_Loan WP_借款Breakdown" xfId="174" xr:uid="{00000000-0005-0000-0000-0000AE000000}"/>
    <cellStyle name="_loan-2008.12.31" xfId="175" xr:uid="{00000000-0005-0000-0000-0000AF000000}"/>
    <cellStyle name="_loanWP_091231" xfId="176" xr:uid="{00000000-0005-0000-0000-0000B0000000}"/>
    <cellStyle name="_Notes payable disclosure" xfId="177" xr:uid="{00000000-0005-0000-0000-0000B1000000}"/>
    <cellStyle name="_Notes payable disclosure_0912loan movement-陈怡" xfId="178" xr:uid="{00000000-0005-0000-0000-0000B2000000}"/>
    <cellStyle name="_Notes payable disclosure_FEWP" xfId="179" xr:uid="{00000000-0005-0000-0000-0000B3000000}"/>
    <cellStyle name="_Notes payable disclosure_Lead" xfId="180" xr:uid="{00000000-0005-0000-0000-0000B4000000}"/>
    <cellStyle name="_Notes payable disclosure_借款Breakdown" xfId="181" xr:uid="{00000000-0005-0000-0000-0000B5000000}"/>
    <cellStyle name="_Notes Payable WP" xfId="182" xr:uid="{00000000-0005-0000-0000-0000B6000000}"/>
    <cellStyle name="_Notes Payable WP_0912loan movement-陈怡" xfId="183" xr:uid="{00000000-0005-0000-0000-0000B7000000}"/>
    <cellStyle name="_Notes Payable WP_FEWP" xfId="184" xr:uid="{00000000-0005-0000-0000-0000B8000000}"/>
    <cellStyle name="_Notes Payable WP_Lead" xfId="185" xr:uid="{00000000-0005-0000-0000-0000B9000000}"/>
    <cellStyle name="_Notes Payable WP_借款Breakdown" xfId="186" xr:uid="{00000000-0005-0000-0000-0000BA000000}"/>
    <cellStyle name="_Sam's FAR Feb.16" xfId="187" xr:uid="{00000000-0005-0000-0000-0000BB000000}"/>
    <cellStyle name="_SHA Cash and bank Control Sheet-0629" xfId="188" xr:uid="{00000000-0005-0000-0000-0000BC000000}"/>
    <cellStyle name="_Sheet1" xfId="189" xr:uid="{00000000-0005-0000-0000-0000BD000000}"/>
    <cellStyle name="_Worksheet in (Read-Only) Step - Obtain a detailed analysis of loans and long-term debt" xfId="190" xr:uid="{00000000-0005-0000-0000-0000BE000000}"/>
    <cellStyle name="_Worksheet in (Read-Only) Step - Perform substantive analytical procedures - Cash 实施实" xfId="191" xr:uid="{00000000-0005-0000-0000-0000BF000000}"/>
    <cellStyle name="_Worksheet in (Read-Only) Step - Perform substantive analytical procedures - Notes payable, l" xfId="192" xr:uid="{00000000-0005-0000-0000-0000C0000000}"/>
    <cellStyle name="_Worksheet in (Read-Only) Step - Test interest expense and the ending accrued interest payabl" xfId="193" xr:uid="{00000000-0005-0000-0000-0000C1000000}"/>
    <cellStyle name="_Wumart" xfId="194" xr:uid="{00000000-0005-0000-0000-0000C2000000}"/>
    <cellStyle name="_ZA－货币资金2009.6(n)" xfId="195" xr:uid="{00000000-0005-0000-0000-0000C3000000}"/>
    <cellStyle name="_短期借款" xfId="196" xr:uid="{00000000-0005-0000-0000-0000C4000000}"/>
    <cellStyle name="_国旅 Loan" xfId="197" xr:uid="{00000000-0005-0000-0000-0000C5000000}"/>
    <cellStyle name="_借款Breakdown" xfId="198" xr:uid="{00000000-0005-0000-0000-0000C6000000}"/>
    <cellStyle name="_上航提供资料-FA team" xfId="199" xr:uid="{00000000-0005-0000-0000-0000C7000000}"/>
    <cellStyle name="_上货航 Loan" xfId="200" xr:uid="{00000000-0005-0000-0000-0000C8000000}"/>
    <cellStyle name="_审计资料" xfId="201" xr:uid="{00000000-0005-0000-0000-0000C9000000}"/>
    <cellStyle name="_审计资料_0912审计资料-SAL样板-new" xfId="202" xr:uid="{00000000-0005-0000-0000-0000CA000000}"/>
    <cellStyle name="_审计资料_112233" xfId="203" xr:uid="{00000000-0005-0000-0000-0000CB000000}"/>
    <cellStyle name="_审计资料_2009 12审计资料pwc-new (2)" xfId="204" xr:uid="{00000000-0005-0000-0000-0000CC000000}"/>
    <cellStyle name="_审计资料_核对表" xfId="205" xr:uid="{00000000-0005-0000-0000-0000CD000000}"/>
    <cellStyle name="_审计资料_货币资金NEW (3)" xfId="206" xr:uid="{00000000-0005-0000-0000-0000CE000000}"/>
    <cellStyle name="_审计资料_货币资金NEW (4)" xfId="207" xr:uid="{00000000-0005-0000-0000-0000CF000000}"/>
    <cellStyle name="_审计资料_审计资料0912" xfId="208" xr:uid="{00000000-0005-0000-0000-0000D0000000}"/>
    <cellStyle name="_审计资料_审计资料3" xfId="209" xr:uid="{00000000-0005-0000-0000-0000D1000000}"/>
    <cellStyle name="_审计资料_审计资料3_审计资料-new" xfId="210" xr:uid="{00000000-0005-0000-0000-0000D2000000}"/>
    <cellStyle name="_审计资料_审计资料3_审计资料-new_0912审计资料-SAL样板-new" xfId="211" xr:uid="{00000000-0005-0000-0000-0000D3000000}"/>
    <cellStyle name="_审计资料_审计资料3_审计资料-new_112233" xfId="212" xr:uid="{00000000-0005-0000-0000-0000D4000000}"/>
    <cellStyle name="_审计资料_审计资料3_审计资料-new_2009 12审计资料pwc-new (2)" xfId="213" xr:uid="{00000000-0005-0000-0000-0000D5000000}"/>
    <cellStyle name="_审计资料_审计资料3_审计资料-new_核对表" xfId="214" xr:uid="{00000000-0005-0000-0000-0000D6000000}"/>
    <cellStyle name="_审计资料_审计资料3_审计资料-new_货币资金NEW (3)" xfId="215" xr:uid="{00000000-0005-0000-0000-0000D7000000}"/>
    <cellStyle name="_审计资料_审计资料3_审计资料-new_货币资金NEW (4)" xfId="216" xr:uid="{00000000-0005-0000-0000-0000D8000000}"/>
    <cellStyle name="_审计资料_审计资料3_审计资料-new_审计资料0912" xfId="217" xr:uid="{00000000-0005-0000-0000-0000D9000000}"/>
    <cellStyle name="_审计资料_审计资料3_审计资料-new_审计资料-SAL样板-2" xfId="218" xr:uid="{00000000-0005-0000-0000-0000DA000000}"/>
    <cellStyle name="_审计资料_审计资料3_审计资料-new_审计资料-SAL样板-new (1) (2)" xfId="219" xr:uid="{00000000-0005-0000-0000-0000DB000000}"/>
    <cellStyle name="_审计资料_审计资料3_审计资料-new_审计资料-SAL样板-new (2)" xfId="220" xr:uid="{00000000-0005-0000-0000-0000DC000000}"/>
    <cellStyle name="_审计资料_审计资料3_审计资料-new_审计资料-SAL样板-new (3)" xfId="221" xr:uid="{00000000-0005-0000-0000-0000DD000000}"/>
    <cellStyle name="_审计资料_审计资料3_审计资料-new_审计资料-SAL样板-new (4)" xfId="222" xr:uid="{00000000-0005-0000-0000-0000DE000000}"/>
    <cellStyle name="_审计资料_审计资料3_审计资料-new_审计资料-SAL样板-new (6)" xfId="223" xr:uid="{00000000-0005-0000-0000-0000DF000000}"/>
    <cellStyle name="_审计资料_审计资料3_审计资料-new_审计资料-SAL样板-new (7)" xfId="224" xr:uid="{00000000-0005-0000-0000-0000E0000000}"/>
    <cellStyle name="_审计资料_审计资料3_审计资料-new_追踪表" xfId="225" xr:uid="{00000000-0005-0000-0000-0000E1000000}"/>
    <cellStyle name="_审计资料_审计资料-SAL样板-2" xfId="226" xr:uid="{00000000-0005-0000-0000-0000E2000000}"/>
    <cellStyle name="_审计资料_审计资料-SAL样板-new (1) (2)" xfId="227" xr:uid="{00000000-0005-0000-0000-0000E3000000}"/>
    <cellStyle name="_审计资料_审计资料-SAL样板-new (2)" xfId="228" xr:uid="{00000000-0005-0000-0000-0000E4000000}"/>
    <cellStyle name="_审计资料_审计资料-SAL样板-new (3)" xfId="229" xr:uid="{00000000-0005-0000-0000-0000E5000000}"/>
    <cellStyle name="_审计资料_审计资料-SAL样板-new (4)" xfId="230" xr:uid="{00000000-0005-0000-0000-0000E6000000}"/>
    <cellStyle name="_审计资料_审计资料-SAL样板-new (6)" xfId="231" xr:uid="{00000000-0005-0000-0000-0000E7000000}"/>
    <cellStyle name="_审计资料_审计资料-SAL样板-new (7)" xfId="232" xr:uid="{00000000-0005-0000-0000-0000E8000000}"/>
    <cellStyle name="_审计资料_追踪表" xfId="233" xr:uid="{00000000-0005-0000-0000-0000E9000000}"/>
    <cellStyle name="_审计资料-new" xfId="234" xr:uid="{00000000-0005-0000-0000-0000EA000000}"/>
    <cellStyle name="_审计资料-new_0912审计资料-SAL样板-new" xfId="235" xr:uid="{00000000-0005-0000-0000-0000EB000000}"/>
    <cellStyle name="_审计资料-new_112233" xfId="236" xr:uid="{00000000-0005-0000-0000-0000EC000000}"/>
    <cellStyle name="_审计资料-new_2009 12审计资料pwc-new (2)" xfId="237" xr:uid="{00000000-0005-0000-0000-0000ED000000}"/>
    <cellStyle name="_审计资料-new_核对表" xfId="238" xr:uid="{00000000-0005-0000-0000-0000EE000000}"/>
    <cellStyle name="_审计资料-new_货币资金NEW (3)" xfId="239" xr:uid="{00000000-0005-0000-0000-0000EF000000}"/>
    <cellStyle name="_审计资料-new_货币资金NEW (4)" xfId="240" xr:uid="{00000000-0005-0000-0000-0000F0000000}"/>
    <cellStyle name="_审计资料-new_审计资料0912" xfId="241" xr:uid="{00000000-0005-0000-0000-0000F1000000}"/>
    <cellStyle name="_审计资料-new_审计资料-SAL样板-2" xfId="242" xr:uid="{00000000-0005-0000-0000-0000F2000000}"/>
    <cellStyle name="_审计资料-new_审计资料-SAL样板-new (1) (2)" xfId="243" xr:uid="{00000000-0005-0000-0000-0000F3000000}"/>
    <cellStyle name="_审计资料-new_审计资料-SAL样板-new (2)" xfId="244" xr:uid="{00000000-0005-0000-0000-0000F4000000}"/>
    <cellStyle name="_审计资料-new_审计资料-SAL样板-new (3)" xfId="245" xr:uid="{00000000-0005-0000-0000-0000F5000000}"/>
    <cellStyle name="_审计资料-new_审计资料-SAL样板-new (4)" xfId="246" xr:uid="{00000000-0005-0000-0000-0000F6000000}"/>
    <cellStyle name="_审计资料-new_审计资料-SAL样板-new (6)" xfId="247" xr:uid="{00000000-0005-0000-0000-0000F7000000}"/>
    <cellStyle name="_审计资料-new_审计资料-SAL样板-new (7)" xfId="248" xr:uid="{00000000-0005-0000-0000-0000F8000000}"/>
    <cellStyle name="_审计资料-new_追踪表" xfId="249" xr:uid="{00000000-0005-0000-0000-0000F9000000}"/>
    <cellStyle name="_资产部汇总全公司部分0806" xfId="250" xr:uid="{00000000-0005-0000-0000-0000FA000000}"/>
    <cellStyle name="_资产部汇总全公司部分0806_0912审计资料-SAL样板-new" xfId="251" xr:uid="{00000000-0005-0000-0000-0000FB000000}"/>
    <cellStyle name="_资产部汇总全公司部分0806_112233" xfId="252" xr:uid="{00000000-0005-0000-0000-0000FC000000}"/>
    <cellStyle name="_资产部汇总全公司部分0806_2009 12审计资料pwc-new (2)" xfId="253" xr:uid="{00000000-0005-0000-0000-0000FD000000}"/>
    <cellStyle name="_资产部汇总全公司部分0806_核对表" xfId="254" xr:uid="{00000000-0005-0000-0000-0000FE000000}"/>
    <cellStyle name="_资产部汇总全公司部分0806_货币资金NEW (3)" xfId="255" xr:uid="{00000000-0005-0000-0000-0000FF000000}"/>
    <cellStyle name="_资产部汇总全公司部分0806_货币资金NEW (4)" xfId="256" xr:uid="{00000000-0005-0000-0000-000000010000}"/>
    <cellStyle name="_资产部汇总全公司部分0806_审计资料0912" xfId="257" xr:uid="{00000000-0005-0000-0000-000001010000}"/>
    <cellStyle name="_资产部汇总全公司部分0806_审计资料-SAL样板-2" xfId="258" xr:uid="{00000000-0005-0000-0000-000002010000}"/>
    <cellStyle name="_资产部汇总全公司部分0806_审计资料-SAL样板-new (1) (2)" xfId="259" xr:uid="{00000000-0005-0000-0000-000003010000}"/>
    <cellStyle name="_资产部汇总全公司部分0806_审计资料-SAL样板-new (2)" xfId="260" xr:uid="{00000000-0005-0000-0000-000004010000}"/>
    <cellStyle name="_资产部汇总全公司部分0806_审计资料-SAL样板-new (3)" xfId="261" xr:uid="{00000000-0005-0000-0000-000005010000}"/>
    <cellStyle name="_资产部汇总全公司部分0806_审计资料-SAL样板-new (4)" xfId="262" xr:uid="{00000000-0005-0000-0000-000006010000}"/>
    <cellStyle name="_资产部汇总全公司部分0806_审计资料-SAL样板-new (6)" xfId="263" xr:uid="{00000000-0005-0000-0000-000007010000}"/>
    <cellStyle name="_资产部汇总全公司部分0806_审计资料-SAL样板-new (7)" xfId="264" xr:uid="{00000000-0005-0000-0000-000008010000}"/>
    <cellStyle name="_资产部汇总全公司部分0806_追踪表" xfId="265" xr:uid="{00000000-0005-0000-0000-000009010000}"/>
    <cellStyle name="{Comma [0]}" xfId="266" xr:uid="{00000000-0005-0000-0000-00000A010000}"/>
    <cellStyle name="{Comma [0]} 2" xfId="267" xr:uid="{00000000-0005-0000-0000-00000B010000}"/>
    <cellStyle name="{Comma}" xfId="268" xr:uid="{00000000-0005-0000-0000-00000C010000}"/>
    <cellStyle name="{Comma} 2" xfId="269" xr:uid="{00000000-0005-0000-0000-00000D010000}"/>
    <cellStyle name="{Date}" xfId="270" xr:uid="{00000000-0005-0000-0000-00000E010000}"/>
    <cellStyle name="{Date} 2" xfId="271" xr:uid="{00000000-0005-0000-0000-00000F010000}"/>
    <cellStyle name="{Month}" xfId="272" xr:uid="{00000000-0005-0000-0000-000010010000}"/>
    <cellStyle name="{Month} 2" xfId="273" xr:uid="{00000000-0005-0000-0000-000011010000}"/>
    <cellStyle name="{Percent}" xfId="274" xr:uid="{00000000-0005-0000-0000-000012010000}"/>
    <cellStyle name="{Percent} 2" xfId="275" xr:uid="{00000000-0005-0000-0000-000013010000}"/>
    <cellStyle name="{Thousand [0]}" xfId="276" xr:uid="{00000000-0005-0000-0000-000014010000}"/>
    <cellStyle name="{Thousand [0]} 2" xfId="277" xr:uid="{00000000-0005-0000-0000-000015010000}"/>
    <cellStyle name="{Thousand}" xfId="278" xr:uid="{00000000-0005-0000-0000-000016010000}"/>
    <cellStyle name="{Thousand} 2" xfId="279" xr:uid="{00000000-0005-0000-0000-000017010000}"/>
    <cellStyle name="{Z'0000(1 dec)}" xfId="280" xr:uid="{00000000-0005-0000-0000-000018010000}"/>
    <cellStyle name="{Z'0000(1 dec)} 2" xfId="281" xr:uid="{00000000-0005-0000-0000-000019010000}"/>
    <cellStyle name="{Z'0000(4 dec)}" xfId="282" xr:uid="{00000000-0005-0000-0000-00001A010000}"/>
    <cellStyle name="{Z'0000(4 dec)} 2" xfId="283" xr:uid="{00000000-0005-0000-0000-00001B010000}"/>
    <cellStyle name="£ BP" xfId="284" xr:uid="{00000000-0005-0000-0000-00001C010000}"/>
    <cellStyle name="¥ JY" xfId="285" xr:uid="{00000000-0005-0000-0000-00001D010000}"/>
    <cellStyle name="=C:\WINNT\SYSTEM32\COMMAND.COM" xfId="286" xr:uid="{00000000-0005-0000-0000-00001E010000}"/>
    <cellStyle name="0" xfId="287" xr:uid="{00000000-0005-0000-0000-00001F010000}"/>
    <cellStyle name="0,0_x000d__x000a_NA_x000d__x000a_" xfId="288" xr:uid="{00000000-0005-0000-0000-000020010000}"/>
    <cellStyle name="1" xfId="289" xr:uid="{00000000-0005-0000-0000-000021010000}"/>
    <cellStyle name="1 2" xfId="290" xr:uid="{00000000-0005-0000-0000-000022010000}"/>
    <cellStyle name="10" xfId="291" xr:uid="{00000000-0005-0000-0000-000023010000}"/>
    <cellStyle name="12" xfId="292" xr:uid="{00000000-0005-0000-0000-000024010000}"/>
    <cellStyle name="14" xfId="293" xr:uid="{00000000-0005-0000-0000-000025010000}"/>
    <cellStyle name="18" xfId="294" xr:uid="{00000000-0005-0000-0000-000026010000}"/>
    <cellStyle name="20% - 强调文字颜色 1 2" xfId="295" xr:uid="{00000000-0005-0000-0000-000027010000}"/>
    <cellStyle name="20% - 强调文字颜色 1 3" xfId="296" xr:uid="{00000000-0005-0000-0000-000028010000}"/>
    <cellStyle name="20% - 强调文字颜色 1 4" xfId="297" xr:uid="{00000000-0005-0000-0000-000029010000}"/>
    <cellStyle name="20% - 强调文字颜色 1 5" xfId="298" xr:uid="{00000000-0005-0000-0000-00002A010000}"/>
    <cellStyle name="20% - 强调文字颜色 1 6" xfId="299" xr:uid="{00000000-0005-0000-0000-00002B010000}"/>
    <cellStyle name="20% - 强调文字颜色 2 2" xfId="300" xr:uid="{00000000-0005-0000-0000-00002C010000}"/>
    <cellStyle name="20% - 强调文字颜色 2 3" xfId="301" xr:uid="{00000000-0005-0000-0000-00002D010000}"/>
    <cellStyle name="20% - 强调文字颜色 2 4" xfId="302" xr:uid="{00000000-0005-0000-0000-00002E010000}"/>
    <cellStyle name="20% - 强调文字颜色 2 5" xfId="303" xr:uid="{00000000-0005-0000-0000-00002F010000}"/>
    <cellStyle name="20% - 强调文字颜色 2 6" xfId="304" xr:uid="{00000000-0005-0000-0000-000030010000}"/>
    <cellStyle name="20% - 强调文字颜色 3 2" xfId="305" xr:uid="{00000000-0005-0000-0000-000031010000}"/>
    <cellStyle name="20% - 强调文字颜色 3 3" xfId="306" xr:uid="{00000000-0005-0000-0000-000032010000}"/>
    <cellStyle name="20% - 强调文字颜色 3 4" xfId="307" xr:uid="{00000000-0005-0000-0000-000033010000}"/>
    <cellStyle name="20% - 强调文字颜色 3 5" xfId="308" xr:uid="{00000000-0005-0000-0000-000034010000}"/>
    <cellStyle name="20% - 强调文字颜色 3 6" xfId="309" xr:uid="{00000000-0005-0000-0000-000035010000}"/>
    <cellStyle name="20% - 强调文字颜色 4 2" xfId="310" xr:uid="{00000000-0005-0000-0000-000036010000}"/>
    <cellStyle name="20% - 强调文字颜色 4 3" xfId="311" xr:uid="{00000000-0005-0000-0000-000037010000}"/>
    <cellStyle name="20% - 强调文字颜色 4 4" xfId="312" xr:uid="{00000000-0005-0000-0000-000038010000}"/>
    <cellStyle name="20% - 强调文字颜色 4 5" xfId="313" xr:uid="{00000000-0005-0000-0000-000039010000}"/>
    <cellStyle name="20% - 强调文字颜色 4 6" xfId="314" xr:uid="{00000000-0005-0000-0000-00003A010000}"/>
    <cellStyle name="20% - 强调文字颜色 5 2" xfId="315" xr:uid="{00000000-0005-0000-0000-00003B010000}"/>
    <cellStyle name="20% - 强调文字颜色 5 3" xfId="316" xr:uid="{00000000-0005-0000-0000-00003C010000}"/>
    <cellStyle name="20% - 强调文字颜色 5 4" xfId="317" xr:uid="{00000000-0005-0000-0000-00003D010000}"/>
    <cellStyle name="20% - 强调文字颜色 5 5" xfId="318" xr:uid="{00000000-0005-0000-0000-00003E010000}"/>
    <cellStyle name="20% - 强调文字颜色 5 6" xfId="319" xr:uid="{00000000-0005-0000-0000-00003F010000}"/>
    <cellStyle name="20% - 强调文字颜色 6 2" xfId="320" xr:uid="{00000000-0005-0000-0000-000040010000}"/>
    <cellStyle name="20% - 强调文字颜色 6 3" xfId="321" xr:uid="{00000000-0005-0000-0000-000041010000}"/>
    <cellStyle name="20% - 强调文字颜色 6 4" xfId="322" xr:uid="{00000000-0005-0000-0000-000042010000}"/>
    <cellStyle name="20% - 强调文字颜色 6 5" xfId="323" xr:uid="{00000000-0005-0000-0000-000043010000}"/>
    <cellStyle name="20% - 强调文字颜色 6 6" xfId="324" xr:uid="{00000000-0005-0000-0000-000044010000}"/>
    <cellStyle name="24" xfId="325" xr:uid="{00000000-0005-0000-0000-000045010000}"/>
    <cellStyle name="40% - 强调文字颜色 1 2" xfId="326" xr:uid="{00000000-0005-0000-0000-000046010000}"/>
    <cellStyle name="40% - 强调文字颜色 1 3" xfId="327" xr:uid="{00000000-0005-0000-0000-000047010000}"/>
    <cellStyle name="40% - 强调文字颜色 1 4" xfId="328" xr:uid="{00000000-0005-0000-0000-000048010000}"/>
    <cellStyle name="40% - 强调文字颜色 1 5" xfId="329" xr:uid="{00000000-0005-0000-0000-000049010000}"/>
    <cellStyle name="40% - 强调文字颜色 1 6" xfId="330" xr:uid="{00000000-0005-0000-0000-00004A010000}"/>
    <cellStyle name="40% - 强调文字颜色 2 2" xfId="331" xr:uid="{00000000-0005-0000-0000-00004B010000}"/>
    <cellStyle name="40% - 强调文字颜色 2 3" xfId="332" xr:uid="{00000000-0005-0000-0000-00004C010000}"/>
    <cellStyle name="40% - 强调文字颜色 2 4" xfId="333" xr:uid="{00000000-0005-0000-0000-00004D010000}"/>
    <cellStyle name="40% - 强调文字颜色 2 5" xfId="334" xr:uid="{00000000-0005-0000-0000-00004E010000}"/>
    <cellStyle name="40% - 强调文字颜色 2 6" xfId="335" xr:uid="{00000000-0005-0000-0000-00004F010000}"/>
    <cellStyle name="40% - 强调文字颜色 3 2" xfId="336" xr:uid="{00000000-0005-0000-0000-000050010000}"/>
    <cellStyle name="40% - 强调文字颜色 3 3" xfId="337" xr:uid="{00000000-0005-0000-0000-000051010000}"/>
    <cellStyle name="40% - 强调文字颜色 3 4" xfId="338" xr:uid="{00000000-0005-0000-0000-000052010000}"/>
    <cellStyle name="40% - 强调文字颜色 3 5" xfId="339" xr:uid="{00000000-0005-0000-0000-000053010000}"/>
    <cellStyle name="40% - 强调文字颜色 3 6" xfId="340" xr:uid="{00000000-0005-0000-0000-000054010000}"/>
    <cellStyle name="40% - 强调文字颜色 4 2" xfId="341" xr:uid="{00000000-0005-0000-0000-000055010000}"/>
    <cellStyle name="40% - 强调文字颜色 4 3" xfId="342" xr:uid="{00000000-0005-0000-0000-000056010000}"/>
    <cellStyle name="40% - 强调文字颜色 4 4" xfId="343" xr:uid="{00000000-0005-0000-0000-000057010000}"/>
    <cellStyle name="40% - 强调文字颜色 4 5" xfId="344" xr:uid="{00000000-0005-0000-0000-000058010000}"/>
    <cellStyle name="40% - 强调文字颜色 4 6" xfId="345" xr:uid="{00000000-0005-0000-0000-000059010000}"/>
    <cellStyle name="40% - 强调文字颜色 5 2" xfId="346" xr:uid="{00000000-0005-0000-0000-00005A010000}"/>
    <cellStyle name="40% - 强调文字颜色 5 3" xfId="347" xr:uid="{00000000-0005-0000-0000-00005B010000}"/>
    <cellStyle name="40% - 强调文字颜色 5 4" xfId="348" xr:uid="{00000000-0005-0000-0000-00005C010000}"/>
    <cellStyle name="40% - 强调文字颜色 5 5" xfId="349" xr:uid="{00000000-0005-0000-0000-00005D010000}"/>
    <cellStyle name="40% - 强调文字颜色 5 6" xfId="350" xr:uid="{00000000-0005-0000-0000-00005E010000}"/>
    <cellStyle name="40% - 强调文字颜色 6 2" xfId="351" xr:uid="{00000000-0005-0000-0000-00005F010000}"/>
    <cellStyle name="40% - 强调文字颜色 6 3" xfId="352" xr:uid="{00000000-0005-0000-0000-000060010000}"/>
    <cellStyle name="40% - 强调文字颜色 6 4" xfId="353" xr:uid="{00000000-0005-0000-0000-000061010000}"/>
    <cellStyle name="40% - 强调文字颜色 6 5" xfId="354" xr:uid="{00000000-0005-0000-0000-000062010000}"/>
    <cellStyle name="40% - 强调文字颜色 6 6" xfId="355" xr:uid="{00000000-0005-0000-0000-000063010000}"/>
    <cellStyle name="60% - 强调文字颜色 1 2" xfId="356" xr:uid="{00000000-0005-0000-0000-000064010000}"/>
    <cellStyle name="60% - 强调文字颜色 1 3" xfId="357" xr:uid="{00000000-0005-0000-0000-000065010000}"/>
    <cellStyle name="60% - 强调文字颜色 1 4" xfId="358" xr:uid="{00000000-0005-0000-0000-000066010000}"/>
    <cellStyle name="60% - 强调文字颜色 1 5" xfId="359" xr:uid="{00000000-0005-0000-0000-000067010000}"/>
    <cellStyle name="60% - 强调文字颜色 1 6" xfId="360" xr:uid="{00000000-0005-0000-0000-000068010000}"/>
    <cellStyle name="60% - 强调文字颜色 2 2" xfId="361" xr:uid="{00000000-0005-0000-0000-000069010000}"/>
    <cellStyle name="60% - 强调文字颜色 2 3" xfId="362" xr:uid="{00000000-0005-0000-0000-00006A010000}"/>
    <cellStyle name="60% - 强调文字颜色 2 4" xfId="363" xr:uid="{00000000-0005-0000-0000-00006B010000}"/>
    <cellStyle name="60% - 强调文字颜色 2 5" xfId="364" xr:uid="{00000000-0005-0000-0000-00006C010000}"/>
    <cellStyle name="60% - 强调文字颜色 2 6" xfId="365" xr:uid="{00000000-0005-0000-0000-00006D010000}"/>
    <cellStyle name="60% - 强调文字颜色 3 2" xfId="366" xr:uid="{00000000-0005-0000-0000-00006E010000}"/>
    <cellStyle name="60% - 强调文字颜色 3 3" xfId="367" xr:uid="{00000000-0005-0000-0000-00006F010000}"/>
    <cellStyle name="60% - 强调文字颜色 3 4" xfId="368" xr:uid="{00000000-0005-0000-0000-000070010000}"/>
    <cellStyle name="60% - 强调文字颜色 3 5" xfId="369" xr:uid="{00000000-0005-0000-0000-000071010000}"/>
    <cellStyle name="60% - 强调文字颜色 3 6" xfId="370" xr:uid="{00000000-0005-0000-0000-000072010000}"/>
    <cellStyle name="60% - 强调文字颜色 4 2" xfId="371" xr:uid="{00000000-0005-0000-0000-000073010000}"/>
    <cellStyle name="60% - 强调文字颜色 4 3" xfId="372" xr:uid="{00000000-0005-0000-0000-000074010000}"/>
    <cellStyle name="60% - 强调文字颜色 4 4" xfId="373" xr:uid="{00000000-0005-0000-0000-000075010000}"/>
    <cellStyle name="60% - 强调文字颜色 4 5" xfId="374" xr:uid="{00000000-0005-0000-0000-000076010000}"/>
    <cellStyle name="60% - 强调文字颜色 4 6" xfId="375" xr:uid="{00000000-0005-0000-0000-000077010000}"/>
    <cellStyle name="60% - 强调文字颜色 5 2" xfId="376" xr:uid="{00000000-0005-0000-0000-000078010000}"/>
    <cellStyle name="60% - 强调文字颜色 5 3" xfId="377" xr:uid="{00000000-0005-0000-0000-000079010000}"/>
    <cellStyle name="60% - 强调文字颜色 5 4" xfId="378" xr:uid="{00000000-0005-0000-0000-00007A010000}"/>
    <cellStyle name="60% - 强调文字颜色 5 5" xfId="379" xr:uid="{00000000-0005-0000-0000-00007B010000}"/>
    <cellStyle name="60% - 强调文字颜色 5 6" xfId="380" xr:uid="{00000000-0005-0000-0000-00007C010000}"/>
    <cellStyle name="60% - 强调文字颜色 6 2" xfId="381" xr:uid="{00000000-0005-0000-0000-00007D010000}"/>
    <cellStyle name="60% - 强调文字颜色 6 3" xfId="382" xr:uid="{00000000-0005-0000-0000-00007E010000}"/>
    <cellStyle name="60% - 强调文字颜色 6 4" xfId="383" xr:uid="{00000000-0005-0000-0000-00007F010000}"/>
    <cellStyle name="60% - 强调文字颜色 6 5" xfId="384" xr:uid="{00000000-0005-0000-0000-000080010000}"/>
    <cellStyle name="60% - 强调文字颜色 6 6" xfId="385" xr:uid="{00000000-0005-0000-0000-000081010000}"/>
    <cellStyle name="9" xfId="386" xr:uid="{00000000-0005-0000-0000-000082010000}"/>
    <cellStyle name="9_Financials" xfId="387" xr:uid="{00000000-0005-0000-0000-000083010000}"/>
    <cellStyle name="AFE" xfId="388" xr:uid="{00000000-0005-0000-0000-000084010000}"/>
    <cellStyle name="Alex Date" xfId="389" xr:uid="{00000000-0005-0000-0000-000085010000}"/>
    <cellStyle name="Arial 10" xfId="390" xr:uid="{00000000-0005-0000-0000-000086010000}"/>
    <cellStyle name="Arial6Bold" xfId="391" xr:uid="{00000000-0005-0000-0000-000087010000}"/>
    <cellStyle name="Arial6Bold 2" xfId="392" xr:uid="{00000000-0005-0000-0000-000088010000}"/>
    <cellStyle name="Arial8Bold" xfId="393" xr:uid="{00000000-0005-0000-0000-000089010000}"/>
    <cellStyle name="Arial8Bold 2" xfId="394" xr:uid="{00000000-0005-0000-0000-00008A010000}"/>
    <cellStyle name="Arial8Italic" xfId="395" xr:uid="{00000000-0005-0000-0000-00008B010000}"/>
    <cellStyle name="Arial8Italic 2" xfId="396" xr:uid="{00000000-0005-0000-0000-00008C010000}"/>
    <cellStyle name="ArialNormal" xfId="397" xr:uid="{00000000-0005-0000-0000-00008D010000}"/>
    <cellStyle name="ArialNormal 2" xfId="398" xr:uid="{00000000-0005-0000-0000-00008E010000}"/>
    <cellStyle name="ÄÞ¸¶_Hyundai" xfId="399" xr:uid="{00000000-0005-0000-0000-00008F010000}"/>
    <cellStyle name="b" xfId="400" xr:uid="{00000000-0005-0000-0000-000090010000}"/>
    <cellStyle name="bl" xfId="401" xr:uid="{00000000-0005-0000-0000-000091010000}"/>
    <cellStyle name="Blank" xfId="402" xr:uid="{00000000-0005-0000-0000-000092010000}"/>
    <cellStyle name="BODY1" xfId="403" xr:uid="{00000000-0005-0000-0000-000093010000}"/>
    <cellStyle name="Bold/Border" xfId="404" xr:uid="{00000000-0005-0000-0000-000094010000}"/>
    <cellStyle name="Bold/Border 2" xfId="405" xr:uid="{00000000-0005-0000-0000-000095010000}"/>
    <cellStyle name="Bold/Border 2 10" xfId="406" xr:uid="{00000000-0005-0000-0000-000096010000}"/>
    <cellStyle name="Bold/Border 2 2" xfId="407" xr:uid="{00000000-0005-0000-0000-000097010000}"/>
    <cellStyle name="Bold/Border 2 2 2" xfId="408" xr:uid="{00000000-0005-0000-0000-000098010000}"/>
    <cellStyle name="Bold/Border 2 2 3" xfId="409" xr:uid="{00000000-0005-0000-0000-000099010000}"/>
    <cellStyle name="Bold/Border 2 2 4" xfId="410" xr:uid="{00000000-0005-0000-0000-00009A010000}"/>
    <cellStyle name="Bold/Border 2 2 5" xfId="411" xr:uid="{00000000-0005-0000-0000-00009B010000}"/>
    <cellStyle name="Bold/Border 2 2 6" xfId="412" xr:uid="{00000000-0005-0000-0000-00009C010000}"/>
    <cellStyle name="Bold/Border 2 2 7" xfId="413" xr:uid="{00000000-0005-0000-0000-00009D010000}"/>
    <cellStyle name="Bold/Border 2 2 8" xfId="414" xr:uid="{00000000-0005-0000-0000-00009E010000}"/>
    <cellStyle name="Bold/Border 2 3" xfId="415" xr:uid="{00000000-0005-0000-0000-00009F010000}"/>
    <cellStyle name="Bold/Border 2 3 2" xfId="416" xr:uid="{00000000-0005-0000-0000-0000A0010000}"/>
    <cellStyle name="Bold/Border 2 3 3" xfId="417" xr:uid="{00000000-0005-0000-0000-0000A1010000}"/>
    <cellStyle name="Bold/Border 2 3 4" xfId="418" xr:uid="{00000000-0005-0000-0000-0000A2010000}"/>
    <cellStyle name="Bold/Border 2 3 5" xfId="419" xr:uid="{00000000-0005-0000-0000-0000A3010000}"/>
    <cellStyle name="Bold/Border 2 3 6" xfId="420" xr:uid="{00000000-0005-0000-0000-0000A4010000}"/>
    <cellStyle name="Bold/Border 2 3 7" xfId="421" xr:uid="{00000000-0005-0000-0000-0000A5010000}"/>
    <cellStyle name="Bold/Border 2 3 8" xfId="422" xr:uid="{00000000-0005-0000-0000-0000A6010000}"/>
    <cellStyle name="Bold/Border 2 4" xfId="423" xr:uid="{00000000-0005-0000-0000-0000A7010000}"/>
    <cellStyle name="Bold/Border 2 5" xfId="424" xr:uid="{00000000-0005-0000-0000-0000A8010000}"/>
    <cellStyle name="Bold/Border 2 6" xfId="425" xr:uid="{00000000-0005-0000-0000-0000A9010000}"/>
    <cellStyle name="Bold/Border 2 7" xfId="426" xr:uid="{00000000-0005-0000-0000-0000AA010000}"/>
    <cellStyle name="Bold/Border 2 8" xfId="427" xr:uid="{00000000-0005-0000-0000-0000AB010000}"/>
    <cellStyle name="Bold/Border 2 9" xfId="428" xr:uid="{00000000-0005-0000-0000-0000AC010000}"/>
    <cellStyle name="Border" xfId="429" xr:uid="{00000000-0005-0000-0000-0000AD010000}"/>
    <cellStyle name="Brand Align Left Text" xfId="430" xr:uid="{00000000-0005-0000-0000-0000AE010000}"/>
    <cellStyle name="Brand Align Left Text 2" xfId="431" xr:uid="{00000000-0005-0000-0000-0000AF010000}"/>
    <cellStyle name="Brand Default" xfId="432" xr:uid="{00000000-0005-0000-0000-0000B0010000}"/>
    <cellStyle name="Brand Default 2" xfId="433" xr:uid="{00000000-0005-0000-0000-0000B1010000}"/>
    <cellStyle name="Brand Percent" xfId="434" xr:uid="{00000000-0005-0000-0000-0000B2010000}"/>
    <cellStyle name="Brand Percent 2" xfId="435" xr:uid="{00000000-0005-0000-0000-0000B3010000}"/>
    <cellStyle name="Brand Source" xfId="436" xr:uid="{00000000-0005-0000-0000-0000B4010000}"/>
    <cellStyle name="Brand Source 2" xfId="437" xr:uid="{00000000-0005-0000-0000-0000B5010000}"/>
    <cellStyle name="Brand Subtitle with Underline" xfId="438" xr:uid="{00000000-0005-0000-0000-0000B6010000}"/>
    <cellStyle name="Brand Subtitle with Underline 2" xfId="439" xr:uid="{00000000-0005-0000-0000-0000B7010000}"/>
    <cellStyle name="Brand Subtitle without Underline" xfId="440" xr:uid="{00000000-0005-0000-0000-0000B8010000}"/>
    <cellStyle name="Brand Subtitle without Underline 2" xfId="441" xr:uid="{00000000-0005-0000-0000-0000B9010000}"/>
    <cellStyle name="Brand Title" xfId="442" xr:uid="{00000000-0005-0000-0000-0000BA010000}"/>
    <cellStyle name="Brand Title 2" xfId="443" xr:uid="{00000000-0005-0000-0000-0000BB010000}"/>
    <cellStyle name="Bullet" xfId="444" xr:uid="{00000000-0005-0000-0000-0000BC010000}"/>
    <cellStyle name="c" xfId="445" xr:uid="{00000000-0005-0000-0000-0000BD010000}"/>
    <cellStyle name="c_0670.HK" xfId="446" xr:uid="{00000000-0005-0000-0000-0000BE010000}"/>
    <cellStyle name="c_0670.HK_Balance" xfId="447" xr:uid="{00000000-0005-0000-0000-0000BF010000}"/>
    <cellStyle name="c_0670.HK_Cashflow" xfId="448" xr:uid="{00000000-0005-0000-0000-0000C0010000}"/>
    <cellStyle name="c_0670.HK_Interim" xfId="449" xr:uid="{00000000-0005-0000-0000-0000C1010000}"/>
    <cellStyle name="c_ASP0824F" xfId="450" xr:uid="{00000000-0005-0000-0000-0000C2010000}"/>
    <cellStyle name="c_DCF" xfId="451" xr:uid="{00000000-0005-0000-0000-0000C3010000}"/>
    <cellStyle name="c_DCF_0670.HK" xfId="452" xr:uid="{00000000-0005-0000-0000-0000C4010000}"/>
    <cellStyle name="c_DCF_0670.HK_Balance" xfId="453" xr:uid="{00000000-0005-0000-0000-0000C5010000}"/>
    <cellStyle name="c_DCF_0670.HK_Cashflow" xfId="454" xr:uid="{00000000-0005-0000-0000-0000C6010000}"/>
    <cellStyle name="c_DCF_0670.HK_Interim" xfId="455" xr:uid="{00000000-0005-0000-0000-0000C7010000}"/>
    <cellStyle name="c_PWAY6" xfId="456" xr:uid="{00000000-0005-0000-0000-0000C8010000}"/>
    <cellStyle name="Ç¥ÁØ_Hyundai" xfId="457" xr:uid="{00000000-0005-0000-0000-0000C9010000}"/>
    <cellStyle name="Code" xfId="458" xr:uid="{00000000-0005-0000-0000-0000CA010000}"/>
    <cellStyle name="Column_Title" xfId="459" xr:uid="{00000000-0005-0000-0000-0000CB010000}"/>
    <cellStyle name="Comma ," xfId="460" xr:uid="{00000000-0005-0000-0000-0000CC010000}"/>
    <cellStyle name="Comma 2" xfId="461" xr:uid="{00000000-0005-0000-0000-0000CD010000}"/>
    <cellStyle name="Comma 2 2" xfId="462" xr:uid="{00000000-0005-0000-0000-0000CE010000}"/>
    <cellStyle name="Comma 2 3" xfId="463" xr:uid="{00000000-0005-0000-0000-0000CF010000}"/>
    <cellStyle name="Comma 2 4" xfId="464" xr:uid="{00000000-0005-0000-0000-0000D0010000}"/>
    <cellStyle name="Comma 2 5" xfId="465" xr:uid="{00000000-0005-0000-0000-0000D1010000}"/>
    <cellStyle name="Comma 2 6" xfId="466" xr:uid="{00000000-0005-0000-0000-0000D2010000}"/>
    <cellStyle name="Comma 2 7" xfId="467" xr:uid="{00000000-0005-0000-0000-0000D3010000}"/>
    <cellStyle name="Comma 3" xfId="468" xr:uid="{00000000-0005-0000-0000-0000D4010000}"/>
    <cellStyle name="Comma 3 2" xfId="469" xr:uid="{00000000-0005-0000-0000-0000D5010000}"/>
    <cellStyle name="Comma 3 3" xfId="470" xr:uid="{00000000-0005-0000-0000-0000D6010000}"/>
    <cellStyle name="Comma 3 4" xfId="471" xr:uid="{00000000-0005-0000-0000-0000D7010000}"/>
    <cellStyle name="Comma 3 5" xfId="472" xr:uid="{00000000-0005-0000-0000-0000D8010000}"/>
    <cellStyle name="Comma 4" xfId="473" xr:uid="{00000000-0005-0000-0000-0000D9010000}"/>
    <cellStyle name="Comma 4 2" xfId="474" xr:uid="{00000000-0005-0000-0000-0000DA010000}"/>
    <cellStyle name="Comma 4 3" xfId="475" xr:uid="{00000000-0005-0000-0000-0000DB010000}"/>
    <cellStyle name="Comma 5" xfId="476" xr:uid="{00000000-0005-0000-0000-0000DC010000}"/>
    <cellStyle name="Comma 6" xfId="477" xr:uid="{00000000-0005-0000-0000-0000DD010000}"/>
    <cellStyle name="Comma 7" xfId="478" xr:uid="{00000000-0005-0000-0000-0000DE010000}"/>
    <cellStyle name="Comma0 - Modelo1" xfId="479" xr:uid="{00000000-0005-0000-0000-0000DF010000}"/>
    <cellStyle name="Comma0 - Style1" xfId="480" xr:uid="{00000000-0005-0000-0000-0000E0010000}"/>
    <cellStyle name="Comma1 - Modelo2" xfId="481" xr:uid="{00000000-0005-0000-0000-0000E1010000}"/>
    <cellStyle name="Comma1 - Style2" xfId="482" xr:uid="{00000000-0005-0000-0000-0000E2010000}"/>
    <cellStyle name="CompanyName" xfId="483" xr:uid="{00000000-0005-0000-0000-0000E3010000}"/>
    <cellStyle name="cr" xfId="484" xr:uid="{00000000-0005-0000-0000-0000E4010000}"/>
    <cellStyle name="cu" xfId="485" xr:uid="{00000000-0005-0000-0000-0000E5010000}"/>
    <cellStyle name="cu 2" xfId="486" xr:uid="{00000000-0005-0000-0000-0000E6010000}"/>
    <cellStyle name="cu 2 10" xfId="487" xr:uid="{00000000-0005-0000-0000-0000E7010000}"/>
    <cellStyle name="cu 2 2" xfId="488" xr:uid="{00000000-0005-0000-0000-0000E8010000}"/>
    <cellStyle name="cu 2 2 2" xfId="489" xr:uid="{00000000-0005-0000-0000-0000E9010000}"/>
    <cellStyle name="cu 2 2 3" xfId="490" xr:uid="{00000000-0005-0000-0000-0000EA010000}"/>
    <cellStyle name="cu 2 2 4" xfId="491" xr:uid="{00000000-0005-0000-0000-0000EB010000}"/>
    <cellStyle name="cu 2 2 5" xfId="492" xr:uid="{00000000-0005-0000-0000-0000EC010000}"/>
    <cellStyle name="cu 2 2 6" xfId="493" xr:uid="{00000000-0005-0000-0000-0000ED010000}"/>
    <cellStyle name="cu 2 2 7" xfId="494" xr:uid="{00000000-0005-0000-0000-0000EE010000}"/>
    <cellStyle name="cu 2 2 8" xfId="495" xr:uid="{00000000-0005-0000-0000-0000EF010000}"/>
    <cellStyle name="cu 2 3" xfId="496" xr:uid="{00000000-0005-0000-0000-0000F0010000}"/>
    <cellStyle name="cu 2 3 2" xfId="497" xr:uid="{00000000-0005-0000-0000-0000F1010000}"/>
    <cellStyle name="cu 2 3 3" xfId="498" xr:uid="{00000000-0005-0000-0000-0000F2010000}"/>
    <cellStyle name="cu 2 3 4" xfId="499" xr:uid="{00000000-0005-0000-0000-0000F3010000}"/>
    <cellStyle name="cu 2 3 5" xfId="500" xr:uid="{00000000-0005-0000-0000-0000F4010000}"/>
    <cellStyle name="cu 2 3 6" xfId="501" xr:uid="{00000000-0005-0000-0000-0000F5010000}"/>
    <cellStyle name="cu 2 3 7" xfId="502" xr:uid="{00000000-0005-0000-0000-0000F6010000}"/>
    <cellStyle name="cu 2 3 8" xfId="503" xr:uid="{00000000-0005-0000-0000-0000F7010000}"/>
    <cellStyle name="cu 2 4" xfId="504" xr:uid="{00000000-0005-0000-0000-0000F8010000}"/>
    <cellStyle name="cu 2 5" xfId="505" xr:uid="{00000000-0005-0000-0000-0000F9010000}"/>
    <cellStyle name="cu 2 6" xfId="506" xr:uid="{00000000-0005-0000-0000-0000FA010000}"/>
    <cellStyle name="cu 2 7" xfId="507" xr:uid="{00000000-0005-0000-0000-0000FB010000}"/>
    <cellStyle name="cu 2 8" xfId="508" xr:uid="{00000000-0005-0000-0000-0000FC010000}"/>
    <cellStyle name="cu 2 9" xfId="509" xr:uid="{00000000-0005-0000-0000-0000FD010000}"/>
    <cellStyle name="Currency 2" xfId="510" xr:uid="{00000000-0005-0000-0000-0000FE010000}"/>
    <cellStyle name="d" xfId="511" xr:uid="{00000000-0005-0000-0000-0000FF010000}"/>
    <cellStyle name="d." xfId="512" xr:uid="{00000000-0005-0000-0000-000000020000}"/>
    <cellStyle name="d1" xfId="513" xr:uid="{00000000-0005-0000-0000-000001020000}"/>
    <cellStyle name="d2" xfId="514" xr:uid="{00000000-0005-0000-0000-000002020000}"/>
    <cellStyle name="d3" xfId="515" xr:uid="{00000000-0005-0000-0000-000003020000}"/>
    <cellStyle name="Dash" xfId="516" xr:uid="{00000000-0005-0000-0000-000004020000}"/>
    <cellStyle name="Date" xfId="517" xr:uid="{00000000-0005-0000-0000-000005020000}"/>
    <cellStyle name="Decimal 1" xfId="518" xr:uid="{00000000-0005-0000-0000-000006020000}"/>
    <cellStyle name="Dia" xfId="519" xr:uid="{00000000-0005-0000-0000-000007020000}"/>
    <cellStyle name="Dollar" xfId="520" xr:uid="{00000000-0005-0000-0000-000008020000}"/>
    <cellStyle name="Download" xfId="521" xr:uid="{00000000-0005-0000-0000-000009020000}"/>
    <cellStyle name="Download 2" xfId="522" xr:uid="{00000000-0005-0000-0000-00000A020000}"/>
    <cellStyle name="Download 2 2" xfId="523" xr:uid="{00000000-0005-0000-0000-00000B020000}"/>
    <cellStyle name="Download 3" xfId="524" xr:uid="{00000000-0005-0000-0000-00000C020000}"/>
    <cellStyle name="Download 4" xfId="525" xr:uid="{00000000-0005-0000-0000-00000D020000}"/>
    <cellStyle name="Download 4 2" xfId="526" xr:uid="{00000000-0005-0000-0000-00000E020000}"/>
    <cellStyle name="DQ" xfId="527" xr:uid="{00000000-0005-0000-0000-00000F020000}"/>
    <cellStyle name="du" xfId="528" xr:uid="{00000000-0005-0000-0000-000010020000}"/>
    <cellStyle name="Encabez1" xfId="529" xr:uid="{00000000-0005-0000-0000-000011020000}"/>
    <cellStyle name="Encabez2" xfId="530" xr:uid="{00000000-0005-0000-0000-000012020000}"/>
    <cellStyle name="Euro" xfId="531" xr:uid="{00000000-0005-0000-0000-000013020000}"/>
    <cellStyle name="Euro 2" xfId="532" xr:uid="{00000000-0005-0000-0000-000014020000}"/>
    <cellStyle name="F2" xfId="533" xr:uid="{00000000-0005-0000-0000-000015020000}"/>
    <cellStyle name="F3" xfId="534" xr:uid="{00000000-0005-0000-0000-000016020000}"/>
    <cellStyle name="F4" xfId="535" xr:uid="{00000000-0005-0000-0000-000017020000}"/>
    <cellStyle name="F5" xfId="536" xr:uid="{00000000-0005-0000-0000-000018020000}"/>
    <cellStyle name="F6" xfId="537" xr:uid="{00000000-0005-0000-0000-000019020000}"/>
    <cellStyle name="F7" xfId="538" xr:uid="{00000000-0005-0000-0000-00001A020000}"/>
    <cellStyle name="F8" xfId="539" xr:uid="{00000000-0005-0000-0000-00001B020000}"/>
    <cellStyle name="Fijo" xfId="540" xr:uid="{00000000-0005-0000-0000-00001C020000}"/>
    <cellStyle name="Financiero" xfId="541" xr:uid="{00000000-0005-0000-0000-00001D020000}"/>
    <cellStyle name="Fixed" xfId="542" xr:uid="{00000000-0005-0000-0000-00001E020000}"/>
    <cellStyle name="fourdecplace" xfId="543" xr:uid="{00000000-0005-0000-0000-00001F020000}"/>
    <cellStyle name="Gilsans" xfId="544" xr:uid="{00000000-0005-0000-0000-000020020000}"/>
    <cellStyle name="GRAMDTOTAL" xfId="545" xr:uid="{00000000-0005-0000-0000-000021020000}"/>
    <cellStyle name="Grey" xfId="546" xr:uid="{00000000-0005-0000-0000-000022020000}"/>
    <cellStyle name="Grey 2" xfId="547" xr:uid="{00000000-0005-0000-0000-000023020000}"/>
    <cellStyle name="Grey 3" xfId="548" xr:uid="{00000000-0005-0000-0000-000024020000}"/>
    <cellStyle name="Header1" xfId="549" xr:uid="{00000000-0005-0000-0000-000025020000}"/>
    <cellStyle name="Header1 2" xfId="550" xr:uid="{00000000-0005-0000-0000-000026020000}"/>
    <cellStyle name="Header2" xfId="551" xr:uid="{00000000-0005-0000-0000-000027020000}"/>
    <cellStyle name="Header2 2" xfId="552" xr:uid="{00000000-0005-0000-0000-000028020000}"/>
    <cellStyle name="Heading" xfId="553" xr:uid="{00000000-0005-0000-0000-000029020000}"/>
    <cellStyle name="HEADING1" xfId="554" xr:uid="{00000000-0005-0000-0000-00002A020000}"/>
    <cellStyle name="Hyperlink 2" xfId="555" xr:uid="{00000000-0005-0000-0000-00002B020000}"/>
    <cellStyle name="Hyperlink 3" xfId="556" xr:uid="{00000000-0005-0000-0000-00002C020000}"/>
    <cellStyle name="Input [yellow]" xfId="557" xr:uid="{00000000-0005-0000-0000-00002D020000}"/>
    <cellStyle name="Input [yellow] 2" xfId="558" xr:uid="{00000000-0005-0000-0000-00002E020000}"/>
    <cellStyle name="Input [yellow] 3" xfId="559" xr:uid="{00000000-0005-0000-0000-00002F020000}"/>
    <cellStyle name="Input [yellow] 4" xfId="560" xr:uid="{00000000-0005-0000-0000-000030020000}"/>
    <cellStyle name="InputBlueFont" xfId="561" xr:uid="{00000000-0005-0000-0000-000031020000}"/>
    <cellStyle name="Integer" xfId="562" xr:uid="{00000000-0005-0000-0000-000032020000}"/>
    <cellStyle name="iu" xfId="563" xr:uid="{00000000-0005-0000-0000-000033020000}"/>
    <cellStyle name="Legal 8½ x 14 in" xfId="564" xr:uid="{00000000-0005-0000-0000-000034020000}"/>
    <cellStyle name="Millares [0]_10 AVERIAS MASIVAS + ANT" xfId="565" xr:uid="{00000000-0005-0000-0000-000035020000}"/>
    <cellStyle name="Millares_10 AVERIAS MASIVAS + ANT" xfId="566" xr:uid="{00000000-0005-0000-0000-000036020000}"/>
    <cellStyle name="Mkt Cap" xfId="567" xr:uid="{00000000-0005-0000-0000-000037020000}"/>
    <cellStyle name="Moneda [0]_10 AVERIAS MASIVAS + ANT" xfId="568" xr:uid="{00000000-0005-0000-0000-000038020000}"/>
    <cellStyle name="Moneda_10 AVERIAS MASIVAS + ANT" xfId="569" xr:uid="{00000000-0005-0000-0000-000039020000}"/>
    <cellStyle name="Monetario" xfId="570" xr:uid="{00000000-0005-0000-0000-00003A020000}"/>
    <cellStyle name="n" xfId="571" xr:uid="{00000000-0005-0000-0000-00003B020000}"/>
    <cellStyle name="no dec" xfId="572" xr:uid="{00000000-0005-0000-0000-00003C020000}"/>
    <cellStyle name="Normal - Style1" xfId="573" xr:uid="{00000000-0005-0000-0000-00003D020000}"/>
    <cellStyle name="Normal - Style1 2" xfId="574" xr:uid="{00000000-0005-0000-0000-00003E020000}"/>
    <cellStyle name="Normal - Style1 3" xfId="575" xr:uid="{00000000-0005-0000-0000-00003F020000}"/>
    <cellStyle name="Normal - Style1 4" xfId="576" xr:uid="{00000000-0005-0000-0000-000040020000}"/>
    <cellStyle name="Normal 10" xfId="577" xr:uid="{00000000-0005-0000-0000-000041020000}"/>
    <cellStyle name="Normal 2" xfId="578" xr:uid="{00000000-0005-0000-0000-000042020000}"/>
    <cellStyle name="Normal 2 2" xfId="579" xr:uid="{00000000-0005-0000-0000-000043020000}"/>
    <cellStyle name="Normal 2 2 2" xfId="580" xr:uid="{00000000-0005-0000-0000-000044020000}"/>
    <cellStyle name="Normal 2 2 3" xfId="581" xr:uid="{00000000-0005-0000-0000-000045020000}"/>
    <cellStyle name="Normal 2 2 4" xfId="582" xr:uid="{00000000-0005-0000-0000-000046020000}"/>
    <cellStyle name="Normal 2 3" xfId="583" xr:uid="{00000000-0005-0000-0000-000047020000}"/>
    <cellStyle name="Normal 2 4" xfId="584" xr:uid="{00000000-0005-0000-0000-000048020000}"/>
    <cellStyle name="Normal 2 5" xfId="585" xr:uid="{00000000-0005-0000-0000-000049020000}"/>
    <cellStyle name="Normal 2_Revenue1012" xfId="586" xr:uid="{00000000-0005-0000-0000-00004A020000}"/>
    <cellStyle name="Normal 3" xfId="587" xr:uid="{00000000-0005-0000-0000-00004B020000}"/>
    <cellStyle name="Normal 3 2" xfId="588" xr:uid="{00000000-0005-0000-0000-00004C020000}"/>
    <cellStyle name="Normal 3 3" xfId="589" xr:uid="{00000000-0005-0000-0000-00004D020000}"/>
    <cellStyle name="Normal 3 4" xfId="590" xr:uid="{00000000-0005-0000-0000-00004E020000}"/>
    <cellStyle name="Normal 4" xfId="591" xr:uid="{00000000-0005-0000-0000-00004F020000}"/>
    <cellStyle name="Normal 4 2" xfId="592" xr:uid="{00000000-0005-0000-0000-000050020000}"/>
    <cellStyle name="Normal 5" xfId="593" xr:uid="{00000000-0005-0000-0000-000051020000}"/>
    <cellStyle name="Normal 5 2" xfId="594" xr:uid="{00000000-0005-0000-0000-000052020000}"/>
    <cellStyle name="Normal 6" xfId="595" xr:uid="{00000000-0005-0000-0000-000053020000}"/>
    <cellStyle name="Normal 6 2" xfId="596" xr:uid="{00000000-0005-0000-0000-000054020000}"/>
    <cellStyle name="Normal 7" xfId="597" xr:uid="{00000000-0005-0000-0000-000055020000}"/>
    <cellStyle name="Normal 8" xfId="598" xr:uid="{00000000-0005-0000-0000-000056020000}"/>
    <cellStyle name="Normal 9" xfId="599" xr:uid="{00000000-0005-0000-0000-000057020000}"/>
    <cellStyle name="Notes" xfId="600" xr:uid="{00000000-0005-0000-0000-000058020000}"/>
    <cellStyle name="Numdec1" xfId="601" xr:uid="{00000000-0005-0000-0000-000059020000}"/>
    <cellStyle name="Numdec1bold" xfId="602" xr:uid="{00000000-0005-0000-0000-00005A020000}"/>
    <cellStyle name="Output Amounts" xfId="603" xr:uid="{00000000-0005-0000-0000-00005B020000}"/>
    <cellStyle name="Output Amounts 2" xfId="604" xr:uid="{00000000-0005-0000-0000-00005C020000}"/>
    <cellStyle name="Output Amounts 3" xfId="605" xr:uid="{00000000-0005-0000-0000-00005D020000}"/>
    <cellStyle name="Output Column Headings" xfId="606" xr:uid="{00000000-0005-0000-0000-00005E020000}"/>
    <cellStyle name="Output Line Items" xfId="607" xr:uid="{00000000-0005-0000-0000-00005F020000}"/>
    <cellStyle name="Output Report Heading" xfId="608" xr:uid="{00000000-0005-0000-0000-000060020000}"/>
    <cellStyle name="Output Report Heading 2" xfId="609" xr:uid="{00000000-0005-0000-0000-000061020000}"/>
    <cellStyle name="Output Report Title" xfId="610" xr:uid="{00000000-0005-0000-0000-000062020000}"/>
    <cellStyle name="P" xfId="611" xr:uid="{00000000-0005-0000-0000-000063020000}"/>
    <cellStyle name="P 2" xfId="612" xr:uid="{00000000-0005-0000-0000-000064020000}"/>
    <cellStyle name="Pctdec1itals" xfId="613" xr:uid="{00000000-0005-0000-0000-000065020000}"/>
    <cellStyle name="Percent [2]" xfId="614" xr:uid="{00000000-0005-0000-0000-000066020000}"/>
    <cellStyle name="Percent [2] 2" xfId="615" xr:uid="{00000000-0005-0000-0000-000067020000}"/>
    <cellStyle name="Percent [2] 3" xfId="616" xr:uid="{00000000-0005-0000-0000-000068020000}"/>
    <cellStyle name="Percent [2]P" xfId="617" xr:uid="{00000000-0005-0000-0000-000069020000}"/>
    <cellStyle name="Percent 2" xfId="618" xr:uid="{00000000-0005-0000-0000-00006A020000}"/>
    <cellStyle name="Percent 2 2" xfId="619" xr:uid="{00000000-0005-0000-0000-00006B020000}"/>
    <cellStyle name="Percent 2 3" xfId="620" xr:uid="{00000000-0005-0000-0000-00006C020000}"/>
    <cellStyle name="Percent 2 4" xfId="621" xr:uid="{00000000-0005-0000-0000-00006D020000}"/>
    <cellStyle name="Percent 2 5" xfId="622" xr:uid="{00000000-0005-0000-0000-00006E020000}"/>
    <cellStyle name="Percent 3" xfId="623" xr:uid="{00000000-0005-0000-0000-00006F020000}"/>
    <cellStyle name="Percent 3 2" xfId="624" xr:uid="{00000000-0005-0000-0000-000070020000}"/>
    <cellStyle name="Percent 4" xfId="625" xr:uid="{00000000-0005-0000-0000-000071020000}"/>
    <cellStyle name="Porcentaje" xfId="626" xr:uid="{00000000-0005-0000-0000-000072020000}"/>
    <cellStyle name="Problem" xfId="627" xr:uid="{00000000-0005-0000-0000-000073020000}"/>
    <cellStyle name="PwC" xfId="628" xr:uid="{00000000-0005-0000-0000-000074020000}"/>
    <cellStyle name="Ramlie 1" xfId="629" xr:uid="{00000000-0005-0000-0000-000075020000}"/>
    <cellStyle name="RM" xfId="630" xr:uid="{00000000-0005-0000-0000-000076020000}"/>
    <cellStyle name="row_def_array" xfId="631" xr:uid="{00000000-0005-0000-0000-000077020000}"/>
    <cellStyle name="RowLevel_0" xfId="632" xr:uid="{00000000-0005-0000-0000-000078020000}"/>
    <cellStyle name="s" xfId="633" xr:uid="{00000000-0005-0000-0000-000079020000}"/>
    <cellStyle name="s 10" xfId="634" xr:uid="{00000000-0005-0000-0000-00007A020000}"/>
    <cellStyle name="s 2" xfId="635" xr:uid="{00000000-0005-0000-0000-00007B020000}"/>
    <cellStyle name="s 2 2" xfId="636" xr:uid="{00000000-0005-0000-0000-00007C020000}"/>
    <cellStyle name="s 2 3" xfId="637" xr:uid="{00000000-0005-0000-0000-00007D020000}"/>
    <cellStyle name="s 2 4" xfId="638" xr:uid="{00000000-0005-0000-0000-00007E020000}"/>
    <cellStyle name="s 2 5" xfId="639" xr:uid="{00000000-0005-0000-0000-00007F020000}"/>
    <cellStyle name="s 2 6" xfId="640" xr:uid="{00000000-0005-0000-0000-000080020000}"/>
    <cellStyle name="s 2 7" xfId="641" xr:uid="{00000000-0005-0000-0000-000081020000}"/>
    <cellStyle name="s 2 8" xfId="642" xr:uid="{00000000-0005-0000-0000-000082020000}"/>
    <cellStyle name="s 3" xfId="643" xr:uid="{00000000-0005-0000-0000-000083020000}"/>
    <cellStyle name="s 3 2" xfId="644" xr:uid="{00000000-0005-0000-0000-000084020000}"/>
    <cellStyle name="s 3 3" xfId="645" xr:uid="{00000000-0005-0000-0000-000085020000}"/>
    <cellStyle name="s 3 4" xfId="646" xr:uid="{00000000-0005-0000-0000-000086020000}"/>
    <cellStyle name="s 3 5" xfId="647" xr:uid="{00000000-0005-0000-0000-000087020000}"/>
    <cellStyle name="s 3 6" xfId="648" xr:uid="{00000000-0005-0000-0000-000088020000}"/>
    <cellStyle name="s 3 7" xfId="649" xr:uid="{00000000-0005-0000-0000-000089020000}"/>
    <cellStyle name="s 3 8" xfId="650" xr:uid="{00000000-0005-0000-0000-00008A020000}"/>
    <cellStyle name="s 4" xfId="651" xr:uid="{00000000-0005-0000-0000-00008B020000}"/>
    <cellStyle name="s 5" xfId="652" xr:uid="{00000000-0005-0000-0000-00008C020000}"/>
    <cellStyle name="s 6" xfId="653" xr:uid="{00000000-0005-0000-0000-00008D020000}"/>
    <cellStyle name="s 7" xfId="654" xr:uid="{00000000-0005-0000-0000-00008E020000}"/>
    <cellStyle name="s 8" xfId="655" xr:uid="{00000000-0005-0000-0000-00008F020000}"/>
    <cellStyle name="s 9" xfId="656" xr:uid="{00000000-0005-0000-0000-000090020000}"/>
    <cellStyle name="s_0670.HK" xfId="657" xr:uid="{00000000-0005-0000-0000-000091020000}"/>
    <cellStyle name="s_0670.HK 10" xfId="658" xr:uid="{00000000-0005-0000-0000-000092020000}"/>
    <cellStyle name="s_0670.HK 2" xfId="659" xr:uid="{00000000-0005-0000-0000-000093020000}"/>
    <cellStyle name="s_0670.HK 2 2" xfId="660" xr:uid="{00000000-0005-0000-0000-000094020000}"/>
    <cellStyle name="s_0670.HK 2 3" xfId="661" xr:uid="{00000000-0005-0000-0000-000095020000}"/>
    <cellStyle name="s_0670.HK 2 4" xfId="662" xr:uid="{00000000-0005-0000-0000-000096020000}"/>
    <cellStyle name="s_0670.HK 2 5" xfId="663" xr:uid="{00000000-0005-0000-0000-000097020000}"/>
    <cellStyle name="s_0670.HK 2 6" xfId="664" xr:uid="{00000000-0005-0000-0000-000098020000}"/>
    <cellStyle name="s_0670.HK 2 7" xfId="665" xr:uid="{00000000-0005-0000-0000-000099020000}"/>
    <cellStyle name="s_0670.HK 2 8" xfId="666" xr:uid="{00000000-0005-0000-0000-00009A020000}"/>
    <cellStyle name="s_0670.HK 3" xfId="667" xr:uid="{00000000-0005-0000-0000-00009B020000}"/>
    <cellStyle name="s_0670.HK 3 2" xfId="668" xr:uid="{00000000-0005-0000-0000-00009C020000}"/>
    <cellStyle name="s_0670.HK 3 3" xfId="669" xr:uid="{00000000-0005-0000-0000-00009D020000}"/>
    <cellStyle name="s_0670.HK 3 4" xfId="670" xr:uid="{00000000-0005-0000-0000-00009E020000}"/>
    <cellStyle name="s_0670.HK 3 5" xfId="671" xr:uid="{00000000-0005-0000-0000-00009F020000}"/>
    <cellStyle name="s_0670.HK 3 6" xfId="672" xr:uid="{00000000-0005-0000-0000-0000A0020000}"/>
    <cellStyle name="s_0670.HK 3 7" xfId="673" xr:uid="{00000000-0005-0000-0000-0000A1020000}"/>
    <cellStyle name="s_0670.HK 3 8" xfId="674" xr:uid="{00000000-0005-0000-0000-0000A2020000}"/>
    <cellStyle name="s_0670.HK 4" xfId="675" xr:uid="{00000000-0005-0000-0000-0000A3020000}"/>
    <cellStyle name="s_0670.HK 5" xfId="676" xr:uid="{00000000-0005-0000-0000-0000A4020000}"/>
    <cellStyle name="s_0670.HK 6" xfId="677" xr:uid="{00000000-0005-0000-0000-0000A5020000}"/>
    <cellStyle name="s_0670.HK 7" xfId="678" xr:uid="{00000000-0005-0000-0000-0000A6020000}"/>
    <cellStyle name="s_0670.HK 8" xfId="679" xr:uid="{00000000-0005-0000-0000-0000A7020000}"/>
    <cellStyle name="s_0670.HK 9" xfId="680" xr:uid="{00000000-0005-0000-0000-0000A8020000}"/>
    <cellStyle name="s_0670.HK_Balance" xfId="681" xr:uid="{00000000-0005-0000-0000-0000A9020000}"/>
    <cellStyle name="s_0670.HK_Balance 10" xfId="682" xr:uid="{00000000-0005-0000-0000-0000AA020000}"/>
    <cellStyle name="s_0670.HK_Balance 2" xfId="683" xr:uid="{00000000-0005-0000-0000-0000AB020000}"/>
    <cellStyle name="s_0670.HK_Balance 2 2" xfId="684" xr:uid="{00000000-0005-0000-0000-0000AC020000}"/>
    <cellStyle name="s_0670.HK_Balance 2 3" xfId="685" xr:uid="{00000000-0005-0000-0000-0000AD020000}"/>
    <cellStyle name="s_0670.HK_Balance 2 4" xfId="686" xr:uid="{00000000-0005-0000-0000-0000AE020000}"/>
    <cellStyle name="s_0670.HK_Balance 2 5" xfId="687" xr:uid="{00000000-0005-0000-0000-0000AF020000}"/>
    <cellStyle name="s_0670.HK_Balance 2 6" xfId="688" xr:uid="{00000000-0005-0000-0000-0000B0020000}"/>
    <cellStyle name="s_0670.HK_Balance 2 7" xfId="689" xr:uid="{00000000-0005-0000-0000-0000B1020000}"/>
    <cellStyle name="s_0670.HK_Balance 2 8" xfId="690" xr:uid="{00000000-0005-0000-0000-0000B2020000}"/>
    <cellStyle name="s_0670.HK_Balance 3" xfId="691" xr:uid="{00000000-0005-0000-0000-0000B3020000}"/>
    <cellStyle name="s_0670.HK_Balance 3 2" xfId="692" xr:uid="{00000000-0005-0000-0000-0000B4020000}"/>
    <cellStyle name="s_0670.HK_Balance 3 3" xfId="693" xr:uid="{00000000-0005-0000-0000-0000B5020000}"/>
    <cellStyle name="s_0670.HK_Balance 3 4" xfId="694" xr:uid="{00000000-0005-0000-0000-0000B6020000}"/>
    <cellStyle name="s_0670.HK_Balance 3 5" xfId="695" xr:uid="{00000000-0005-0000-0000-0000B7020000}"/>
    <cellStyle name="s_0670.HK_Balance 3 6" xfId="696" xr:uid="{00000000-0005-0000-0000-0000B8020000}"/>
    <cellStyle name="s_0670.HK_Balance 3 7" xfId="697" xr:uid="{00000000-0005-0000-0000-0000B9020000}"/>
    <cellStyle name="s_0670.HK_Balance 3 8" xfId="698" xr:uid="{00000000-0005-0000-0000-0000BA020000}"/>
    <cellStyle name="s_0670.HK_Balance 4" xfId="699" xr:uid="{00000000-0005-0000-0000-0000BB020000}"/>
    <cellStyle name="s_0670.HK_Balance 5" xfId="700" xr:uid="{00000000-0005-0000-0000-0000BC020000}"/>
    <cellStyle name="s_0670.HK_Balance 6" xfId="701" xr:uid="{00000000-0005-0000-0000-0000BD020000}"/>
    <cellStyle name="s_0670.HK_Balance 7" xfId="702" xr:uid="{00000000-0005-0000-0000-0000BE020000}"/>
    <cellStyle name="s_0670.HK_Balance 8" xfId="703" xr:uid="{00000000-0005-0000-0000-0000BF020000}"/>
    <cellStyle name="s_0670.HK_Balance 9" xfId="704" xr:uid="{00000000-0005-0000-0000-0000C0020000}"/>
    <cellStyle name="s_0670.HK_Cashflow" xfId="705" xr:uid="{00000000-0005-0000-0000-0000C1020000}"/>
    <cellStyle name="s_0670.HK_Cashflow 10" xfId="706" xr:uid="{00000000-0005-0000-0000-0000C2020000}"/>
    <cellStyle name="s_0670.HK_Cashflow 2" xfId="707" xr:uid="{00000000-0005-0000-0000-0000C3020000}"/>
    <cellStyle name="s_0670.HK_Cashflow 2 2" xfId="708" xr:uid="{00000000-0005-0000-0000-0000C4020000}"/>
    <cellStyle name="s_0670.HK_Cashflow 2 3" xfId="709" xr:uid="{00000000-0005-0000-0000-0000C5020000}"/>
    <cellStyle name="s_0670.HK_Cashflow 2 4" xfId="710" xr:uid="{00000000-0005-0000-0000-0000C6020000}"/>
    <cellStyle name="s_0670.HK_Cashflow 2 5" xfId="711" xr:uid="{00000000-0005-0000-0000-0000C7020000}"/>
    <cellStyle name="s_0670.HK_Cashflow 2 6" xfId="712" xr:uid="{00000000-0005-0000-0000-0000C8020000}"/>
    <cellStyle name="s_0670.HK_Cashflow 2 7" xfId="713" xr:uid="{00000000-0005-0000-0000-0000C9020000}"/>
    <cellStyle name="s_0670.HK_Cashflow 2 8" xfId="714" xr:uid="{00000000-0005-0000-0000-0000CA020000}"/>
    <cellStyle name="s_0670.HK_Cashflow 3" xfId="715" xr:uid="{00000000-0005-0000-0000-0000CB020000}"/>
    <cellStyle name="s_0670.HK_Cashflow 3 2" xfId="716" xr:uid="{00000000-0005-0000-0000-0000CC020000}"/>
    <cellStyle name="s_0670.HK_Cashflow 3 3" xfId="717" xr:uid="{00000000-0005-0000-0000-0000CD020000}"/>
    <cellStyle name="s_0670.HK_Cashflow 3 4" xfId="718" xr:uid="{00000000-0005-0000-0000-0000CE020000}"/>
    <cellStyle name="s_0670.HK_Cashflow 3 5" xfId="719" xr:uid="{00000000-0005-0000-0000-0000CF020000}"/>
    <cellStyle name="s_0670.HK_Cashflow 3 6" xfId="720" xr:uid="{00000000-0005-0000-0000-0000D0020000}"/>
    <cellStyle name="s_0670.HK_Cashflow 3 7" xfId="721" xr:uid="{00000000-0005-0000-0000-0000D1020000}"/>
    <cellStyle name="s_0670.HK_Cashflow 3 8" xfId="722" xr:uid="{00000000-0005-0000-0000-0000D2020000}"/>
    <cellStyle name="s_0670.HK_Cashflow 4" xfId="723" xr:uid="{00000000-0005-0000-0000-0000D3020000}"/>
    <cellStyle name="s_0670.HK_Cashflow 5" xfId="724" xr:uid="{00000000-0005-0000-0000-0000D4020000}"/>
    <cellStyle name="s_0670.HK_Cashflow 6" xfId="725" xr:uid="{00000000-0005-0000-0000-0000D5020000}"/>
    <cellStyle name="s_0670.HK_Cashflow 7" xfId="726" xr:uid="{00000000-0005-0000-0000-0000D6020000}"/>
    <cellStyle name="s_0670.HK_Cashflow 8" xfId="727" xr:uid="{00000000-0005-0000-0000-0000D7020000}"/>
    <cellStyle name="s_0670.HK_Cashflow 9" xfId="728" xr:uid="{00000000-0005-0000-0000-0000D8020000}"/>
    <cellStyle name="s_0670.HK_Interim" xfId="729" xr:uid="{00000000-0005-0000-0000-0000D9020000}"/>
    <cellStyle name="s_0670.HK_Interim 10" xfId="730" xr:uid="{00000000-0005-0000-0000-0000DA020000}"/>
    <cellStyle name="s_0670.HK_Interim 2" xfId="731" xr:uid="{00000000-0005-0000-0000-0000DB020000}"/>
    <cellStyle name="s_0670.HK_Interim 2 2" xfId="732" xr:uid="{00000000-0005-0000-0000-0000DC020000}"/>
    <cellStyle name="s_0670.HK_Interim 2 3" xfId="733" xr:uid="{00000000-0005-0000-0000-0000DD020000}"/>
    <cellStyle name="s_0670.HK_Interim 2 4" xfId="734" xr:uid="{00000000-0005-0000-0000-0000DE020000}"/>
    <cellStyle name="s_0670.HK_Interim 2 5" xfId="735" xr:uid="{00000000-0005-0000-0000-0000DF020000}"/>
    <cellStyle name="s_0670.HK_Interim 2 6" xfId="736" xr:uid="{00000000-0005-0000-0000-0000E0020000}"/>
    <cellStyle name="s_0670.HK_Interim 2 7" xfId="737" xr:uid="{00000000-0005-0000-0000-0000E1020000}"/>
    <cellStyle name="s_0670.HK_Interim 2 8" xfId="738" xr:uid="{00000000-0005-0000-0000-0000E2020000}"/>
    <cellStyle name="s_0670.HK_Interim 3" xfId="739" xr:uid="{00000000-0005-0000-0000-0000E3020000}"/>
    <cellStyle name="s_0670.HK_Interim 3 2" xfId="740" xr:uid="{00000000-0005-0000-0000-0000E4020000}"/>
    <cellStyle name="s_0670.HK_Interim 3 3" xfId="741" xr:uid="{00000000-0005-0000-0000-0000E5020000}"/>
    <cellStyle name="s_0670.HK_Interim 3 4" xfId="742" xr:uid="{00000000-0005-0000-0000-0000E6020000}"/>
    <cellStyle name="s_0670.HK_Interim 3 5" xfId="743" xr:uid="{00000000-0005-0000-0000-0000E7020000}"/>
    <cellStyle name="s_0670.HK_Interim 3 6" xfId="744" xr:uid="{00000000-0005-0000-0000-0000E8020000}"/>
    <cellStyle name="s_0670.HK_Interim 3 7" xfId="745" xr:uid="{00000000-0005-0000-0000-0000E9020000}"/>
    <cellStyle name="s_0670.HK_Interim 3 8" xfId="746" xr:uid="{00000000-0005-0000-0000-0000EA020000}"/>
    <cellStyle name="s_0670.HK_Interim 4" xfId="747" xr:uid="{00000000-0005-0000-0000-0000EB020000}"/>
    <cellStyle name="s_0670.HK_Interim 5" xfId="748" xr:uid="{00000000-0005-0000-0000-0000EC020000}"/>
    <cellStyle name="s_0670.HK_Interim 6" xfId="749" xr:uid="{00000000-0005-0000-0000-0000ED020000}"/>
    <cellStyle name="s_0670.HK_Interim 7" xfId="750" xr:uid="{00000000-0005-0000-0000-0000EE020000}"/>
    <cellStyle name="s_0670.HK_Interim 8" xfId="751" xr:uid="{00000000-0005-0000-0000-0000EF020000}"/>
    <cellStyle name="s_0670.HK_Interim 9" xfId="752" xr:uid="{00000000-0005-0000-0000-0000F0020000}"/>
    <cellStyle name="s_DCFLBO Code" xfId="753" xr:uid="{00000000-0005-0000-0000-0000F1020000}"/>
    <cellStyle name="s_DCFLBO Code_0670.HK" xfId="754" xr:uid="{00000000-0005-0000-0000-0000F2020000}"/>
    <cellStyle name="s_DCFLBO Code_0670.HK_Balance" xfId="755" xr:uid="{00000000-0005-0000-0000-0000F3020000}"/>
    <cellStyle name="s_DCFLBO Code_0670.HK_Cashflow" xfId="756" xr:uid="{00000000-0005-0000-0000-0000F4020000}"/>
    <cellStyle name="s_DCFLBO Code_0670.HK_Interim" xfId="757" xr:uid="{00000000-0005-0000-0000-0000F5020000}"/>
    <cellStyle name="s_DCFLBO Code_1" xfId="758" xr:uid="{00000000-0005-0000-0000-0000F6020000}"/>
    <cellStyle name="s_DCFLBO Code_1 10" xfId="759" xr:uid="{00000000-0005-0000-0000-0000F7020000}"/>
    <cellStyle name="s_DCFLBO Code_1 2" xfId="760" xr:uid="{00000000-0005-0000-0000-0000F8020000}"/>
    <cellStyle name="s_DCFLBO Code_1 2 2" xfId="761" xr:uid="{00000000-0005-0000-0000-0000F9020000}"/>
    <cellStyle name="s_DCFLBO Code_1 2 3" xfId="762" xr:uid="{00000000-0005-0000-0000-0000FA020000}"/>
    <cellStyle name="s_DCFLBO Code_1 2 4" xfId="763" xr:uid="{00000000-0005-0000-0000-0000FB020000}"/>
    <cellStyle name="s_DCFLBO Code_1 2 5" xfId="764" xr:uid="{00000000-0005-0000-0000-0000FC020000}"/>
    <cellStyle name="s_DCFLBO Code_1 2 6" xfId="765" xr:uid="{00000000-0005-0000-0000-0000FD020000}"/>
    <cellStyle name="s_DCFLBO Code_1 2 7" xfId="766" xr:uid="{00000000-0005-0000-0000-0000FE020000}"/>
    <cellStyle name="s_DCFLBO Code_1 2 8" xfId="767" xr:uid="{00000000-0005-0000-0000-0000FF020000}"/>
    <cellStyle name="s_DCFLBO Code_1 3" xfId="768" xr:uid="{00000000-0005-0000-0000-000000030000}"/>
    <cellStyle name="s_DCFLBO Code_1 3 2" xfId="769" xr:uid="{00000000-0005-0000-0000-000001030000}"/>
    <cellStyle name="s_DCFLBO Code_1 3 3" xfId="770" xr:uid="{00000000-0005-0000-0000-000002030000}"/>
    <cellStyle name="s_DCFLBO Code_1 3 4" xfId="771" xr:uid="{00000000-0005-0000-0000-000003030000}"/>
    <cellStyle name="s_DCFLBO Code_1 3 5" xfId="772" xr:uid="{00000000-0005-0000-0000-000004030000}"/>
    <cellStyle name="s_DCFLBO Code_1 3 6" xfId="773" xr:uid="{00000000-0005-0000-0000-000005030000}"/>
    <cellStyle name="s_DCFLBO Code_1 3 7" xfId="774" xr:uid="{00000000-0005-0000-0000-000006030000}"/>
    <cellStyle name="s_DCFLBO Code_1 3 8" xfId="775" xr:uid="{00000000-0005-0000-0000-000007030000}"/>
    <cellStyle name="s_DCFLBO Code_1 4" xfId="776" xr:uid="{00000000-0005-0000-0000-000008030000}"/>
    <cellStyle name="s_DCFLBO Code_1 5" xfId="777" xr:uid="{00000000-0005-0000-0000-000009030000}"/>
    <cellStyle name="s_DCFLBO Code_1 6" xfId="778" xr:uid="{00000000-0005-0000-0000-00000A030000}"/>
    <cellStyle name="s_DCFLBO Code_1 7" xfId="779" xr:uid="{00000000-0005-0000-0000-00000B030000}"/>
    <cellStyle name="s_DCFLBO Code_1 8" xfId="780" xr:uid="{00000000-0005-0000-0000-00000C030000}"/>
    <cellStyle name="s_DCFLBO Code_1 9" xfId="781" xr:uid="{00000000-0005-0000-0000-00000D030000}"/>
    <cellStyle name="s_DCFLBO Code_1_0670.HK" xfId="782" xr:uid="{00000000-0005-0000-0000-00000E030000}"/>
    <cellStyle name="s_DCFLBO Code_1_0670.HK 10" xfId="783" xr:uid="{00000000-0005-0000-0000-00000F030000}"/>
    <cellStyle name="s_DCFLBO Code_1_0670.HK 2" xfId="784" xr:uid="{00000000-0005-0000-0000-000010030000}"/>
    <cellStyle name="s_DCFLBO Code_1_0670.HK 2 2" xfId="785" xr:uid="{00000000-0005-0000-0000-000011030000}"/>
    <cellStyle name="s_DCFLBO Code_1_0670.HK 2 3" xfId="786" xr:uid="{00000000-0005-0000-0000-000012030000}"/>
    <cellStyle name="s_DCFLBO Code_1_0670.HK 2 4" xfId="787" xr:uid="{00000000-0005-0000-0000-000013030000}"/>
    <cellStyle name="s_DCFLBO Code_1_0670.HK 2 5" xfId="788" xr:uid="{00000000-0005-0000-0000-000014030000}"/>
    <cellStyle name="s_DCFLBO Code_1_0670.HK 2 6" xfId="789" xr:uid="{00000000-0005-0000-0000-000015030000}"/>
    <cellStyle name="s_DCFLBO Code_1_0670.HK 2 7" xfId="790" xr:uid="{00000000-0005-0000-0000-000016030000}"/>
    <cellStyle name="s_DCFLBO Code_1_0670.HK 2 8" xfId="791" xr:uid="{00000000-0005-0000-0000-000017030000}"/>
    <cellStyle name="s_DCFLBO Code_1_0670.HK 3" xfId="792" xr:uid="{00000000-0005-0000-0000-000018030000}"/>
    <cellStyle name="s_DCFLBO Code_1_0670.HK 3 2" xfId="793" xr:uid="{00000000-0005-0000-0000-000019030000}"/>
    <cellStyle name="s_DCFLBO Code_1_0670.HK 3 3" xfId="794" xr:uid="{00000000-0005-0000-0000-00001A030000}"/>
    <cellStyle name="s_DCFLBO Code_1_0670.HK 3 4" xfId="795" xr:uid="{00000000-0005-0000-0000-00001B030000}"/>
    <cellStyle name="s_DCFLBO Code_1_0670.HK 3 5" xfId="796" xr:uid="{00000000-0005-0000-0000-00001C030000}"/>
    <cellStyle name="s_DCFLBO Code_1_0670.HK 3 6" xfId="797" xr:uid="{00000000-0005-0000-0000-00001D030000}"/>
    <cellStyle name="s_DCFLBO Code_1_0670.HK 3 7" xfId="798" xr:uid="{00000000-0005-0000-0000-00001E030000}"/>
    <cellStyle name="s_DCFLBO Code_1_0670.HK 3 8" xfId="799" xr:uid="{00000000-0005-0000-0000-00001F030000}"/>
    <cellStyle name="s_DCFLBO Code_1_0670.HK 4" xfId="800" xr:uid="{00000000-0005-0000-0000-000020030000}"/>
    <cellStyle name="s_DCFLBO Code_1_0670.HK 5" xfId="801" xr:uid="{00000000-0005-0000-0000-000021030000}"/>
    <cellStyle name="s_DCFLBO Code_1_0670.HK 6" xfId="802" xr:uid="{00000000-0005-0000-0000-000022030000}"/>
    <cellStyle name="s_DCFLBO Code_1_0670.HK 7" xfId="803" xr:uid="{00000000-0005-0000-0000-000023030000}"/>
    <cellStyle name="s_DCFLBO Code_1_0670.HK 8" xfId="804" xr:uid="{00000000-0005-0000-0000-000024030000}"/>
    <cellStyle name="s_DCFLBO Code_1_0670.HK 9" xfId="805" xr:uid="{00000000-0005-0000-0000-000025030000}"/>
    <cellStyle name="s_DCFLBO Code_1_0670.HK_Balance" xfId="806" xr:uid="{00000000-0005-0000-0000-000026030000}"/>
    <cellStyle name="s_DCFLBO Code_1_0670.HK_Balance 10" xfId="807" xr:uid="{00000000-0005-0000-0000-000027030000}"/>
    <cellStyle name="s_DCFLBO Code_1_0670.HK_Balance 2" xfId="808" xr:uid="{00000000-0005-0000-0000-000028030000}"/>
    <cellStyle name="s_DCFLBO Code_1_0670.HK_Balance 2 2" xfId="809" xr:uid="{00000000-0005-0000-0000-000029030000}"/>
    <cellStyle name="s_DCFLBO Code_1_0670.HK_Balance 2 3" xfId="810" xr:uid="{00000000-0005-0000-0000-00002A030000}"/>
    <cellStyle name="s_DCFLBO Code_1_0670.HK_Balance 2 4" xfId="811" xr:uid="{00000000-0005-0000-0000-00002B030000}"/>
    <cellStyle name="s_DCFLBO Code_1_0670.HK_Balance 2 5" xfId="812" xr:uid="{00000000-0005-0000-0000-00002C030000}"/>
    <cellStyle name="s_DCFLBO Code_1_0670.HK_Balance 2 6" xfId="813" xr:uid="{00000000-0005-0000-0000-00002D030000}"/>
    <cellStyle name="s_DCFLBO Code_1_0670.HK_Balance 2 7" xfId="814" xr:uid="{00000000-0005-0000-0000-00002E030000}"/>
    <cellStyle name="s_DCFLBO Code_1_0670.HK_Balance 2 8" xfId="815" xr:uid="{00000000-0005-0000-0000-00002F030000}"/>
    <cellStyle name="s_DCFLBO Code_1_0670.HK_Balance 3" xfId="816" xr:uid="{00000000-0005-0000-0000-000030030000}"/>
    <cellStyle name="s_DCFLBO Code_1_0670.HK_Balance 3 2" xfId="817" xr:uid="{00000000-0005-0000-0000-000031030000}"/>
    <cellStyle name="s_DCFLBO Code_1_0670.HK_Balance 3 3" xfId="818" xr:uid="{00000000-0005-0000-0000-000032030000}"/>
    <cellStyle name="s_DCFLBO Code_1_0670.HK_Balance 3 4" xfId="819" xr:uid="{00000000-0005-0000-0000-000033030000}"/>
    <cellStyle name="s_DCFLBO Code_1_0670.HK_Balance 3 5" xfId="820" xr:uid="{00000000-0005-0000-0000-000034030000}"/>
    <cellStyle name="s_DCFLBO Code_1_0670.HK_Balance 3 6" xfId="821" xr:uid="{00000000-0005-0000-0000-000035030000}"/>
    <cellStyle name="s_DCFLBO Code_1_0670.HK_Balance 3 7" xfId="822" xr:uid="{00000000-0005-0000-0000-000036030000}"/>
    <cellStyle name="s_DCFLBO Code_1_0670.HK_Balance 3 8" xfId="823" xr:uid="{00000000-0005-0000-0000-000037030000}"/>
    <cellStyle name="s_DCFLBO Code_1_0670.HK_Balance 4" xfId="824" xr:uid="{00000000-0005-0000-0000-000038030000}"/>
    <cellStyle name="s_DCFLBO Code_1_0670.HK_Balance 5" xfId="825" xr:uid="{00000000-0005-0000-0000-000039030000}"/>
    <cellStyle name="s_DCFLBO Code_1_0670.HK_Balance 6" xfId="826" xr:uid="{00000000-0005-0000-0000-00003A030000}"/>
    <cellStyle name="s_DCFLBO Code_1_0670.HK_Balance 7" xfId="827" xr:uid="{00000000-0005-0000-0000-00003B030000}"/>
    <cellStyle name="s_DCFLBO Code_1_0670.HK_Balance 8" xfId="828" xr:uid="{00000000-0005-0000-0000-00003C030000}"/>
    <cellStyle name="s_DCFLBO Code_1_0670.HK_Balance 9" xfId="829" xr:uid="{00000000-0005-0000-0000-00003D030000}"/>
    <cellStyle name="s_DCFLBO Code_1_0670.HK_Cashflow" xfId="830" xr:uid="{00000000-0005-0000-0000-00003E030000}"/>
    <cellStyle name="s_DCFLBO Code_1_0670.HK_Cashflow 10" xfId="831" xr:uid="{00000000-0005-0000-0000-00003F030000}"/>
    <cellStyle name="s_DCFLBO Code_1_0670.HK_Cashflow 2" xfId="832" xr:uid="{00000000-0005-0000-0000-000040030000}"/>
    <cellStyle name="s_DCFLBO Code_1_0670.HK_Cashflow 2 2" xfId="833" xr:uid="{00000000-0005-0000-0000-000041030000}"/>
    <cellStyle name="s_DCFLBO Code_1_0670.HK_Cashflow 2 3" xfId="834" xr:uid="{00000000-0005-0000-0000-000042030000}"/>
    <cellStyle name="s_DCFLBO Code_1_0670.HK_Cashflow 2 4" xfId="835" xr:uid="{00000000-0005-0000-0000-000043030000}"/>
    <cellStyle name="s_DCFLBO Code_1_0670.HK_Cashflow 2 5" xfId="836" xr:uid="{00000000-0005-0000-0000-000044030000}"/>
    <cellStyle name="s_DCFLBO Code_1_0670.HK_Cashflow 2 6" xfId="837" xr:uid="{00000000-0005-0000-0000-000045030000}"/>
    <cellStyle name="s_DCFLBO Code_1_0670.HK_Cashflow 2 7" xfId="838" xr:uid="{00000000-0005-0000-0000-000046030000}"/>
    <cellStyle name="s_DCFLBO Code_1_0670.HK_Cashflow 2 8" xfId="839" xr:uid="{00000000-0005-0000-0000-000047030000}"/>
    <cellStyle name="s_DCFLBO Code_1_0670.HK_Cashflow 3" xfId="840" xr:uid="{00000000-0005-0000-0000-000048030000}"/>
    <cellStyle name="s_DCFLBO Code_1_0670.HK_Cashflow 3 2" xfId="841" xr:uid="{00000000-0005-0000-0000-000049030000}"/>
    <cellStyle name="s_DCFLBO Code_1_0670.HK_Cashflow 3 3" xfId="842" xr:uid="{00000000-0005-0000-0000-00004A030000}"/>
    <cellStyle name="s_DCFLBO Code_1_0670.HK_Cashflow 3 4" xfId="843" xr:uid="{00000000-0005-0000-0000-00004B030000}"/>
    <cellStyle name="s_DCFLBO Code_1_0670.HK_Cashflow 3 5" xfId="844" xr:uid="{00000000-0005-0000-0000-00004C030000}"/>
    <cellStyle name="s_DCFLBO Code_1_0670.HK_Cashflow 3 6" xfId="845" xr:uid="{00000000-0005-0000-0000-00004D030000}"/>
    <cellStyle name="s_DCFLBO Code_1_0670.HK_Cashflow 3 7" xfId="846" xr:uid="{00000000-0005-0000-0000-00004E030000}"/>
    <cellStyle name="s_DCFLBO Code_1_0670.HK_Cashflow 3 8" xfId="847" xr:uid="{00000000-0005-0000-0000-00004F030000}"/>
    <cellStyle name="s_DCFLBO Code_1_0670.HK_Cashflow 4" xfId="848" xr:uid="{00000000-0005-0000-0000-000050030000}"/>
    <cellStyle name="s_DCFLBO Code_1_0670.HK_Cashflow 5" xfId="849" xr:uid="{00000000-0005-0000-0000-000051030000}"/>
    <cellStyle name="s_DCFLBO Code_1_0670.HK_Cashflow 6" xfId="850" xr:uid="{00000000-0005-0000-0000-000052030000}"/>
    <cellStyle name="s_DCFLBO Code_1_0670.HK_Cashflow 7" xfId="851" xr:uid="{00000000-0005-0000-0000-000053030000}"/>
    <cellStyle name="s_DCFLBO Code_1_0670.HK_Cashflow 8" xfId="852" xr:uid="{00000000-0005-0000-0000-000054030000}"/>
    <cellStyle name="s_DCFLBO Code_1_0670.HK_Cashflow 9" xfId="853" xr:uid="{00000000-0005-0000-0000-000055030000}"/>
    <cellStyle name="s_DCFLBO Code_1_0670.HK_Interim" xfId="854" xr:uid="{00000000-0005-0000-0000-000056030000}"/>
    <cellStyle name="s_DCFLBO Code_1_0670.HK_Interim 10" xfId="855" xr:uid="{00000000-0005-0000-0000-000057030000}"/>
    <cellStyle name="s_DCFLBO Code_1_0670.HK_Interim 2" xfId="856" xr:uid="{00000000-0005-0000-0000-000058030000}"/>
    <cellStyle name="s_DCFLBO Code_1_0670.HK_Interim 2 2" xfId="857" xr:uid="{00000000-0005-0000-0000-000059030000}"/>
    <cellStyle name="s_DCFLBO Code_1_0670.HK_Interim 2 3" xfId="858" xr:uid="{00000000-0005-0000-0000-00005A030000}"/>
    <cellStyle name="s_DCFLBO Code_1_0670.HK_Interim 2 4" xfId="859" xr:uid="{00000000-0005-0000-0000-00005B030000}"/>
    <cellStyle name="s_DCFLBO Code_1_0670.HK_Interim 2 5" xfId="860" xr:uid="{00000000-0005-0000-0000-00005C030000}"/>
    <cellStyle name="s_DCFLBO Code_1_0670.HK_Interim 2 6" xfId="861" xr:uid="{00000000-0005-0000-0000-00005D030000}"/>
    <cellStyle name="s_DCFLBO Code_1_0670.HK_Interim 2 7" xfId="862" xr:uid="{00000000-0005-0000-0000-00005E030000}"/>
    <cellStyle name="s_DCFLBO Code_1_0670.HK_Interim 2 8" xfId="863" xr:uid="{00000000-0005-0000-0000-00005F030000}"/>
    <cellStyle name="s_DCFLBO Code_1_0670.HK_Interim 3" xfId="864" xr:uid="{00000000-0005-0000-0000-000060030000}"/>
    <cellStyle name="s_DCFLBO Code_1_0670.HK_Interim 3 2" xfId="865" xr:uid="{00000000-0005-0000-0000-000061030000}"/>
    <cellStyle name="s_DCFLBO Code_1_0670.HK_Interim 3 3" xfId="866" xr:uid="{00000000-0005-0000-0000-000062030000}"/>
    <cellStyle name="s_DCFLBO Code_1_0670.HK_Interim 3 4" xfId="867" xr:uid="{00000000-0005-0000-0000-000063030000}"/>
    <cellStyle name="s_DCFLBO Code_1_0670.HK_Interim 3 5" xfId="868" xr:uid="{00000000-0005-0000-0000-000064030000}"/>
    <cellStyle name="s_DCFLBO Code_1_0670.HK_Interim 3 6" xfId="869" xr:uid="{00000000-0005-0000-0000-000065030000}"/>
    <cellStyle name="s_DCFLBO Code_1_0670.HK_Interim 3 7" xfId="870" xr:uid="{00000000-0005-0000-0000-000066030000}"/>
    <cellStyle name="s_DCFLBO Code_1_0670.HK_Interim 3 8" xfId="871" xr:uid="{00000000-0005-0000-0000-000067030000}"/>
    <cellStyle name="s_DCFLBO Code_1_0670.HK_Interim 4" xfId="872" xr:uid="{00000000-0005-0000-0000-000068030000}"/>
    <cellStyle name="s_DCFLBO Code_1_0670.HK_Interim 5" xfId="873" xr:uid="{00000000-0005-0000-0000-000069030000}"/>
    <cellStyle name="s_DCFLBO Code_1_0670.HK_Interim 6" xfId="874" xr:uid="{00000000-0005-0000-0000-00006A030000}"/>
    <cellStyle name="s_DCFLBO Code_1_0670.HK_Interim 7" xfId="875" xr:uid="{00000000-0005-0000-0000-00006B030000}"/>
    <cellStyle name="s_DCFLBO Code_1_0670.HK_Interim 8" xfId="876" xr:uid="{00000000-0005-0000-0000-00006C030000}"/>
    <cellStyle name="s_DCFLBO Code_1_0670.HK_Interim 9" xfId="877" xr:uid="{00000000-0005-0000-0000-00006D030000}"/>
    <cellStyle name="s_Design Yield" xfId="878" xr:uid="{00000000-0005-0000-0000-00006E030000}"/>
    <cellStyle name="s_Design Yield 10" xfId="879" xr:uid="{00000000-0005-0000-0000-00006F030000}"/>
    <cellStyle name="s_Design Yield 2" xfId="880" xr:uid="{00000000-0005-0000-0000-000070030000}"/>
    <cellStyle name="s_Design Yield 2 2" xfId="881" xr:uid="{00000000-0005-0000-0000-000071030000}"/>
    <cellStyle name="s_Design Yield 2 3" xfId="882" xr:uid="{00000000-0005-0000-0000-000072030000}"/>
    <cellStyle name="s_Design Yield 2 4" xfId="883" xr:uid="{00000000-0005-0000-0000-000073030000}"/>
    <cellStyle name="s_Design Yield 2 5" xfId="884" xr:uid="{00000000-0005-0000-0000-000074030000}"/>
    <cellStyle name="s_Design Yield 2 6" xfId="885" xr:uid="{00000000-0005-0000-0000-000075030000}"/>
    <cellStyle name="s_Design Yield 2 7" xfId="886" xr:uid="{00000000-0005-0000-0000-000076030000}"/>
    <cellStyle name="s_Design Yield 2 8" xfId="887" xr:uid="{00000000-0005-0000-0000-000077030000}"/>
    <cellStyle name="s_Design Yield 3" xfId="888" xr:uid="{00000000-0005-0000-0000-000078030000}"/>
    <cellStyle name="s_Design Yield 3 2" xfId="889" xr:uid="{00000000-0005-0000-0000-000079030000}"/>
    <cellStyle name="s_Design Yield 3 3" xfId="890" xr:uid="{00000000-0005-0000-0000-00007A030000}"/>
    <cellStyle name="s_Design Yield 3 4" xfId="891" xr:uid="{00000000-0005-0000-0000-00007B030000}"/>
    <cellStyle name="s_Design Yield 3 5" xfId="892" xr:uid="{00000000-0005-0000-0000-00007C030000}"/>
    <cellStyle name="s_Design Yield 3 6" xfId="893" xr:uid="{00000000-0005-0000-0000-00007D030000}"/>
    <cellStyle name="s_Design Yield 3 7" xfId="894" xr:uid="{00000000-0005-0000-0000-00007E030000}"/>
    <cellStyle name="s_Design Yield 3 8" xfId="895" xr:uid="{00000000-0005-0000-0000-00007F030000}"/>
    <cellStyle name="s_Design Yield 4" xfId="896" xr:uid="{00000000-0005-0000-0000-000080030000}"/>
    <cellStyle name="s_Design Yield 5" xfId="897" xr:uid="{00000000-0005-0000-0000-000081030000}"/>
    <cellStyle name="s_Design Yield 6" xfId="898" xr:uid="{00000000-0005-0000-0000-000082030000}"/>
    <cellStyle name="s_Design Yield 7" xfId="899" xr:uid="{00000000-0005-0000-0000-000083030000}"/>
    <cellStyle name="s_Design Yield 8" xfId="900" xr:uid="{00000000-0005-0000-0000-000084030000}"/>
    <cellStyle name="s_Design Yield 9" xfId="901" xr:uid="{00000000-0005-0000-0000-000085030000}"/>
    <cellStyle name="s_Design Yield_0670.HK" xfId="902" xr:uid="{00000000-0005-0000-0000-000086030000}"/>
    <cellStyle name="s_Design Yield_0670.HK 10" xfId="903" xr:uid="{00000000-0005-0000-0000-000087030000}"/>
    <cellStyle name="s_Design Yield_0670.HK 2" xfId="904" xr:uid="{00000000-0005-0000-0000-000088030000}"/>
    <cellStyle name="s_Design Yield_0670.HK 2 2" xfId="905" xr:uid="{00000000-0005-0000-0000-000089030000}"/>
    <cellStyle name="s_Design Yield_0670.HK 2 3" xfId="906" xr:uid="{00000000-0005-0000-0000-00008A030000}"/>
    <cellStyle name="s_Design Yield_0670.HK 2 4" xfId="907" xr:uid="{00000000-0005-0000-0000-00008B030000}"/>
    <cellStyle name="s_Design Yield_0670.HK 2 5" xfId="908" xr:uid="{00000000-0005-0000-0000-00008C030000}"/>
    <cellStyle name="s_Design Yield_0670.HK 2 6" xfId="909" xr:uid="{00000000-0005-0000-0000-00008D030000}"/>
    <cellStyle name="s_Design Yield_0670.HK 2 7" xfId="910" xr:uid="{00000000-0005-0000-0000-00008E030000}"/>
    <cellStyle name="s_Design Yield_0670.HK 2 8" xfId="911" xr:uid="{00000000-0005-0000-0000-00008F030000}"/>
    <cellStyle name="s_Design Yield_0670.HK 3" xfId="912" xr:uid="{00000000-0005-0000-0000-000090030000}"/>
    <cellStyle name="s_Design Yield_0670.HK 3 2" xfId="913" xr:uid="{00000000-0005-0000-0000-000091030000}"/>
    <cellStyle name="s_Design Yield_0670.HK 3 3" xfId="914" xr:uid="{00000000-0005-0000-0000-000092030000}"/>
    <cellStyle name="s_Design Yield_0670.HK 3 4" xfId="915" xr:uid="{00000000-0005-0000-0000-000093030000}"/>
    <cellStyle name="s_Design Yield_0670.HK 3 5" xfId="916" xr:uid="{00000000-0005-0000-0000-000094030000}"/>
    <cellStyle name="s_Design Yield_0670.HK 3 6" xfId="917" xr:uid="{00000000-0005-0000-0000-000095030000}"/>
    <cellStyle name="s_Design Yield_0670.HK 3 7" xfId="918" xr:uid="{00000000-0005-0000-0000-000096030000}"/>
    <cellStyle name="s_Design Yield_0670.HK 3 8" xfId="919" xr:uid="{00000000-0005-0000-0000-000097030000}"/>
    <cellStyle name="s_Design Yield_0670.HK 4" xfId="920" xr:uid="{00000000-0005-0000-0000-000098030000}"/>
    <cellStyle name="s_Design Yield_0670.HK 5" xfId="921" xr:uid="{00000000-0005-0000-0000-000099030000}"/>
    <cellStyle name="s_Design Yield_0670.HK 6" xfId="922" xr:uid="{00000000-0005-0000-0000-00009A030000}"/>
    <cellStyle name="s_Design Yield_0670.HK 7" xfId="923" xr:uid="{00000000-0005-0000-0000-00009B030000}"/>
    <cellStyle name="s_Design Yield_0670.HK 8" xfId="924" xr:uid="{00000000-0005-0000-0000-00009C030000}"/>
    <cellStyle name="s_Design Yield_0670.HK 9" xfId="925" xr:uid="{00000000-0005-0000-0000-00009D030000}"/>
    <cellStyle name="s_Design Yield_0670.HK_Balance" xfId="926" xr:uid="{00000000-0005-0000-0000-00009E030000}"/>
    <cellStyle name="s_Design Yield_0670.HK_Balance 10" xfId="927" xr:uid="{00000000-0005-0000-0000-00009F030000}"/>
    <cellStyle name="s_Design Yield_0670.HK_Balance 2" xfId="928" xr:uid="{00000000-0005-0000-0000-0000A0030000}"/>
    <cellStyle name="s_Design Yield_0670.HK_Balance 2 2" xfId="929" xr:uid="{00000000-0005-0000-0000-0000A1030000}"/>
    <cellStyle name="s_Design Yield_0670.HK_Balance 2 3" xfId="930" xr:uid="{00000000-0005-0000-0000-0000A2030000}"/>
    <cellStyle name="s_Design Yield_0670.HK_Balance 2 4" xfId="931" xr:uid="{00000000-0005-0000-0000-0000A3030000}"/>
    <cellStyle name="s_Design Yield_0670.HK_Balance 2 5" xfId="932" xr:uid="{00000000-0005-0000-0000-0000A4030000}"/>
    <cellStyle name="s_Design Yield_0670.HK_Balance 2 6" xfId="933" xr:uid="{00000000-0005-0000-0000-0000A5030000}"/>
    <cellStyle name="s_Design Yield_0670.HK_Balance 2 7" xfId="934" xr:uid="{00000000-0005-0000-0000-0000A6030000}"/>
    <cellStyle name="s_Design Yield_0670.HK_Balance 2 8" xfId="935" xr:uid="{00000000-0005-0000-0000-0000A7030000}"/>
    <cellStyle name="s_Design Yield_0670.HK_Balance 3" xfId="936" xr:uid="{00000000-0005-0000-0000-0000A8030000}"/>
    <cellStyle name="s_Design Yield_0670.HK_Balance 3 2" xfId="937" xr:uid="{00000000-0005-0000-0000-0000A9030000}"/>
    <cellStyle name="s_Design Yield_0670.HK_Balance 3 3" xfId="938" xr:uid="{00000000-0005-0000-0000-0000AA030000}"/>
    <cellStyle name="s_Design Yield_0670.HK_Balance 3 4" xfId="939" xr:uid="{00000000-0005-0000-0000-0000AB030000}"/>
    <cellStyle name="s_Design Yield_0670.HK_Balance 3 5" xfId="940" xr:uid="{00000000-0005-0000-0000-0000AC030000}"/>
    <cellStyle name="s_Design Yield_0670.HK_Balance 3 6" xfId="941" xr:uid="{00000000-0005-0000-0000-0000AD030000}"/>
    <cellStyle name="s_Design Yield_0670.HK_Balance 3 7" xfId="942" xr:uid="{00000000-0005-0000-0000-0000AE030000}"/>
    <cellStyle name="s_Design Yield_0670.HK_Balance 3 8" xfId="943" xr:uid="{00000000-0005-0000-0000-0000AF030000}"/>
    <cellStyle name="s_Design Yield_0670.HK_Balance 4" xfId="944" xr:uid="{00000000-0005-0000-0000-0000B0030000}"/>
    <cellStyle name="s_Design Yield_0670.HK_Balance 5" xfId="945" xr:uid="{00000000-0005-0000-0000-0000B1030000}"/>
    <cellStyle name="s_Design Yield_0670.HK_Balance 6" xfId="946" xr:uid="{00000000-0005-0000-0000-0000B2030000}"/>
    <cellStyle name="s_Design Yield_0670.HK_Balance 7" xfId="947" xr:uid="{00000000-0005-0000-0000-0000B3030000}"/>
    <cellStyle name="s_Design Yield_0670.HK_Balance 8" xfId="948" xr:uid="{00000000-0005-0000-0000-0000B4030000}"/>
    <cellStyle name="s_Design Yield_0670.HK_Balance 9" xfId="949" xr:uid="{00000000-0005-0000-0000-0000B5030000}"/>
    <cellStyle name="s_Design Yield_0670.HK_Cashflow" xfId="950" xr:uid="{00000000-0005-0000-0000-0000B6030000}"/>
    <cellStyle name="s_Design Yield_0670.HK_Cashflow 10" xfId="951" xr:uid="{00000000-0005-0000-0000-0000B7030000}"/>
    <cellStyle name="s_Design Yield_0670.HK_Cashflow 2" xfId="952" xr:uid="{00000000-0005-0000-0000-0000B8030000}"/>
    <cellStyle name="s_Design Yield_0670.HK_Cashflow 2 2" xfId="953" xr:uid="{00000000-0005-0000-0000-0000B9030000}"/>
    <cellStyle name="s_Design Yield_0670.HK_Cashflow 2 3" xfId="954" xr:uid="{00000000-0005-0000-0000-0000BA030000}"/>
    <cellStyle name="s_Design Yield_0670.HK_Cashflow 2 4" xfId="955" xr:uid="{00000000-0005-0000-0000-0000BB030000}"/>
    <cellStyle name="s_Design Yield_0670.HK_Cashflow 2 5" xfId="956" xr:uid="{00000000-0005-0000-0000-0000BC030000}"/>
    <cellStyle name="s_Design Yield_0670.HK_Cashflow 2 6" xfId="957" xr:uid="{00000000-0005-0000-0000-0000BD030000}"/>
    <cellStyle name="s_Design Yield_0670.HK_Cashflow 2 7" xfId="958" xr:uid="{00000000-0005-0000-0000-0000BE030000}"/>
    <cellStyle name="s_Design Yield_0670.HK_Cashflow 2 8" xfId="959" xr:uid="{00000000-0005-0000-0000-0000BF030000}"/>
    <cellStyle name="s_Design Yield_0670.HK_Cashflow 3" xfId="960" xr:uid="{00000000-0005-0000-0000-0000C0030000}"/>
    <cellStyle name="s_Design Yield_0670.HK_Cashflow 3 2" xfId="961" xr:uid="{00000000-0005-0000-0000-0000C1030000}"/>
    <cellStyle name="s_Design Yield_0670.HK_Cashflow 3 3" xfId="962" xr:uid="{00000000-0005-0000-0000-0000C2030000}"/>
    <cellStyle name="s_Design Yield_0670.HK_Cashflow 3 4" xfId="963" xr:uid="{00000000-0005-0000-0000-0000C3030000}"/>
    <cellStyle name="s_Design Yield_0670.HK_Cashflow 3 5" xfId="964" xr:uid="{00000000-0005-0000-0000-0000C4030000}"/>
    <cellStyle name="s_Design Yield_0670.HK_Cashflow 3 6" xfId="965" xr:uid="{00000000-0005-0000-0000-0000C5030000}"/>
    <cellStyle name="s_Design Yield_0670.HK_Cashflow 3 7" xfId="966" xr:uid="{00000000-0005-0000-0000-0000C6030000}"/>
    <cellStyle name="s_Design Yield_0670.HK_Cashflow 3 8" xfId="967" xr:uid="{00000000-0005-0000-0000-0000C7030000}"/>
    <cellStyle name="s_Design Yield_0670.HK_Cashflow 4" xfId="968" xr:uid="{00000000-0005-0000-0000-0000C8030000}"/>
    <cellStyle name="s_Design Yield_0670.HK_Cashflow 5" xfId="969" xr:uid="{00000000-0005-0000-0000-0000C9030000}"/>
    <cellStyle name="s_Design Yield_0670.HK_Cashflow 6" xfId="970" xr:uid="{00000000-0005-0000-0000-0000CA030000}"/>
    <cellStyle name="s_Design Yield_0670.HK_Cashflow 7" xfId="971" xr:uid="{00000000-0005-0000-0000-0000CB030000}"/>
    <cellStyle name="s_Design Yield_0670.HK_Cashflow 8" xfId="972" xr:uid="{00000000-0005-0000-0000-0000CC030000}"/>
    <cellStyle name="s_Design Yield_0670.HK_Cashflow 9" xfId="973" xr:uid="{00000000-0005-0000-0000-0000CD030000}"/>
    <cellStyle name="s_Design Yield_0670.HK_Interim" xfId="974" xr:uid="{00000000-0005-0000-0000-0000CE030000}"/>
    <cellStyle name="s_Design Yield_0670.HK_Interim 10" xfId="975" xr:uid="{00000000-0005-0000-0000-0000CF030000}"/>
    <cellStyle name="s_Design Yield_0670.HK_Interim 2" xfId="976" xr:uid="{00000000-0005-0000-0000-0000D0030000}"/>
    <cellStyle name="s_Design Yield_0670.HK_Interim 2 2" xfId="977" xr:uid="{00000000-0005-0000-0000-0000D1030000}"/>
    <cellStyle name="s_Design Yield_0670.HK_Interim 2 3" xfId="978" xr:uid="{00000000-0005-0000-0000-0000D2030000}"/>
    <cellStyle name="s_Design Yield_0670.HK_Interim 2 4" xfId="979" xr:uid="{00000000-0005-0000-0000-0000D3030000}"/>
    <cellStyle name="s_Design Yield_0670.HK_Interim 2 5" xfId="980" xr:uid="{00000000-0005-0000-0000-0000D4030000}"/>
    <cellStyle name="s_Design Yield_0670.HK_Interim 2 6" xfId="981" xr:uid="{00000000-0005-0000-0000-0000D5030000}"/>
    <cellStyle name="s_Design Yield_0670.HK_Interim 2 7" xfId="982" xr:uid="{00000000-0005-0000-0000-0000D6030000}"/>
    <cellStyle name="s_Design Yield_0670.HK_Interim 2 8" xfId="983" xr:uid="{00000000-0005-0000-0000-0000D7030000}"/>
    <cellStyle name="s_Design Yield_0670.HK_Interim 3" xfId="984" xr:uid="{00000000-0005-0000-0000-0000D8030000}"/>
    <cellStyle name="s_Design Yield_0670.HK_Interim 3 2" xfId="985" xr:uid="{00000000-0005-0000-0000-0000D9030000}"/>
    <cellStyle name="s_Design Yield_0670.HK_Interim 3 3" xfId="986" xr:uid="{00000000-0005-0000-0000-0000DA030000}"/>
    <cellStyle name="s_Design Yield_0670.HK_Interim 3 4" xfId="987" xr:uid="{00000000-0005-0000-0000-0000DB030000}"/>
    <cellStyle name="s_Design Yield_0670.HK_Interim 3 5" xfId="988" xr:uid="{00000000-0005-0000-0000-0000DC030000}"/>
    <cellStyle name="s_Design Yield_0670.HK_Interim 3 6" xfId="989" xr:uid="{00000000-0005-0000-0000-0000DD030000}"/>
    <cellStyle name="s_Design Yield_0670.HK_Interim 3 7" xfId="990" xr:uid="{00000000-0005-0000-0000-0000DE030000}"/>
    <cellStyle name="s_Design Yield_0670.HK_Interim 3 8" xfId="991" xr:uid="{00000000-0005-0000-0000-0000DF030000}"/>
    <cellStyle name="s_Design Yield_0670.HK_Interim 4" xfId="992" xr:uid="{00000000-0005-0000-0000-0000E0030000}"/>
    <cellStyle name="s_Design Yield_0670.HK_Interim 5" xfId="993" xr:uid="{00000000-0005-0000-0000-0000E1030000}"/>
    <cellStyle name="s_Design Yield_0670.HK_Interim 6" xfId="994" xr:uid="{00000000-0005-0000-0000-0000E2030000}"/>
    <cellStyle name="s_Design Yield_0670.HK_Interim 7" xfId="995" xr:uid="{00000000-0005-0000-0000-0000E3030000}"/>
    <cellStyle name="s_Design Yield_0670.HK_Interim 8" xfId="996" xr:uid="{00000000-0005-0000-0000-0000E4030000}"/>
    <cellStyle name="s_Design Yield_0670.HK_Interim 9" xfId="997" xr:uid="{00000000-0005-0000-0000-0000E5030000}"/>
    <cellStyle name="s_RRC" xfId="998" xr:uid="{00000000-0005-0000-0000-0000E6030000}"/>
    <cellStyle name="s_RRC 10" xfId="999" xr:uid="{00000000-0005-0000-0000-0000E7030000}"/>
    <cellStyle name="s_RRC 2" xfId="1000" xr:uid="{00000000-0005-0000-0000-0000E8030000}"/>
    <cellStyle name="s_RRC 2 2" xfId="1001" xr:uid="{00000000-0005-0000-0000-0000E9030000}"/>
    <cellStyle name="s_RRC 2 3" xfId="1002" xr:uid="{00000000-0005-0000-0000-0000EA030000}"/>
    <cellStyle name="s_RRC 2 4" xfId="1003" xr:uid="{00000000-0005-0000-0000-0000EB030000}"/>
    <cellStyle name="s_RRC 2 5" xfId="1004" xr:uid="{00000000-0005-0000-0000-0000EC030000}"/>
    <cellStyle name="s_RRC 2 6" xfId="1005" xr:uid="{00000000-0005-0000-0000-0000ED030000}"/>
    <cellStyle name="s_RRC 2 7" xfId="1006" xr:uid="{00000000-0005-0000-0000-0000EE030000}"/>
    <cellStyle name="s_RRC 2 8" xfId="1007" xr:uid="{00000000-0005-0000-0000-0000EF030000}"/>
    <cellStyle name="s_RRC 3" xfId="1008" xr:uid="{00000000-0005-0000-0000-0000F0030000}"/>
    <cellStyle name="s_RRC 3 2" xfId="1009" xr:uid="{00000000-0005-0000-0000-0000F1030000}"/>
    <cellStyle name="s_RRC 3 3" xfId="1010" xr:uid="{00000000-0005-0000-0000-0000F2030000}"/>
    <cellStyle name="s_RRC 3 4" xfId="1011" xr:uid="{00000000-0005-0000-0000-0000F3030000}"/>
    <cellStyle name="s_RRC 3 5" xfId="1012" xr:uid="{00000000-0005-0000-0000-0000F4030000}"/>
    <cellStyle name="s_RRC 3 6" xfId="1013" xr:uid="{00000000-0005-0000-0000-0000F5030000}"/>
    <cellStyle name="s_RRC 3 7" xfId="1014" xr:uid="{00000000-0005-0000-0000-0000F6030000}"/>
    <cellStyle name="s_RRC 3 8" xfId="1015" xr:uid="{00000000-0005-0000-0000-0000F7030000}"/>
    <cellStyle name="s_RRC 4" xfId="1016" xr:uid="{00000000-0005-0000-0000-0000F8030000}"/>
    <cellStyle name="s_RRC 5" xfId="1017" xr:uid="{00000000-0005-0000-0000-0000F9030000}"/>
    <cellStyle name="s_RRC 6" xfId="1018" xr:uid="{00000000-0005-0000-0000-0000FA030000}"/>
    <cellStyle name="s_RRC 7" xfId="1019" xr:uid="{00000000-0005-0000-0000-0000FB030000}"/>
    <cellStyle name="s_RRC 8" xfId="1020" xr:uid="{00000000-0005-0000-0000-0000FC030000}"/>
    <cellStyle name="s_RRC 9" xfId="1021" xr:uid="{00000000-0005-0000-0000-0000FD030000}"/>
    <cellStyle name="s_SPRC" xfId="1022" xr:uid="{00000000-0005-0000-0000-0000FE030000}"/>
    <cellStyle name="s_SPRC 10" xfId="1023" xr:uid="{00000000-0005-0000-0000-0000FF030000}"/>
    <cellStyle name="s_SPRC 2" xfId="1024" xr:uid="{00000000-0005-0000-0000-000000040000}"/>
    <cellStyle name="s_SPRC 2 2" xfId="1025" xr:uid="{00000000-0005-0000-0000-000001040000}"/>
    <cellStyle name="s_SPRC 2 3" xfId="1026" xr:uid="{00000000-0005-0000-0000-000002040000}"/>
    <cellStyle name="s_SPRC 2 4" xfId="1027" xr:uid="{00000000-0005-0000-0000-000003040000}"/>
    <cellStyle name="s_SPRC 2 5" xfId="1028" xr:uid="{00000000-0005-0000-0000-000004040000}"/>
    <cellStyle name="s_SPRC 2 6" xfId="1029" xr:uid="{00000000-0005-0000-0000-000005040000}"/>
    <cellStyle name="s_SPRC 2 7" xfId="1030" xr:uid="{00000000-0005-0000-0000-000006040000}"/>
    <cellStyle name="s_SPRC 2 8" xfId="1031" xr:uid="{00000000-0005-0000-0000-000007040000}"/>
    <cellStyle name="s_SPRC 3" xfId="1032" xr:uid="{00000000-0005-0000-0000-000008040000}"/>
    <cellStyle name="s_SPRC 3 2" xfId="1033" xr:uid="{00000000-0005-0000-0000-000009040000}"/>
    <cellStyle name="s_SPRC 3 3" xfId="1034" xr:uid="{00000000-0005-0000-0000-00000A040000}"/>
    <cellStyle name="s_SPRC 3 4" xfId="1035" xr:uid="{00000000-0005-0000-0000-00000B040000}"/>
    <cellStyle name="s_SPRC 3 5" xfId="1036" xr:uid="{00000000-0005-0000-0000-00000C040000}"/>
    <cellStyle name="s_SPRC 3 6" xfId="1037" xr:uid="{00000000-0005-0000-0000-00000D040000}"/>
    <cellStyle name="s_SPRC 3 7" xfId="1038" xr:uid="{00000000-0005-0000-0000-00000E040000}"/>
    <cellStyle name="s_SPRC 3 8" xfId="1039" xr:uid="{00000000-0005-0000-0000-00000F040000}"/>
    <cellStyle name="s_SPRC 4" xfId="1040" xr:uid="{00000000-0005-0000-0000-000010040000}"/>
    <cellStyle name="s_SPRC 5" xfId="1041" xr:uid="{00000000-0005-0000-0000-000011040000}"/>
    <cellStyle name="s_SPRC 6" xfId="1042" xr:uid="{00000000-0005-0000-0000-000012040000}"/>
    <cellStyle name="s_SPRC 7" xfId="1043" xr:uid="{00000000-0005-0000-0000-000013040000}"/>
    <cellStyle name="s_SPRC 8" xfId="1044" xr:uid="{00000000-0005-0000-0000-000014040000}"/>
    <cellStyle name="s_SPRC 9" xfId="1045" xr:uid="{00000000-0005-0000-0000-000015040000}"/>
    <cellStyle name="STYL1 - Style1" xfId="1046" xr:uid="{00000000-0005-0000-0000-000016040000}"/>
    <cellStyle name="style" xfId="1047" xr:uid="{00000000-0005-0000-0000-000017040000}"/>
    <cellStyle name="Style 1" xfId="1048" xr:uid="{00000000-0005-0000-0000-000018040000}"/>
    <cellStyle name="Style 1 2" xfId="1049" xr:uid="{00000000-0005-0000-0000-000019040000}"/>
    <cellStyle name="style1" xfId="1050" xr:uid="{00000000-0005-0000-0000-00001A040000}"/>
    <cellStyle name="style2" xfId="1051" xr:uid="{00000000-0005-0000-0000-00001B040000}"/>
    <cellStyle name="Subheadbldun" xfId="1052" xr:uid="{00000000-0005-0000-0000-00001C040000}"/>
    <cellStyle name="subtotal" xfId="1053" xr:uid="{00000000-0005-0000-0000-00001D040000}"/>
    <cellStyle name="SymbolBlue" xfId="1054" xr:uid="{00000000-0005-0000-0000-00001E040000}"/>
    <cellStyle name="SymbolBlue 2" xfId="1055" xr:uid="{00000000-0005-0000-0000-00001F040000}"/>
    <cellStyle name="t" xfId="1056" xr:uid="{00000000-0005-0000-0000-000020040000}"/>
    <cellStyle name="Table Title" xfId="1057" xr:uid="{00000000-0005-0000-0000-000021040000}"/>
    <cellStyle name="Table Units" xfId="1058" xr:uid="{00000000-0005-0000-0000-000022040000}"/>
    <cellStyle name="threedecplace" xfId="1059" xr:uid="{00000000-0005-0000-0000-000023040000}"/>
    <cellStyle name="Times 12" xfId="1060" xr:uid="{00000000-0005-0000-0000-000024040000}"/>
    <cellStyle name="Total" xfId="1061" xr:uid="{00000000-0005-0000-0000-000025040000}"/>
    <cellStyle name="twodecplace" xfId="1062" xr:uid="{00000000-0005-0000-0000-000026040000}"/>
    <cellStyle name="u" xfId="1063" xr:uid="{00000000-0005-0000-0000-000027040000}"/>
    <cellStyle name="u 2" xfId="1064" xr:uid="{00000000-0005-0000-0000-000028040000}"/>
    <cellStyle name="u 2 10" xfId="1065" xr:uid="{00000000-0005-0000-0000-000029040000}"/>
    <cellStyle name="u 2 2" xfId="1066" xr:uid="{00000000-0005-0000-0000-00002A040000}"/>
    <cellStyle name="u 2 2 2" xfId="1067" xr:uid="{00000000-0005-0000-0000-00002B040000}"/>
    <cellStyle name="u 2 2 3" xfId="1068" xr:uid="{00000000-0005-0000-0000-00002C040000}"/>
    <cellStyle name="u 2 2 4" xfId="1069" xr:uid="{00000000-0005-0000-0000-00002D040000}"/>
    <cellStyle name="u 2 2 5" xfId="1070" xr:uid="{00000000-0005-0000-0000-00002E040000}"/>
    <cellStyle name="u 2 2 6" xfId="1071" xr:uid="{00000000-0005-0000-0000-00002F040000}"/>
    <cellStyle name="u 2 2 7" xfId="1072" xr:uid="{00000000-0005-0000-0000-000030040000}"/>
    <cellStyle name="u 2 2 8" xfId="1073" xr:uid="{00000000-0005-0000-0000-000031040000}"/>
    <cellStyle name="u 2 3" xfId="1074" xr:uid="{00000000-0005-0000-0000-000032040000}"/>
    <cellStyle name="u 2 3 2" xfId="1075" xr:uid="{00000000-0005-0000-0000-000033040000}"/>
    <cellStyle name="u 2 3 3" xfId="1076" xr:uid="{00000000-0005-0000-0000-000034040000}"/>
    <cellStyle name="u 2 3 4" xfId="1077" xr:uid="{00000000-0005-0000-0000-000035040000}"/>
    <cellStyle name="u 2 3 5" xfId="1078" xr:uid="{00000000-0005-0000-0000-000036040000}"/>
    <cellStyle name="u 2 3 6" xfId="1079" xr:uid="{00000000-0005-0000-0000-000037040000}"/>
    <cellStyle name="u 2 3 7" xfId="1080" xr:uid="{00000000-0005-0000-0000-000038040000}"/>
    <cellStyle name="u 2 3 8" xfId="1081" xr:uid="{00000000-0005-0000-0000-000039040000}"/>
    <cellStyle name="u 2 4" xfId="1082" xr:uid="{00000000-0005-0000-0000-00003A040000}"/>
    <cellStyle name="u 2 5" xfId="1083" xr:uid="{00000000-0005-0000-0000-00003B040000}"/>
    <cellStyle name="u 2 6" xfId="1084" xr:uid="{00000000-0005-0000-0000-00003C040000}"/>
    <cellStyle name="u 2 7" xfId="1085" xr:uid="{00000000-0005-0000-0000-00003D040000}"/>
    <cellStyle name="u 2 8" xfId="1086" xr:uid="{00000000-0005-0000-0000-00003E040000}"/>
    <cellStyle name="u 2 9" xfId="1087" xr:uid="{00000000-0005-0000-0000-00003F040000}"/>
    <cellStyle name="u_Matrix" xfId="1088" xr:uid="{00000000-0005-0000-0000-000040040000}"/>
    <cellStyle name="u_Matrix 2" xfId="1089" xr:uid="{00000000-0005-0000-0000-000041040000}"/>
    <cellStyle name="u_Matrix 2 10" xfId="1090" xr:uid="{00000000-0005-0000-0000-000042040000}"/>
    <cellStyle name="u_Matrix 2 2" xfId="1091" xr:uid="{00000000-0005-0000-0000-000043040000}"/>
    <cellStyle name="u_Matrix 2 2 2" xfId="1092" xr:uid="{00000000-0005-0000-0000-000044040000}"/>
    <cellStyle name="u_Matrix 2 2 3" xfId="1093" xr:uid="{00000000-0005-0000-0000-000045040000}"/>
    <cellStyle name="u_Matrix 2 2 4" xfId="1094" xr:uid="{00000000-0005-0000-0000-000046040000}"/>
    <cellStyle name="u_Matrix 2 2 5" xfId="1095" xr:uid="{00000000-0005-0000-0000-000047040000}"/>
    <cellStyle name="u_Matrix 2 2 6" xfId="1096" xr:uid="{00000000-0005-0000-0000-000048040000}"/>
    <cellStyle name="u_Matrix 2 2 7" xfId="1097" xr:uid="{00000000-0005-0000-0000-000049040000}"/>
    <cellStyle name="u_Matrix 2 2 8" xfId="1098" xr:uid="{00000000-0005-0000-0000-00004A040000}"/>
    <cellStyle name="u_Matrix 2 3" xfId="1099" xr:uid="{00000000-0005-0000-0000-00004B040000}"/>
    <cellStyle name="u_Matrix 2 3 2" xfId="1100" xr:uid="{00000000-0005-0000-0000-00004C040000}"/>
    <cellStyle name="u_Matrix 2 3 3" xfId="1101" xr:uid="{00000000-0005-0000-0000-00004D040000}"/>
    <cellStyle name="u_Matrix 2 3 4" xfId="1102" xr:uid="{00000000-0005-0000-0000-00004E040000}"/>
    <cellStyle name="u_Matrix 2 3 5" xfId="1103" xr:uid="{00000000-0005-0000-0000-00004F040000}"/>
    <cellStyle name="u_Matrix 2 3 6" xfId="1104" xr:uid="{00000000-0005-0000-0000-000050040000}"/>
    <cellStyle name="u_Matrix 2 3 7" xfId="1105" xr:uid="{00000000-0005-0000-0000-000051040000}"/>
    <cellStyle name="u_Matrix 2 3 8" xfId="1106" xr:uid="{00000000-0005-0000-0000-000052040000}"/>
    <cellStyle name="u_Matrix 2 4" xfId="1107" xr:uid="{00000000-0005-0000-0000-000053040000}"/>
    <cellStyle name="u_Matrix 2 5" xfId="1108" xr:uid="{00000000-0005-0000-0000-000054040000}"/>
    <cellStyle name="u_Matrix 2 6" xfId="1109" xr:uid="{00000000-0005-0000-0000-000055040000}"/>
    <cellStyle name="u_Matrix 2 7" xfId="1110" xr:uid="{00000000-0005-0000-0000-000056040000}"/>
    <cellStyle name="u_Matrix 2 8" xfId="1111" xr:uid="{00000000-0005-0000-0000-000057040000}"/>
    <cellStyle name="u_Matrix 2 9" xfId="1112" xr:uid="{00000000-0005-0000-0000-000058040000}"/>
    <cellStyle name="u_Module1 (2)" xfId="1113" xr:uid="{00000000-0005-0000-0000-000059040000}"/>
    <cellStyle name="u_Module1 (2) 2" xfId="1114" xr:uid="{00000000-0005-0000-0000-00005A040000}"/>
    <cellStyle name="u_Module1 (2) 2 10" xfId="1115" xr:uid="{00000000-0005-0000-0000-00005B040000}"/>
    <cellStyle name="u_Module1 (2) 2 2" xfId="1116" xr:uid="{00000000-0005-0000-0000-00005C040000}"/>
    <cellStyle name="u_Module1 (2) 2 2 2" xfId="1117" xr:uid="{00000000-0005-0000-0000-00005D040000}"/>
    <cellStyle name="u_Module1 (2) 2 2 3" xfId="1118" xr:uid="{00000000-0005-0000-0000-00005E040000}"/>
    <cellStyle name="u_Module1 (2) 2 2 4" xfId="1119" xr:uid="{00000000-0005-0000-0000-00005F040000}"/>
    <cellStyle name="u_Module1 (2) 2 2 5" xfId="1120" xr:uid="{00000000-0005-0000-0000-000060040000}"/>
    <cellStyle name="u_Module1 (2) 2 2 6" xfId="1121" xr:uid="{00000000-0005-0000-0000-000061040000}"/>
    <cellStyle name="u_Module1 (2) 2 2 7" xfId="1122" xr:uid="{00000000-0005-0000-0000-000062040000}"/>
    <cellStyle name="u_Module1 (2) 2 2 8" xfId="1123" xr:uid="{00000000-0005-0000-0000-000063040000}"/>
    <cellStyle name="u_Module1 (2) 2 3" xfId="1124" xr:uid="{00000000-0005-0000-0000-000064040000}"/>
    <cellStyle name="u_Module1 (2) 2 3 2" xfId="1125" xr:uid="{00000000-0005-0000-0000-000065040000}"/>
    <cellStyle name="u_Module1 (2) 2 3 3" xfId="1126" xr:uid="{00000000-0005-0000-0000-000066040000}"/>
    <cellStyle name="u_Module1 (2) 2 3 4" xfId="1127" xr:uid="{00000000-0005-0000-0000-000067040000}"/>
    <cellStyle name="u_Module1 (2) 2 3 5" xfId="1128" xr:uid="{00000000-0005-0000-0000-000068040000}"/>
    <cellStyle name="u_Module1 (2) 2 3 6" xfId="1129" xr:uid="{00000000-0005-0000-0000-000069040000}"/>
    <cellStyle name="u_Module1 (2) 2 3 7" xfId="1130" xr:uid="{00000000-0005-0000-0000-00006A040000}"/>
    <cellStyle name="u_Module1 (2) 2 3 8" xfId="1131" xr:uid="{00000000-0005-0000-0000-00006B040000}"/>
    <cellStyle name="u_Module1 (2) 2 4" xfId="1132" xr:uid="{00000000-0005-0000-0000-00006C040000}"/>
    <cellStyle name="u_Module1 (2) 2 5" xfId="1133" xr:uid="{00000000-0005-0000-0000-00006D040000}"/>
    <cellStyle name="u_Module1 (2) 2 6" xfId="1134" xr:uid="{00000000-0005-0000-0000-00006E040000}"/>
    <cellStyle name="u_Module1 (2) 2 7" xfId="1135" xr:uid="{00000000-0005-0000-0000-00006F040000}"/>
    <cellStyle name="u_Module1 (2) 2 8" xfId="1136" xr:uid="{00000000-0005-0000-0000-000070040000}"/>
    <cellStyle name="u_Module1 (2) 2 9" xfId="1137" xr:uid="{00000000-0005-0000-0000-000071040000}"/>
    <cellStyle name="u2" xfId="1138" xr:uid="{00000000-0005-0000-0000-000072040000}"/>
    <cellStyle name="Upload Only" xfId="1139" xr:uid="{00000000-0005-0000-0000-000073040000}"/>
    <cellStyle name="WingdingsBlack" xfId="1140" xr:uid="{00000000-0005-0000-0000-000074040000}"/>
    <cellStyle name="WingdingsBlack 2" xfId="1141" xr:uid="{00000000-0005-0000-0000-000075040000}"/>
    <cellStyle name="WingdingsRed" xfId="1142" xr:uid="{00000000-0005-0000-0000-000076040000}"/>
    <cellStyle name="WingdingsRed 2" xfId="1143" xr:uid="{00000000-0005-0000-0000-000077040000}"/>
    <cellStyle name="WingdingsWhite" xfId="1144" xr:uid="{00000000-0005-0000-0000-000078040000}"/>
    <cellStyle name="WingdingsWhite 2" xfId="1145" xr:uid="{00000000-0005-0000-0000-000079040000}"/>
    <cellStyle name="ZZ_Balance" xfId="1146" xr:uid="{00000000-0005-0000-0000-00007A040000}"/>
    <cellStyle name="_laroux" xfId="1147" xr:uid="{00000000-0005-0000-0000-00007B040000}"/>
    <cellStyle name="だ_laroux" xfId="1148" xr:uid="{00000000-0005-0000-0000-00007C040000}"/>
    <cellStyle name="百分比" xfId="1" builtinId="5"/>
    <cellStyle name="百分比 2" xfId="2" xr:uid="{00000000-0005-0000-0000-000002000000}"/>
    <cellStyle name="百分比 2 2" xfId="1151" xr:uid="{00000000-0005-0000-0000-00007F040000}"/>
    <cellStyle name="百分比 2 2 2" xfId="1152" xr:uid="{00000000-0005-0000-0000-000080040000}"/>
    <cellStyle name="百分比 2 3" xfId="1153" xr:uid="{00000000-0005-0000-0000-000081040000}"/>
    <cellStyle name="百分比 2 4" xfId="1154" xr:uid="{00000000-0005-0000-0000-000082040000}"/>
    <cellStyle name="百分比 2 5" xfId="1150" xr:uid="{00000000-0005-0000-0000-00007E040000}"/>
    <cellStyle name="百分比 3" xfId="7" xr:uid="{00000000-0005-0000-0000-000007000000}"/>
    <cellStyle name="百分比 3 2" xfId="1156" xr:uid="{00000000-0005-0000-0000-000084040000}"/>
    <cellStyle name="百分比 3 3" xfId="1157" xr:uid="{00000000-0005-0000-0000-000085040000}"/>
    <cellStyle name="百分比 3 4" xfId="1155" xr:uid="{00000000-0005-0000-0000-000083040000}"/>
    <cellStyle name="百分比 4" xfId="10" xr:uid="{00000000-0005-0000-0000-00000A000000}"/>
    <cellStyle name="百分比 4 2" xfId="1158" xr:uid="{00000000-0005-0000-0000-000086040000}"/>
    <cellStyle name="百分比 5" xfId="1159" xr:uid="{00000000-0005-0000-0000-000087040000}"/>
    <cellStyle name="百分比 6" xfId="1160" xr:uid="{00000000-0005-0000-0000-000088040000}"/>
    <cellStyle name="百分比 7" xfId="1149" xr:uid="{00000000-0005-0000-0000-00007D040000}"/>
    <cellStyle name="百分比 8" xfId="1417" xr:uid="{00000000-0005-0000-0000-000089050000}"/>
    <cellStyle name="捠壿 [0.00]_PRODUCT DETAIL Q1" xfId="1161" xr:uid="{00000000-0005-0000-0000-000089040000}"/>
    <cellStyle name="捠壿_PRODUCT DETAIL Q1" xfId="1162" xr:uid="{00000000-0005-0000-0000-00008A040000}"/>
    <cellStyle name="标题 1 2" xfId="1163" xr:uid="{00000000-0005-0000-0000-00008B040000}"/>
    <cellStyle name="标题 1 3" xfId="1164" xr:uid="{00000000-0005-0000-0000-00008C040000}"/>
    <cellStyle name="标题 1 4" xfId="1165" xr:uid="{00000000-0005-0000-0000-00008D040000}"/>
    <cellStyle name="标题 1 5" xfId="1166" xr:uid="{00000000-0005-0000-0000-00008E040000}"/>
    <cellStyle name="标题 1 6" xfId="1167" xr:uid="{00000000-0005-0000-0000-00008F040000}"/>
    <cellStyle name="标题 2 2" xfId="1168" xr:uid="{00000000-0005-0000-0000-000090040000}"/>
    <cellStyle name="标题 2 3" xfId="1169" xr:uid="{00000000-0005-0000-0000-000091040000}"/>
    <cellStyle name="标题 2 4" xfId="1170" xr:uid="{00000000-0005-0000-0000-000092040000}"/>
    <cellStyle name="标题 2 5" xfId="1171" xr:uid="{00000000-0005-0000-0000-000093040000}"/>
    <cellStyle name="标题 2 6" xfId="1172" xr:uid="{00000000-0005-0000-0000-000094040000}"/>
    <cellStyle name="标题 3 2" xfId="1173" xr:uid="{00000000-0005-0000-0000-000095040000}"/>
    <cellStyle name="标题 3 3" xfId="1174" xr:uid="{00000000-0005-0000-0000-000096040000}"/>
    <cellStyle name="标题 3 4" xfId="1175" xr:uid="{00000000-0005-0000-0000-000097040000}"/>
    <cellStyle name="标题 3 5" xfId="1176" xr:uid="{00000000-0005-0000-0000-000098040000}"/>
    <cellStyle name="标题 3 6" xfId="1177" xr:uid="{00000000-0005-0000-0000-000099040000}"/>
    <cellStyle name="标题 4 2" xfId="1178" xr:uid="{00000000-0005-0000-0000-00009A040000}"/>
    <cellStyle name="标题 4 3" xfId="1179" xr:uid="{00000000-0005-0000-0000-00009B040000}"/>
    <cellStyle name="标题 4 4" xfId="1180" xr:uid="{00000000-0005-0000-0000-00009C040000}"/>
    <cellStyle name="标题 4 5" xfId="1181" xr:uid="{00000000-0005-0000-0000-00009D040000}"/>
    <cellStyle name="标题 4 6" xfId="1182" xr:uid="{00000000-0005-0000-0000-00009E040000}"/>
    <cellStyle name="标题 5" xfId="1183" xr:uid="{00000000-0005-0000-0000-00009F040000}"/>
    <cellStyle name="标题 6" xfId="1184" xr:uid="{00000000-0005-0000-0000-0000A0040000}"/>
    <cellStyle name="标题 7" xfId="1185" xr:uid="{00000000-0005-0000-0000-0000A1040000}"/>
    <cellStyle name="标题 8" xfId="1186" xr:uid="{00000000-0005-0000-0000-0000A2040000}"/>
    <cellStyle name="标题 9" xfId="1187" xr:uid="{00000000-0005-0000-0000-0000A3040000}"/>
    <cellStyle name="標準_Dayone flow" xfId="1188" xr:uid="{00000000-0005-0000-0000-0000A4040000}"/>
    <cellStyle name="差 2" xfId="1189" xr:uid="{00000000-0005-0000-0000-0000A5040000}"/>
    <cellStyle name="差 3" xfId="1190" xr:uid="{00000000-0005-0000-0000-0000A6040000}"/>
    <cellStyle name="差 4" xfId="1191" xr:uid="{00000000-0005-0000-0000-0000A7040000}"/>
    <cellStyle name="差 5" xfId="1192" xr:uid="{00000000-0005-0000-0000-0000A8040000}"/>
    <cellStyle name="差 6" xfId="1193" xr:uid="{00000000-0005-0000-0000-0000A9040000}"/>
    <cellStyle name="差_20061231提供函（1）" xfId="1194" xr:uid="{00000000-0005-0000-0000-0000AA040000}"/>
    <cellStyle name="差_Lina-Update" xfId="1195" xr:uid="{00000000-0005-0000-0000-0000AB040000}"/>
    <cellStyle name="差_Loan &amp; Interest Movement 0714" xfId="1196" xr:uid="{00000000-0005-0000-0000-0000AC040000}"/>
    <cellStyle name="差_Loan confirmation control sheet" xfId="1197" xr:uid="{00000000-0005-0000-0000-0000AD040000}"/>
    <cellStyle name="差_票据WP" xfId="1198" xr:uid="{00000000-0005-0000-0000-0000AE040000}"/>
    <cellStyle name="差_融资租赁租金表" xfId="1199" xr:uid="{00000000-0005-0000-0000-0000AF040000}"/>
    <cellStyle name="差_子公司借款" xfId="1200" xr:uid="{00000000-0005-0000-0000-0000B0040000}"/>
    <cellStyle name="常规" xfId="0" builtinId="0"/>
    <cellStyle name="常规 10" xfId="1201" xr:uid="{00000000-0005-0000-0000-0000B1040000}"/>
    <cellStyle name="常规 11" xfId="1202" xr:uid="{00000000-0005-0000-0000-0000B2040000}"/>
    <cellStyle name="常规 12" xfId="1203" xr:uid="{00000000-0005-0000-0000-0000B3040000}"/>
    <cellStyle name="常规 13" xfId="1204" xr:uid="{00000000-0005-0000-0000-0000B4040000}"/>
    <cellStyle name="常规 14" xfId="1205" xr:uid="{00000000-0005-0000-0000-0000B5040000}"/>
    <cellStyle name="常规 15" xfId="1206" xr:uid="{00000000-0005-0000-0000-0000B6040000}"/>
    <cellStyle name="常规 16" xfId="1207" xr:uid="{00000000-0005-0000-0000-0000B7040000}"/>
    <cellStyle name="常规 17" xfId="1208" xr:uid="{00000000-0005-0000-0000-0000B8040000}"/>
    <cellStyle name="常规 18" xfId="11" xr:uid="{00000000-0005-0000-0000-00000B000000}"/>
    <cellStyle name="常规 19" xfId="1415" xr:uid="{00000000-0005-0000-0000-000087050000}"/>
    <cellStyle name="常规 2" xfId="3" xr:uid="{00000000-0005-0000-0000-000003000000}"/>
    <cellStyle name="常规 2 2" xfId="8" xr:uid="{00000000-0005-0000-0000-000008000000}"/>
    <cellStyle name="常规 2 2 2" xfId="1210" xr:uid="{00000000-0005-0000-0000-0000BA040000}"/>
    <cellStyle name="常规 2 2 3" xfId="1211" xr:uid="{00000000-0005-0000-0000-0000BB040000}"/>
    <cellStyle name="常规 2 2 4" xfId="1209" xr:uid="{00000000-0005-0000-0000-0000B9040000}"/>
    <cellStyle name="常规 2 3" xfId="1212" xr:uid="{00000000-0005-0000-0000-0000BC040000}"/>
    <cellStyle name="常规 2 3 2" xfId="1213" xr:uid="{00000000-0005-0000-0000-0000BD040000}"/>
    <cellStyle name="常规 2 3 3" xfId="1214" xr:uid="{00000000-0005-0000-0000-0000BE040000}"/>
    <cellStyle name="常规 2 4" xfId="1215" xr:uid="{00000000-0005-0000-0000-0000BF040000}"/>
    <cellStyle name="常规 2 5" xfId="1216" xr:uid="{00000000-0005-0000-0000-0000C0040000}"/>
    <cellStyle name="常规 2 6" xfId="1217" xr:uid="{00000000-0005-0000-0000-0000C1040000}"/>
    <cellStyle name="常规 3" xfId="6" xr:uid="{00000000-0005-0000-0000-000006000000}"/>
    <cellStyle name="常规 3 2" xfId="1219" xr:uid="{00000000-0005-0000-0000-0000C3040000}"/>
    <cellStyle name="常规 3 3" xfId="1220" xr:uid="{00000000-0005-0000-0000-0000C4040000}"/>
    <cellStyle name="常规 3 4" xfId="1221" xr:uid="{00000000-0005-0000-0000-0000C5040000}"/>
    <cellStyle name="常规 3 5" xfId="1222" xr:uid="{00000000-0005-0000-0000-0000C6040000}"/>
    <cellStyle name="常规 3 6" xfId="1218" xr:uid="{00000000-0005-0000-0000-0000C2040000}"/>
    <cellStyle name="常规 4" xfId="9" xr:uid="{00000000-0005-0000-0000-000009000000}"/>
    <cellStyle name="常规 4 2" xfId="1224" xr:uid="{00000000-0005-0000-0000-0000C8040000}"/>
    <cellStyle name="常规 4 3" xfId="1225" xr:uid="{00000000-0005-0000-0000-0000C9040000}"/>
    <cellStyle name="常规 4 4" xfId="1226" xr:uid="{00000000-0005-0000-0000-0000CA040000}"/>
    <cellStyle name="常规 4 5" xfId="1223" xr:uid="{00000000-0005-0000-0000-0000C7040000}"/>
    <cellStyle name="常规 5" xfId="1227" xr:uid="{00000000-0005-0000-0000-0000CB040000}"/>
    <cellStyle name="常规 5 2" xfId="1228" xr:uid="{00000000-0005-0000-0000-0000CC040000}"/>
    <cellStyle name="常规 5 2 2" xfId="1229" xr:uid="{00000000-0005-0000-0000-0000CD040000}"/>
    <cellStyle name="常规 5 3" xfId="1230" xr:uid="{00000000-0005-0000-0000-0000CE040000}"/>
    <cellStyle name="常规 6" xfId="1231" xr:uid="{00000000-0005-0000-0000-0000CF040000}"/>
    <cellStyle name="常规 6 2" xfId="1232" xr:uid="{00000000-0005-0000-0000-0000D0040000}"/>
    <cellStyle name="常规 6 3" xfId="1233" xr:uid="{00000000-0005-0000-0000-0000D1040000}"/>
    <cellStyle name="常规 7" xfId="1234" xr:uid="{00000000-0005-0000-0000-0000D2040000}"/>
    <cellStyle name="常规 7 2" xfId="1235" xr:uid="{00000000-0005-0000-0000-0000D3040000}"/>
    <cellStyle name="常规 8" xfId="1236" xr:uid="{00000000-0005-0000-0000-0000D4040000}"/>
    <cellStyle name="常规 9" xfId="1237" xr:uid="{00000000-0005-0000-0000-0000D5040000}"/>
    <cellStyle name="超链接" xfId="1418" builtinId="8"/>
    <cellStyle name="分级显示行_1_4附件二凯旋评估表" xfId="1238" xr:uid="{00000000-0005-0000-0000-0000D6040000}"/>
    <cellStyle name="好 2" xfId="1239" xr:uid="{00000000-0005-0000-0000-0000D7040000}"/>
    <cellStyle name="好 3" xfId="1240" xr:uid="{00000000-0005-0000-0000-0000D8040000}"/>
    <cellStyle name="好 4" xfId="1241" xr:uid="{00000000-0005-0000-0000-0000D9040000}"/>
    <cellStyle name="好 5" xfId="1242" xr:uid="{00000000-0005-0000-0000-0000DA040000}"/>
    <cellStyle name="好 6" xfId="1243" xr:uid="{00000000-0005-0000-0000-0000DB040000}"/>
    <cellStyle name="好_20061231提供函（1）" xfId="1244" xr:uid="{00000000-0005-0000-0000-0000DC040000}"/>
    <cellStyle name="好_Lina-Update" xfId="1245" xr:uid="{00000000-0005-0000-0000-0000DD040000}"/>
    <cellStyle name="好_Loan &amp; Interest Movement 0714" xfId="1246" xr:uid="{00000000-0005-0000-0000-0000DE040000}"/>
    <cellStyle name="好_Loan confirmation control sheet" xfId="1247" xr:uid="{00000000-0005-0000-0000-0000DF040000}"/>
    <cellStyle name="好_票据WP" xfId="1248" xr:uid="{00000000-0005-0000-0000-0000E0040000}"/>
    <cellStyle name="好_融资租赁租金表" xfId="1249" xr:uid="{00000000-0005-0000-0000-0000E1040000}"/>
    <cellStyle name="好_子公司借款" xfId="1250" xr:uid="{00000000-0005-0000-0000-0000E2040000}"/>
    <cellStyle name="汇总 2" xfId="1251" xr:uid="{00000000-0005-0000-0000-0000E3040000}"/>
    <cellStyle name="汇总 2 2" xfId="1252" xr:uid="{00000000-0005-0000-0000-0000E4040000}"/>
    <cellStyle name="汇总 2 3" xfId="1253" xr:uid="{00000000-0005-0000-0000-0000E5040000}"/>
    <cellStyle name="汇总 3" xfId="1254" xr:uid="{00000000-0005-0000-0000-0000E6040000}"/>
    <cellStyle name="汇总 3 2" xfId="1255" xr:uid="{00000000-0005-0000-0000-0000E7040000}"/>
    <cellStyle name="汇总 3 3" xfId="1256" xr:uid="{00000000-0005-0000-0000-0000E8040000}"/>
    <cellStyle name="汇总 4" xfId="1257" xr:uid="{00000000-0005-0000-0000-0000E9040000}"/>
    <cellStyle name="汇总 4 2" xfId="1258" xr:uid="{00000000-0005-0000-0000-0000EA040000}"/>
    <cellStyle name="汇总 4 3" xfId="1259" xr:uid="{00000000-0005-0000-0000-0000EB040000}"/>
    <cellStyle name="汇总 5" xfId="1260" xr:uid="{00000000-0005-0000-0000-0000EC040000}"/>
    <cellStyle name="汇总 5 2" xfId="1261" xr:uid="{00000000-0005-0000-0000-0000ED040000}"/>
    <cellStyle name="汇总 5 3" xfId="1262" xr:uid="{00000000-0005-0000-0000-0000EE040000}"/>
    <cellStyle name="汇总 6" xfId="1263" xr:uid="{00000000-0005-0000-0000-0000EF040000}"/>
    <cellStyle name="汇总 6 2" xfId="1264" xr:uid="{00000000-0005-0000-0000-0000F0040000}"/>
    <cellStyle name="汇总 6 3" xfId="1265" xr:uid="{00000000-0005-0000-0000-0000F1040000}"/>
    <cellStyle name="计算 2" xfId="1266" xr:uid="{00000000-0005-0000-0000-0000F2040000}"/>
    <cellStyle name="计算 2 2" xfId="1267" xr:uid="{00000000-0005-0000-0000-0000F3040000}"/>
    <cellStyle name="计算 2 3" xfId="1268" xr:uid="{00000000-0005-0000-0000-0000F4040000}"/>
    <cellStyle name="计算 3" xfId="1269" xr:uid="{00000000-0005-0000-0000-0000F5040000}"/>
    <cellStyle name="计算 3 2" xfId="1270" xr:uid="{00000000-0005-0000-0000-0000F6040000}"/>
    <cellStyle name="计算 3 3" xfId="1271" xr:uid="{00000000-0005-0000-0000-0000F7040000}"/>
    <cellStyle name="计算 4" xfId="1272" xr:uid="{00000000-0005-0000-0000-0000F8040000}"/>
    <cellStyle name="计算 4 2" xfId="1273" xr:uid="{00000000-0005-0000-0000-0000F9040000}"/>
    <cellStyle name="计算 4 3" xfId="1274" xr:uid="{00000000-0005-0000-0000-0000FA040000}"/>
    <cellStyle name="计算 5" xfId="1275" xr:uid="{00000000-0005-0000-0000-0000FB040000}"/>
    <cellStyle name="计算 5 2" xfId="1276" xr:uid="{00000000-0005-0000-0000-0000FC040000}"/>
    <cellStyle name="计算 5 3" xfId="1277" xr:uid="{00000000-0005-0000-0000-0000FD040000}"/>
    <cellStyle name="计算 6" xfId="1278" xr:uid="{00000000-0005-0000-0000-0000FE040000}"/>
    <cellStyle name="计算 6 2" xfId="1279" xr:uid="{00000000-0005-0000-0000-0000FF040000}"/>
    <cellStyle name="计算 6 3" xfId="1280" xr:uid="{00000000-0005-0000-0000-000000050000}"/>
    <cellStyle name="检查单元格 2" xfId="1281" xr:uid="{00000000-0005-0000-0000-000001050000}"/>
    <cellStyle name="检查单元格 3" xfId="1282" xr:uid="{00000000-0005-0000-0000-000002050000}"/>
    <cellStyle name="检查单元格 4" xfId="1283" xr:uid="{00000000-0005-0000-0000-000003050000}"/>
    <cellStyle name="检查单元格 5" xfId="1284" xr:uid="{00000000-0005-0000-0000-000004050000}"/>
    <cellStyle name="检查单元格 6" xfId="1285" xr:uid="{00000000-0005-0000-0000-000005050000}"/>
    <cellStyle name="解释性文本 2" xfId="1286" xr:uid="{00000000-0005-0000-0000-000006050000}"/>
    <cellStyle name="解释性文本 3" xfId="1287" xr:uid="{00000000-0005-0000-0000-000007050000}"/>
    <cellStyle name="解释性文本 4" xfId="1288" xr:uid="{00000000-0005-0000-0000-000008050000}"/>
    <cellStyle name="解释性文本 5" xfId="1289" xr:uid="{00000000-0005-0000-0000-000009050000}"/>
    <cellStyle name="解释性文本 6" xfId="1290" xr:uid="{00000000-0005-0000-0000-00000A050000}"/>
    <cellStyle name="警告文本 2" xfId="1291" xr:uid="{00000000-0005-0000-0000-00000B050000}"/>
    <cellStyle name="警告文本 3" xfId="1292" xr:uid="{00000000-0005-0000-0000-00000C050000}"/>
    <cellStyle name="警告文本 4" xfId="1293" xr:uid="{00000000-0005-0000-0000-00000D050000}"/>
    <cellStyle name="警告文本 5" xfId="1294" xr:uid="{00000000-0005-0000-0000-00000E050000}"/>
    <cellStyle name="警告文本 6" xfId="1295" xr:uid="{00000000-0005-0000-0000-00000F050000}"/>
    <cellStyle name="链接单元格 2" xfId="1296" xr:uid="{00000000-0005-0000-0000-000010050000}"/>
    <cellStyle name="链接单元格 3" xfId="1297" xr:uid="{00000000-0005-0000-0000-000011050000}"/>
    <cellStyle name="链接单元格 4" xfId="1298" xr:uid="{00000000-0005-0000-0000-000012050000}"/>
    <cellStyle name="链接单元格 5" xfId="1299" xr:uid="{00000000-0005-0000-0000-000013050000}"/>
    <cellStyle name="链接单元格 6" xfId="1300" xr:uid="{00000000-0005-0000-0000-000014050000}"/>
    <cellStyle name="霓付 [0]_1202" xfId="1301" xr:uid="{00000000-0005-0000-0000-000015050000}"/>
    <cellStyle name="霓付_1202" xfId="1302" xr:uid="{00000000-0005-0000-0000-000016050000}"/>
    <cellStyle name="烹拳 [0]_1202" xfId="1303" xr:uid="{00000000-0005-0000-0000-000017050000}"/>
    <cellStyle name="烹拳_1202" xfId="1304" xr:uid="{00000000-0005-0000-0000-000018050000}"/>
    <cellStyle name="普通_ 白土" xfId="1305" xr:uid="{00000000-0005-0000-0000-000019050000}"/>
    <cellStyle name="千分位[0]_ 白土" xfId="1306" xr:uid="{00000000-0005-0000-0000-00001A050000}"/>
    <cellStyle name="千分位_ 白土" xfId="1307" xr:uid="{00000000-0005-0000-0000-00001B050000}"/>
    <cellStyle name="千位[0]_BSTB" xfId="1308" xr:uid="{00000000-0005-0000-0000-00001C050000}"/>
    <cellStyle name="千位_BSTB" xfId="1309" xr:uid="{00000000-0005-0000-0000-00001D050000}"/>
    <cellStyle name="千位分隔" xfId="4" builtinId="3"/>
    <cellStyle name="千位分隔 2" xfId="1311" xr:uid="{00000000-0005-0000-0000-00001F050000}"/>
    <cellStyle name="千位分隔 2 2" xfId="1312" xr:uid="{00000000-0005-0000-0000-000020050000}"/>
    <cellStyle name="千位分隔 2 3" xfId="1313" xr:uid="{00000000-0005-0000-0000-000021050000}"/>
    <cellStyle name="千位分隔 3" xfId="1314" xr:uid="{00000000-0005-0000-0000-000022050000}"/>
    <cellStyle name="千位分隔 3 2" xfId="1315" xr:uid="{00000000-0005-0000-0000-000023050000}"/>
    <cellStyle name="千位分隔 3 3" xfId="1316" xr:uid="{00000000-0005-0000-0000-000024050000}"/>
    <cellStyle name="千位分隔 4" xfId="1317" xr:uid="{00000000-0005-0000-0000-000025050000}"/>
    <cellStyle name="千位分隔 5" xfId="1318" xr:uid="{00000000-0005-0000-0000-000026050000}"/>
    <cellStyle name="千位分隔 6" xfId="1319" xr:uid="{00000000-0005-0000-0000-000027050000}"/>
    <cellStyle name="千位分隔 7" xfId="1310" xr:uid="{00000000-0005-0000-0000-00001E050000}"/>
    <cellStyle name="千位分隔 8" xfId="1416" xr:uid="{00000000-0005-0000-0000-000088050000}"/>
    <cellStyle name="千位分隔[0]" xfId="5" builtinId="6"/>
    <cellStyle name="千位分隔[0] 2" xfId="1320" xr:uid="{00000000-0005-0000-0000-000028050000}"/>
    <cellStyle name="钎霖_(沥焊何巩)岿喊牢盔拌裙" xfId="1321" xr:uid="{00000000-0005-0000-0000-000029050000}"/>
    <cellStyle name="强调文字颜色 1 2" xfId="1322" xr:uid="{00000000-0005-0000-0000-00002A050000}"/>
    <cellStyle name="强调文字颜色 1 3" xfId="1323" xr:uid="{00000000-0005-0000-0000-00002B050000}"/>
    <cellStyle name="强调文字颜色 1 4" xfId="1324" xr:uid="{00000000-0005-0000-0000-00002C050000}"/>
    <cellStyle name="强调文字颜色 1 5" xfId="1325" xr:uid="{00000000-0005-0000-0000-00002D050000}"/>
    <cellStyle name="强调文字颜色 1 6" xfId="1326" xr:uid="{00000000-0005-0000-0000-00002E050000}"/>
    <cellStyle name="强调文字颜色 2 2" xfId="1327" xr:uid="{00000000-0005-0000-0000-00002F050000}"/>
    <cellStyle name="强调文字颜色 2 3" xfId="1328" xr:uid="{00000000-0005-0000-0000-000030050000}"/>
    <cellStyle name="强调文字颜色 2 4" xfId="1329" xr:uid="{00000000-0005-0000-0000-000031050000}"/>
    <cellStyle name="强调文字颜色 2 5" xfId="1330" xr:uid="{00000000-0005-0000-0000-000032050000}"/>
    <cellStyle name="强调文字颜色 2 6" xfId="1331" xr:uid="{00000000-0005-0000-0000-000033050000}"/>
    <cellStyle name="强调文字颜色 3 2" xfId="1332" xr:uid="{00000000-0005-0000-0000-000034050000}"/>
    <cellStyle name="强调文字颜色 3 3" xfId="1333" xr:uid="{00000000-0005-0000-0000-000035050000}"/>
    <cellStyle name="强调文字颜色 3 4" xfId="1334" xr:uid="{00000000-0005-0000-0000-000036050000}"/>
    <cellStyle name="强调文字颜色 3 5" xfId="1335" xr:uid="{00000000-0005-0000-0000-000037050000}"/>
    <cellStyle name="强调文字颜色 3 6" xfId="1336" xr:uid="{00000000-0005-0000-0000-000038050000}"/>
    <cellStyle name="强调文字颜色 4 2" xfId="1337" xr:uid="{00000000-0005-0000-0000-000039050000}"/>
    <cellStyle name="强调文字颜色 4 3" xfId="1338" xr:uid="{00000000-0005-0000-0000-00003A050000}"/>
    <cellStyle name="强调文字颜色 4 4" xfId="1339" xr:uid="{00000000-0005-0000-0000-00003B050000}"/>
    <cellStyle name="强调文字颜色 4 5" xfId="1340" xr:uid="{00000000-0005-0000-0000-00003C050000}"/>
    <cellStyle name="强调文字颜色 4 6" xfId="1341" xr:uid="{00000000-0005-0000-0000-00003D050000}"/>
    <cellStyle name="强调文字颜色 5 2" xfId="1342" xr:uid="{00000000-0005-0000-0000-00003E050000}"/>
    <cellStyle name="强调文字颜色 5 3" xfId="1343" xr:uid="{00000000-0005-0000-0000-00003F050000}"/>
    <cellStyle name="强调文字颜色 5 4" xfId="1344" xr:uid="{00000000-0005-0000-0000-000040050000}"/>
    <cellStyle name="强调文字颜色 5 5" xfId="1345" xr:uid="{00000000-0005-0000-0000-000041050000}"/>
    <cellStyle name="强调文字颜色 5 6" xfId="1346" xr:uid="{00000000-0005-0000-0000-000042050000}"/>
    <cellStyle name="强调文字颜色 6 2" xfId="1347" xr:uid="{00000000-0005-0000-0000-000043050000}"/>
    <cellStyle name="强调文字颜色 6 3" xfId="1348" xr:uid="{00000000-0005-0000-0000-000044050000}"/>
    <cellStyle name="强调文字颜色 6 4" xfId="1349" xr:uid="{00000000-0005-0000-0000-000045050000}"/>
    <cellStyle name="强调文字颜色 6 5" xfId="1350" xr:uid="{00000000-0005-0000-0000-000046050000}"/>
    <cellStyle name="强调文字颜色 6 6" xfId="1351" xr:uid="{00000000-0005-0000-0000-000047050000}"/>
    <cellStyle name="适中 2" xfId="1352" xr:uid="{00000000-0005-0000-0000-000048050000}"/>
    <cellStyle name="适中 3" xfId="1353" xr:uid="{00000000-0005-0000-0000-000049050000}"/>
    <cellStyle name="适中 4" xfId="1354" xr:uid="{00000000-0005-0000-0000-00004A050000}"/>
    <cellStyle name="适中 5" xfId="1355" xr:uid="{00000000-0005-0000-0000-00004B050000}"/>
    <cellStyle name="适中 6" xfId="1356" xr:uid="{00000000-0005-0000-0000-00004C050000}"/>
    <cellStyle name="输出 2" xfId="1357" xr:uid="{00000000-0005-0000-0000-00004D050000}"/>
    <cellStyle name="输出 2 2" xfId="1358" xr:uid="{00000000-0005-0000-0000-00004E050000}"/>
    <cellStyle name="输出 2 3" xfId="1359" xr:uid="{00000000-0005-0000-0000-00004F050000}"/>
    <cellStyle name="输出 3" xfId="1360" xr:uid="{00000000-0005-0000-0000-000050050000}"/>
    <cellStyle name="输出 3 2" xfId="1361" xr:uid="{00000000-0005-0000-0000-000051050000}"/>
    <cellStyle name="输出 3 3" xfId="1362" xr:uid="{00000000-0005-0000-0000-000052050000}"/>
    <cellStyle name="输出 4" xfId="1363" xr:uid="{00000000-0005-0000-0000-000053050000}"/>
    <cellStyle name="输出 4 2" xfId="1364" xr:uid="{00000000-0005-0000-0000-000054050000}"/>
    <cellStyle name="输出 4 3" xfId="1365" xr:uid="{00000000-0005-0000-0000-000055050000}"/>
    <cellStyle name="输出 5" xfId="1366" xr:uid="{00000000-0005-0000-0000-000056050000}"/>
    <cellStyle name="输出 5 2" xfId="1367" xr:uid="{00000000-0005-0000-0000-000057050000}"/>
    <cellStyle name="输出 5 3" xfId="1368" xr:uid="{00000000-0005-0000-0000-000058050000}"/>
    <cellStyle name="输出 6" xfId="1369" xr:uid="{00000000-0005-0000-0000-000059050000}"/>
    <cellStyle name="输出 6 2" xfId="1370" xr:uid="{00000000-0005-0000-0000-00005A050000}"/>
    <cellStyle name="输出 6 3" xfId="1371" xr:uid="{00000000-0005-0000-0000-00005B050000}"/>
    <cellStyle name="输入 2" xfId="1372" xr:uid="{00000000-0005-0000-0000-00005C050000}"/>
    <cellStyle name="输入 2 2" xfId="1373" xr:uid="{00000000-0005-0000-0000-00005D050000}"/>
    <cellStyle name="输入 2 3" xfId="1374" xr:uid="{00000000-0005-0000-0000-00005E050000}"/>
    <cellStyle name="输入 3" xfId="1375" xr:uid="{00000000-0005-0000-0000-00005F050000}"/>
    <cellStyle name="输入 3 2" xfId="1376" xr:uid="{00000000-0005-0000-0000-000060050000}"/>
    <cellStyle name="输入 3 3" xfId="1377" xr:uid="{00000000-0005-0000-0000-000061050000}"/>
    <cellStyle name="输入 4" xfId="1378" xr:uid="{00000000-0005-0000-0000-000062050000}"/>
    <cellStyle name="输入 4 2" xfId="1379" xr:uid="{00000000-0005-0000-0000-000063050000}"/>
    <cellStyle name="输入 4 3" xfId="1380" xr:uid="{00000000-0005-0000-0000-000064050000}"/>
    <cellStyle name="输入 5" xfId="1381" xr:uid="{00000000-0005-0000-0000-000065050000}"/>
    <cellStyle name="输入 5 2" xfId="1382" xr:uid="{00000000-0005-0000-0000-000066050000}"/>
    <cellStyle name="输入 5 3" xfId="1383" xr:uid="{00000000-0005-0000-0000-000067050000}"/>
    <cellStyle name="输入 6" xfId="1384" xr:uid="{00000000-0005-0000-0000-000068050000}"/>
    <cellStyle name="输入 6 2" xfId="1385" xr:uid="{00000000-0005-0000-0000-000069050000}"/>
    <cellStyle name="输入 6 3" xfId="1386" xr:uid="{00000000-0005-0000-0000-00006A050000}"/>
    <cellStyle name="样式 1" xfId="1387" xr:uid="{00000000-0005-0000-0000-00006B050000}"/>
    <cellStyle name="样式 1 2" xfId="1388" xr:uid="{00000000-0005-0000-0000-00006C050000}"/>
    <cellStyle name="样式 1 3" xfId="1389" xr:uid="{00000000-0005-0000-0000-00006D050000}"/>
    <cellStyle name="一般_Cx - 1H04" xfId="1390" xr:uid="{00000000-0005-0000-0000-00006E050000}"/>
    <cellStyle name="昗弨_BOOKSHIP" xfId="1391" xr:uid="{00000000-0005-0000-0000-00006F050000}"/>
    <cellStyle name="寘嬫愗傝 [0.00]_PRODUCT DETAIL Q1" xfId="1392" xr:uid="{00000000-0005-0000-0000-000070050000}"/>
    <cellStyle name="寘嬫愗傝_PRODUCT DETAIL Q1" xfId="1393" xr:uid="{00000000-0005-0000-0000-000071050000}"/>
    <cellStyle name="注释 2" xfId="1394" xr:uid="{00000000-0005-0000-0000-000072050000}"/>
    <cellStyle name="注释 2 2" xfId="1395" xr:uid="{00000000-0005-0000-0000-000073050000}"/>
    <cellStyle name="注释 2 3" xfId="1396" xr:uid="{00000000-0005-0000-0000-000074050000}"/>
    <cellStyle name="注释 3" xfId="1397" xr:uid="{00000000-0005-0000-0000-000075050000}"/>
    <cellStyle name="注释 3 2" xfId="1398" xr:uid="{00000000-0005-0000-0000-000076050000}"/>
    <cellStyle name="注释 3 3" xfId="1399" xr:uid="{00000000-0005-0000-0000-000077050000}"/>
    <cellStyle name="注释 4" xfId="1400" xr:uid="{00000000-0005-0000-0000-000078050000}"/>
    <cellStyle name="注释 4 2" xfId="1401" xr:uid="{00000000-0005-0000-0000-000079050000}"/>
    <cellStyle name="注释 4 3" xfId="1402" xr:uid="{00000000-0005-0000-0000-00007A050000}"/>
    <cellStyle name="注释 5" xfId="1403" xr:uid="{00000000-0005-0000-0000-00007B050000}"/>
    <cellStyle name="注释 5 2" xfId="1404" xr:uid="{00000000-0005-0000-0000-00007C050000}"/>
    <cellStyle name="注释 5 3" xfId="1405" xr:uid="{00000000-0005-0000-0000-00007D050000}"/>
    <cellStyle name="注释 6" xfId="1406" xr:uid="{00000000-0005-0000-0000-00007E050000}"/>
    <cellStyle name="注释 6 2" xfId="1407" xr:uid="{00000000-0005-0000-0000-00007F050000}"/>
    <cellStyle name="注释 6 3" xfId="1408" xr:uid="{00000000-0005-0000-0000-000080050000}"/>
    <cellStyle name="쉼표_2007年终审计资料韩国办事处" xfId="1409" xr:uid="{00000000-0005-0000-0000-000081050000}"/>
    <cellStyle name="콤마 [0]_BOILER-CO1" xfId="1410" xr:uid="{00000000-0005-0000-0000-000082050000}"/>
    <cellStyle name="콤마_BOILER-CO1" xfId="1411" xr:uid="{00000000-0005-0000-0000-000083050000}"/>
    <cellStyle name="통화 [0]_BOILER-CO1" xfId="1412" xr:uid="{00000000-0005-0000-0000-000084050000}"/>
    <cellStyle name="통화_BOILER-CO1" xfId="1413" xr:uid="{00000000-0005-0000-0000-000085050000}"/>
    <cellStyle name="표준_0N-HANDLING " xfId="1414" xr:uid="{00000000-0005-0000-0000-000086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IR\2015\Q4\ER\Archive\Airline%20Data%20update%20monthly_201307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AAC Air Industry"/>
      <sheetName val="3 Airlines Total Traffic"/>
      <sheetName val="3 Airlines Domestic Traffic"/>
      <sheetName val="Ctrip （散客）"/>
      <sheetName val="Ctrip （总体）"/>
      <sheetName val="3 Airlines Inl. Traffic"/>
      <sheetName val="Top4 Airlines Release date"/>
      <sheetName val="3 Airlines RPK(domestic)"/>
      <sheetName val="Airport Throughput"/>
      <sheetName val="Ctrip organic"/>
      <sheetName val="东航vs上航"/>
    </sheetNames>
    <sheetDataSet>
      <sheetData sheetId="0"/>
      <sheetData sheetId="1"/>
      <sheetData sheetId="2">
        <row r="130">
          <cell r="M130">
            <v>4370.34</v>
          </cell>
        </row>
        <row r="131">
          <cell r="M131">
            <v>3042.33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ia.gov.cn/n741440/n741567/index.html" TargetMode="External"/><Relationship Id="rId2" Type="http://schemas.openxmlformats.org/officeDocument/2006/relationships/hyperlink" Target="http://www.cninfo.com.cn/new/index" TargetMode="External"/><Relationship Id="rId1" Type="http://schemas.openxmlformats.org/officeDocument/2006/relationships/hyperlink" Target="http://www.caac.gov.cn/XWZX/XWFB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D3" sqref="D3"/>
    </sheetView>
  </sheetViews>
  <sheetFormatPr defaultRowHeight="15"/>
  <cols>
    <col min="1" max="1" width="15.25" style="245" customWidth="1"/>
    <col min="2" max="2" width="15.58203125" style="245" customWidth="1"/>
    <col min="4" max="4" width="56.08203125" style="245" bestFit="1" customWidth="1"/>
    <col min="5" max="5" width="17.75" style="245" customWidth="1"/>
  </cols>
  <sheetData>
    <row r="1" spans="1:7">
      <c r="A1" s="246" t="s">
        <v>0</v>
      </c>
      <c r="B1" s="246" t="s">
        <v>1</v>
      </c>
      <c r="C1" s="246" t="s">
        <v>2</v>
      </c>
      <c r="D1" s="246" t="s">
        <v>3</v>
      </c>
      <c r="E1" s="246" t="s">
        <v>4</v>
      </c>
    </row>
    <row r="2" spans="1:7">
      <c r="A2" s="99">
        <v>1</v>
      </c>
      <c r="B2" s="247" t="s">
        <v>5</v>
      </c>
      <c r="C2" s="248" t="s">
        <v>6</v>
      </c>
      <c r="D2" s="249" t="s">
        <v>7</v>
      </c>
      <c r="E2" s="250" t="s">
        <v>8</v>
      </c>
      <c r="F2" s="250" t="s">
        <v>9</v>
      </c>
      <c r="G2" s="251" t="s">
        <v>10</v>
      </c>
    </row>
    <row r="3" spans="1:7">
      <c r="A3" s="99">
        <v>2</v>
      </c>
      <c r="B3" s="248" t="s">
        <v>11</v>
      </c>
      <c r="C3" s="248" t="s">
        <v>6</v>
      </c>
      <c r="D3" s="249" t="s">
        <v>12</v>
      </c>
      <c r="E3" s="250" t="s">
        <v>13</v>
      </c>
      <c r="F3" s="250" t="s">
        <v>14</v>
      </c>
    </row>
    <row r="4" spans="1:7" ht="30" customHeight="1">
      <c r="A4" s="99">
        <v>3</v>
      </c>
      <c r="B4" s="248" t="s">
        <v>15</v>
      </c>
      <c r="C4" s="248" t="s">
        <v>16</v>
      </c>
      <c r="D4" s="249" t="s">
        <v>17</v>
      </c>
      <c r="E4" s="252" t="s">
        <v>18</v>
      </c>
    </row>
    <row r="5" spans="1:7">
      <c r="A5" s="247"/>
      <c r="B5" s="248"/>
      <c r="C5" s="247"/>
    </row>
    <row r="6" spans="1:7">
      <c r="A6" s="251"/>
    </row>
    <row r="7" spans="1:7">
      <c r="A7" s="251"/>
    </row>
    <row r="8" spans="1:7">
      <c r="A8" s="251"/>
    </row>
    <row r="10" spans="1:7">
      <c r="A10" s="251" t="s">
        <v>19</v>
      </c>
    </row>
    <row r="11" spans="1:7">
      <c r="A11" s="253" t="s">
        <v>20</v>
      </c>
      <c r="B11" s="250" t="s">
        <v>21</v>
      </c>
      <c r="C11" s="250" t="s">
        <v>22</v>
      </c>
    </row>
    <row r="12" spans="1:7">
      <c r="A12" s="253" t="s">
        <v>23</v>
      </c>
      <c r="B12" s="250" t="s">
        <v>24</v>
      </c>
      <c r="C12" s="250" t="s">
        <v>25</v>
      </c>
    </row>
    <row r="13" spans="1:7">
      <c r="A13" s="253" t="s">
        <v>26</v>
      </c>
      <c r="B13" s="250" t="s">
        <v>27</v>
      </c>
      <c r="C13" s="250" t="s">
        <v>28</v>
      </c>
    </row>
    <row r="14" spans="1:7">
      <c r="A14" s="251"/>
      <c r="B14" s="251"/>
    </row>
    <row r="15" spans="1:7">
      <c r="A15" s="251"/>
      <c r="B15" s="251"/>
    </row>
    <row r="16" spans="1:7">
      <c r="A16" s="251"/>
      <c r="B16" s="251"/>
    </row>
    <row r="17" spans="1:2">
      <c r="A17" s="251"/>
      <c r="B17" s="251"/>
    </row>
    <row r="18" spans="1:2">
      <c r="A18" s="251"/>
      <c r="B18" s="251"/>
    </row>
  </sheetData>
  <phoneticPr fontId="3" type="noConversion"/>
  <hyperlinks>
    <hyperlink ref="D2" r:id="rId1" xr:uid="{00000000-0004-0000-0000-000000000000}"/>
    <hyperlink ref="D3" r:id="rId2" xr:uid="{00000000-0004-0000-0000-000001000000}"/>
    <hyperlink ref="D4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DP212"/>
  <sheetViews>
    <sheetView zoomScaleNormal="100" workbookViewId="0">
      <selection activeCell="DI4" sqref="DI4:DI17"/>
    </sheetView>
  </sheetViews>
  <sheetFormatPr defaultColWidth="9" defaultRowHeight="15.5" outlineLevelRow="2" outlineLevelCol="2"/>
  <cols>
    <col min="1" max="1" width="28.25" style="254" customWidth="1"/>
    <col min="2" max="5" width="10.75" style="254" hidden="1" customWidth="1"/>
    <col min="6" max="6" width="0.83203125" style="254" hidden="1" customWidth="1"/>
    <col min="7" max="7" width="13.5" style="254" hidden="1" customWidth="1" outlineLevel="1"/>
    <col min="8" max="8" width="11" style="254" hidden="1" customWidth="1" outlineLevel="1"/>
    <col min="9" max="9" width="10.33203125" style="254" hidden="1" customWidth="1" outlineLevel="1"/>
    <col min="10" max="10" width="9.33203125" style="254" hidden="1" customWidth="1" outlineLevel="1"/>
    <col min="11" max="11" width="0.83203125" style="254" hidden="1" customWidth="1" outlineLevel="1"/>
    <col min="12" max="12" width="9.33203125" style="254" hidden="1" customWidth="1" outlineLevel="2" collapsed="1"/>
    <col min="13" max="14" width="10.33203125" style="254" hidden="1" customWidth="1" outlineLevel="2"/>
    <col min="15" max="15" width="9.33203125" style="254" hidden="1" customWidth="1" outlineLevel="2"/>
    <col min="16" max="16" width="8.203125E-2" style="254" hidden="1" customWidth="1" outlineLevel="2"/>
    <col min="17" max="17" width="6.08203125" style="254" hidden="1" customWidth="1" outlineLevel="2"/>
    <col min="18" max="20" width="10.33203125" style="254" hidden="1" customWidth="1" outlineLevel="2"/>
    <col min="21" max="22" width="10.08203125" style="254" hidden="1" customWidth="1" outlineLevel="2"/>
    <col min="23" max="23" width="9" style="254" hidden="1" customWidth="1" outlineLevel="1" collapsed="1"/>
    <col min="24" max="27" width="9" style="254" hidden="1" customWidth="1" outlineLevel="1"/>
    <col min="28" max="28" width="9.58203125" style="254" hidden="1" customWidth="1" outlineLevel="1"/>
    <col min="29" max="33" width="9" style="254" hidden="1" customWidth="1" outlineLevel="1"/>
    <col min="34" max="34" width="8.33203125" style="254" hidden="1" customWidth="1" outlineLevel="1"/>
    <col min="35" max="35" width="9" style="254" hidden="1" customWidth="1" outlineLevel="1" collapsed="1"/>
    <col min="36" max="51" width="9" style="254" hidden="1" customWidth="1" outlineLevel="1"/>
    <col min="52" max="52" width="7.08203125" style="254" hidden="1" customWidth="1" outlineLevel="1"/>
    <col min="53" max="55" width="5.83203125" style="254" hidden="1" customWidth="1" outlineLevel="1"/>
    <col min="56" max="56" width="5.75" style="254" hidden="1" customWidth="1" outlineLevel="1"/>
    <col min="57" max="68" width="6.5" style="254" hidden="1" customWidth="1" outlineLevel="1"/>
    <col min="69" max="72" width="9" style="254" hidden="1" customWidth="1" outlineLevel="1"/>
    <col min="73" max="73" width="8.25" style="254" hidden="1" customWidth="1" outlineLevel="1"/>
    <col min="74" max="102" width="9" style="254" hidden="1" customWidth="1" outlineLevel="1"/>
    <col min="103" max="103" width="9" style="254" hidden="1" customWidth="1" collapsed="1"/>
    <col min="104" max="107" width="9" style="254" hidden="1" customWidth="1"/>
    <col min="108" max="108" width="9.75" style="254" bestFit="1" customWidth="1"/>
    <col min="109" max="119" width="9.75" style="254" customWidth="1"/>
    <col min="120" max="120" width="9" style="254" customWidth="1"/>
    <col min="121" max="16384" width="9" style="254"/>
  </cols>
  <sheetData>
    <row r="1" spans="1:120" ht="16" customHeight="1" thickBot="1">
      <c r="A1" s="255"/>
      <c r="B1" s="255"/>
      <c r="C1" s="255"/>
    </row>
    <row r="2" spans="1:120" ht="16.5" customHeight="1" thickBot="1">
      <c r="A2" s="256"/>
      <c r="B2" s="98"/>
      <c r="C2" s="98"/>
      <c r="D2" s="98"/>
      <c r="E2" s="98"/>
      <c r="F2" s="98"/>
      <c r="G2" s="98"/>
      <c r="H2" s="98"/>
      <c r="I2" s="257"/>
      <c r="J2" s="257"/>
      <c r="K2" s="98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7"/>
      <c r="AP2" s="257"/>
      <c r="AQ2" s="257"/>
      <c r="AR2" s="257"/>
      <c r="AS2" s="257"/>
      <c r="AT2" s="257"/>
      <c r="AU2" s="257"/>
      <c r="AV2" s="257"/>
      <c r="AW2" s="257"/>
      <c r="AX2" s="257"/>
      <c r="AY2" s="257"/>
      <c r="AZ2" s="582" t="s">
        <v>29</v>
      </c>
      <c r="BA2" s="583"/>
      <c r="BB2" s="583"/>
      <c r="BC2" s="583"/>
      <c r="BD2" s="583"/>
      <c r="BE2" s="583"/>
      <c r="BF2" s="583"/>
      <c r="BG2" s="583"/>
      <c r="BH2" s="583"/>
      <c r="BI2" s="583"/>
      <c r="BJ2" s="583"/>
      <c r="BK2" s="583"/>
      <c r="BL2" s="583"/>
      <c r="BM2" s="583"/>
      <c r="BN2" s="583"/>
      <c r="BO2" s="583"/>
      <c r="BP2" s="584"/>
      <c r="BQ2" s="588" t="s">
        <v>30</v>
      </c>
      <c r="BR2" s="587"/>
      <c r="BS2" s="587"/>
      <c r="BT2" s="587"/>
      <c r="BU2" s="587"/>
      <c r="BV2" s="587"/>
      <c r="BW2" s="587"/>
      <c r="BX2" s="587"/>
      <c r="BY2" s="587"/>
      <c r="BZ2" s="587"/>
      <c r="CA2" s="587"/>
      <c r="CB2" s="587"/>
      <c r="CC2" s="587"/>
      <c r="CD2" s="587"/>
      <c r="CE2" s="587"/>
      <c r="CF2" s="587"/>
      <c r="CG2" s="587"/>
      <c r="CH2" s="587"/>
      <c r="CI2" s="587"/>
      <c r="CJ2" s="587"/>
      <c r="CK2" s="587"/>
      <c r="CL2" s="587"/>
      <c r="CM2" s="587"/>
      <c r="CN2" s="587"/>
      <c r="CO2" s="587"/>
      <c r="CP2" s="587"/>
      <c r="CQ2" s="587"/>
      <c r="CR2" s="587"/>
      <c r="CS2" s="587"/>
      <c r="CT2" s="587"/>
      <c r="CU2" s="587"/>
      <c r="CV2" s="587"/>
      <c r="CW2" s="587"/>
      <c r="CX2" s="587"/>
      <c r="CY2" s="258"/>
      <c r="CZ2" s="258"/>
      <c r="DA2" s="258"/>
      <c r="DB2" s="258"/>
      <c r="DC2" s="258"/>
      <c r="DD2" s="586">
        <v>2026</v>
      </c>
      <c r="DE2" s="587"/>
      <c r="DF2" s="587"/>
      <c r="DG2" s="587"/>
      <c r="DH2" s="242"/>
      <c r="DI2" s="242"/>
      <c r="DJ2" s="242"/>
      <c r="DK2" s="242"/>
      <c r="DL2" s="242"/>
      <c r="DM2" s="242"/>
      <c r="DN2" s="242"/>
      <c r="DO2" s="242"/>
    </row>
    <row r="3" spans="1:120" ht="16" customHeight="1" thickBot="1">
      <c r="A3" s="259" t="s">
        <v>31</v>
      </c>
      <c r="B3" s="153" t="s">
        <v>32</v>
      </c>
      <c r="C3" s="153" t="s">
        <v>33</v>
      </c>
      <c r="D3" s="153" t="s">
        <v>34</v>
      </c>
      <c r="E3" s="153" t="s">
        <v>35</v>
      </c>
      <c r="F3" s="154"/>
      <c r="G3" s="153" t="s">
        <v>36</v>
      </c>
      <c r="H3" s="153" t="s">
        <v>37</v>
      </c>
      <c r="I3" s="154" t="s">
        <v>38</v>
      </c>
      <c r="J3" s="155" t="s">
        <v>39</v>
      </c>
      <c r="K3" s="156"/>
      <c r="L3" s="153" t="s">
        <v>40</v>
      </c>
      <c r="M3" s="153" t="s">
        <v>41</v>
      </c>
      <c r="N3" s="154" t="s">
        <v>42</v>
      </c>
      <c r="O3" s="157" t="s">
        <v>43</v>
      </c>
      <c r="P3" s="158" t="s">
        <v>44</v>
      </c>
      <c r="Q3" s="155" t="s">
        <v>45</v>
      </c>
      <c r="R3" s="156" t="s">
        <v>46</v>
      </c>
      <c r="S3" s="154" t="s">
        <v>47</v>
      </c>
      <c r="T3" s="154" t="s">
        <v>48</v>
      </c>
      <c r="U3" s="154" t="s">
        <v>49</v>
      </c>
      <c r="V3" s="154" t="s">
        <v>50</v>
      </c>
      <c r="W3" s="159" t="s">
        <v>51</v>
      </c>
      <c r="X3" s="159" t="s">
        <v>52</v>
      </c>
      <c r="Y3" s="159" t="s">
        <v>53</v>
      </c>
      <c r="Z3" s="160" t="s">
        <v>54</v>
      </c>
      <c r="AA3" s="160" t="s">
        <v>55</v>
      </c>
      <c r="AB3" s="160" t="s">
        <v>56</v>
      </c>
      <c r="AC3" s="161" t="s">
        <v>57</v>
      </c>
      <c r="AD3" s="161" t="s">
        <v>58</v>
      </c>
      <c r="AE3" s="161" t="s">
        <v>59</v>
      </c>
      <c r="AF3" s="161" t="s">
        <v>60</v>
      </c>
      <c r="AG3" s="161" t="s">
        <v>61</v>
      </c>
      <c r="AH3" s="161" t="s">
        <v>62</v>
      </c>
      <c r="AI3" s="153" t="s">
        <v>63</v>
      </c>
      <c r="AJ3" s="153" t="s">
        <v>64</v>
      </c>
      <c r="AK3" s="153" t="s">
        <v>65</v>
      </c>
      <c r="AL3" s="153" t="s">
        <v>66</v>
      </c>
      <c r="AM3" s="155" t="s">
        <v>67</v>
      </c>
      <c r="AN3" s="161" t="s">
        <v>68</v>
      </c>
      <c r="AO3" s="161" t="s">
        <v>69</v>
      </c>
      <c r="AP3" s="161" t="s">
        <v>70</v>
      </c>
      <c r="AQ3" s="161" t="s">
        <v>71</v>
      </c>
      <c r="AR3" s="161" t="s">
        <v>55</v>
      </c>
      <c r="AS3" s="161" t="s">
        <v>56</v>
      </c>
      <c r="AT3" s="161" t="s">
        <v>57</v>
      </c>
      <c r="AU3" s="161" t="s">
        <v>58</v>
      </c>
      <c r="AV3" s="161" t="s">
        <v>59</v>
      </c>
      <c r="AW3" s="161" t="s">
        <v>60</v>
      </c>
      <c r="AX3" s="161" t="s">
        <v>61</v>
      </c>
      <c r="AY3" s="158" t="s">
        <v>62</v>
      </c>
      <c r="AZ3" s="162" t="s">
        <v>72</v>
      </c>
      <c r="BA3" s="153" t="s">
        <v>73</v>
      </c>
      <c r="BB3" s="153" t="s">
        <v>74</v>
      </c>
      <c r="BC3" s="154" t="s">
        <v>75</v>
      </c>
      <c r="BD3" s="163" t="s">
        <v>76</v>
      </c>
      <c r="BE3" s="164" t="s">
        <v>51</v>
      </c>
      <c r="BF3" s="160" t="s">
        <v>52</v>
      </c>
      <c r="BG3" s="160" t="s">
        <v>53</v>
      </c>
      <c r="BH3" s="160" t="s">
        <v>54</v>
      </c>
      <c r="BI3" s="160" t="s">
        <v>55</v>
      </c>
      <c r="BJ3" s="160" t="s">
        <v>77</v>
      </c>
      <c r="BK3" s="160" t="s">
        <v>78</v>
      </c>
      <c r="BL3" s="160" t="s">
        <v>79</v>
      </c>
      <c r="BM3" s="160" t="s">
        <v>80</v>
      </c>
      <c r="BN3" s="160" t="s">
        <v>81</v>
      </c>
      <c r="BO3" s="160" t="s">
        <v>82</v>
      </c>
      <c r="BP3" s="165" t="s">
        <v>44</v>
      </c>
      <c r="BQ3" s="162" t="s">
        <v>83</v>
      </c>
      <c r="BR3" s="153" t="s">
        <v>84</v>
      </c>
      <c r="BS3" s="153" t="s">
        <v>85</v>
      </c>
      <c r="BT3" s="154" t="s">
        <v>86</v>
      </c>
      <c r="BU3" s="154" t="s">
        <v>87</v>
      </c>
      <c r="BV3" s="164" t="s">
        <v>51</v>
      </c>
      <c r="BW3" s="160" t="s">
        <v>52</v>
      </c>
      <c r="BX3" s="160" t="s">
        <v>53</v>
      </c>
      <c r="BY3" s="160" t="s">
        <v>54</v>
      </c>
      <c r="BZ3" s="160" t="s">
        <v>55</v>
      </c>
      <c r="CA3" s="160" t="s">
        <v>77</v>
      </c>
      <c r="CB3" s="160" t="s">
        <v>78</v>
      </c>
      <c r="CC3" s="160" t="s">
        <v>79</v>
      </c>
      <c r="CD3" s="160" t="s">
        <v>80</v>
      </c>
      <c r="CE3" s="160" t="s">
        <v>81</v>
      </c>
      <c r="CF3" s="160" t="s">
        <v>82</v>
      </c>
      <c r="CG3" s="159" t="s">
        <v>44</v>
      </c>
      <c r="CH3" s="162" t="s">
        <v>88</v>
      </c>
      <c r="CI3" s="153" t="s">
        <v>89</v>
      </c>
      <c r="CJ3" s="156" t="s">
        <v>90</v>
      </c>
      <c r="CK3" s="153" t="s">
        <v>91</v>
      </c>
      <c r="CL3" s="153" t="s">
        <v>92</v>
      </c>
      <c r="CM3" s="203" t="s">
        <v>51</v>
      </c>
      <c r="CN3" s="203" t="s">
        <v>52</v>
      </c>
      <c r="CO3" s="203" t="s">
        <v>53</v>
      </c>
      <c r="CP3" s="203" t="s">
        <v>71</v>
      </c>
      <c r="CQ3" s="203" t="s">
        <v>55</v>
      </c>
      <c r="CR3" s="203" t="s">
        <v>56</v>
      </c>
      <c r="CS3" s="203" t="s">
        <v>57</v>
      </c>
      <c r="CT3" s="203" t="s">
        <v>58</v>
      </c>
      <c r="CU3" s="203" t="s">
        <v>59</v>
      </c>
      <c r="CV3" s="203" t="s">
        <v>60</v>
      </c>
      <c r="CW3" s="203" t="s">
        <v>61</v>
      </c>
      <c r="CX3" s="203" t="s">
        <v>62</v>
      </c>
      <c r="CY3" s="162" t="s">
        <v>93</v>
      </c>
      <c r="CZ3" s="153" t="s">
        <v>94</v>
      </c>
      <c r="DA3" s="156" t="s">
        <v>95</v>
      </c>
      <c r="DB3" s="153" t="s">
        <v>96</v>
      </c>
      <c r="DC3" s="153" t="s">
        <v>97</v>
      </c>
      <c r="DD3" s="203" t="s">
        <v>51</v>
      </c>
      <c r="DE3" s="203" t="s">
        <v>52</v>
      </c>
      <c r="DF3" s="203" t="s">
        <v>53</v>
      </c>
      <c r="DG3" s="203" t="s">
        <v>54</v>
      </c>
      <c r="DH3" s="203" t="s">
        <v>55</v>
      </c>
      <c r="DI3" s="203" t="s">
        <v>77</v>
      </c>
      <c r="DJ3" s="203" t="s">
        <v>78</v>
      </c>
      <c r="DK3" s="203" t="s">
        <v>79</v>
      </c>
      <c r="DL3" s="203" t="s">
        <v>80</v>
      </c>
      <c r="DM3" s="203" t="s">
        <v>81</v>
      </c>
      <c r="DN3" s="203" t="s">
        <v>82</v>
      </c>
      <c r="DO3" s="203" t="s">
        <v>44</v>
      </c>
    </row>
    <row r="4" spans="1:120">
      <c r="A4" s="260" t="s">
        <v>98</v>
      </c>
      <c r="B4" s="261">
        <v>0.10750931939587249</v>
      </c>
      <c r="C4" s="261">
        <v>0.1114921998213845</v>
      </c>
      <c r="D4" s="261">
        <v>0.1201531589023612</v>
      </c>
      <c r="E4" s="261">
        <v>0.138524755933886</v>
      </c>
      <c r="F4" s="262"/>
      <c r="G4" s="262">
        <f>'CAAC Data'!O216</f>
        <v>0</v>
      </c>
      <c r="H4" s="262">
        <f>'CAAC Data'!P216</f>
        <v>0</v>
      </c>
      <c r="I4" s="262">
        <f>'CAAC Data'!Q216</f>
        <v>0</v>
      </c>
      <c r="J4" s="262">
        <f>'CAAC Data'!R216</f>
        <v>0</v>
      </c>
      <c r="K4" s="262"/>
      <c r="L4" s="262">
        <f>'CAAC Data'!O191</f>
        <v>8196</v>
      </c>
      <c r="M4" s="262">
        <f>'CAAC Data'!P191</f>
        <v>323</v>
      </c>
      <c r="N4" s="262">
        <f>'CAAC Data'!Q191</f>
        <v>523</v>
      </c>
      <c r="O4" s="262">
        <f>'CAAC Data'!R191</f>
        <v>514</v>
      </c>
      <c r="P4" s="263">
        <f>'CAAC Data'!M191</f>
        <v>163</v>
      </c>
      <c r="Q4" s="261">
        <f>'CAAC Data'!N191</f>
        <v>9556</v>
      </c>
      <c r="R4" s="264">
        <v>9.8000000000000004E-2</v>
      </c>
      <c r="S4" s="265">
        <v>7.1999999999999995E-2</v>
      </c>
      <c r="T4" s="265">
        <f>'CAAC Data'!Q166</f>
        <v>-0.98001017293997961</v>
      </c>
      <c r="U4" s="265">
        <f>'CAAC Data'!R166</f>
        <v>-0.98210376532399302</v>
      </c>
      <c r="V4" s="265">
        <f>'CAAC Data'!N166</f>
        <v>-0.98008569349753427</v>
      </c>
      <c r="W4" s="266">
        <f>'CAAC Data'!B166</f>
        <v>-0.97662551440329215</v>
      </c>
      <c r="X4" s="266">
        <f>'CAAC Data'!C166</f>
        <v>-0.98476477482002345</v>
      </c>
      <c r="Y4" s="266">
        <f>'CAAC Data'!D166</f>
        <v>-0.9771749917300695</v>
      </c>
      <c r="Z4" s="267">
        <f>'CAAC Data'!E166</f>
        <v>-0.97763157894736841</v>
      </c>
      <c r="AA4" s="267">
        <f>'CAAC Data'!F166</f>
        <v>-0.97844470237108272</v>
      </c>
      <c r="AB4" s="267">
        <f>'CAAC Data'!G166</f>
        <v>-0.98010195691498114</v>
      </c>
      <c r="AC4" s="268">
        <f>'CAAC Data'!H166</f>
        <v>-0.97996965098634292</v>
      </c>
      <c r="AD4" s="268">
        <f>'CAAC Data'!I166</f>
        <v>-0.98031664527171591</v>
      </c>
      <c r="AE4" s="268">
        <f>'CAAC Data'!J166</f>
        <v>-0.97969962039940583</v>
      </c>
      <c r="AF4" s="268">
        <f>'CAAC Data'!K166</f>
        <v>-0.98213103904698873</v>
      </c>
      <c r="AG4" s="268">
        <f>'CAAC Data'!L166</f>
        <v>-0.98238482384823844</v>
      </c>
      <c r="AH4" s="268">
        <f>'CAAC Data'!M166</f>
        <v>-0.98181530676786843</v>
      </c>
      <c r="AI4" s="265">
        <f>'CAAC Data'!O140</f>
        <v>-0.94858272907053398</v>
      </c>
      <c r="AJ4" s="265">
        <f>'CAAC Data'!P140</f>
        <v>-0.99300254452926207</v>
      </c>
      <c r="AK4" s="265">
        <f>'CAAC Data'!Q140</f>
        <v>-0.96613255644573925</v>
      </c>
      <c r="AL4" s="265">
        <f>'CAAC Data'!R140</f>
        <v>-0.90744186046511632</v>
      </c>
      <c r="AM4" s="269">
        <f>'CAAC Data'!N140</f>
        <v>-0.95755824453675276</v>
      </c>
      <c r="AN4" s="268">
        <f>'CAAC Data'!B140</f>
        <v>-0.93574297188755018</v>
      </c>
      <c r="AO4" s="268">
        <f>'CAAC Data'!C140</f>
        <v>-0.93201970443349758</v>
      </c>
      <c r="AP4" s="268">
        <f>'CAAC Data'!D140</f>
        <v>-0.97751710654936463</v>
      </c>
      <c r="AQ4" s="268">
        <f>'CAAC Data'!E140</f>
        <v>-0.99427480916030531</v>
      </c>
      <c r="AR4" s="268">
        <f>'CAAC Data'!F140</f>
        <v>-0.99434495758718189</v>
      </c>
      <c r="AS4" s="268">
        <f>'CAAC Data'!G140</f>
        <v>-0.99033816425120769</v>
      </c>
      <c r="AT4" s="268">
        <f>'CAAC Data'!H140</f>
        <v>-0.98094373865698725</v>
      </c>
      <c r="AU4" s="268">
        <f>'CAAC Data'!I140</f>
        <v>-0.96794871794871795</v>
      </c>
      <c r="AV4" s="268">
        <f>'CAAC Data'!J140</f>
        <v>-0.94067796610169496</v>
      </c>
      <c r="AW4" s="268">
        <f>'CAAC Data'!K140</f>
        <v>-0.93599999999999994</v>
      </c>
      <c r="AX4" s="268">
        <f>'CAAC Data'!L140</f>
        <v>-0.91619318181818188</v>
      </c>
      <c r="AY4" s="270">
        <f>'CAAC Data'!M140</f>
        <v>-0.86781609195402298</v>
      </c>
      <c r="AZ4" s="174">
        <f>'CAAC Data'!O110</f>
        <v>0</v>
      </c>
      <c r="BA4" s="175">
        <f>'CAAC Data'!P110</f>
        <v>0</v>
      </c>
      <c r="BB4" s="175">
        <f>'CAAC Data'!Q110</f>
        <v>0</v>
      </c>
      <c r="BC4" s="176">
        <f>'CAAC Data'!R110</f>
        <v>0</v>
      </c>
      <c r="BD4" s="177">
        <f>'CAAC Data'!N110</f>
        <v>0</v>
      </c>
      <c r="BE4" s="178">
        <f>'CAAC Data'!B110</f>
        <v>0</v>
      </c>
      <c r="BF4" s="179">
        <f>'CAAC Data'!C110</f>
        <v>0</v>
      </c>
      <c r="BG4" s="179">
        <f>'CAAC Data'!D110</f>
        <v>0</v>
      </c>
      <c r="BH4" s="179">
        <f>'CAAC Data'!E110</f>
        <v>0</v>
      </c>
      <c r="BI4" s="179">
        <f>'CAAC Data'!F110</f>
        <v>0</v>
      </c>
      <c r="BJ4" s="179">
        <f>'CAAC Data'!G110</f>
        <v>0</v>
      </c>
      <c r="BK4" s="179">
        <f>'CAAC Data'!H110</f>
        <v>0</v>
      </c>
      <c r="BL4" s="179">
        <f>'CAAC Data'!I110</f>
        <v>0</v>
      </c>
      <c r="BM4" s="179">
        <f>'CAAC Data'!J110</f>
        <v>0</v>
      </c>
      <c r="BN4" s="179">
        <f>'CAAC Data'!K110</f>
        <v>0</v>
      </c>
      <c r="BO4" s="179">
        <f>'CAAC Data'!L110</f>
        <v>0</v>
      </c>
      <c r="BP4" s="180">
        <f>'CAAC Data'!M110</f>
        <v>0</v>
      </c>
      <c r="BQ4" s="174">
        <f>'CAAC Data'!O79</f>
        <v>0</v>
      </c>
      <c r="BR4" s="175">
        <f>'CAAC Data'!P79</f>
        <v>0</v>
      </c>
      <c r="BS4" s="175">
        <f>'CAAC Data'!Q79</f>
        <v>0</v>
      </c>
      <c r="BT4" s="175">
        <f>'CAAC Data'!R79</f>
        <v>0</v>
      </c>
      <c r="BU4" s="175">
        <f>'CAAC Data'!N79</f>
        <v>0</v>
      </c>
      <c r="BV4" s="181">
        <f>'CAAC Data'!B79</f>
        <v>0</v>
      </c>
      <c r="BW4" s="179">
        <f>'CAAC Data'!C79</f>
        <v>0</v>
      </c>
      <c r="BX4" s="179">
        <f>'CAAC Data'!D79</f>
        <v>0</v>
      </c>
      <c r="BY4" s="179">
        <f>'CAAC Data'!E79</f>
        <v>0</v>
      </c>
      <c r="BZ4" s="179">
        <f>'CAAC Data'!F79</f>
        <v>0</v>
      </c>
      <c r="CA4" s="179">
        <f>'CAAC Data'!G79</f>
        <v>0</v>
      </c>
      <c r="CB4" s="179">
        <f>'CAAC Data'!H79</f>
        <v>0</v>
      </c>
      <c r="CC4" s="179">
        <f>'CAAC Data'!I79</f>
        <v>0</v>
      </c>
      <c r="CD4" s="179">
        <f>'CAAC Data'!J79</f>
        <v>0</v>
      </c>
      <c r="CE4" s="179">
        <f>'CAAC Data'!K79</f>
        <v>0</v>
      </c>
      <c r="CF4" s="179">
        <f>'CAAC Data'!L79</f>
        <v>0</v>
      </c>
      <c r="CG4" s="194">
        <f>'CAAC Data'!M79</f>
        <v>0</v>
      </c>
      <c r="CH4" s="200">
        <f>'CAAC Data'!O47</f>
        <v>4.5926826572344481E-2</v>
      </c>
      <c r="CI4" s="175">
        <f>'CAAC Data'!P47</f>
        <v>5.6233509234828505E-2</v>
      </c>
      <c r="CJ4" s="199">
        <f>'CAAC Data'!Q47</f>
        <v>6.8972533062054975E-2</v>
      </c>
      <c r="CK4" s="175">
        <f>'CAAC Data'!R47</f>
        <v>0.12374124343257442</v>
      </c>
      <c r="CL4" s="175">
        <f>'CAAC Data'!N47</f>
        <v>7.3715271228004031E-2</v>
      </c>
      <c r="CM4" s="179">
        <f>'CAAC Data'!B47</f>
        <v>0.13629629629629636</v>
      </c>
      <c r="CN4" s="179">
        <f>'CAAC Data'!C47</f>
        <v>-6.0271220492215116E-3</v>
      </c>
      <c r="CO4" s="179">
        <f>'CAAC Data'!D47</f>
        <v>6.450545815415154E-3</v>
      </c>
      <c r="CP4" s="179">
        <f>'CAAC Data'!E47</f>
        <v>5.4934210526315752E-2</v>
      </c>
      <c r="CQ4" s="179">
        <f>'CAAC Data'!F47</f>
        <v>6.2676173105620903E-2</v>
      </c>
      <c r="CR4" s="179">
        <f>'CAAC Data'!G47</f>
        <v>5.1142904127610578E-2</v>
      </c>
      <c r="CS4" s="179">
        <f>'CAAC Data'!H47</f>
        <v>7.6327769347496188E-2</v>
      </c>
      <c r="CT4" s="179">
        <f>'CAAC Data'!I47</f>
        <v>6.4755384395949189E-2</v>
      </c>
      <c r="CU4" s="179">
        <f>'CAAC Data'!J47</f>
        <v>6.5852450899488435E-2</v>
      </c>
      <c r="CV4" s="179">
        <f>'CAAC Data'!K47</f>
        <v>0.15651886168100604</v>
      </c>
      <c r="CW4" s="179">
        <f>'CAAC Data'!L47</f>
        <v>0.136009485094851</v>
      </c>
      <c r="CX4" s="180">
        <f>'CAAC Data'!M47</f>
        <v>8.0961416824794519E-2</v>
      </c>
      <c r="CY4" s="194" t="e">
        <f>'CAAC Data'!#REF!</f>
        <v>#REF!</v>
      </c>
      <c r="CZ4" s="194" t="e">
        <f>'CAAC Data'!#REF!</f>
        <v>#REF!</v>
      </c>
      <c r="DA4" s="194" t="e">
        <f>'CAAC Data'!#REF!</f>
        <v>#REF!</v>
      </c>
      <c r="DB4" s="194" t="e">
        <f>'CAAC Data'!#REF!</f>
        <v>#REF!</v>
      </c>
      <c r="DC4" s="194"/>
      <c r="DD4" s="179">
        <f>'CAAC Data'!B4</f>
        <v>-2.9339250493096602E-2</v>
      </c>
      <c r="DE4" s="179">
        <f>'CAAC Data'!C4</f>
        <v>0.11034348228944846</v>
      </c>
      <c r="DF4" s="179">
        <f>'CAAC Data'!D4</f>
        <v>0.12088281801971545</v>
      </c>
      <c r="DG4" s="179">
        <f>'CAAC Data'!E4</f>
        <v>4.4149023469555182E-3</v>
      </c>
      <c r="DH4" s="179">
        <f>'CAAC Data'!F4</f>
        <v>-7.1382576055032954E-2</v>
      </c>
      <c r="DI4" s="179">
        <f>'CAAC Data'!G4</f>
        <v>-6.4506117381858519E-2</v>
      </c>
      <c r="DJ4" s="179">
        <f>'CAAC Data'!H4</f>
        <v>3.9111668059036431E-2</v>
      </c>
      <c r="DK4" s="179" t="e">
        <f>'CAAC Data'!#REF!</f>
        <v>#REF!</v>
      </c>
      <c r="DL4" s="179" t="e">
        <f>'CAAC Data'!#REF!</f>
        <v>#REF!</v>
      </c>
      <c r="DM4" s="179" t="e">
        <f>'CAAC Data'!#REF!</f>
        <v>#REF!</v>
      </c>
      <c r="DN4" s="179" t="e">
        <f>'CAAC Data'!#REF!</f>
        <v>#REF!</v>
      </c>
      <c r="DO4" s="179" t="e">
        <f>'CAAC Data'!#REF!</f>
        <v>#REF!</v>
      </c>
    </row>
    <row r="5" spans="1:120">
      <c r="A5" s="271" t="s">
        <v>99</v>
      </c>
      <c r="B5" s="272">
        <v>8.7711661515692319E-2</v>
      </c>
      <c r="C5" s="272">
        <v>0.10188275705628839</v>
      </c>
      <c r="D5" s="272">
        <v>0.1097538618886349</v>
      </c>
      <c r="E5" s="272">
        <v>0.15565676387562569</v>
      </c>
      <c r="F5" s="273"/>
      <c r="G5" s="273">
        <f>'CAAC Data'!O220</f>
        <v>0</v>
      </c>
      <c r="H5" s="273">
        <f>'CAAC Data'!P220</f>
        <v>0</v>
      </c>
      <c r="I5" s="273">
        <f>'CAAC Data'!Q220</f>
        <v>0</v>
      </c>
      <c r="J5" s="273">
        <f>'CAAC Data'!R220</f>
        <v>0</v>
      </c>
      <c r="K5" s="273"/>
      <c r="L5" s="273">
        <f>'CAAC Data'!O195</f>
        <v>779</v>
      </c>
      <c r="M5" s="273">
        <f>'CAAC Data'!P195</f>
        <v>29</v>
      </c>
      <c r="N5" s="273">
        <f>'CAAC Data'!Q195</f>
        <v>64</v>
      </c>
      <c r="O5" s="273">
        <f>'CAAC Data'!R195</f>
        <v>89</v>
      </c>
      <c r="P5" s="274">
        <f>'CAAC Data'!M195</f>
        <v>32</v>
      </c>
      <c r="Q5" s="272">
        <f>'CAAC Data'!N195</f>
        <v>961</v>
      </c>
      <c r="R5" s="275">
        <v>8.8999999999999996E-2</v>
      </c>
      <c r="S5" s="276">
        <f>'CAAC Data'!P170</f>
        <v>6.2758620689655169</v>
      </c>
      <c r="T5" s="276">
        <f>'CAAC Data'!Q170</f>
        <v>1.4375</v>
      </c>
      <c r="U5" s="276">
        <f>'CAAC Data'!R170</f>
        <v>0.2921348314606742</v>
      </c>
      <c r="V5" s="276">
        <f>'CAAC Data'!N170</f>
        <v>-0.38501560874089491</v>
      </c>
      <c r="W5" s="277">
        <f>'CAAC Data'!B170</f>
        <v>-0.94674556213017746</v>
      </c>
      <c r="X5" s="277">
        <f>'CAAC Data'!C170</f>
        <v>-0.63513513513513509</v>
      </c>
      <c r="Y5" s="277">
        <v>2.7E-2</v>
      </c>
      <c r="Z5" s="277">
        <f>'CAAC Data'!E170</f>
        <v>7.5</v>
      </c>
      <c r="AA5" s="277">
        <f>'CAAC Data'!F170</f>
        <v>8</v>
      </c>
      <c r="AB5" s="278">
        <f>'CAAC Data'!G170</f>
        <v>4.6428571428571432</v>
      </c>
      <c r="AC5" s="278">
        <f>'CAAC Data'!H170</f>
        <v>3.05</v>
      </c>
      <c r="AD5" s="278">
        <f>'CAAC Data'!I170</f>
        <v>0.64999999999999991</v>
      </c>
      <c r="AE5" s="278">
        <f>'CAAC Data'!J170</f>
        <v>0.75</v>
      </c>
      <c r="AF5" s="278">
        <f>'CAAC Data'!K170</f>
        <v>-3.2258064516129004E-2</v>
      </c>
      <c r="AG5" s="278">
        <f>'CAAC Data'!L170</f>
        <v>0.30769230769230771</v>
      </c>
      <c r="AH5" s="278">
        <f>'CAAC Data'!M170</f>
        <v>0.59375</v>
      </c>
      <c r="AI5" s="276">
        <f>'CAAC Data'!O144</f>
        <v>101952</v>
      </c>
      <c r="AJ5" s="276">
        <f>'CAAC Data'!P144</f>
        <v>143412</v>
      </c>
      <c r="AK5" s="276">
        <f>'CAAC Data'!Q144</f>
        <v>107641</v>
      </c>
      <c r="AL5" s="276">
        <f>'CAAC Data'!R144</f>
        <v>87479</v>
      </c>
      <c r="AM5" s="276">
        <f>'CAAC Data'!N144</f>
        <v>440484</v>
      </c>
      <c r="AN5" s="278">
        <f>'CAAC Data'!B144</f>
        <v>30181</v>
      </c>
      <c r="AO5" s="278">
        <f>'CAAC Data'!C144</f>
        <v>23949</v>
      </c>
      <c r="AP5" s="278">
        <f>'CAAC Data'!D144</f>
        <v>47822</v>
      </c>
      <c r="AQ5" s="278">
        <f>'CAAC Data'!E144</f>
        <v>51094</v>
      </c>
      <c r="AR5" s="278">
        <f>'CAAC Data'!F144</f>
        <v>51041</v>
      </c>
      <c r="AS5" s="278">
        <f>'CAAC Data'!G144</f>
        <v>41277</v>
      </c>
      <c r="AT5" s="278">
        <f>'CAAC Data'!H144</f>
        <v>49117</v>
      </c>
      <c r="AU5" s="278">
        <f>'CAAC Data'!I144</f>
        <v>22407</v>
      </c>
      <c r="AV5" s="278">
        <f>'CAAC Data'!J144</f>
        <v>36117</v>
      </c>
      <c r="AW5" s="278">
        <f>'CAAC Data'!K144</f>
        <v>38861</v>
      </c>
      <c r="AX5" s="278">
        <f>'CAAC Data'!L144</f>
        <v>21523</v>
      </c>
      <c r="AY5" s="277">
        <f>'CAAC Data'!M144</f>
        <v>27095</v>
      </c>
      <c r="AZ5" s="207">
        <f>'CAAC Data'!O115</f>
        <v>-0.52609444890290713</v>
      </c>
      <c r="BA5" s="208">
        <f>'CAAC Data'!P115</f>
        <v>-0.73947007283859389</v>
      </c>
      <c r="BB5" s="209">
        <f>'CAAC Data'!Q115</f>
        <v>-0.50711954909522394</v>
      </c>
      <c r="BC5" s="209">
        <f>'CAAC Data'!R115</f>
        <v>-0.71001842751842759</v>
      </c>
      <c r="BD5" s="210">
        <f>'CAAC Data'!N115</f>
        <v>-0.6185495456722172</v>
      </c>
      <c r="BE5" s="211">
        <f>'CAAC Data'!B115</f>
        <v>-0.44745661168629358</v>
      </c>
      <c r="BF5" s="212">
        <f>'CAAC Data'!C115</f>
        <v>-0.41860810760598965</v>
      </c>
      <c r="BG5" s="212">
        <f>'CAAC Data'!D115</f>
        <v>-0.71273175837320579</v>
      </c>
      <c r="BH5" s="212">
        <f>'CAAC Data'!E115</f>
        <v>-0.85165104107835388</v>
      </c>
      <c r="BI5" s="212">
        <f>'CAAC Data'!F115</f>
        <v>-0.77851363994936618</v>
      </c>
      <c r="BJ5" s="212">
        <f>'CAAC Data'!G115</f>
        <v>-0.58806679896656311</v>
      </c>
      <c r="BK5" s="212">
        <f>'CAAC Data'!H115</f>
        <v>-0.42672130318207113</v>
      </c>
      <c r="BL5" s="212">
        <f>'CAAC Data'!I115</f>
        <v>-0.47250073483784583</v>
      </c>
      <c r="BM5" s="212">
        <f>'CAAC Data'!J115</f>
        <v>-0.63291509141051638</v>
      </c>
      <c r="BN5" s="212">
        <f>'CAAC Data'!K115</f>
        <v>-0.72054332947246502</v>
      </c>
      <c r="BO5" s="212">
        <f>'CAAC Data'!L115</f>
        <v>-0.76307060198273591</v>
      </c>
      <c r="BP5" s="212">
        <f>'CAAC Data'!M115</f>
        <v>-0.64529946929492032</v>
      </c>
      <c r="BQ5" s="207">
        <f>'CAAC Data'!O84</f>
        <v>0</v>
      </c>
      <c r="BR5" s="208">
        <f>'CAAC Data'!P84</f>
        <v>0</v>
      </c>
      <c r="BS5" s="208">
        <f>'CAAC Data'!Q84</f>
        <v>0</v>
      </c>
      <c r="BT5" s="208">
        <f>'CAAC Data'!R84</f>
        <v>0</v>
      </c>
      <c r="BU5" s="208">
        <f>'CAAC Data'!N84</f>
        <v>0</v>
      </c>
      <c r="BV5" s="213">
        <f>'CAAC Data'!B84</f>
        <v>1.1254141284599766</v>
      </c>
      <c r="BW5" s="212">
        <f>'CAAC Data'!C84</f>
        <v>8.6109365179132702E-2</v>
      </c>
      <c r="BX5" s="212">
        <f>'CAAC Data'!D84</f>
        <v>5.7962962962962994E-2</v>
      </c>
      <c r="BY5" s="212">
        <f>'CAAC Data'!E84</f>
        <v>0.10001312795378969</v>
      </c>
      <c r="BZ5" s="212">
        <f>'CAAC Data'!F84</f>
        <v>2.8304326205867758E-2</v>
      </c>
      <c r="CA5" s="212">
        <f>'CAAC Data'!G84</f>
        <v>2.7428527215753062E-2</v>
      </c>
      <c r="CB5" s="212">
        <f>'CAAC Data'!H84</f>
        <v>0.17531440620528649</v>
      </c>
      <c r="CC5" s="212">
        <f>'CAAC Data'!I84</f>
        <v>2.460434420452362E-2</v>
      </c>
      <c r="CD5" s="212">
        <f>'CAAC Data'!J84</f>
        <v>-0.16374835845162905</v>
      </c>
      <c r="CE5" s="212">
        <f>'CAAC Data'!K84</f>
        <v>4.7896803140774047E-2</v>
      </c>
      <c r="CF5" s="212">
        <f>'CAAC Data'!L84</f>
        <v>-0.12597231142510523</v>
      </c>
      <c r="CG5" s="214">
        <f>'CAAC Data'!M84</f>
        <v>3.26794717397072E-2</v>
      </c>
      <c r="CH5" s="207">
        <f>'CAAC Data'!O52</f>
        <v>0</v>
      </c>
      <c r="CI5" s="215">
        <f>'CAAC Data'!P52</f>
        <v>0</v>
      </c>
      <c r="CJ5" s="208">
        <f>'CAAC Data'!Q52</f>
        <v>0</v>
      </c>
      <c r="CK5" s="215">
        <f>'CAAC Data'!R52</f>
        <v>0</v>
      </c>
      <c r="CL5" s="215">
        <f>'CAAC Data'!N52</f>
        <v>0</v>
      </c>
      <c r="CM5" s="212">
        <f>'CAAC Data'!B52</f>
        <v>0</v>
      </c>
      <c r="CN5" s="212">
        <f>'CAAC Data'!C52</f>
        <v>0</v>
      </c>
      <c r="CO5" s="212">
        <f>'CAAC Data'!D52</f>
        <v>0</v>
      </c>
      <c r="CP5" s="212">
        <f>'CAAC Data'!E52</f>
        <v>0</v>
      </c>
      <c r="CQ5" s="212">
        <f>'CAAC Data'!F52</f>
        <v>0</v>
      </c>
      <c r="CR5" s="212">
        <f>'CAAC Data'!G52</f>
        <v>0</v>
      </c>
      <c r="CS5" s="212">
        <f>'CAAC Data'!H52</f>
        <v>0</v>
      </c>
      <c r="CT5" s="212">
        <f>'CAAC Data'!I52</f>
        <v>0</v>
      </c>
      <c r="CU5" s="212">
        <f>'CAAC Data'!J52</f>
        <v>0</v>
      </c>
      <c r="CV5" s="212">
        <f>'CAAC Data'!K52</f>
        <v>0</v>
      </c>
      <c r="CW5" s="212">
        <f>'CAAC Data'!L52</f>
        <v>0</v>
      </c>
      <c r="CX5" s="216">
        <f>'CAAC Data'!M52</f>
        <v>0</v>
      </c>
      <c r="CY5" s="214" t="e">
        <f>'CAAC Data'!#REF!</f>
        <v>#REF!</v>
      </c>
      <c r="CZ5" s="214" t="e">
        <f>'CAAC Data'!#REF!</f>
        <v>#REF!</v>
      </c>
      <c r="DA5" s="214"/>
      <c r="DB5" s="214"/>
      <c r="DC5" s="214"/>
      <c r="DD5" s="212">
        <f>'CAAC Data'!B8</f>
        <v>-4.5712413567154608E-2</v>
      </c>
      <c r="DE5" s="212">
        <f>'CAAC Data'!C8</f>
        <v>0.10351800907285602</v>
      </c>
      <c r="DF5" s="212">
        <f>'CAAC Data'!D8</f>
        <v>0.11486692015209132</v>
      </c>
      <c r="DG5" s="212">
        <f>'CAAC Data'!E8</f>
        <v>-2.3648145389543185E-3</v>
      </c>
      <c r="DH5" s="212">
        <f>'CAAC Data'!F8</f>
        <v>-8.0633447292437932E-2</v>
      </c>
      <c r="DI5" s="212">
        <f>'CAAC Data'!G8</f>
        <v>-7.0529200459208186E-2</v>
      </c>
      <c r="DJ5" s="212">
        <f>'CAAC Data'!H8</f>
        <v>4.089905930598392E-2</v>
      </c>
      <c r="DK5" s="212" t="e">
        <f>'CAAC Data'!#REF!</f>
        <v>#REF!</v>
      </c>
      <c r="DL5" s="212" t="e">
        <f>'CAAC Data'!#REF!</f>
        <v>#REF!</v>
      </c>
      <c r="DM5" s="212" t="e">
        <f>'CAAC Data'!#REF!</f>
        <v>#REF!</v>
      </c>
      <c r="DN5" s="212" t="e">
        <f>'CAAC Data'!#REF!</f>
        <v>#REF!</v>
      </c>
      <c r="DO5" s="212" t="e">
        <f>'CAAC Data'!#REF!</f>
        <v>#REF!</v>
      </c>
      <c r="DP5" s="254" t="s">
        <v>100</v>
      </c>
    </row>
    <row r="6" spans="1:120">
      <c r="A6" s="271" t="s">
        <v>101</v>
      </c>
      <c r="B6" s="272"/>
      <c r="C6" s="272"/>
      <c r="D6" s="272"/>
      <c r="E6" s="272"/>
      <c r="F6" s="273"/>
      <c r="G6" s="273"/>
      <c r="H6" s="273"/>
      <c r="I6" s="273"/>
      <c r="J6" s="273"/>
      <c r="K6" s="273"/>
      <c r="L6" s="273"/>
      <c r="M6" s="273"/>
      <c r="N6" s="273"/>
      <c r="O6" s="273"/>
      <c r="P6" s="274"/>
      <c r="Q6" s="272"/>
      <c r="R6" s="275"/>
      <c r="S6" s="276"/>
      <c r="T6" s="276"/>
      <c r="U6" s="276"/>
      <c r="V6" s="276"/>
      <c r="W6" s="277"/>
      <c r="X6" s="277"/>
      <c r="Y6" s="277"/>
      <c r="Z6" s="277"/>
      <c r="AA6" s="277"/>
      <c r="AB6" s="278"/>
      <c r="AC6" s="278"/>
      <c r="AD6" s="278"/>
      <c r="AE6" s="278"/>
      <c r="AF6" s="278"/>
      <c r="AG6" s="278"/>
      <c r="AH6" s="278"/>
      <c r="AI6" s="276"/>
      <c r="AJ6" s="276"/>
      <c r="AK6" s="276"/>
      <c r="AL6" s="276"/>
      <c r="AM6" s="276"/>
      <c r="AN6" s="278"/>
      <c r="AO6" s="278"/>
      <c r="AP6" s="278"/>
      <c r="AQ6" s="278"/>
      <c r="AR6" s="278"/>
      <c r="AS6" s="278"/>
      <c r="AT6" s="278"/>
      <c r="AU6" s="278"/>
      <c r="AV6" s="278"/>
      <c r="AW6" s="278"/>
      <c r="AX6" s="278"/>
      <c r="AY6" s="277"/>
      <c r="AZ6" s="207"/>
      <c r="BA6" s="208"/>
      <c r="BB6" s="209"/>
      <c r="BC6" s="209"/>
      <c r="BD6" s="210"/>
      <c r="BE6" s="211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2"/>
      <c r="BQ6" s="207">
        <f>'CAAC Data'!O94</f>
        <v>0</v>
      </c>
      <c r="BR6" s="208">
        <f>'CAAC Data'!P94</f>
        <v>0</v>
      </c>
      <c r="BS6" s="208">
        <f>'CAAC Data'!Q94</f>
        <v>0</v>
      </c>
      <c r="BT6" s="208">
        <f>'CAAC Data'!R94</f>
        <v>0</v>
      </c>
      <c r="BU6" s="208">
        <f>'CAAC Data'!R94</f>
        <v>0</v>
      </c>
      <c r="BV6" s="213"/>
      <c r="BW6" s="212"/>
      <c r="BX6" s="212"/>
      <c r="BY6" s="212"/>
      <c r="BZ6" s="212"/>
      <c r="CA6" s="212"/>
      <c r="CB6" s="212"/>
      <c r="CC6" s="212"/>
      <c r="CD6" s="212"/>
      <c r="CE6" s="212">
        <f>'CAAC Data'!K94</f>
        <v>4.9954225211957137E-2</v>
      </c>
      <c r="CF6" s="212">
        <f>'CAAC Data'!L94</f>
        <v>-0.13124573508226556</v>
      </c>
      <c r="CG6" s="214">
        <f>'CAAC Data'!M94</f>
        <v>1.6844126374585544E-2</v>
      </c>
      <c r="CH6" s="207">
        <f>'CAAC Data'!O62</f>
        <v>0</v>
      </c>
      <c r="CI6" s="215">
        <f>'CAAC Data'!P62</f>
        <v>0</v>
      </c>
      <c r="CJ6" s="208">
        <f>'CAAC Data'!Q62</f>
        <v>0</v>
      </c>
      <c r="CK6" s="215">
        <f>'CAAC Data'!R62</f>
        <v>0</v>
      </c>
      <c r="CL6" s="215">
        <f>'CAAC Data'!N62</f>
        <v>0</v>
      </c>
      <c r="CM6" s="212">
        <f>'CAAC Data'!B62</f>
        <v>0</v>
      </c>
      <c r="CN6" s="212">
        <f>'CAAC Data'!C62</f>
        <v>0</v>
      </c>
      <c r="CO6" s="212">
        <f>'CAAC Data'!D62</f>
        <v>0</v>
      </c>
      <c r="CP6" s="212">
        <f>'CAAC Data'!E62</f>
        <v>0</v>
      </c>
      <c r="CQ6" s="212">
        <f>'CAAC Data'!F62</f>
        <v>0</v>
      </c>
      <c r="CR6" s="212">
        <f>'CAAC Data'!G62</f>
        <v>0</v>
      </c>
      <c r="CS6" s="212">
        <f>'CAAC Data'!H62</f>
        <v>0</v>
      </c>
      <c r="CT6" s="212">
        <f>'CAAC Data'!I62</f>
        <v>0</v>
      </c>
      <c r="CU6" s="212">
        <f>'CAAC Data'!J62</f>
        <v>0</v>
      </c>
      <c r="CV6" s="212">
        <f>'CAAC Data'!K62</f>
        <v>0</v>
      </c>
      <c r="CW6" s="212">
        <f>'CAAC Data'!L62</f>
        <v>0</v>
      </c>
      <c r="CX6" s="216">
        <f>'CAAC Data'!M62</f>
        <v>0</v>
      </c>
      <c r="CY6" s="214">
        <f>'CAAC Data'!O32</f>
        <v>0</v>
      </c>
      <c r="CZ6" s="214">
        <f>'CAAC Data'!P32</f>
        <v>0</v>
      </c>
      <c r="DA6" s="214"/>
      <c r="DB6" s="214"/>
      <c r="DC6" s="214"/>
      <c r="DD6" s="212">
        <f>'CAAC Data'!B15</f>
        <v>-8.6832555728356686E-3</v>
      </c>
      <c r="DE6" s="212">
        <f>'CAAC Data'!C15</f>
        <v>0.16704391127206875</v>
      </c>
      <c r="DF6" s="212">
        <f>'CAAC Data'!D15</f>
        <v>0.16710487876132052</v>
      </c>
      <c r="DG6" s="212">
        <f>'CAAC Data'!E15</f>
        <v>5.4802103515084521E-2</v>
      </c>
      <c r="DH6" s="212">
        <f>'CAAC Data'!F15</f>
        <v>8.3114004709794465E-4</v>
      </c>
      <c r="DI6" s="212">
        <f>'CAAC Data'!G15</f>
        <v>-1.9548038264245116E-2</v>
      </c>
      <c r="DJ6" s="212">
        <f>'CAAC Data'!H15</f>
        <v>2.458396369137672E-2</v>
      </c>
      <c r="DK6" s="212" t="e">
        <f>'CAAC Data'!#REF!</f>
        <v>#REF!</v>
      </c>
      <c r="DL6" s="212" t="e">
        <f>'CAAC Data'!#REF!</f>
        <v>#REF!</v>
      </c>
      <c r="DM6" s="212" t="e">
        <f>'CAAC Data'!#REF!</f>
        <v>#REF!</v>
      </c>
      <c r="DN6" s="212" t="e">
        <f>'CAAC Data'!#REF!</f>
        <v>#REF!</v>
      </c>
      <c r="DO6" s="212" t="e">
        <f>'CAAC Data'!#REF!</f>
        <v>#REF!</v>
      </c>
      <c r="DP6" s="585" t="s">
        <v>100</v>
      </c>
    </row>
    <row r="7" spans="1:120">
      <c r="A7" s="279" t="s">
        <v>102</v>
      </c>
      <c r="B7" s="280">
        <v>5.1080550098231869E-2</v>
      </c>
      <c r="C7" s="280">
        <v>-2.5937749401436561E-2</v>
      </c>
      <c r="D7" s="280">
        <v>-7.3217726396917149E-2</v>
      </c>
      <c r="E7" s="280">
        <v>-9.1944990176817343E-2</v>
      </c>
      <c r="F7" s="281">
        <f>'CAAC Data'!N236</f>
        <v>0</v>
      </c>
      <c r="G7" s="281">
        <f>'CAAC Data'!O236</f>
        <v>2.2112657347574949E-2</v>
      </c>
      <c r="H7" s="281">
        <f>'CAAC Data'!P236</f>
        <v>2.9057189380097936E-2</v>
      </c>
      <c r="I7" s="281">
        <f>'CAAC Data'!Q236</f>
        <v>6.9778325855050172E-2</v>
      </c>
      <c r="J7" s="281">
        <f>'CAAC Data'!R236</f>
        <v>-3.865143571403773E-2</v>
      </c>
      <c r="K7" s="281">
        <f>'CAAC Data'!S236</f>
        <v>0</v>
      </c>
      <c r="L7" s="281">
        <f>'CAAC Data'!O211</f>
        <v>3.041050571009607E-2</v>
      </c>
      <c r="M7" s="281">
        <f>'CAAC Data'!P211</f>
        <v>1.402042776325052E-3</v>
      </c>
      <c r="N7" s="281">
        <f>'CAAC Data'!Q211</f>
        <v>8.9486100707740324E-2</v>
      </c>
      <c r="O7" s="281">
        <f>'CAAC Data'!R211</f>
        <v>-7.1354220211781616E-2</v>
      </c>
      <c r="P7" s="282">
        <f>'CAAC Data'!M211</f>
        <v>-1.522670399117787E-2</v>
      </c>
      <c r="Q7" s="280">
        <f>'CAAC Data'!N211</f>
        <v>0</v>
      </c>
      <c r="R7" s="283">
        <v>0.13800000000000001</v>
      </c>
      <c r="S7" s="284">
        <f>'CAAC Data'!P186</f>
        <v>0</v>
      </c>
      <c r="T7" s="284">
        <f>'CAAC Data'!Q186</f>
        <v>0</v>
      </c>
      <c r="U7" s="284">
        <f>'CAAC Data'!R186</f>
        <v>0</v>
      </c>
      <c r="V7" s="284">
        <f>'CAAC Data'!N186</f>
        <v>0</v>
      </c>
      <c r="W7" s="285">
        <f>'CAAC Data'!B186</f>
        <v>0</v>
      </c>
      <c r="X7" s="285">
        <f>'CAAC Data'!C186</f>
        <v>0</v>
      </c>
      <c r="Y7" s="285">
        <v>0.14099999999999999</v>
      </c>
      <c r="Z7" s="285">
        <f>'CAAC Data'!E186</f>
        <v>0</v>
      </c>
      <c r="AA7" s="285">
        <f>'CAAC Data'!F186</f>
        <v>0</v>
      </c>
      <c r="AB7" s="286">
        <f>'CAAC Data'!G186</f>
        <v>0</v>
      </c>
      <c r="AC7" s="286">
        <f>'CAAC Data'!H186</f>
        <v>0</v>
      </c>
      <c r="AD7" s="286">
        <f>'CAAC Data'!I186</f>
        <v>0</v>
      </c>
      <c r="AE7" s="286">
        <f>'CAAC Data'!J186</f>
        <v>0</v>
      </c>
      <c r="AF7" s="286">
        <f>'CAAC Data'!K186</f>
        <v>0</v>
      </c>
      <c r="AG7" s="286">
        <f>'CAAC Data'!L186</f>
        <v>0</v>
      </c>
      <c r="AH7" s="286">
        <f>'CAAC Data'!M186</f>
        <v>0</v>
      </c>
      <c r="AI7" s="284">
        <f>'CAAC Data'!O160</f>
        <v>-0.94651810584958218</v>
      </c>
      <c r="AJ7" s="284">
        <f>'CAAC Data'!P160</f>
        <v>0.69886363636363646</v>
      </c>
      <c r="AK7" s="284">
        <f>'CAAC Data'!Q160</f>
        <v>-6.4735945485519641E-2</v>
      </c>
      <c r="AL7" s="284">
        <f>'CAAC Data'!R160</f>
        <v>-0.2669983416252073</v>
      </c>
      <c r="AM7" s="284">
        <f>'CAAC Data'!N160</f>
        <v>-0.80327089474184654</v>
      </c>
      <c r="AN7" s="286">
        <f>'CAAC Data'!B160</f>
        <v>-0.9755090809025867</v>
      </c>
      <c r="AO7" s="286">
        <f>'CAAC Data'!C160</f>
        <v>-0.89520426287744226</v>
      </c>
      <c r="AP7" s="286">
        <f>'CAAC Data'!D160</f>
        <v>-0.68330464716006878</v>
      </c>
      <c r="AQ7" s="286">
        <f>'CAAC Data'!E160</f>
        <v>1.2530120481927711</v>
      </c>
      <c r="AR7" s="286">
        <f>'CAAC Data'!F160</f>
        <v>0.85087719298245612</v>
      </c>
      <c r="AS7" s="286">
        <f>'CAAC Data'!G160</f>
        <v>0.29032258064516125</v>
      </c>
      <c r="AT7" s="286">
        <f>'CAAC Data'!H160</f>
        <v>0.1899441340782122</v>
      </c>
      <c r="AU7" s="286">
        <f>'CAAC Data'!I160</f>
        <v>-0.12307692307692308</v>
      </c>
      <c r="AV7" s="286">
        <f>'CAAC Data'!J160</f>
        <v>-0.22535211267605637</v>
      </c>
      <c r="AW7" s="286">
        <f>'CAAC Data'!K160</f>
        <v>-0.36986301369863017</v>
      </c>
      <c r="AX7" s="286">
        <f>'CAAC Data'!L160</f>
        <v>-0.26984126984126988</v>
      </c>
      <c r="AY7" s="285">
        <f>'CAAC Data'!M160</f>
        <v>-0.14871794871794874</v>
      </c>
      <c r="AZ7" s="128">
        <f>'CAAC Data'!O135</f>
        <v>-0.98485685862716921</v>
      </c>
      <c r="BA7" s="113">
        <f>'CAAC Data'!P135</f>
        <v>-0.98295954265611263</v>
      </c>
      <c r="BB7" s="114">
        <f>'CAAC Data'!Q135</f>
        <v>-0.972736520854527</v>
      </c>
      <c r="BC7" s="114">
        <f>'CAAC Data'!R135</f>
        <v>-0.95944614711033271</v>
      </c>
      <c r="BD7" s="141">
        <f>'CAAC Data'!N135</f>
        <v>-0.97492522029696305</v>
      </c>
      <c r="BE7" s="115">
        <f>'CAAC Data'!B135</f>
        <v>-0.98485596707818934</v>
      </c>
      <c r="BF7" s="116">
        <f>'CAAC Data'!C135</f>
        <v>-0.9862715553323288</v>
      </c>
      <c r="BG7" s="116">
        <f>'CAAC Data'!D135</f>
        <v>-0.98346013893483297</v>
      </c>
      <c r="BH7" s="116">
        <f>'CAAC Data'!E135</f>
        <v>-0.98470394736842104</v>
      </c>
      <c r="BI7" s="116">
        <f>'CAAC Data'!F135</f>
        <v>-0.98341900182390984</v>
      </c>
      <c r="BJ7" s="116">
        <f>'CAAC Data'!G135</f>
        <v>-0.98075974346324613</v>
      </c>
      <c r="BK7" s="116">
        <f>'CAAC Data'!H135</f>
        <v>-0.97784522003034902</v>
      </c>
      <c r="BL7" s="116">
        <f>'CAAC Data'!I135</f>
        <v>-0.97461132506061898</v>
      </c>
      <c r="BM7" s="116">
        <f>'CAAC Data'!J135</f>
        <v>-0.96501072784287834</v>
      </c>
      <c r="BN7" s="116">
        <f>'CAAC Data'!K135</f>
        <v>-0.96674387822634023</v>
      </c>
      <c r="BO7" s="116">
        <f>'CAAC Data'!L135</f>
        <v>-0.96070460704607041</v>
      </c>
      <c r="BP7" s="116">
        <f>'CAAC Data'!M135</f>
        <v>-0.9512966476913346</v>
      </c>
      <c r="BQ7" s="128">
        <f>'CAAC Data'!O104</f>
        <v>0</v>
      </c>
      <c r="BR7" s="113">
        <f>'CAAC Data'!P104</f>
        <v>0</v>
      </c>
      <c r="BS7" s="113">
        <f>'CAAC Data'!Q104</f>
        <v>0</v>
      </c>
      <c r="BT7" s="113">
        <f>'CAAC Data'!R104</f>
        <v>0</v>
      </c>
      <c r="BU7" s="113">
        <f>'CAAC Data'!N104</f>
        <v>0</v>
      </c>
      <c r="BV7" s="149">
        <f>'CAAC Data'!B104</f>
        <v>0.43506493506493515</v>
      </c>
      <c r="BW7" s="116">
        <f>'CAAC Data'!C104</f>
        <v>0.59728506787330327</v>
      </c>
      <c r="BX7" s="116">
        <f>'CAAC Data'!D104</f>
        <v>0.54957507082152968</v>
      </c>
      <c r="BY7" s="116">
        <f>'CAAC Data'!E104</f>
        <v>0.48263254113345511</v>
      </c>
      <c r="BZ7" s="116">
        <f>'CAAC Data'!F104</f>
        <v>0.21824907521578307</v>
      </c>
      <c r="CA7" s="116">
        <f>'CAAC Data'!G104</f>
        <v>0.27985829959514175</v>
      </c>
      <c r="CB7" s="116">
        <f>'CAAC Data'!H104</f>
        <v>0.32582048240411221</v>
      </c>
      <c r="CC7" s="116">
        <f>'CAAC Data'!I104</f>
        <v>8.7086191470325147E-2</v>
      </c>
      <c r="CD7" s="116">
        <f>'CAAC Data'!J104</f>
        <v>-0.11028806584362139</v>
      </c>
      <c r="CE7" s="116">
        <f>'CAAC Data'!K104</f>
        <v>1.6342892383595542E-2</v>
      </c>
      <c r="CF7" s="116">
        <f>'CAAC Data'!L104</f>
        <v>-4.1565533980582492E-2</v>
      </c>
      <c r="CG7" s="195">
        <f>'CAAC Data'!M104</f>
        <v>0.26242481798037343</v>
      </c>
      <c r="CH7" s="128">
        <f>'CAAC Data'!O72</f>
        <v>5.2979482604817125</v>
      </c>
      <c r="CI7" s="112">
        <f>'CAAC Data'!P72</f>
        <v>1.5384364289211687</v>
      </c>
      <c r="CJ7" s="113">
        <f>'CAAC Data'!Q72</f>
        <v>0.77970901279171967</v>
      </c>
      <c r="CK7" s="112">
        <f>'CAAC Data'!R72</f>
        <v>0.69060614765871886</v>
      </c>
      <c r="CL7" s="112">
        <f>'CAAC Data'!N72</f>
        <v>1.2563590679103709</v>
      </c>
      <c r="CM7" s="116">
        <f>'CAAC Data'!B72</f>
        <v>8.8891402714932131</v>
      </c>
      <c r="CN7" s="116">
        <f>'CAAC Data'!C72</f>
        <v>5.930594900849858</v>
      </c>
      <c r="CO7" s="116">
        <f>'CAAC Data'!D72</f>
        <v>3.4387568555758685</v>
      </c>
      <c r="CP7" s="116">
        <f>'CAAC Data'!E72</f>
        <v>2.1418002466091246</v>
      </c>
      <c r="CQ7" s="116">
        <f>'CAAC Data'!F72</f>
        <v>1.5809716599190282</v>
      </c>
      <c r="CR7" s="116">
        <f>'CAAC Data'!G72</f>
        <v>1.1182285488335308</v>
      </c>
      <c r="CS7" s="116">
        <f>'CAAC Data'!H72</f>
        <v>0.82821354011333126</v>
      </c>
      <c r="CT7" s="116">
        <f>'CAAC Data'!I72</f>
        <v>0.77558299039780532</v>
      </c>
      <c r="CU7" s="116">
        <f>'CAAC Data'!J72</f>
        <v>0.7341967314215232</v>
      </c>
      <c r="CV7" s="116">
        <f>'CAAC Data'!K72</f>
        <v>0.76061893203883502</v>
      </c>
      <c r="CW7" s="116">
        <f>'CAAC Data'!L72</f>
        <v>0.76321620766065212</v>
      </c>
      <c r="CX7" s="117">
        <f>'CAAC Data'!M72</f>
        <v>0.57522567703109329</v>
      </c>
      <c r="CY7" s="195">
        <f>'CAAC Data'!O41</f>
        <v>0.29012420847540188</v>
      </c>
      <c r="CZ7" s="195">
        <f>'CAAC Data'!P41</f>
        <v>0.20717908700741328</v>
      </c>
      <c r="DA7" s="195"/>
      <c r="DB7" s="195"/>
      <c r="DC7" s="195"/>
      <c r="DD7" s="116">
        <f>'CAAC Data'!B24</f>
        <v>2.4600246002459691E-3</v>
      </c>
      <c r="DE7" s="116">
        <f>'CAAC Data'!C24</f>
        <v>0.26231884057971011</v>
      </c>
      <c r="DF7" s="116">
        <f>'CAAC Data'!D24</f>
        <v>0.14191852825229967</v>
      </c>
      <c r="DG7" s="116">
        <f>'CAAC Data'!E24</f>
        <v>2.7093596059113212E-2</v>
      </c>
      <c r="DH7" s="116">
        <f>'CAAC Data'!F24</f>
        <v>-1.3580246913580285E-2</v>
      </c>
      <c r="DI7" s="116">
        <f>'CAAC Data'!G24</f>
        <v>-3.654080389768577E-2</v>
      </c>
      <c r="DJ7" s="116">
        <f>'CAAC Data'!H24</f>
        <v>3.3373063170440975E-2</v>
      </c>
      <c r="DK7" s="116">
        <f>'CAAC Data'!I33</f>
        <v>66989</v>
      </c>
      <c r="DL7" s="116">
        <f>'CAAC Data'!J33</f>
        <v>55483</v>
      </c>
      <c r="DM7" s="116">
        <f>'CAAC Data'!K33</f>
        <v>60000</v>
      </c>
      <c r="DN7" s="116">
        <f>'CAAC Data'!L33</f>
        <v>52651</v>
      </c>
      <c r="DO7" s="116">
        <f>'CAAC Data'!M33</f>
        <v>52939</v>
      </c>
      <c r="DP7" s="581"/>
    </row>
    <row r="8" spans="1:120" ht="16" customHeight="1" thickBot="1">
      <c r="A8" s="287" t="s">
        <v>103</v>
      </c>
      <c r="B8" s="288">
        <v>0.31084162520729669</v>
      </c>
      <c r="C8" s="288">
        <v>0.23291711729426809</v>
      </c>
      <c r="D8" s="288">
        <v>0.26009922041105588</v>
      </c>
      <c r="E8" s="288">
        <v>0.1160559261628438</v>
      </c>
      <c r="F8" s="289"/>
      <c r="G8" s="289">
        <f>'CAAC Data'!O232</f>
        <v>2.2639853164152957E-2</v>
      </c>
      <c r="H8" s="289">
        <f>'CAAC Data'!P232</f>
        <v>4.3130155212373289E-2</v>
      </c>
      <c r="I8" s="289">
        <f>'CAAC Data'!Q232</f>
        <v>5.5238864700689838E-2</v>
      </c>
      <c r="J8" s="289">
        <f>'CAAC Data'!R232</f>
        <v>-3.8898892654085526E-2</v>
      </c>
      <c r="K8" s="289"/>
      <c r="L8" s="289">
        <f>'CAAC Data'!O207</f>
        <v>2.982938829100612E-2</v>
      </c>
      <c r="M8" s="289">
        <f>'CAAC Data'!P207</f>
        <v>6.4462987501334723E-4</v>
      </c>
      <c r="N8" s="289">
        <f>'CAAC Data'!Q207</f>
        <v>9.4348806413514286E-2</v>
      </c>
      <c r="O8" s="289">
        <f>'CAAC Data'!R207</f>
        <v>-6.873749067932966E-2</v>
      </c>
      <c r="P8" s="290">
        <f>'CAAC Data'!M207</f>
        <v>-1.5285252960172246E-2</v>
      </c>
      <c r="Q8" s="288">
        <f>'CAAC Data'!N207</f>
        <v>0</v>
      </c>
      <c r="R8" s="291">
        <v>0.16700000000000001</v>
      </c>
      <c r="S8" s="292">
        <v>0.16300000000000001</v>
      </c>
      <c r="T8" s="292">
        <f>'CAAC Data'!Q182</f>
        <v>0</v>
      </c>
      <c r="U8" s="292">
        <f>'CAAC Data'!R182</f>
        <v>0</v>
      </c>
      <c r="V8" s="292">
        <f>'CAAC Data'!N182</f>
        <v>0</v>
      </c>
      <c r="W8" s="293">
        <f>'CAAC Data'!B182</f>
        <v>0</v>
      </c>
      <c r="X8" s="293">
        <f>'CAAC Data'!C182</f>
        <v>0</v>
      </c>
      <c r="Y8" s="293">
        <v>0.14099999999999999</v>
      </c>
      <c r="Z8" s="293">
        <f>'CAAC Data'!E182</f>
        <v>0</v>
      </c>
      <c r="AA8" s="293">
        <f>'CAAC Data'!F182</f>
        <v>0</v>
      </c>
      <c r="AB8" s="294">
        <f>'CAAC Data'!G182</f>
        <v>0</v>
      </c>
      <c r="AC8" s="295">
        <f>'CAAC Data'!H182</f>
        <v>0</v>
      </c>
      <c r="AD8" s="295">
        <f>'CAAC Data'!I182</f>
        <v>0</v>
      </c>
      <c r="AE8" s="295">
        <f>'CAAC Data'!J182</f>
        <v>0</v>
      </c>
      <c r="AF8" s="295">
        <f>'CAAC Data'!K182</f>
        <v>0</v>
      </c>
      <c r="AG8" s="295">
        <f>'CAAC Data'!L182</f>
        <v>0</v>
      </c>
      <c r="AH8" s="295">
        <f>'CAAC Data'!M182</f>
        <v>0</v>
      </c>
      <c r="AI8" s="292">
        <f>'CAAC Data'!O156</f>
        <v>-0.28789546369059715</v>
      </c>
      <c r="AJ8" s="292">
        <f>'CAAC Data'!P156</f>
        <v>1.2250698289801853E-3</v>
      </c>
      <c r="AK8" s="292">
        <f>'CAAC Data'!Q156</f>
        <v>-0.31090007196463454</v>
      </c>
      <c r="AL8" s="292">
        <f>'CAAC Data'!R156</f>
        <v>-0.39698464646744203</v>
      </c>
      <c r="AM8" s="292">
        <f>'CAAC Data'!N156</f>
        <v>-0.25040936930660784</v>
      </c>
      <c r="AN8" s="295">
        <f>'CAAC Data'!B156</f>
        <v>-0.36543580210401794</v>
      </c>
      <c r="AO8" s="295">
        <f>'CAAC Data'!C156</f>
        <v>-0.50143146720163834</v>
      </c>
      <c r="AP8" s="295">
        <f>'CAAC Data'!D156</f>
        <v>4.7621054406001839E-3</v>
      </c>
      <c r="AQ8" s="295">
        <f>'CAAC Data'!E156</f>
        <v>8.3358135975168945E-2</v>
      </c>
      <c r="AR8" s="295">
        <f>'CAAC Data'!F156</f>
        <v>5.0167086100911806E-2</v>
      </c>
      <c r="AS8" s="295">
        <f>'CAAC Data'!G156</f>
        <v>-0.13052204592990091</v>
      </c>
      <c r="AT8" s="295">
        <f>'CAAC Data'!H156</f>
        <v>-7.0687332814782455E-2</v>
      </c>
      <c r="AU8" s="295">
        <f>'CAAC Data'!I156</f>
        <v>-0.58935585593892337</v>
      </c>
      <c r="AV8" s="295">
        <f>'CAAC Data'!J156</f>
        <v>-0.26083295683246399</v>
      </c>
      <c r="AW8" s="295">
        <f>'CAAC Data'!K156</f>
        <v>-0.23919743997487097</v>
      </c>
      <c r="AX8" s="295">
        <f>'CAAC Data'!L156</f>
        <v>-0.5457649404080247</v>
      </c>
      <c r="AY8" s="296">
        <f>'CAAC Data'!M156</f>
        <v>-0.4189852700490998</v>
      </c>
      <c r="AZ8" s="134">
        <f>'CAAC Data'!O130</f>
        <v>-0.97964786065884135</v>
      </c>
      <c r="BA8" s="139">
        <f>'CAAC Data'!P130</f>
        <v>-0.98443944506936631</v>
      </c>
      <c r="BB8" s="182">
        <f>'CAAC Data'!Q130</f>
        <v>-0.9719271623672231</v>
      </c>
      <c r="BC8" s="182">
        <f>'CAAC Data'!R130</f>
        <v>-0.9539712075213006</v>
      </c>
      <c r="BD8" s="142">
        <f>'CAAC Data'!N130</f>
        <v>-0.97267035595366502</v>
      </c>
      <c r="BE8" s="123">
        <f>'CAAC Data'!B130</f>
        <v>-0.97793805685193047</v>
      </c>
      <c r="BF8" s="124">
        <f>'CAAC Data'!C130</f>
        <v>-0.97839152833428733</v>
      </c>
      <c r="BG8" s="124">
        <f>'CAAC Data'!D130</f>
        <v>-0.98260008487763473</v>
      </c>
      <c r="BH8" s="124">
        <f>'CAAC Data'!E130</f>
        <v>-0.98611111111111116</v>
      </c>
      <c r="BI8" s="124">
        <f>'CAAC Data'!F130</f>
        <v>-0.98505358150028199</v>
      </c>
      <c r="BJ8" s="124">
        <f>'CAAC Data'!G130</f>
        <v>-0.98215289488476676</v>
      </c>
      <c r="BK8" s="124">
        <f>'CAAC Data'!H130</f>
        <v>-0.97828913156526265</v>
      </c>
      <c r="BL8" s="124">
        <f>'CAAC Data'!I130</f>
        <v>-0.97382660123316978</v>
      </c>
      <c r="BM8" s="124">
        <f>'CAAC Data'!J130</f>
        <v>-0.96246490320673861</v>
      </c>
      <c r="BN8" s="124">
        <f>'CAAC Data'!K130</f>
        <v>-0.96335001471886961</v>
      </c>
      <c r="BO8" s="124">
        <f>'CAAC Data'!L130</f>
        <v>-0.95596246973365617</v>
      </c>
      <c r="BP8" s="124">
        <f>'CAAC Data'!M130</f>
        <v>-0.94301994301994307</v>
      </c>
      <c r="BQ8" s="134">
        <f>'CAAC Data'!O99</f>
        <v>0</v>
      </c>
      <c r="BR8" s="139">
        <f>'CAAC Data'!P99</f>
        <v>0</v>
      </c>
      <c r="BS8" s="139">
        <f>'CAAC Data'!Q99</f>
        <v>0</v>
      </c>
      <c r="BT8" s="139">
        <f>'CAAC Data'!R99</f>
        <v>0</v>
      </c>
      <c r="BU8" s="139">
        <f>'CAAC Data'!N99</f>
        <v>0</v>
      </c>
      <c r="BV8" s="150">
        <f>'CAAC Data'!B99</f>
        <v>0.60749999999999993</v>
      </c>
      <c r="BW8" s="124">
        <f>'CAAC Data'!C99</f>
        <v>0.50855365474339043</v>
      </c>
      <c r="BX8" s="124">
        <f>'CAAC Data'!D99</f>
        <v>0.55051546391752582</v>
      </c>
      <c r="BY8" s="124">
        <f>'CAAC Data'!E99</f>
        <v>0.42220744680851063</v>
      </c>
      <c r="BZ8" s="124">
        <f>'CAAC Data'!F99</f>
        <v>0.18419822346891079</v>
      </c>
      <c r="CA8" s="124">
        <f>'CAAC Data'!G99</f>
        <v>0.23963679431504148</v>
      </c>
      <c r="CB8" s="124">
        <f>'CAAC Data'!H99</f>
        <v>0.29681528662420376</v>
      </c>
      <c r="CC8" s="124">
        <f>'CAAC Data'!I99</f>
        <v>8.0304518664047198E-2</v>
      </c>
      <c r="CD8" s="124">
        <f>'CAAC Data'!J99</f>
        <v>-0.1293475789952262</v>
      </c>
      <c r="CE8" s="124">
        <f>'CAAC Data'!K99</f>
        <v>3.6553524804177506E-2</v>
      </c>
      <c r="CF8" s="124">
        <f>'CAAC Data'!L99</f>
        <v>-3.627204030226705E-2</v>
      </c>
      <c r="CG8" s="196">
        <f>'CAAC Data'!M99</f>
        <v>0.23157344485101938</v>
      </c>
      <c r="CH8" s="134">
        <f>'CAAC Data'!O67</f>
        <v>4.2691690728264353</v>
      </c>
      <c r="CI8" s="191">
        <f>'CAAC Data'!P67</f>
        <v>1.2965949820788532</v>
      </c>
      <c r="CJ8" s="139">
        <f>'CAAC Data'!Q67</f>
        <v>0.68774896349890247</v>
      </c>
      <c r="CK8" s="191">
        <f>'CAAC Data'!R67</f>
        <v>0.59969619443556121</v>
      </c>
      <c r="CL8" s="191">
        <f>'CAAC Data'!N67</f>
        <v>1.1023840170127035</v>
      </c>
      <c r="CM8" s="124">
        <f>'CAAC Data'!B67</f>
        <v>6.9688958009331259</v>
      </c>
      <c r="CN8" s="124">
        <f>'CAAC Data'!C67</f>
        <v>4.864948453608247</v>
      </c>
      <c r="CO8" s="124">
        <f>'CAAC Data'!D67</f>
        <v>2.7307180851063828</v>
      </c>
      <c r="CP8" s="124">
        <f>'CAAC Data'!E67</f>
        <v>1.7545582047685833</v>
      </c>
      <c r="CQ8" s="124">
        <f>'CAAC Data'!F67</f>
        <v>1.3241215949467033</v>
      </c>
      <c r="CR8" s="124">
        <f>'CAAC Data'!G67</f>
        <v>0.96242038216560499</v>
      </c>
      <c r="CS8" s="124">
        <f>'CAAC Data'!H67</f>
        <v>0.71709233791748517</v>
      </c>
      <c r="CT8" s="124">
        <f>'CAAC Data'!I67</f>
        <v>0.6826551488974768</v>
      </c>
      <c r="CU8" s="124">
        <f>'CAAC Data'!J67</f>
        <v>0.6624020887728459</v>
      </c>
      <c r="CV8" s="124">
        <f>'CAAC Data'!K67</f>
        <v>0.66297229219143583</v>
      </c>
      <c r="CW8" s="124">
        <f>'CAAC Data'!L67</f>
        <v>0.65865133298484047</v>
      </c>
      <c r="CX8" s="125">
        <f>'CAAC Data'!M67</f>
        <v>0.49851443123938877</v>
      </c>
      <c r="CY8" s="196">
        <f>'CAAC Data'!O37</f>
        <v>167746</v>
      </c>
      <c r="CZ8" s="196">
        <f>'CAAC Data'!P37</f>
        <v>166606</v>
      </c>
      <c r="DA8" s="196"/>
      <c r="DB8" s="196"/>
      <c r="DC8" s="196"/>
      <c r="DD8" s="124">
        <f>'CAAC Data'!B20</f>
        <v>-9.9956540634507096E-3</v>
      </c>
      <c r="DE8" s="124">
        <f>'CAAC Data'!C20</f>
        <v>0.15597102913929595</v>
      </c>
      <c r="DF8" s="124">
        <f>'CAAC Data'!D20</f>
        <v>0.17025472473294978</v>
      </c>
      <c r="DG8" s="124">
        <f>'CAAC Data'!E20</f>
        <v>5.8309946990957373E-2</v>
      </c>
      <c r="DH8" s="124">
        <f>'CAAC Data'!F20</f>
        <v>2.6525198938991412E-3</v>
      </c>
      <c r="DI8" s="124">
        <f>'CAAC Data'!G20</f>
        <v>-1.7365456821026304E-2</v>
      </c>
      <c r="DJ8" s="124">
        <f>'CAAC Data'!H20</f>
        <v>2.3544339489637744E-2</v>
      </c>
      <c r="DK8" s="124">
        <f>'CAAC Data'!I29</f>
        <v>75364</v>
      </c>
      <c r="DL8" s="124">
        <f>'CAAC Data'!J29</f>
        <v>62667</v>
      </c>
      <c r="DM8" s="124">
        <f>'CAAC Data'!K29</f>
        <v>67835</v>
      </c>
      <c r="DN8" s="124">
        <f>'CAAC Data'!L29</f>
        <v>60172</v>
      </c>
      <c r="DO8" s="124">
        <f>'CAAC Data'!M29</f>
        <v>60602</v>
      </c>
      <c r="DP8" s="581"/>
    </row>
    <row r="9" spans="1:120" ht="16" hidden="1" customHeight="1">
      <c r="A9" s="297" t="s">
        <v>104</v>
      </c>
      <c r="B9" s="298"/>
      <c r="C9" s="298"/>
      <c r="D9" s="298"/>
      <c r="E9" s="298"/>
      <c r="F9" s="299"/>
      <c r="G9" s="298">
        <f>'CAAC Data'!O228</f>
        <v>3.0681329829579385E-2</v>
      </c>
      <c r="H9" s="298">
        <f>'CAAC Data'!P228</f>
        <v>2.7006520936718292E-2</v>
      </c>
      <c r="I9" s="298">
        <f>'CAAC Data'!Q228</f>
        <v>6.9131907699884865E-2</v>
      </c>
      <c r="J9" s="298">
        <f>'CAAC Data'!R228</f>
        <v>-3.9337383899001432E-2</v>
      </c>
      <c r="K9" s="299"/>
      <c r="L9" s="298">
        <f>'CAAC Data'!O203</f>
        <v>4.1641556017807391E-2</v>
      </c>
      <c r="M9" s="298">
        <f>'CAAC Data'!P203</f>
        <v>1.8538909936980374E-3</v>
      </c>
      <c r="N9" s="298">
        <f>'CAAC Data'!Q203</f>
        <v>8.8492992467756659E-2</v>
      </c>
      <c r="O9" s="298">
        <f>'CAAC Data'!R203</f>
        <v>-7.1263948155078416E-2</v>
      </c>
      <c r="P9" s="300"/>
      <c r="Q9" s="298"/>
      <c r="R9" s="301">
        <f>'CAAC Data'!O178</f>
        <v>0</v>
      </c>
      <c r="S9" s="301">
        <f>'CAAC Data'!P178</f>
        <v>0</v>
      </c>
      <c r="T9" s="301">
        <f>'CAAC Data'!Q178</f>
        <v>0</v>
      </c>
      <c r="U9" s="302">
        <f>'CAAC Data'!R178</f>
        <v>0</v>
      </c>
      <c r="V9" s="302">
        <f>'CAAC Data'!N178</f>
        <v>0</v>
      </c>
      <c r="W9" s="303"/>
      <c r="X9" s="303"/>
      <c r="Y9" s="303"/>
      <c r="Z9" s="304"/>
      <c r="AA9" s="304"/>
      <c r="AB9" s="304"/>
      <c r="AC9" s="305"/>
      <c r="AD9" s="305"/>
      <c r="AE9" s="305"/>
      <c r="AF9" s="305"/>
      <c r="AG9" s="305"/>
      <c r="AH9" s="305"/>
      <c r="AI9" s="301"/>
      <c r="AJ9" s="301"/>
      <c r="AK9" s="301"/>
      <c r="AL9" s="301"/>
      <c r="AM9" s="301"/>
      <c r="AN9" s="305"/>
      <c r="AO9" s="305"/>
      <c r="AP9" s="305"/>
      <c r="AQ9" s="305"/>
      <c r="AR9" s="305"/>
      <c r="AS9" s="305"/>
      <c r="AT9" s="305"/>
      <c r="AU9" s="305"/>
      <c r="AV9" s="305"/>
      <c r="AW9" s="305"/>
      <c r="AX9" s="305"/>
      <c r="AY9" s="306"/>
      <c r="AZ9" s="166"/>
      <c r="BA9" s="167"/>
      <c r="BB9" s="167"/>
      <c r="BC9" s="168"/>
      <c r="BD9" s="169"/>
      <c r="BE9" s="170"/>
      <c r="BF9" s="171"/>
      <c r="BG9" s="171"/>
      <c r="BH9" s="171"/>
      <c r="BI9" s="171"/>
      <c r="BJ9" s="171"/>
      <c r="BK9" s="171"/>
      <c r="BL9" s="171"/>
      <c r="BM9" s="171"/>
      <c r="BN9" s="171"/>
      <c r="BO9" s="171"/>
      <c r="BP9" s="172"/>
      <c r="BQ9" s="166"/>
      <c r="BR9" s="167"/>
      <c r="BS9" s="167"/>
      <c r="BT9" s="168"/>
      <c r="BU9" s="169"/>
      <c r="BV9" s="173"/>
      <c r="BW9" s="171"/>
      <c r="BX9" s="171"/>
      <c r="BY9" s="171"/>
      <c r="BZ9" s="171"/>
      <c r="CA9" s="171"/>
      <c r="CB9" s="171"/>
      <c r="CC9" s="171"/>
      <c r="CD9" s="171"/>
      <c r="CE9" s="171"/>
      <c r="CF9" s="171"/>
      <c r="CG9" s="197"/>
      <c r="CH9" s="201"/>
      <c r="CI9" s="192"/>
      <c r="CJ9" s="188"/>
      <c r="CK9" s="192"/>
      <c r="CL9" s="192"/>
      <c r="CM9" s="171"/>
      <c r="CN9" s="171"/>
      <c r="CO9" s="171"/>
      <c r="CP9" s="171"/>
      <c r="CQ9" s="171"/>
      <c r="CR9" s="171"/>
      <c r="CS9" s="171"/>
      <c r="CT9" s="171"/>
      <c r="CU9" s="171"/>
      <c r="CV9" s="171"/>
      <c r="CW9" s="171"/>
      <c r="CX9" s="172"/>
      <c r="CY9" s="197"/>
      <c r="CZ9" s="197"/>
      <c r="DA9" s="197"/>
      <c r="DB9" s="197"/>
      <c r="DC9" s="197"/>
      <c r="DD9" s="171"/>
      <c r="DE9" s="171"/>
      <c r="DF9" s="116">
        <f>'CAAC Data'!D26</f>
        <v>0</v>
      </c>
      <c r="DG9" s="171"/>
      <c r="DH9" s="171"/>
      <c r="DI9" s="171"/>
      <c r="DJ9" s="171"/>
      <c r="DK9" s="171"/>
      <c r="DL9" s="171"/>
      <c r="DM9" s="171"/>
      <c r="DN9" s="171"/>
      <c r="DO9" s="171"/>
    </row>
    <row r="10" spans="1:120" ht="15.65" hidden="1" customHeight="1">
      <c r="A10" s="307" t="s">
        <v>105</v>
      </c>
      <c r="B10" s="308">
        <v>6.0036962491938572E-2</v>
      </c>
      <c r="C10" s="308">
        <v>5.8124269832589448E-2</v>
      </c>
      <c r="D10" s="308">
        <v>5.8366281717510793E-2</v>
      </c>
      <c r="E10" s="308">
        <v>0.1028624814615811</v>
      </c>
      <c r="F10" s="309"/>
      <c r="G10" s="308">
        <v>0.14579564330774189</v>
      </c>
      <c r="H10" s="308">
        <v>0.13840440886595401</v>
      </c>
      <c r="I10" s="308">
        <v>0.1153915501962683</v>
      </c>
      <c r="J10" s="308">
        <v>0.16008564514616699</v>
      </c>
      <c r="K10" s="310"/>
      <c r="L10" s="308">
        <v>9.8091979321746292E-2</v>
      </c>
      <c r="M10" s="308">
        <v>0.1246176471844354</v>
      </c>
      <c r="N10" s="308">
        <v>9.5081406667339996E-2</v>
      </c>
      <c r="O10" s="309">
        <v>7.7172820095998462E-2</v>
      </c>
      <c r="P10" s="311">
        <v>6.5459285488227659E-2</v>
      </c>
      <c r="Q10" s="308">
        <v>9.8298188688650007E-2</v>
      </c>
      <c r="R10" s="312">
        <f>'Top 4 Total'!O91</f>
        <v>-0.44695507428036341</v>
      </c>
      <c r="S10" s="313">
        <v>5.8000000000000003E-2</v>
      </c>
      <c r="T10" s="313">
        <f>'Top 4 Total'!Q91</f>
        <v>-0.45452483991087622</v>
      </c>
      <c r="U10" s="313">
        <f>'Top 4 Total'!R91</f>
        <v>-0.49685245365544584</v>
      </c>
      <c r="V10" s="313">
        <f>AVERAGE(R10:U10)</f>
        <v>-0.33508309196167141</v>
      </c>
      <c r="W10" s="314">
        <f>'Top 4 Total'!B91</f>
        <v>-0.51938122897967653</v>
      </c>
      <c r="X10" s="314">
        <f>'Top 4 Total'!C91</f>
        <v>-0.63160091086618597</v>
      </c>
      <c r="Y10" s="314">
        <f>'Top 4 Total'!D91</f>
        <v>-0.19130617742702083</v>
      </c>
      <c r="Z10" s="315">
        <f>'Top 4 Total'!E91</f>
        <v>-0.11600693989662292</v>
      </c>
      <c r="AA10" s="315">
        <f>'Top 4 Total'!F91</f>
        <v>-0.14135062818311173</v>
      </c>
      <c r="AB10" s="315">
        <f>'Top 4 Total'!G91</f>
        <v>-0.25160860696828302</v>
      </c>
      <c r="AC10" s="316">
        <f>'Top 4 Total'!H91</f>
        <v>-0.23565579281703009</v>
      </c>
      <c r="AD10" s="316">
        <f>'Top 4 Total'!I91</f>
        <v>-0.70111632587744022</v>
      </c>
      <c r="AE10" s="316">
        <f>'Top 4 Total'!J91</f>
        <v>-0.4151511682265282</v>
      </c>
      <c r="AF10" s="316">
        <f>'Top 4 Total'!K91</f>
        <v>-0.35387016478499689</v>
      </c>
      <c r="AG10" s="316">
        <f>'Top 4 Total'!L91</f>
        <v>-0.59658981108499021</v>
      </c>
      <c r="AH10" s="316">
        <f>'Top 4 Total'!M91</f>
        <v>-0.54550346671500427</v>
      </c>
      <c r="AI10" s="313"/>
      <c r="AJ10" s="313"/>
      <c r="AK10" s="313"/>
      <c r="AL10" s="313"/>
      <c r="AM10" s="313"/>
      <c r="AN10" s="316">
        <f>'Top 4 Total'!N91</f>
        <v>0</v>
      </c>
      <c r="AO10" s="316">
        <f>'Top 4 Total'!O91</f>
        <v>-0.44695507428036341</v>
      </c>
      <c r="AP10" s="316">
        <f>'Top 4 Total'!P91</f>
        <v>-0.16983369447015595</v>
      </c>
      <c r="AQ10" s="316">
        <f>'Top 4 Total'!Q91</f>
        <v>-0.45452483991087622</v>
      </c>
      <c r="AR10" s="316">
        <f>'Top 4 Total'!R91</f>
        <v>-0.49685245365544584</v>
      </c>
      <c r="AS10" s="316">
        <f>'Top 4 Total'!S91</f>
        <v>-0.39292487600229675</v>
      </c>
      <c r="AT10" s="316">
        <f>'Top 4 Total'!T91</f>
        <v>0</v>
      </c>
      <c r="AU10" s="316"/>
      <c r="AV10" s="316"/>
      <c r="AW10" s="316"/>
      <c r="AX10" s="316"/>
      <c r="AY10" s="317"/>
      <c r="AZ10" s="130"/>
      <c r="BA10" s="119"/>
      <c r="BB10" s="119"/>
      <c r="BC10" s="137"/>
      <c r="BD10" s="140"/>
      <c r="BE10" s="109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1"/>
      <c r="BQ10" s="130"/>
      <c r="BR10" s="119"/>
      <c r="BS10" s="119"/>
      <c r="BT10" s="137"/>
      <c r="BU10" s="140"/>
      <c r="BV10" s="148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98"/>
      <c r="CH10" s="202"/>
      <c r="CI10" s="193"/>
      <c r="CJ10" s="189"/>
      <c r="CK10" s="193"/>
      <c r="CL10" s="193"/>
      <c r="CM10" s="110"/>
      <c r="CN10" s="110"/>
      <c r="CO10" s="110"/>
      <c r="CP10" s="110"/>
      <c r="CQ10" s="110"/>
      <c r="CR10" s="110"/>
      <c r="CS10" s="110"/>
      <c r="CT10" s="110"/>
      <c r="CU10" s="110"/>
      <c r="CV10" s="110"/>
      <c r="CW10" s="110"/>
      <c r="CX10" s="111"/>
      <c r="CY10" s="198"/>
      <c r="CZ10" s="198"/>
      <c r="DA10" s="198"/>
      <c r="DB10" s="198"/>
      <c r="DC10" s="198"/>
      <c r="DD10" s="110"/>
      <c r="DE10" s="110"/>
      <c r="DF10" s="124">
        <f>'CAAC Data'!D22</f>
        <v>0</v>
      </c>
      <c r="DG10" s="110"/>
      <c r="DH10" s="110"/>
      <c r="DI10" s="110"/>
      <c r="DJ10" s="110"/>
      <c r="DK10" s="110"/>
      <c r="DL10" s="110"/>
      <c r="DM10" s="110"/>
      <c r="DN10" s="110"/>
      <c r="DO10" s="110"/>
    </row>
    <row r="11" spans="1:120" ht="18" hidden="1" customHeight="1">
      <c r="A11" s="318" t="s">
        <v>106</v>
      </c>
      <c r="B11" s="280">
        <v>3.4646530610605408E-2</v>
      </c>
      <c r="C11" s="280">
        <v>4.170599733156144E-2</v>
      </c>
      <c r="D11" s="280">
        <v>4.2045546907583782E-2</v>
      </c>
      <c r="E11" s="280">
        <v>0.1089508349498365</v>
      </c>
      <c r="F11" s="281"/>
      <c r="G11" s="280">
        <v>0.15885513693026471</v>
      </c>
      <c r="H11" s="280">
        <v>0.15682133775805271</v>
      </c>
      <c r="I11" s="280">
        <v>0.1248078322015977</v>
      </c>
      <c r="J11" s="280">
        <v>0.1622232760765365</v>
      </c>
      <c r="K11" s="319"/>
      <c r="L11" s="280">
        <v>9.7018099087087695E-2</v>
      </c>
      <c r="M11" s="280">
        <v>0.11363947476491849</v>
      </c>
      <c r="N11" s="280">
        <v>9.114587743244762E-2</v>
      </c>
      <c r="O11" s="281">
        <v>7.21928245491672E-2</v>
      </c>
      <c r="P11" s="320">
        <v>5.6820941644000873E-2</v>
      </c>
      <c r="Q11" s="280">
        <v>9.3101817283943067E-2</v>
      </c>
      <c r="R11" s="321">
        <f>'Top4 Domestic'!O104</f>
        <v>11355</v>
      </c>
      <c r="S11" s="322">
        <v>4.7E-2</v>
      </c>
      <c r="T11" s="322">
        <f>'Top4 Domestic'!Q104</f>
        <v>20841.900000000001</v>
      </c>
      <c r="U11" s="322">
        <f>'Top4 Domestic'!R104</f>
        <v>22528.199999999997</v>
      </c>
      <c r="V11" s="313">
        <f>AVERAGE(R11:U11)</f>
        <v>13681.286749999999</v>
      </c>
      <c r="W11" s="286">
        <f>'Top4 Domestic'!B104</f>
        <v>7334</v>
      </c>
      <c r="X11" s="286">
        <f>'Top4 Domestic'!C104</f>
        <v>1255.3</v>
      </c>
      <c r="Y11" s="286">
        <f>'Top4 Domestic'!D104</f>
        <v>2765.7</v>
      </c>
      <c r="Z11" s="323">
        <f>'Top4 Domestic'!E104</f>
        <v>2649.1</v>
      </c>
      <c r="AA11" s="323">
        <f>'Top4 Domestic'!F104</f>
        <v>4044.1</v>
      </c>
      <c r="AB11" s="323">
        <f>'Top4 Domestic'!G104</f>
        <v>4420.5</v>
      </c>
      <c r="AC11" s="324">
        <f>'Top4 Domestic'!H104</f>
        <v>5798.6</v>
      </c>
      <c r="AD11" s="324">
        <f>'Top4 Domestic'!I104</f>
        <v>7267.6</v>
      </c>
      <c r="AE11" s="324">
        <f>'Top4 Domestic'!J104</f>
        <v>7775.7</v>
      </c>
      <c r="AF11" s="324">
        <f>'Top4 Domestic'!K104</f>
        <v>8372.2999999999993</v>
      </c>
      <c r="AG11" s="324">
        <f>'Top4 Domestic'!L104</f>
        <v>7465.5</v>
      </c>
      <c r="AH11" s="324">
        <f>'Top4 Domestic'!M104</f>
        <v>6690.4</v>
      </c>
      <c r="AI11" s="322"/>
      <c r="AJ11" s="322"/>
      <c r="AK11" s="322"/>
      <c r="AL11" s="322"/>
      <c r="AM11" s="322"/>
      <c r="AN11" s="324">
        <f>'Top4 Domestic'!N104</f>
        <v>0</v>
      </c>
      <c r="AO11" s="324">
        <f>'Top4 Domestic'!O104</f>
        <v>11355</v>
      </c>
      <c r="AP11" s="324">
        <f>'Top4 Domestic'!P104</f>
        <v>11113.7</v>
      </c>
      <c r="AQ11" s="324">
        <f>'Top4 Domestic'!Q104</f>
        <v>20841.900000000001</v>
      </c>
      <c r="AR11" s="324">
        <f>'Top4 Domestic'!R104</f>
        <v>22528.199999999997</v>
      </c>
      <c r="AS11" s="324">
        <f>'Top4 Domestic'!S104</f>
        <v>65838.799999999988</v>
      </c>
      <c r="AT11" s="324">
        <f>'Top4 Domestic'!T104</f>
        <v>0</v>
      </c>
      <c r="AU11" s="324"/>
      <c r="AV11" s="324"/>
      <c r="AW11" s="324"/>
      <c r="AX11" s="324"/>
      <c r="AY11" s="325"/>
      <c r="AZ11" s="131"/>
      <c r="BA11" s="108"/>
      <c r="BB11" s="108"/>
      <c r="BC11" s="135"/>
      <c r="BD11" s="140"/>
      <c r="BE11" s="109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1"/>
      <c r="BQ11" s="131"/>
      <c r="BR11" s="108"/>
      <c r="BS11" s="108"/>
      <c r="BT11" s="135"/>
      <c r="BU11" s="140"/>
      <c r="BV11" s="148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98"/>
      <c r="CH11" s="202"/>
      <c r="CI11" s="193"/>
      <c r="CJ11" s="189"/>
      <c r="CK11" s="193"/>
      <c r="CL11" s="193"/>
      <c r="CM11" s="110"/>
      <c r="CN11" s="110"/>
      <c r="CO11" s="110"/>
      <c r="CP11" s="110"/>
      <c r="CQ11" s="110"/>
      <c r="CR11" s="110"/>
      <c r="CS11" s="110"/>
      <c r="CT11" s="110"/>
      <c r="CU11" s="110"/>
      <c r="CV11" s="110"/>
      <c r="CW11" s="110"/>
      <c r="CX11" s="111"/>
      <c r="CY11" s="198"/>
      <c r="CZ11" s="198"/>
      <c r="DA11" s="198"/>
      <c r="DB11" s="198"/>
      <c r="DC11" s="198"/>
      <c r="DD11" s="110"/>
      <c r="DE11" s="110"/>
      <c r="DF11" s="116" t="str">
        <f>'CAAC Data'!D28</f>
        <v>Mar</v>
      </c>
      <c r="DG11" s="110"/>
      <c r="DH11" s="110"/>
      <c r="DI11" s="110"/>
      <c r="DJ11" s="110"/>
      <c r="DK11" s="110"/>
      <c r="DL11" s="110"/>
      <c r="DM11" s="110"/>
      <c r="DN11" s="110"/>
      <c r="DO11" s="110"/>
    </row>
    <row r="12" spans="1:120" ht="15.65" hidden="1" customHeight="1">
      <c r="A12" s="318" t="s">
        <v>107</v>
      </c>
      <c r="B12" s="280">
        <v>9.4145204030150476E-2</v>
      </c>
      <c r="C12" s="280">
        <v>5.9756403827160298E-5</v>
      </c>
      <c r="D12" s="280">
        <v>-4.7798349860429967E-2</v>
      </c>
      <c r="E12" s="280">
        <v>-7.165969359466462E-2</v>
      </c>
      <c r="F12" s="281"/>
      <c r="G12" s="280">
        <v>-8.3474673885410189E-2</v>
      </c>
      <c r="H12" s="280">
        <v>5.0705334020479942E-3</v>
      </c>
      <c r="I12" s="280">
        <v>9.4197073390545727E-2</v>
      </c>
      <c r="J12" s="280">
        <v>0.15460566251261779</v>
      </c>
      <c r="K12" s="319"/>
      <c r="L12" s="280">
        <v>9.7493155119401598E-2</v>
      </c>
      <c r="M12" s="280">
        <v>0.13401207095311871</v>
      </c>
      <c r="N12" s="280">
        <v>9.9752247449121922E-2</v>
      </c>
      <c r="O12" s="281">
        <v>7.4324106480768037E-2</v>
      </c>
      <c r="P12" s="320">
        <v>8.6705343368904675E-2</v>
      </c>
      <c r="Q12" s="280">
        <v>0.1007962357890109</v>
      </c>
      <c r="R12" s="321">
        <f>'Top4 Intl.+Reg'!O435</f>
        <v>0</v>
      </c>
      <c r="S12" s="321">
        <f>'Top4 Intl.+Reg'!P435</f>
        <v>0</v>
      </c>
      <c r="T12" s="321">
        <f>'Top4 Intl.+Reg'!Q435</f>
        <v>0</v>
      </c>
      <c r="U12" s="321">
        <f>'Top4 Intl.+Reg'!R435</f>
        <v>0</v>
      </c>
      <c r="V12" s="313">
        <f>AVERAGE(R12:U12)</f>
        <v>0</v>
      </c>
      <c r="W12" s="286">
        <f>'Top4 Intl.+Reg'!B435</f>
        <v>6.7243460498318752E-2</v>
      </c>
      <c r="X12" s="286">
        <f>'Top4 Intl.+Reg'!C435</f>
        <v>-2.7838324970882677E-2</v>
      </c>
      <c r="Y12" s="286">
        <f>'Top4 Intl.+Reg'!D435</f>
        <v>1.5203749189157678E-2</v>
      </c>
      <c r="Z12" s="323">
        <f>'Top4 Intl.+Reg'!E435</f>
        <v>1.5444507462900825E-2</v>
      </c>
      <c r="AA12" s="323">
        <f>'Top4 Intl.+Reg'!F435</f>
        <v>-1.685340629700538E-2</v>
      </c>
      <c r="AB12" s="323">
        <f>'Top4 Intl.+Reg'!G435</f>
        <v>-2.6410128257220444E-3</v>
      </c>
      <c r="AC12" s="324">
        <f>'Top4 Intl.+Reg'!H435</f>
        <v>7.1461919362892257E-2</v>
      </c>
      <c r="AD12" s="324">
        <f>'Top4 Intl.+Reg'!I435</f>
        <v>2.6712606472734768E-2</v>
      </c>
      <c r="AE12" s="324">
        <f>'Top4 Intl.+Reg'!J435</f>
        <v>-0.14588737282456066</v>
      </c>
      <c r="AF12" s="324">
        <f>'Top4 Intl.+Reg'!K435</f>
        <v>8.771273503732413E-3</v>
      </c>
      <c r="AG12" s="324">
        <f>'Top4 Intl.+Reg'!L435</f>
        <v>-1.6351634307623097E-2</v>
      </c>
      <c r="AH12" s="324">
        <f>'Top4 Intl.+Reg'!M435</f>
        <v>6.0531184928686255E-2</v>
      </c>
      <c r="AI12" s="321"/>
      <c r="AJ12" s="321"/>
      <c r="AK12" s="321"/>
      <c r="AL12" s="321"/>
      <c r="AM12" s="321"/>
      <c r="AN12" s="324">
        <f>'Top4 Intl.+Reg'!N435</f>
        <v>0</v>
      </c>
      <c r="AO12" s="324">
        <f>'Top4 Intl.+Reg'!O435</f>
        <v>0</v>
      </c>
      <c r="AP12" s="324">
        <f>'Top4 Intl.+Reg'!P435</f>
        <v>0</v>
      </c>
      <c r="AQ12" s="324">
        <f>'Top4 Intl.+Reg'!Q435</f>
        <v>0</v>
      </c>
      <c r="AR12" s="324">
        <f>'Top4 Intl.+Reg'!R435</f>
        <v>0</v>
      </c>
      <c r="AS12" s="324">
        <f>'Top4 Intl.+Reg'!S435</f>
        <v>0</v>
      </c>
      <c r="AT12" s="324">
        <f>'Top4 Intl.+Reg'!T435</f>
        <v>0</v>
      </c>
      <c r="AU12" s="324"/>
      <c r="AV12" s="324"/>
      <c r="AW12" s="324"/>
      <c r="AX12" s="324"/>
      <c r="AY12" s="325"/>
      <c r="AZ12" s="131"/>
      <c r="BA12" s="120"/>
      <c r="BB12" s="120"/>
      <c r="BC12" s="138"/>
      <c r="BD12" s="140"/>
      <c r="BE12" s="109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1"/>
      <c r="BQ12" s="131"/>
      <c r="BR12" s="120"/>
      <c r="BS12" s="120"/>
      <c r="BT12" s="138"/>
      <c r="BU12" s="140"/>
      <c r="BV12" s="148"/>
      <c r="BW12" s="110"/>
      <c r="BX12" s="110"/>
      <c r="BY12" s="110"/>
      <c r="BZ12" s="110"/>
      <c r="CA12" s="110"/>
      <c r="CB12" s="110"/>
      <c r="CC12" s="110"/>
      <c r="CD12" s="110"/>
      <c r="CE12" s="110"/>
      <c r="CF12" s="110"/>
      <c r="CG12" s="198"/>
      <c r="CH12" s="202"/>
      <c r="CI12" s="193"/>
      <c r="CJ12" s="189"/>
      <c r="CK12" s="193"/>
      <c r="CL12" s="193"/>
      <c r="CM12" s="110"/>
      <c r="CN12" s="110"/>
      <c r="CO12" s="110"/>
      <c r="CP12" s="110"/>
      <c r="CQ12" s="110"/>
      <c r="CR12" s="110"/>
      <c r="CS12" s="110"/>
      <c r="CT12" s="110"/>
      <c r="CU12" s="110"/>
      <c r="CV12" s="110"/>
      <c r="CW12" s="110"/>
      <c r="CX12" s="111"/>
      <c r="CY12" s="198"/>
      <c r="CZ12" s="198"/>
      <c r="DA12" s="198"/>
      <c r="DB12" s="198"/>
      <c r="DC12" s="198"/>
      <c r="DD12" s="110"/>
      <c r="DE12" s="110"/>
      <c r="DF12" s="124">
        <f>'CAAC Data'!D24</f>
        <v>0.14191852825229967</v>
      </c>
      <c r="DG12" s="110"/>
      <c r="DH12" s="110"/>
      <c r="DI12" s="110"/>
      <c r="DJ12" s="110"/>
      <c r="DK12" s="110"/>
      <c r="DL12" s="110"/>
      <c r="DM12" s="110"/>
      <c r="DN12" s="110"/>
      <c r="DO12" s="110"/>
    </row>
    <row r="13" spans="1:120" ht="16" hidden="1" customHeight="1">
      <c r="A13" s="326" t="s">
        <v>108</v>
      </c>
      <c r="B13" s="327">
        <v>0.23300681153151959</v>
      </c>
      <c r="C13" s="327">
        <v>0.1919311003248847</v>
      </c>
      <c r="D13" s="327">
        <v>0.2063269598599784</v>
      </c>
      <c r="E13" s="327">
        <v>9.773088581194167E-2</v>
      </c>
      <c r="F13" s="328"/>
      <c r="G13" s="327">
        <v>0.11581860487863629</v>
      </c>
      <c r="H13" s="327">
        <v>3.79430552676705E-2</v>
      </c>
      <c r="I13" s="327">
        <v>5.5793713599041839E-2</v>
      </c>
      <c r="J13" s="327">
        <v>0.145424482721773</v>
      </c>
      <c r="K13" s="329"/>
      <c r="L13" s="327">
        <v>0.10587235128628231</v>
      </c>
      <c r="M13" s="327">
        <v>0.20714073046660841</v>
      </c>
      <c r="N13" s="327">
        <v>0.1227658585052778</v>
      </c>
      <c r="O13" s="328">
        <v>0.11536644122845981</v>
      </c>
      <c r="P13" s="330">
        <v>0.1218328941587712</v>
      </c>
      <c r="Q13" s="327">
        <v>0.13623741156953351</v>
      </c>
      <c r="R13" s="331">
        <f>'Top4 Intl.+Reg'!O418</f>
        <v>5707.9</v>
      </c>
      <c r="S13" s="331">
        <f>'Top4 Intl.+Reg'!P418</f>
        <v>5772.1</v>
      </c>
      <c r="T13" s="331">
        <f>'Top4 Intl.+Reg'!Q418</f>
        <v>5677.3000000000011</v>
      </c>
      <c r="U13" s="331">
        <f>'Top4 Intl.+Reg'!R418</f>
        <v>5295.7</v>
      </c>
      <c r="V13" s="313">
        <f>AVERAGE(R13:U13)</f>
        <v>5613.2500000000009</v>
      </c>
      <c r="W13" s="332">
        <f>'Top4 Intl.+Reg'!B418</f>
        <v>1929.6</v>
      </c>
      <c r="X13" s="332">
        <f>'Top4 Intl.+Reg'!C418</f>
        <v>1833.8000000000002</v>
      </c>
      <c r="Y13" s="332">
        <f>'Top4 Intl.+Reg'!D418</f>
        <v>1944.5</v>
      </c>
      <c r="Z13" s="333">
        <f>'Top4 Intl.+Reg'!E418</f>
        <v>1978.4</v>
      </c>
      <c r="AA13" s="333">
        <f>'Top4 Intl.+Reg'!F418</f>
        <v>1921.7</v>
      </c>
      <c r="AB13" s="333">
        <f>'Top4 Intl.+Reg'!G418</f>
        <v>1872</v>
      </c>
      <c r="AC13" s="334">
        <f>'Top4 Intl.+Reg'!H418</f>
        <v>1958.8000000000002</v>
      </c>
      <c r="AD13" s="334">
        <f>'Top4 Intl.+Reg'!I418</f>
        <v>2006.1000000000001</v>
      </c>
      <c r="AE13" s="334">
        <f>'Top4 Intl.+Reg'!J418</f>
        <v>1712.4</v>
      </c>
      <c r="AF13" s="334">
        <f>'Top4 Intl.+Reg'!K418</f>
        <v>1732.3</v>
      </c>
      <c r="AG13" s="334">
        <f>'Top4 Intl.+Reg'!L418</f>
        <v>1722.1</v>
      </c>
      <c r="AH13" s="334">
        <f>'Top4 Intl.+Reg'!M418</f>
        <v>1841.3000000000002</v>
      </c>
      <c r="AI13" s="331"/>
      <c r="AJ13" s="331"/>
      <c r="AK13" s="331"/>
      <c r="AL13" s="331"/>
      <c r="AM13" s="331"/>
      <c r="AN13" s="334">
        <f>'Top4 Intl.+Reg'!N418</f>
        <v>0</v>
      </c>
      <c r="AO13" s="334">
        <f>'Top4 Intl.+Reg'!O418</f>
        <v>5707.9</v>
      </c>
      <c r="AP13" s="334">
        <f>'Top4 Intl.+Reg'!P418</f>
        <v>5772.1</v>
      </c>
      <c r="AQ13" s="334">
        <f>'Top4 Intl.+Reg'!Q418</f>
        <v>5677.3000000000011</v>
      </c>
      <c r="AR13" s="334">
        <f>'Top4 Intl.+Reg'!R418</f>
        <v>5295.7</v>
      </c>
      <c r="AS13" s="334">
        <f>'Top4 Intl.+Reg'!S418</f>
        <v>22452.999999999996</v>
      </c>
      <c r="AT13" s="334">
        <f>'Top4 Intl.+Reg'!T418</f>
        <v>0</v>
      </c>
      <c r="AU13" s="334"/>
      <c r="AV13" s="334"/>
      <c r="AW13" s="334"/>
      <c r="AX13" s="334"/>
      <c r="AY13" s="335"/>
      <c r="AZ13" s="129"/>
      <c r="BA13" s="121"/>
      <c r="BB13" s="118"/>
      <c r="BC13" s="136"/>
      <c r="BD13" s="140"/>
      <c r="BE13" s="109"/>
      <c r="BF13" s="110"/>
      <c r="BG13" s="110"/>
      <c r="BH13" s="110"/>
      <c r="BI13" s="110"/>
      <c r="BJ13" s="110"/>
      <c r="BK13" s="110"/>
      <c r="BL13" s="110"/>
      <c r="BM13" s="110"/>
      <c r="BN13" s="110"/>
      <c r="BO13" s="110"/>
      <c r="BP13" s="111"/>
      <c r="BQ13" s="129"/>
      <c r="BR13" s="121"/>
      <c r="BS13" s="121"/>
      <c r="BT13" s="136"/>
      <c r="BU13" s="140"/>
      <c r="BV13" s="148"/>
      <c r="BW13" s="110"/>
      <c r="BX13" s="110"/>
      <c r="BY13" s="110"/>
      <c r="BZ13" s="110"/>
      <c r="CA13" s="110"/>
      <c r="CB13" s="110"/>
      <c r="CC13" s="110"/>
      <c r="CD13" s="110"/>
      <c r="CE13" s="110"/>
      <c r="CF13" s="110"/>
      <c r="CG13" s="198"/>
      <c r="CH13" s="202"/>
      <c r="CI13" s="193"/>
      <c r="CJ13" s="189"/>
      <c r="CK13" s="193"/>
      <c r="CL13" s="193"/>
      <c r="CM13" s="110"/>
      <c r="CN13" s="110"/>
      <c r="CO13" s="110"/>
      <c r="CP13" s="110"/>
      <c r="CQ13" s="110"/>
      <c r="CR13" s="110"/>
      <c r="CS13" s="110"/>
      <c r="CT13" s="110"/>
      <c r="CU13" s="110"/>
      <c r="CV13" s="110"/>
      <c r="CW13" s="110"/>
      <c r="CX13" s="111"/>
      <c r="CY13" s="198"/>
      <c r="CZ13" s="198"/>
      <c r="DA13" s="198"/>
      <c r="DB13" s="198"/>
      <c r="DC13" s="198"/>
      <c r="DD13" s="110"/>
      <c r="DE13" s="110"/>
      <c r="DF13" s="116">
        <f>'CAAC Data'!D30</f>
        <v>3.510360438795046E-2</v>
      </c>
      <c r="DG13" s="110"/>
      <c r="DH13" s="110"/>
      <c r="DI13" s="110"/>
      <c r="DJ13" s="110"/>
      <c r="DK13" s="110"/>
      <c r="DL13" s="110"/>
      <c r="DM13" s="110"/>
      <c r="DN13" s="110"/>
      <c r="DO13" s="110"/>
    </row>
    <row r="14" spans="1:120">
      <c r="A14" s="336" t="s">
        <v>109</v>
      </c>
      <c r="B14" s="337"/>
      <c r="C14" s="337"/>
      <c r="D14" s="337"/>
      <c r="E14" s="337"/>
      <c r="F14" s="337"/>
      <c r="G14" s="338"/>
      <c r="H14" s="338"/>
      <c r="I14" s="338"/>
      <c r="J14" s="338"/>
      <c r="K14" s="339"/>
      <c r="L14" s="338"/>
      <c r="M14" s="338"/>
      <c r="N14" s="338"/>
      <c r="O14" s="340"/>
      <c r="P14" s="341"/>
      <c r="Q14" s="338"/>
      <c r="R14" s="342">
        <f>'Top 4 Total'!O89</f>
        <v>0</v>
      </c>
      <c r="S14" s="342">
        <f>'Top 4 Total'!P89</f>
        <v>0</v>
      </c>
      <c r="T14" s="342">
        <f>'Top 4 Total'!Q89</f>
        <v>0</v>
      </c>
      <c r="U14" s="342">
        <f>'Top 4 Total'!R89</f>
        <v>0</v>
      </c>
      <c r="V14" s="342">
        <f>'Top 4 Total'!S89</f>
        <v>0</v>
      </c>
      <c r="W14" s="343">
        <f>'Top 4 Total'!B89</f>
        <v>0</v>
      </c>
      <c r="X14" s="343">
        <f>'Top 4 Total'!C89</f>
        <v>0</v>
      </c>
      <c r="Y14" s="343">
        <f>'Top 4 Total'!D89</f>
        <v>0</v>
      </c>
      <c r="Z14" s="343">
        <f>'Top 4 Total'!E89</f>
        <v>0</v>
      </c>
      <c r="AA14" s="343">
        <f>'Top 4 Total'!F89</f>
        <v>0</v>
      </c>
      <c r="AB14" s="343">
        <f>'Top 4 Total'!G89</f>
        <v>0</v>
      </c>
      <c r="AC14" s="343">
        <f>'Top 4 Total'!H89</f>
        <v>0</v>
      </c>
      <c r="AD14" s="343">
        <f>'Top 4 Total'!I89</f>
        <v>0</v>
      </c>
      <c r="AE14" s="343">
        <f>'Top 4 Total'!J89</f>
        <v>0</v>
      </c>
      <c r="AF14" s="343">
        <f>'Top 4 Total'!K89</f>
        <v>0</v>
      </c>
      <c r="AG14" s="343">
        <f>'Top 4 Total'!L89</f>
        <v>0</v>
      </c>
      <c r="AH14" s="343">
        <f>'Top 4 Total'!M89</f>
        <v>0</v>
      </c>
      <c r="AI14" s="342" t="str">
        <f>'Top 4 Total'!O73</f>
        <v>Q1</v>
      </c>
      <c r="AJ14" s="342" t="str">
        <f>'Top 4 Total'!P73</f>
        <v>Q2</v>
      </c>
      <c r="AK14" s="342" t="str">
        <f>'Top 4 Total'!Q73</f>
        <v>Q3</v>
      </c>
      <c r="AL14" s="342" t="str">
        <f>'Top 4 Total'!R73</f>
        <v>Q4</v>
      </c>
      <c r="AM14" s="342" t="e">
        <f>AVERAGE(AN14:AY14)</f>
        <v>#DIV/0!</v>
      </c>
      <c r="AN14" s="343" t="str">
        <f>'Top 4 Total'!B73</f>
        <v>Jan</v>
      </c>
      <c r="AO14" s="343" t="str">
        <f>'Top 4 Total'!C73</f>
        <v>Feb</v>
      </c>
      <c r="AP14" s="343" t="str">
        <f>'Top 4 Total'!D73</f>
        <v>Mar</v>
      </c>
      <c r="AQ14" s="343" t="str">
        <f>'Top 4 Total'!E73</f>
        <v>Apr</v>
      </c>
      <c r="AR14" s="343" t="str">
        <f>'Top 4 Total'!F73</f>
        <v>May</v>
      </c>
      <c r="AS14" s="343" t="str">
        <f>'Top 4 Total'!G73</f>
        <v>Jun</v>
      </c>
      <c r="AT14" s="343" t="str">
        <f>'Top 4 Total'!H73</f>
        <v>Jul</v>
      </c>
      <c r="AU14" s="343" t="str">
        <f>'Top 4 Total'!I73</f>
        <v>Aug</v>
      </c>
      <c r="AV14" s="343" t="str">
        <f>'Top 4 Total'!J73</f>
        <v>Sep</v>
      </c>
      <c r="AW14" s="343" t="str">
        <f>'Top 4 Total'!K73</f>
        <v>Oct</v>
      </c>
      <c r="AX14" s="343" t="str">
        <f>'Top 4 Total'!L73</f>
        <v>Nov</v>
      </c>
      <c r="AY14" s="344" t="str">
        <f>'Top 4 Total'!M73</f>
        <v>Dec</v>
      </c>
      <c r="AZ14" s="132">
        <f>'Top 4 Total'!O57</f>
        <v>13134.86</v>
      </c>
      <c r="BA14" s="108">
        <f>'Top 4 Total'!P57</f>
        <v>5540.76</v>
      </c>
      <c r="BB14" s="108">
        <f>'Top 4 Total'!Q57</f>
        <v>15125.740000000002</v>
      </c>
      <c r="BC14" s="135">
        <f>'Top 4 Total'!R57</f>
        <v>8726.25</v>
      </c>
      <c r="BD14" s="140">
        <f>'Top 4 Total'!S57</f>
        <v>42527.61</v>
      </c>
      <c r="BE14" s="109">
        <f>'Top 4 Total'!B57</f>
        <v>5023.59</v>
      </c>
      <c r="BF14" s="110">
        <f>'Top 4 Total'!C57</f>
        <v>5603.48</v>
      </c>
      <c r="BG14" s="110">
        <f>'Top 4 Total'!D57</f>
        <v>2507.79</v>
      </c>
      <c r="BH14" s="110">
        <f>'Top 4 Total'!E57</f>
        <v>868.11</v>
      </c>
      <c r="BI14" s="110">
        <f>'Top 4 Total'!F57</f>
        <v>1512.37</v>
      </c>
      <c r="BJ14" s="110">
        <f>'Top 4 Total'!G57</f>
        <v>3160.28</v>
      </c>
      <c r="BK14" s="110">
        <f>'Top 4 Total'!H57</f>
        <v>5078.55</v>
      </c>
      <c r="BL14" s="110">
        <f>'Top 4 Total'!I57</f>
        <v>5818.63</v>
      </c>
      <c r="BM14" s="110">
        <f>'Top 4 Total'!J57</f>
        <v>4228.5600000000004</v>
      </c>
      <c r="BN14" s="110">
        <f>'Top 4 Total'!K57</f>
        <v>3036.47</v>
      </c>
      <c r="BO14" s="110">
        <f>'Top 4 Total'!L57</f>
        <v>2521.7600000000002</v>
      </c>
      <c r="BP14" s="111">
        <f>'Top 4 Total'!M57</f>
        <v>3168.02</v>
      </c>
      <c r="BQ14" s="132">
        <f>'Top 4 Total'!O35</f>
        <v>0.41717999284237273</v>
      </c>
      <c r="BR14" s="108">
        <f>'Top 4 Total'!P35</f>
        <v>0.14064966684537894</v>
      </c>
      <c r="BS14" s="108">
        <f>'Top 4 Total'!Q35</f>
        <v>0.13820676866992598</v>
      </c>
      <c r="BT14" s="108">
        <f>'Top 4 Total'!R35</f>
        <v>0.12393198798368932</v>
      </c>
      <c r="BU14" s="108">
        <f>'Top 4 Total'!S35</f>
        <v>0.19238501456702606</v>
      </c>
      <c r="BV14" s="148">
        <f>'Top 4 Total'!B35</f>
        <v>0.49228479935852776</v>
      </c>
      <c r="BW14" s="110">
        <f>'Top 4 Total'!C35</f>
        <v>0.47449538494359111</v>
      </c>
      <c r="BX14" s="110">
        <f>'Top 4 Total'!D35</f>
        <v>0.29685539748267775</v>
      </c>
      <c r="BY14" s="110">
        <f>'Top 4 Total'!E35</f>
        <v>0.12948845782695328</v>
      </c>
      <c r="BZ14" s="110">
        <f>'Top 4 Total'!F35</f>
        <v>0.17068663295685926</v>
      </c>
      <c r="CA14" s="110">
        <f>'Top 4 Total'!G35</f>
        <v>0.12200837022962063</v>
      </c>
      <c r="CB14" s="110">
        <f>'Top 4 Total'!H35</f>
        <v>0.11438302638538356</v>
      </c>
      <c r="CC14" s="110">
        <f>'Top 4 Total'!I35</f>
        <v>0.15463699437206113</v>
      </c>
      <c r="CD14" s="110">
        <f>'Top 4 Total'!J35</f>
        <v>0.14634934440527569</v>
      </c>
      <c r="CE14" s="110">
        <f>'Top 4 Total'!K35</f>
        <v>0.1451091782673346</v>
      </c>
      <c r="CF14" s="110">
        <f>'Top 4 Total'!L35</f>
        <v>0.13247660246661397</v>
      </c>
      <c r="CG14" s="198">
        <f>'Top 4 Total'!M35</f>
        <v>9.2748739853310003E-2</v>
      </c>
      <c r="CH14" s="131">
        <f>'Top 4 Total'!O17</f>
        <v>116541.10999999999</v>
      </c>
      <c r="CI14" s="108">
        <f>'Top 4 Total'!P17</f>
        <v>117049.73999999999</v>
      </c>
      <c r="CJ14" s="138">
        <f>'Top 4 Total'!Q17</f>
        <v>130088.95999999999</v>
      </c>
      <c r="CK14" s="108">
        <f>'Top 4 Total'!R17</f>
        <v>120568.41</v>
      </c>
      <c r="CL14" s="108">
        <f>'Top 4 Total'!S17</f>
        <v>484248.21999999991</v>
      </c>
      <c r="CM14" s="110">
        <f>'Top 4 Total'!B17</f>
        <v>40678.15</v>
      </c>
      <c r="CN14" s="110">
        <f>'Top 4 Total'!C17</f>
        <v>38459.399999999994</v>
      </c>
      <c r="CO14" s="110">
        <f>'Top 4 Total'!D17</f>
        <v>37403.56</v>
      </c>
      <c r="CP14" s="110">
        <f>'Top 4 Total'!E17</f>
        <v>38384.800000000003</v>
      </c>
      <c r="CQ14" s="110">
        <f>'Top 4 Total'!F17</f>
        <v>40191.379999999997</v>
      </c>
      <c r="CR14" s="110">
        <f>'Top 4 Total'!G17</f>
        <v>38473.56</v>
      </c>
      <c r="CS14" s="110">
        <f>'Top 4 Total'!H17</f>
        <v>44295.369999999995</v>
      </c>
      <c r="CT14" s="110">
        <f>'Top 4 Total'!I17</f>
        <v>46530.34</v>
      </c>
      <c r="CU14" s="110">
        <f>'Top 4 Total'!J17</f>
        <v>39263.25</v>
      </c>
      <c r="CV14" s="110">
        <f>'Top 4 Total'!K17</f>
        <v>43213.72</v>
      </c>
      <c r="CW14" s="110">
        <f>'Top 4 Total'!L17</f>
        <v>38713.4</v>
      </c>
      <c r="CX14" s="111">
        <f>'Top 4 Total'!M17</f>
        <v>38641.29</v>
      </c>
      <c r="CY14" s="198" t="e">
        <f>'Top 4 Total'!#REF!</f>
        <v>#REF!</v>
      </c>
      <c r="CZ14" s="198" t="e">
        <f>'Top 4 Total'!#REF!</f>
        <v>#REF!</v>
      </c>
      <c r="DA14" s="198"/>
      <c r="DB14" s="198"/>
      <c r="DC14" s="198"/>
      <c r="DD14" s="110">
        <f>'Top 4 Total'!B11</f>
        <v>-2.9828298484567251E-2</v>
      </c>
      <c r="DE14" s="110">
        <f>'Top 4 Total'!C11</f>
        <v>0.11232104505010487</v>
      </c>
      <c r="DF14" s="110">
        <f>'Top 4 Total'!D11</f>
        <v>0.12057248026658418</v>
      </c>
      <c r="DG14" s="110">
        <f>'Top 4 Total'!E11</f>
        <v>3.5099831183176278E-3</v>
      </c>
      <c r="DH14" s="110">
        <f>'Top 4 Total'!F11</f>
        <v>-7.8124214694792693E-2</v>
      </c>
      <c r="DI14" s="110">
        <f>'Top 4 Total'!G11</f>
        <v>-6.7007836030770207E-2</v>
      </c>
      <c r="DJ14" s="110">
        <f>'Top 4 Total'!H11</f>
        <v>5.4061406417871716E-2</v>
      </c>
      <c r="DK14" s="110">
        <f>'Top 4 Total'!I5</f>
        <v>0</v>
      </c>
      <c r="DL14" s="110">
        <f>'Top 4 Total'!J5</f>
        <v>0</v>
      </c>
      <c r="DM14" s="110">
        <f>'Top 4 Total'!K5</f>
        <v>0</v>
      </c>
      <c r="DN14" s="110">
        <f>'Top 4 Total'!L5</f>
        <v>0</v>
      </c>
      <c r="DO14" s="110">
        <f>'Top 4 Total'!M5</f>
        <v>0</v>
      </c>
      <c r="DP14" s="580" t="s">
        <v>100</v>
      </c>
    </row>
    <row r="15" spans="1:120" ht="16" customHeight="1" thickBot="1">
      <c r="A15" s="345" t="s">
        <v>110</v>
      </c>
      <c r="B15" s="346"/>
      <c r="C15" s="346"/>
      <c r="D15" s="346"/>
      <c r="E15" s="346"/>
      <c r="F15" s="346"/>
      <c r="G15" s="347"/>
      <c r="H15" s="347"/>
      <c r="I15" s="347"/>
      <c r="J15" s="347"/>
      <c r="K15" s="348"/>
      <c r="L15" s="347"/>
      <c r="M15" s="347"/>
      <c r="N15" s="347"/>
      <c r="O15" s="349"/>
      <c r="P15" s="350"/>
      <c r="Q15" s="347"/>
      <c r="R15" s="351">
        <f>'Top4 Domestic'!O102</f>
        <v>14512.04</v>
      </c>
      <c r="S15" s="351">
        <f>'Top4 Domestic'!P102</f>
        <v>16749.43</v>
      </c>
      <c r="T15" s="351">
        <f>'Top4 Domestic'!Q102</f>
        <v>30319.81</v>
      </c>
      <c r="U15" s="351">
        <f>'Top4 Domestic'!R102</f>
        <v>32322.86</v>
      </c>
      <c r="V15" s="351">
        <f>'Top4 Domestic'!S102</f>
        <v>93904.139999999985</v>
      </c>
      <c r="W15" s="352">
        <f>'Top4 Domestic'!B102</f>
        <v>9480.64</v>
      </c>
      <c r="X15" s="352">
        <f>'Top4 Domestic'!C102</f>
        <v>1415.19</v>
      </c>
      <c r="Y15" s="352">
        <f>'Top4 Domestic'!D102</f>
        <v>3616.21</v>
      </c>
      <c r="Z15" s="352">
        <f>'Top4 Domestic'!E102</f>
        <v>3837.93</v>
      </c>
      <c r="AA15" s="352">
        <f>'Top4 Domestic'!F102</f>
        <v>5829.99</v>
      </c>
      <c r="AB15" s="352">
        <f>'Top4 Domestic'!G102</f>
        <v>7081.51</v>
      </c>
      <c r="AC15" s="352">
        <f>'Top4 Domestic'!H102</f>
        <v>8970.4699999999993</v>
      </c>
      <c r="AD15" s="352">
        <f>'Top4 Domestic'!I102</f>
        <v>10252.540000000001</v>
      </c>
      <c r="AE15" s="352">
        <f>'Top4 Domestic'!J102</f>
        <v>11096.8</v>
      </c>
      <c r="AF15" s="352">
        <f>'Top4 Domestic'!K102</f>
        <v>11792.71</v>
      </c>
      <c r="AG15" s="352">
        <f>'Top4 Domestic'!L102</f>
        <v>10590.62</v>
      </c>
      <c r="AH15" s="352">
        <f>'Top4 Domestic'!M102</f>
        <v>9939.5300000000007</v>
      </c>
      <c r="AI15" s="351">
        <f>'Top4 Domestic'!O77</f>
        <v>15338.4</v>
      </c>
      <c r="AJ15" s="351">
        <f>'Top4 Domestic'!P77</f>
        <v>22666</v>
      </c>
      <c r="AK15" s="351">
        <f>'Top4 Domestic'!Q77</f>
        <v>16202.9</v>
      </c>
      <c r="AL15" s="351">
        <f>'Top4 Domestic'!R77</f>
        <v>13661.5</v>
      </c>
      <c r="AM15" s="351">
        <f>AVERAGE(AN15:AY15)</f>
        <v>5655.7333333333327</v>
      </c>
      <c r="AN15" s="352">
        <f>'Top4 Domestic'!B77</f>
        <v>4358.3999999999996</v>
      </c>
      <c r="AO15" s="352">
        <f>'Top4 Domestic'!C77</f>
        <v>3470.3</v>
      </c>
      <c r="AP15" s="352">
        <f>'Top4 Domestic'!D77</f>
        <v>7509.7</v>
      </c>
      <c r="AQ15" s="352">
        <f>'Top4 Domestic'!E77</f>
        <v>8311.7999999999993</v>
      </c>
      <c r="AR15" s="352">
        <f>'Top4 Domestic'!F77</f>
        <v>8192.5</v>
      </c>
      <c r="AS15" s="352">
        <f>'Top4 Domestic'!G77</f>
        <v>6161.7</v>
      </c>
      <c r="AT15" s="352">
        <f>'Top4 Domestic'!H77</f>
        <v>7608.6</v>
      </c>
      <c r="AU15" s="352">
        <f>'Top4 Domestic'!I77</f>
        <v>3156.4</v>
      </c>
      <c r="AV15" s="352">
        <f>'Top4 Domestic'!J77</f>
        <v>5437.9</v>
      </c>
      <c r="AW15" s="352">
        <f>'Top4 Domestic'!K77</f>
        <v>6443.7</v>
      </c>
      <c r="AX15" s="352">
        <f>'Top4 Domestic'!L77</f>
        <v>3036.1</v>
      </c>
      <c r="AY15" s="353">
        <f>'Top4 Domestic'!M77</f>
        <v>4181.7</v>
      </c>
      <c r="AZ15" s="217">
        <f>'Top4 Domestic'!O58</f>
        <v>10843.5</v>
      </c>
      <c r="BA15" s="218">
        <f>'Top4 Domestic'!P58</f>
        <v>6208.1</v>
      </c>
      <c r="BB15" s="218">
        <f>'Top4 Domestic'!Q58</f>
        <v>13207.599999999999</v>
      </c>
      <c r="BC15" s="219">
        <f>'Top4 Domestic'!R58</f>
        <v>7551.9</v>
      </c>
      <c r="BD15" s="220">
        <f>'Top4 Domestic'!S58</f>
        <v>37811.1</v>
      </c>
      <c r="BE15" s="221">
        <f>'Top4 Domestic'!B58</f>
        <v>4303.3</v>
      </c>
      <c r="BF15" s="222">
        <f>'Top4 Domestic'!C58</f>
        <v>4321.3</v>
      </c>
      <c r="BG15" s="222">
        <f>'Top4 Domestic'!D58</f>
        <v>2218.9</v>
      </c>
      <c r="BH15" s="222">
        <f>'Top4 Domestic'!E58</f>
        <v>1303.0999999999999</v>
      </c>
      <c r="BI15" s="222">
        <f>'Top4 Domestic'!F58</f>
        <v>1780.5</v>
      </c>
      <c r="BJ15" s="222">
        <f>'Top4 Domestic'!G58</f>
        <v>3124.5</v>
      </c>
      <c r="BK15" s="222">
        <f>'Top4 Domestic'!H58</f>
        <v>5172.7</v>
      </c>
      <c r="BL15" s="222">
        <f>'Top4 Domestic'!I58</f>
        <v>5065.7</v>
      </c>
      <c r="BM15" s="222">
        <f>'Top4 Domestic'!J58</f>
        <v>2969.2</v>
      </c>
      <c r="BN15" s="222">
        <f>'Top4 Domestic'!K58</f>
        <v>2603.1999999999998</v>
      </c>
      <c r="BO15" s="222">
        <f>'Top4 Domestic'!L58</f>
        <v>2102</v>
      </c>
      <c r="BP15" s="223">
        <f>'Top4 Domestic'!M58</f>
        <v>2846.7</v>
      </c>
      <c r="BQ15" s="217">
        <f>'Top4 Domestic'!O35</f>
        <v>0.28825738016827263</v>
      </c>
      <c r="BR15" s="218">
        <f>'Top4 Domestic'!P35</f>
        <v>5.6132615147226117E-2</v>
      </c>
      <c r="BS15" s="218">
        <f>'Top4 Domestic'!Q35</f>
        <v>8.5496537378901394E-2</v>
      </c>
      <c r="BT15" s="218">
        <f>'Top4 Domestic'!R35</f>
        <v>7.7640852919148573E-2</v>
      </c>
      <c r="BU15" s="218">
        <f>'Top4 Domestic'!S35</f>
        <v>0.11977382333014797</v>
      </c>
      <c r="BV15" s="224">
        <f>'Top4 Domestic'!B35</f>
        <v>0.3494102912267707</v>
      </c>
      <c r="BW15" s="222">
        <f>'Top4 Domestic'!C35</f>
        <v>0.3400823065847054</v>
      </c>
      <c r="BX15" s="222">
        <f>'Top4 Domestic'!D35</f>
        <v>0.1836357433012783</v>
      </c>
      <c r="BY15" s="222">
        <f>'Top4 Domestic'!E35</f>
        <v>2.9102031582612486E-2</v>
      </c>
      <c r="BZ15" s="222">
        <f>'Top4 Domestic'!F35</f>
        <v>8.8346615881295998E-2</v>
      </c>
      <c r="CA15" s="222">
        <f>'Top4 Domestic'!G35</f>
        <v>5.0526551831053812E-2</v>
      </c>
      <c r="CB15" s="222">
        <f>'Top4 Domestic'!H35</f>
        <v>5.769558447747114E-2</v>
      </c>
      <c r="CC15" s="222">
        <f>'Top4 Domestic'!I35</f>
        <v>0.10282006362163543</v>
      </c>
      <c r="CD15" s="222">
        <f>'Top4 Domestic'!J35</f>
        <v>9.746662069745704E-2</v>
      </c>
      <c r="CE15" s="222">
        <f>'Top4 Domestic'!K35</f>
        <v>9.9177713392202937E-2</v>
      </c>
      <c r="CF15" s="222">
        <f>'Top4 Domestic'!L35</f>
        <v>8.2175928351619243E-2</v>
      </c>
      <c r="CG15" s="225">
        <f>'Top4 Domestic'!M35</f>
        <v>4.9103380624458959E-2</v>
      </c>
      <c r="CH15" s="226">
        <f>'Top4 Domestic'!O17</f>
        <v>99717.330000000016</v>
      </c>
      <c r="CI15" s="218">
        <f>'Top4 Domestic'!P17</f>
        <v>99766.720000000001</v>
      </c>
      <c r="CJ15" s="227">
        <f>'Top4 Domestic'!Q17</f>
        <v>111451.15</v>
      </c>
      <c r="CK15" s="218">
        <f>'Top4 Domestic'!R17</f>
        <v>102011.03</v>
      </c>
      <c r="CL15" s="218">
        <f>'Top4 Domestic'!S17</f>
        <v>412946.23</v>
      </c>
      <c r="CM15" s="222">
        <f>'Top4 Domestic'!B17</f>
        <v>34540.980000000003</v>
      </c>
      <c r="CN15" s="222">
        <f>'Top4 Domestic'!C17</f>
        <v>33231.440000000002</v>
      </c>
      <c r="CO15" s="222">
        <f>'Top4 Domestic'!D17</f>
        <v>31944.909999999996</v>
      </c>
      <c r="CP15" s="222">
        <f>'Top4 Domestic'!E17</f>
        <v>32605.989999999998</v>
      </c>
      <c r="CQ15" s="222">
        <f>'Top4 Domestic'!F17</f>
        <v>34442.480000000003</v>
      </c>
      <c r="CR15" s="222">
        <f>'Top4 Domestic'!G17</f>
        <v>32718.25</v>
      </c>
      <c r="CS15" s="222">
        <f>'Top4 Domestic'!H17</f>
        <v>38033.009999999995</v>
      </c>
      <c r="CT15" s="222">
        <f>'Top4 Domestic'!I17</f>
        <v>39865.24</v>
      </c>
      <c r="CU15" s="222">
        <f>'Top4 Domestic'!J17</f>
        <v>33552.9</v>
      </c>
      <c r="CV15" s="222">
        <f>'Top4 Domestic'!K17</f>
        <v>36975.81</v>
      </c>
      <c r="CW15" s="222">
        <f>'Top4 Domestic'!L17</f>
        <v>32613.79</v>
      </c>
      <c r="CX15" s="223">
        <f>'Top4 Domestic'!M17</f>
        <v>32421.43</v>
      </c>
      <c r="CY15" s="225" t="e">
        <f>'Top4 Domestic'!#REF!</f>
        <v>#REF!</v>
      </c>
      <c r="CZ15" s="225" t="e">
        <f>'Top4 Domestic'!#REF!</f>
        <v>#REF!</v>
      </c>
      <c r="DA15" s="225"/>
      <c r="DB15" s="225"/>
      <c r="DC15" s="225"/>
      <c r="DD15" s="222">
        <f>'Top4 Domestic'!B11</f>
        <v>-3.7538309567360484E-2</v>
      </c>
      <c r="DE15" s="222">
        <f>'Top4 Domestic'!C11</f>
        <v>9.8626481428430335E-2</v>
      </c>
      <c r="DF15" s="222">
        <f>'Top4 Domestic'!D11</f>
        <v>0.11001971832132251</v>
      </c>
      <c r="DG15" s="222">
        <f>'Top4 Domestic'!E11</f>
        <v>-7.1916233796305296E-3</v>
      </c>
      <c r="DH15" s="222">
        <f>'Top4 Domestic'!F11</f>
        <v>-9.2958172582229825E-2</v>
      </c>
      <c r="DI15" s="222">
        <f>'Top4 Domestic'!G11</f>
        <v>-7.8456518915284268E-2</v>
      </c>
      <c r="DJ15" s="222">
        <f>'Top4 Domestic'!H11</f>
        <v>5.3006848524479455E-2</v>
      </c>
      <c r="DK15" s="222">
        <f>'Top4 Domestic'!I5</f>
        <v>0</v>
      </c>
      <c r="DL15" s="222">
        <f>'Top4 Domestic'!J5</f>
        <v>0</v>
      </c>
      <c r="DM15" s="222">
        <f>'Top4 Domestic'!K5</f>
        <v>0</v>
      </c>
      <c r="DN15" s="222">
        <f>'Top4 Domestic'!L5</f>
        <v>0</v>
      </c>
      <c r="DO15" s="222">
        <f>'Top4 Domestic'!M5</f>
        <v>0</v>
      </c>
      <c r="DP15" s="581"/>
    </row>
    <row r="16" spans="1:120">
      <c r="A16" s="354" t="s">
        <v>111</v>
      </c>
      <c r="B16" s="355"/>
      <c r="C16" s="355"/>
      <c r="D16" s="355"/>
      <c r="E16" s="355"/>
      <c r="F16" s="355"/>
      <c r="G16" s="356"/>
      <c r="H16" s="356"/>
      <c r="I16" s="356"/>
      <c r="J16" s="356"/>
      <c r="K16" s="355"/>
      <c r="L16" s="356"/>
      <c r="M16" s="356"/>
      <c r="N16" s="356"/>
      <c r="O16" s="357"/>
      <c r="P16" s="358"/>
      <c r="Q16" s="356"/>
      <c r="R16" s="359"/>
      <c r="S16" s="359"/>
      <c r="T16" s="359"/>
      <c r="U16" s="359"/>
      <c r="V16" s="359"/>
      <c r="W16" s="360"/>
      <c r="X16" s="360"/>
      <c r="Y16" s="360"/>
      <c r="Z16" s="360"/>
      <c r="AA16" s="360"/>
      <c r="AB16" s="360"/>
      <c r="AC16" s="360"/>
      <c r="AD16" s="360"/>
      <c r="AE16" s="360"/>
      <c r="AF16" s="360"/>
      <c r="AG16" s="360"/>
      <c r="AH16" s="360"/>
      <c r="AI16" s="359"/>
      <c r="AJ16" s="359"/>
      <c r="AK16" s="359"/>
      <c r="AL16" s="359"/>
      <c r="AM16" s="359"/>
      <c r="AN16" s="360"/>
      <c r="AO16" s="360"/>
      <c r="AP16" s="360"/>
      <c r="AQ16" s="360"/>
      <c r="AR16" s="360"/>
      <c r="AS16" s="360"/>
      <c r="AT16" s="360"/>
      <c r="AU16" s="360"/>
      <c r="AV16" s="360"/>
      <c r="AW16" s="360"/>
      <c r="AX16" s="360"/>
      <c r="AY16" s="361"/>
      <c r="AZ16" s="228"/>
      <c r="BA16" s="229"/>
      <c r="BB16" s="229"/>
      <c r="BC16" s="230"/>
      <c r="BD16" s="231"/>
      <c r="BE16" s="232"/>
      <c r="BF16" s="233"/>
      <c r="BG16" s="233"/>
      <c r="BH16" s="233"/>
      <c r="BI16" s="233"/>
      <c r="BJ16" s="233"/>
      <c r="BK16" s="233"/>
      <c r="BL16" s="233"/>
      <c r="BM16" s="233"/>
      <c r="BN16" s="233"/>
      <c r="BO16" s="233"/>
      <c r="BP16" s="234"/>
      <c r="BQ16" s="228">
        <f>'Top4 Intl.+Reg'!O206</f>
        <v>0</v>
      </c>
      <c r="BR16" s="228">
        <f>'Top4 Intl.+Reg'!P206</f>
        <v>0</v>
      </c>
      <c r="BS16" s="228">
        <f>'Top4 Intl.+Reg'!Q206</f>
        <v>0</v>
      </c>
      <c r="BT16" s="228">
        <f>'Top4 Intl.+Reg'!R206</f>
        <v>0</v>
      </c>
      <c r="BU16" s="229">
        <f>'Top4 Intl.+Reg'!S206</f>
        <v>0</v>
      </c>
      <c r="BV16" s="235"/>
      <c r="BW16" s="233"/>
      <c r="BX16" s="233"/>
      <c r="BY16" s="233"/>
      <c r="BZ16" s="233"/>
      <c r="CA16" s="233"/>
      <c r="CB16" s="233"/>
      <c r="CC16" s="233"/>
      <c r="CD16" s="233"/>
      <c r="CE16" s="233">
        <f>'Top4 Intl.+Reg'!K206</f>
        <v>0</v>
      </c>
      <c r="CF16" s="233">
        <f>'Top4 Intl.+Reg'!L206</f>
        <v>0</v>
      </c>
      <c r="CG16" s="236">
        <f>'Top4 Intl.+Reg'!M206</f>
        <v>0</v>
      </c>
      <c r="CH16" s="237">
        <f>'Top4 Intl.+Reg'!O149</f>
        <v>0</v>
      </c>
      <c r="CI16" s="229">
        <f>'Top4 Intl.+Reg'!P149</f>
        <v>0</v>
      </c>
      <c r="CJ16" s="238">
        <f>'Top4 Intl.+Reg'!Q149</f>
        <v>0</v>
      </c>
      <c r="CK16" s="229">
        <f>'Top4 Intl.+Reg'!R149</f>
        <v>0</v>
      </c>
      <c r="CL16" s="229">
        <f>'Top4 Intl.+Reg'!S149</f>
        <v>0</v>
      </c>
      <c r="CM16" s="233">
        <f>'Top4 Intl.+Reg'!B149</f>
        <v>0</v>
      </c>
      <c r="CN16" s="233">
        <f>'Top4 Intl.+Reg'!C149</f>
        <v>0</v>
      </c>
      <c r="CO16" s="233">
        <f>'Top4 Intl.+Reg'!D149</f>
        <v>0</v>
      </c>
      <c r="CP16" s="233">
        <f>'Top4 Intl.+Reg'!E149</f>
        <v>0</v>
      </c>
      <c r="CQ16" s="233">
        <f>'Top4 Intl.+Reg'!F149</f>
        <v>0</v>
      </c>
      <c r="CR16" s="233">
        <f>'Top4 Intl.+Reg'!G149</f>
        <v>0</v>
      </c>
      <c r="CS16" s="233">
        <f>'Top4 Intl.+Reg'!H149</f>
        <v>0</v>
      </c>
      <c r="CT16" s="233">
        <f>'Top4 Intl.+Reg'!I149</f>
        <v>0</v>
      </c>
      <c r="CU16" s="233">
        <f>'Top4 Intl.+Reg'!J149</f>
        <v>0</v>
      </c>
      <c r="CV16" s="233">
        <f>'Top4 Intl.+Reg'!K149</f>
        <v>0</v>
      </c>
      <c r="CW16" s="233">
        <f>'Top4 Intl.+Reg'!L149</f>
        <v>0</v>
      </c>
      <c r="CX16" s="234">
        <f>'Top4 Intl.+Reg'!M149</f>
        <v>0</v>
      </c>
      <c r="CY16" s="236">
        <f>'Top4 Intl.+Reg'!O93</f>
        <v>0</v>
      </c>
      <c r="CZ16" s="236">
        <f>'Top4 Intl.+Reg'!P93</f>
        <v>0</v>
      </c>
      <c r="DA16" s="236"/>
      <c r="DB16" s="236"/>
      <c r="DC16" s="236"/>
      <c r="DD16" s="233">
        <f>'Top4 Intl.+Reg'!B11</f>
        <v>1.8060349554096744E-2</v>
      </c>
      <c r="DE16" s="233">
        <f>'Top4 Intl.+Reg'!C11</f>
        <v>0.19935347507149048</v>
      </c>
      <c r="DF16" s="233">
        <f>'Top4 Intl.+Reg'!D11</f>
        <v>0.18233329608344939</v>
      </c>
      <c r="DG16" s="233">
        <f>'Top4 Intl.+Reg'!E11</f>
        <v>6.3888364945845488E-2</v>
      </c>
      <c r="DH16" s="233">
        <f>'Top4 Intl.+Reg'!F11</f>
        <v>1.0748143123032294E-2</v>
      </c>
      <c r="DI16" s="233">
        <f>'Top4 Intl.+Reg'!G11</f>
        <v>-3.6464303208971427E-2</v>
      </c>
      <c r="DJ16" s="233">
        <f>'Top4 Intl.+Reg'!H11</f>
        <v>6.0466022394113361E-2</v>
      </c>
      <c r="DK16" s="233" t="e">
        <f>'Top4 Intl.+Reg'!I55</f>
        <v>#DIV/0!</v>
      </c>
      <c r="DL16" s="233" t="e">
        <f>'Top4 Intl.+Reg'!J55</f>
        <v>#DIV/0!</v>
      </c>
      <c r="DM16" s="233" t="e">
        <f>'Top4 Intl.+Reg'!K55</f>
        <v>#DIV/0!</v>
      </c>
      <c r="DN16" s="233" t="e">
        <f>'Top4 Intl.+Reg'!L55</f>
        <v>#DIV/0!</v>
      </c>
      <c r="DO16" s="233" t="e">
        <f>'Top4 Intl.+Reg'!M55</f>
        <v>#DIV/0!</v>
      </c>
      <c r="DP16" s="580" t="s">
        <v>100</v>
      </c>
    </row>
    <row r="17" spans="1:120">
      <c r="A17" s="318" t="s">
        <v>112</v>
      </c>
      <c r="B17" s="337"/>
      <c r="C17" s="337"/>
      <c r="D17" s="337"/>
      <c r="E17" s="337"/>
      <c r="F17" s="337"/>
      <c r="G17" s="338"/>
      <c r="H17" s="338"/>
      <c r="I17" s="338"/>
      <c r="J17" s="338"/>
      <c r="K17" s="339"/>
      <c r="L17" s="338"/>
      <c r="M17" s="338"/>
      <c r="N17" s="338"/>
      <c r="O17" s="340"/>
      <c r="P17" s="341"/>
      <c r="Q17" s="338"/>
      <c r="R17" s="342">
        <f>'Top4 Intl.+Reg'!O433</f>
        <v>0</v>
      </c>
      <c r="S17" s="342">
        <f>'Top4 Intl.+Reg'!P433</f>
        <v>0</v>
      </c>
      <c r="T17" s="342">
        <f>'Top4 Intl.+Reg'!Q433</f>
        <v>0</v>
      </c>
      <c r="U17" s="342">
        <f>'Top4 Intl.+Reg'!R433</f>
        <v>0</v>
      </c>
      <c r="V17" s="342">
        <f>'Top4 Intl.+Reg'!S433</f>
        <v>0</v>
      </c>
      <c r="W17" s="343">
        <f>'Top4 Intl.+Reg'!B433</f>
        <v>6.4418260689457885E-2</v>
      </c>
      <c r="X17" s="343">
        <f>'Top4 Intl.+Reg'!C433</f>
        <v>-7.6821250133607411E-3</v>
      </c>
      <c r="Y17" s="343">
        <f>'Top4 Intl.+Reg'!D433</f>
        <v>-2.2144889109840471E-2</v>
      </c>
      <c r="Z17" s="343">
        <f>'Top4 Intl.+Reg'!E433</f>
        <v>8.2586738671153181E-3</v>
      </c>
      <c r="AA17" s="343">
        <f>'Top4 Intl.+Reg'!F433</f>
        <v>8.8129173950068918E-3</v>
      </c>
      <c r="AB17" s="343">
        <f>'Top4 Intl.+Reg'!G433</f>
        <v>6.0535040902804926E-3</v>
      </c>
      <c r="AC17" s="343">
        <f>'Top4 Intl.+Reg'!H433</f>
        <v>3.5942390602315077E-2</v>
      </c>
      <c r="AD17" s="343">
        <f>'Top4 Intl.+Reg'!I433</f>
        <v>1.657767688716949E-2</v>
      </c>
      <c r="AE17" s="343">
        <f>'Top4 Intl.+Reg'!J433</f>
        <v>-0.13316349797927374</v>
      </c>
      <c r="AF17" s="343">
        <f>'Top4 Intl.+Reg'!K433</f>
        <v>1.2741203006609414E-2</v>
      </c>
      <c r="AG17" s="343">
        <f>'Top4 Intl.+Reg'!L433</f>
        <v>-1.4557309704076982E-2</v>
      </c>
      <c r="AH17" s="343">
        <f>'Top4 Intl.+Reg'!M433</f>
        <v>3.2647026745355578E-2</v>
      </c>
      <c r="AI17" s="342">
        <f>'Top4 Intl.+Reg'!O374</f>
        <v>0</v>
      </c>
      <c r="AJ17" s="342">
        <f>'Top4 Intl.+Reg'!P374</f>
        <v>0</v>
      </c>
      <c r="AK17" s="342">
        <f>'Top4 Intl.+Reg'!Q374</f>
        <v>0</v>
      </c>
      <c r="AL17" s="342">
        <f>'Top4 Intl.+Reg'!R374</f>
        <v>0</v>
      </c>
      <c r="AM17" s="342">
        <f>AVERAGE(AN17:AY17)</f>
        <v>-0.1218932176167586</v>
      </c>
      <c r="AN17" s="343">
        <f>'Top4 Intl.+Reg'!B374</f>
        <v>6.68207902550082E-2</v>
      </c>
      <c r="AO17" s="343">
        <f>'Top4 Intl.+Reg'!C374</f>
        <v>-0.82582199390585986</v>
      </c>
      <c r="AP17" s="343">
        <f>'Top4 Intl.+Reg'!D374</f>
        <v>-0.53612479474548436</v>
      </c>
      <c r="AQ17" s="343">
        <f>'Top4 Intl.+Reg'!E374</f>
        <v>-0.856569094622192</v>
      </c>
      <c r="AR17" s="343">
        <f>'Top4 Intl.+Reg'!F374</f>
        <v>0.2496440436639773</v>
      </c>
      <c r="AS17" s="343">
        <f>'Top4 Intl.+Reg'!G374</f>
        <v>0.18685909608811224</v>
      </c>
      <c r="AT17" s="343">
        <f>'Top4 Intl.+Reg'!H374</f>
        <v>0.2255999999999998</v>
      </c>
      <c r="AU17" s="343">
        <f>'Top4 Intl.+Reg'!I374</f>
        <v>1.0443864229765065E-2</v>
      </c>
      <c r="AV17" s="343">
        <f>'Top4 Intl.+Reg'!J374</f>
        <v>-3.2299741602067167E-2</v>
      </c>
      <c r="AW17" s="343">
        <f>'Top4 Intl.+Reg'!K374</f>
        <v>0.10226969292389843</v>
      </c>
      <c r="AX17" s="343">
        <f>'Top4 Intl.+Reg'!L374</f>
        <v>-0.13226744186046513</v>
      </c>
      <c r="AY17" s="344">
        <f>'Top4 Intl.+Reg'!M374</f>
        <v>7.8726968174204437E-2</v>
      </c>
      <c r="AZ17" s="128">
        <f>'Top4 Intl.+Reg'!O315</f>
        <v>-0.92557864426674497</v>
      </c>
      <c r="BA17" s="112">
        <f>'Top4 Intl.+Reg'!P315</f>
        <v>0.43441396508728203</v>
      </c>
      <c r="BB17" s="112">
        <f>'Top4 Intl.+Reg'!Q315</f>
        <v>-0.23638222717977309</v>
      </c>
      <c r="BC17" s="114">
        <f>'Top4 Intl.+Reg'!R315</f>
        <v>-0.36641675048002198</v>
      </c>
      <c r="BD17" s="141">
        <f>'Top4 Intl.+Reg'!S315</f>
        <v>-0.7668289972067448</v>
      </c>
      <c r="BE17" s="115">
        <f>'Top4 Intl.+Reg'!B315</f>
        <v>-0.96614577593617068</v>
      </c>
      <c r="BF17" s="116">
        <f>'Top4 Intl.+Reg'!C315</f>
        <v>-0.83095565486421452</v>
      </c>
      <c r="BG17" s="116">
        <f>'Top4 Intl.+Reg'!D315</f>
        <v>-0.5387556221889056</v>
      </c>
      <c r="BH17" s="116">
        <f>'Top4 Intl.+Reg'!E315</f>
        <v>1.0755480607082633</v>
      </c>
      <c r="BI17" s="116">
        <f>'Top4 Intl.+Reg'!F315</f>
        <v>0.50143490738325069</v>
      </c>
      <c r="BJ17" s="116">
        <f>'Top4 Intl.+Reg'!G315</f>
        <v>2.1980122324158913E-2</v>
      </c>
      <c r="BK17" s="116">
        <f>'Top4 Intl.+Reg'!H315</f>
        <v>-8.1414473684210509E-2</v>
      </c>
      <c r="BL17" s="116">
        <f>'Top4 Intl.+Reg'!I315</f>
        <v>-0.24619151251360172</v>
      </c>
      <c r="BM17" s="116">
        <f>'Top4 Intl.+Reg'!J315</f>
        <v>-0.34401286491835725</v>
      </c>
      <c r="BN17" s="116">
        <f>'Top4 Intl.+Reg'!K315</f>
        <v>-0.44936293182713771</v>
      </c>
      <c r="BO17" s="116">
        <f>'Top4 Intl.+Reg'!L315</f>
        <v>-0.3803150704028998</v>
      </c>
      <c r="BP17" s="117">
        <f>'Top4 Intl.+Reg'!M315</f>
        <v>-0.26326185101580135</v>
      </c>
      <c r="BQ17" s="128">
        <f>'Top4 Intl.+Reg'!O244</f>
        <v>0</v>
      </c>
      <c r="BR17" s="112">
        <f>'Top4 Intl.+Reg'!P244</f>
        <v>0</v>
      </c>
      <c r="BS17" s="112">
        <f>'Top4 Intl.+Reg'!Q244</f>
        <v>0</v>
      </c>
      <c r="BT17" s="112">
        <f>'Top4 Intl.+Reg'!R244</f>
        <v>0</v>
      </c>
      <c r="BU17" s="112">
        <f>'Top4 Intl.+Reg'!S244</f>
        <v>0</v>
      </c>
      <c r="BV17" s="149">
        <f>'Top4 Intl.+Reg'!B244</f>
        <v>0</v>
      </c>
      <c r="BW17" s="116">
        <f>'Top4 Intl.+Reg'!C244</f>
        <v>0</v>
      </c>
      <c r="BX17" s="116">
        <f>'Top4 Intl.+Reg'!D244</f>
        <v>0</v>
      </c>
      <c r="BY17" s="116">
        <f>'Top4 Intl.+Reg'!E244</f>
        <v>0</v>
      </c>
      <c r="BZ17" s="116">
        <f>'Top4 Intl.+Reg'!F244</f>
        <v>0</v>
      </c>
      <c r="CA17" s="116">
        <f>'Top4 Intl.+Reg'!G244</f>
        <v>0</v>
      </c>
      <c r="CB17" s="116">
        <f>'Top4 Intl.+Reg'!H244</f>
        <v>0</v>
      </c>
      <c r="CC17" s="116">
        <f>'Top4 Intl.+Reg'!I244</f>
        <v>0</v>
      </c>
      <c r="CD17" s="116">
        <f>'Top4 Intl.+Reg'!J244</f>
        <v>0</v>
      </c>
      <c r="CE17" s="116">
        <f>'Top4 Intl.+Reg'!K244</f>
        <v>0</v>
      </c>
      <c r="CF17" s="116">
        <f>'Top4 Intl.+Reg'!L244</f>
        <v>0</v>
      </c>
      <c r="CG17" s="195">
        <f>'Top4 Intl.+Reg'!M244</f>
        <v>0</v>
      </c>
      <c r="CH17" s="128">
        <f>'Top4 Intl.+Reg'!O187</f>
        <v>0</v>
      </c>
      <c r="CI17" s="112">
        <f>'Top4 Intl.+Reg'!P187</f>
        <v>0</v>
      </c>
      <c r="CJ17" s="113">
        <f>'Top4 Intl.+Reg'!Q187</f>
        <v>0</v>
      </c>
      <c r="CK17" s="112">
        <f>'Top4 Intl.+Reg'!R187</f>
        <v>0</v>
      </c>
      <c r="CL17" s="112">
        <f>'Top4 Intl.+Reg'!S187</f>
        <v>0</v>
      </c>
      <c r="CM17" s="116">
        <f>'Top4 Intl.+Reg'!B187</f>
        <v>0</v>
      </c>
      <c r="CN17" s="116">
        <f>'Top4 Intl.+Reg'!C187</f>
        <v>0</v>
      </c>
      <c r="CO17" s="116">
        <f>'Top4 Intl.+Reg'!D187</f>
        <v>0</v>
      </c>
      <c r="CP17" s="116">
        <f>'Top4 Intl.+Reg'!E187</f>
        <v>0</v>
      </c>
      <c r="CQ17" s="116">
        <f>'Top4 Intl.+Reg'!F187</f>
        <v>0</v>
      </c>
      <c r="CR17" s="116">
        <f>'Top4 Intl.+Reg'!G187</f>
        <v>0</v>
      </c>
      <c r="CS17" s="116">
        <f>'Top4 Intl.+Reg'!H187</f>
        <v>0</v>
      </c>
      <c r="CT17" s="116">
        <f>'Top4 Intl.+Reg'!I187</f>
        <v>0</v>
      </c>
      <c r="CU17" s="116">
        <f>'Top4 Intl.+Reg'!J187</f>
        <v>0</v>
      </c>
      <c r="CV17" s="116">
        <f>'Top4 Intl.+Reg'!K187</f>
        <v>0</v>
      </c>
      <c r="CW17" s="116">
        <f>'Top4 Intl.+Reg'!L187</f>
        <v>0</v>
      </c>
      <c r="CX17" s="117">
        <f>'Top4 Intl.+Reg'!M187</f>
        <v>0</v>
      </c>
      <c r="CY17" s="195">
        <f>'Top4 Intl.+Reg'!O131</f>
        <v>0</v>
      </c>
      <c r="CZ17" s="195">
        <f>'Top4 Intl.+Reg'!P131</f>
        <v>0</v>
      </c>
      <c r="DA17" s="195"/>
      <c r="DB17" s="195"/>
      <c r="DC17" s="195"/>
      <c r="DD17" s="116">
        <f>'Top4 Intl.+Reg'!B49</f>
        <v>4.5889015736566563E-4</v>
      </c>
      <c r="DE17" s="116">
        <f>'Top4 Intl.+Reg'!C49</f>
        <v>0.27438154138915305</v>
      </c>
      <c r="DF17" s="116">
        <f>'Top4 Intl.+Reg'!D49</f>
        <v>0.15786001392774662</v>
      </c>
      <c r="DG17" s="116">
        <f>'Top4 Intl.+Reg'!E49</f>
        <v>3.2633766471031445E-2</v>
      </c>
      <c r="DH17" s="116">
        <f>'Top4 Intl.+Reg'!F49</f>
        <v>-2.288052561812004E-2</v>
      </c>
      <c r="DI17" s="116">
        <f>'Top4 Intl.+Reg'!G49</f>
        <v>-7.1197155274594914E-2</v>
      </c>
      <c r="DJ17" s="116">
        <f>'Top4 Intl.+Reg'!H49</f>
        <v>-3.8010872625674486E-3</v>
      </c>
      <c r="DK17" s="116">
        <f>'Top4 Intl.+Reg'!I92</f>
        <v>0.10926855661917934</v>
      </c>
      <c r="DL17" s="116">
        <f>'Top4 Intl.+Reg'!J92</f>
        <v>7.5556262347075354E-2</v>
      </c>
      <c r="DM17" s="116">
        <f>'Top4 Intl.+Reg'!K92</f>
        <v>0.18840612150338076</v>
      </c>
      <c r="DN17" s="116">
        <f>'Top4 Intl.+Reg'!L92</f>
        <v>0.18056153745018655</v>
      </c>
      <c r="DO17" s="116">
        <f>'Top4 Intl.+Reg'!M92</f>
        <v>0.12629326631203108</v>
      </c>
      <c r="DP17" s="581"/>
    </row>
    <row r="18" spans="1:120" ht="16" customHeight="1" thickBot="1">
      <c r="A18" s="326" t="s">
        <v>113</v>
      </c>
      <c r="B18" s="362"/>
      <c r="C18" s="362"/>
      <c r="D18" s="362"/>
      <c r="E18" s="362"/>
      <c r="F18" s="362"/>
      <c r="G18" s="327"/>
      <c r="H18" s="327"/>
      <c r="I18" s="327"/>
      <c r="J18" s="327"/>
      <c r="K18" s="329"/>
      <c r="L18" s="327"/>
      <c r="M18" s="327"/>
      <c r="N18" s="327"/>
      <c r="O18" s="328"/>
      <c r="P18" s="330"/>
      <c r="Q18" s="327"/>
      <c r="R18" s="331">
        <f>'Top4 Intl.+Reg'!O416</f>
        <v>5592.08</v>
      </c>
      <c r="S18" s="331">
        <f>'Top4 Intl.+Reg'!P416</f>
        <v>5598.34</v>
      </c>
      <c r="T18" s="331">
        <f>'Top4 Intl.+Reg'!Q416</f>
        <v>6143.93</v>
      </c>
      <c r="U18" s="331">
        <f>'Top4 Intl.+Reg'!R416</f>
        <v>5590.59</v>
      </c>
      <c r="V18" s="331">
        <f>'Top4 Intl.+Reg'!S416</f>
        <v>22924.940000000002</v>
      </c>
      <c r="W18" s="332">
        <f>'Top4 Intl.+Reg'!B416</f>
        <v>1891.3100000000002</v>
      </c>
      <c r="X18" s="332">
        <f>'Top4 Intl.+Reg'!C416</f>
        <v>1843.97</v>
      </c>
      <c r="Y18" s="332">
        <f>'Top4 Intl.+Reg'!D416</f>
        <v>1856.8</v>
      </c>
      <c r="Z18" s="332">
        <f>'Top4 Intl.+Reg'!E416</f>
        <v>1894.33</v>
      </c>
      <c r="AA18" s="332">
        <f>'Top4 Intl.+Reg'!F416</f>
        <v>1839.95</v>
      </c>
      <c r="AB18" s="332">
        <f>'Top4 Intl.+Reg'!G416</f>
        <v>1864.06</v>
      </c>
      <c r="AC18" s="332">
        <f>'Top4 Intl.+Reg'!H416</f>
        <v>2108.59</v>
      </c>
      <c r="AD18" s="332">
        <f>'Top4 Intl.+Reg'!I416</f>
        <v>2188.96</v>
      </c>
      <c r="AE18" s="332">
        <f>'Top4 Intl.+Reg'!J416</f>
        <v>1846.38</v>
      </c>
      <c r="AF18" s="332">
        <f>'Top4 Intl.+Reg'!K416</f>
        <v>1851.13</v>
      </c>
      <c r="AG18" s="332">
        <f>'Top4 Intl.+Reg'!L416</f>
        <v>1799.73</v>
      </c>
      <c r="AH18" s="332">
        <f>'Top4 Intl.+Reg'!M416</f>
        <v>1939.73</v>
      </c>
      <c r="AI18" s="331">
        <f>'Top4 Intl.+Reg'!O357</f>
        <v>2333.91</v>
      </c>
      <c r="AJ18" s="331">
        <f>'Top4 Intl.+Reg'!P357</f>
        <v>128.80000000000001</v>
      </c>
      <c r="AK18" s="331">
        <f>'Top4 Intl.+Reg'!Q357</f>
        <v>234.03000000000003</v>
      </c>
      <c r="AL18" s="331">
        <f>'Top4 Intl.+Reg'!R357</f>
        <v>251.65</v>
      </c>
      <c r="AM18" s="331">
        <f>AVERAGE(AN18:AY18)</f>
        <v>245.69916666666666</v>
      </c>
      <c r="AN18" s="332">
        <f>'Top4 Intl.+Reg'!B357</f>
        <v>1951.8999999999999</v>
      </c>
      <c r="AO18" s="332">
        <f>'Top4 Intl.+Reg'!C357</f>
        <v>243.77</v>
      </c>
      <c r="AP18" s="332">
        <f>'Top4 Intl.+Reg'!D357</f>
        <v>138.24</v>
      </c>
      <c r="AQ18" s="332">
        <f>'Top4 Intl.+Reg'!E357</f>
        <v>30.509999999999998</v>
      </c>
      <c r="AR18" s="332">
        <f>'Top4 Intl.+Reg'!F357</f>
        <v>41.18</v>
      </c>
      <c r="AS18" s="332">
        <f>'Top4 Intl.+Reg'!G357</f>
        <v>57.11</v>
      </c>
      <c r="AT18" s="332">
        <f>'Top4 Intl.+Reg'!H357</f>
        <v>67.41</v>
      </c>
      <c r="AU18" s="332">
        <f>'Top4 Intl.+Reg'!I357</f>
        <v>77.83</v>
      </c>
      <c r="AV18" s="332">
        <f>'Top4 Intl.+Reg'!J357</f>
        <v>88.79</v>
      </c>
      <c r="AW18" s="332">
        <f>'Top4 Intl.+Reg'!K357</f>
        <v>86.36</v>
      </c>
      <c r="AX18" s="332">
        <f>'Top4 Intl.+Reg'!L357</f>
        <v>82.36</v>
      </c>
      <c r="AY18" s="363">
        <f>'Top4 Intl.+Reg'!M357</f>
        <v>82.929999999999993</v>
      </c>
      <c r="AZ18" s="134">
        <f>'Top4 Intl.+Reg'!O290</f>
        <v>0</v>
      </c>
      <c r="BA18" s="122">
        <f>'Top4 Intl.+Reg'!P290</f>
        <v>0</v>
      </c>
      <c r="BB18" s="122">
        <f>'Top4 Intl.+Reg'!Q290</f>
        <v>0</v>
      </c>
      <c r="BC18" s="139">
        <f>'Top4 Intl.+Reg'!R290</f>
        <v>0</v>
      </c>
      <c r="BD18" s="142">
        <f>'Top4 Intl.+Reg'!S290</f>
        <v>0</v>
      </c>
      <c r="BE18" s="123">
        <f>'Top4 Intl.+Reg'!B290</f>
        <v>0</v>
      </c>
      <c r="BF18" s="124">
        <f>'Top4 Intl.+Reg'!C290</f>
        <v>0</v>
      </c>
      <c r="BG18" s="124">
        <f>'Top4 Intl.+Reg'!D290</f>
        <v>0</v>
      </c>
      <c r="BH18" s="124">
        <f>'Top4 Intl.+Reg'!E290</f>
        <v>0</v>
      </c>
      <c r="BI18" s="124">
        <f>'Top4 Intl.+Reg'!F290</f>
        <v>0</v>
      </c>
      <c r="BJ18" s="124">
        <f>'Top4 Intl.+Reg'!G290</f>
        <v>0</v>
      </c>
      <c r="BK18" s="124">
        <f>'Top4 Intl.+Reg'!H290</f>
        <v>0</v>
      </c>
      <c r="BL18" s="124">
        <f>'Top4 Intl.+Reg'!I290</f>
        <v>0</v>
      </c>
      <c r="BM18" s="124">
        <f>'Top4 Intl.+Reg'!J290</f>
        <v>0</v>
      </c>
      <c r="BN18" s="124">
        <f>'Top4 Intl.+Reg'!K290</f>
        <v>0</v>
      </c>
      <c r="BO18" s="124">
        <f>'Top4 Intl.+Reg'!L290</f>
        <v>0</v>
      </c>
      <c r="BP18" s="125">
        <f>'Top4 Intl.+Reg'!M290</f>
        <v>0</v>
      </c>
      <c r="BQ18" s="134">
        <f>'Top4 Intl.+Reg'!O225</f>
        <v>0</v>
      </c>
      <c r="BR18" s="122">
        <f>'Top4 Intl.+Reg'!P225</f>
        <v>0</v>
      </c>
      <c r="BS18" s="122">
        <f>'Top4 Intl.+Reg'!Q225</f>
        <v>0</v>
      </c>
      <c r="BT18" s="122">
        <f>'Top4 Intl.+Reg'!R225</f>
        <v>0</v>
      </c>
      <c r="BU18" s="122">
        <f>'Top4 Intl.+Reg'!S225</f>
        <v>0</v>
      </c>
      <c r="BV18" s="150">
        <f>'Top4 Intl.+Reg'!B225</f>
        <v>0</v>
      </c>
      <c r="BW18" s="124">
        <f>'Top4 Intl.+Reg'!C225</f>
        <v>0</v>
      </c>
      <c r="BX18" s="124">
        <f>'Top4 Intl.+Reg'!D225</f>
        <v>0</v>
      </c>
      <c r="BY18" s="124">
        <f>'Top4 Intl.+Reg'!E225</f>
        <v>0</v>
      </c>
      <c r="BZ18" s="124">
        <f>'Top4 Intl.+Reg'!F225</f>
        <v>0</v>
      </c>
      <c r="CA18" s="124">
        <f>'Top4 Intl.+Reg'!G225</f>
        <v>0</v>
      </c>
      <c r="CB18" s="124">
        <f>'Top4 Intl.+Reg'!H225</f>
        <v>0</v>
      </c>
      <c r="CC18" s="124">
        <f>'Top4 Intl.+Reg'!I225</f>
        <v>0</v>
      </c>
      <c r="CD18" s="124">
        <f>'Top4 Intl.+Reg'!J225</f>
        <v>0</v>
      </c>
      <c r="CE18" s="124">
        <f>'Top4 Intl.+Reg'!K225</f>
        <v>0</v>
      </c>
      <c r="CF18" s="124">
        <f>'Top4 Intl.+Reg'!L225</f>
        <v>0</v>
      </c>
      <c r="CG18" s="196">
        <f>'Top4 Intl.+Reg'!M225</f>
        <v>0</v>
      </c>
      <c r="CH18" s="134">
        <f>'Top4 Intl.+Reg'!O168</f>
        <v>0</v>
      </c>
      <c r="CI18" s="191">
        <f>'Top4 Intl.+Reg'!P168</f>
        <v>0</v>
      </c>
      <c r="CJ18" s="139">
        <f>'Top4 Intl.+Reg'!Q168</f>
        <v>0</v>
      </c>
      <c r="CK18" s="191">
        <f>'Top4 Intl.+Reg'!R168</f>
        <v>0</v>
      </c>
      <c r="CL18" s="191">
        <f>'Top4 Intl.+Reg'!S168</f>
        <v>0</v>
      </c>
      <c r="CM18" s="124">
        <f>'Top4 Intl.+Reg'!B168</f>
        <v>0</v>
      </c>
      <c r="CN18" s="124">
        <f>'Top4 Intl.+Reg'!C168</f>
        <v>0</v>
      </c>
      <c r="CO18" s="124">
        <f>'Top4 Intl.+Reg'!D168</f>
        <v>0</v>
      </c>
      <c r="CP18" s="124">
        <f>'Top4 Intl.+Reg'!E168</f>
        <v>0</v>
      </c>
      <c r="CQ18" s="124">
        <f>'Top4 Intl.+Reg'!F168</f>
        <v>0</v>
      </c>
      <c r="CR18" s="124">
        <f>'Top4 Intl.+Reg'!G168</f>
        <v>0</v>
      </c>
      <c r="CS18" s="124">
        <f>'Top4 Intl.+Reg'!H168</f>
        <v>0</v>
      </c>
      <c r="CT18" s="124">
        <f>'Top4 Intl.+Reg'!I168</f>
        <v>0</v>
      </c>
      <c r="CU18" s="124">
        <f>'Top4 Intl.+Reg'!J168</f>
        <v>0</v>
      </c>
      <c r="CV18" s="124">
        <f>'Top4 Intl.+Reg'!K168</f>
        <v>0</v>
      </c>
      <c r="CW18" s="124">
        <f>'Top4 Intl.+Reg'!L168</f>
        <v>0</v>
      </c>
      <c r="CX18" s="125">
        <f>'Top4 Intl.+Reg'!M168</f>
        <v>0</v>
      </c>
      <c r="CY18" s="196">
        <f>'Top4 Intl.+Reg'!O112</f>
        <v>0</v>
      </c>
      <c r="CZ18" s="196">
        <f>'Top4 Intl.+Reg'!P112</f>
        <v>0</v>
      </c>
      <c r="DA18" s="196"/>
      <c r="DB18" s="196"/>
      <c r="DC18" s="196"/>
      <c r="DD18" s="124">
        <f>'Top4 Intl.+Reg'!B30</f>
        <v>2.1074989312983128E-2</v>
      </c>
      <c r="DE18" s="124">
        <f>'Top4 Intl.+Reg'!C30</f>
        <v>0.18665557352227458</v>
      </c>
      <c r="DF18" s="124">
        <f>'Top4 Intl.+Reg'!D30</f>
        <v>0.18665034524969193</v>
      </c>
      <c r="DG18" s="124">
        <f>'Top4 Intl.+Reg'!E30</f>
        <v>6.9471043534126808E-2</v>
      </c>
      <c r="DH18" s="124">
        <f>'Top4 Intl.+Reg'!F30</f>
        <v>1.6724881436487982E-2</v>
      </c>
      <c r="DI18" s="124">
        <f>'Top4 Intl.+Reg'!G30</f>
        <v>-3.0402563938805471E-2</v>
      </c>
      <c r="DJ18" s="124">
        <f>'Top4 Intl.+Reg'!H30</f>
        <v>7.1581624816911216E-2</v>
      </c>
      <c r="DK18" s="124">
        <f>'Top4 Intl.+Reg'!I74</f>
        <v>0</v>
      </c>
      <c r="DL18" s="124">
        <f>'Top4 Intl.+Reg'!J74</f>
        <v>0</v>
      </c>
      <c r="DM18" s="124">
        <f>'Top4 Intl.+Reg'!K74</f>
        <v>0</v>
      </c>
      <c r="DN18" s="124">
        <f>'Top4 Intl.+Reg'!L74</f>
        <v>0</v>
      </c>
      <c r="DO18" s="124">
        <f>'Top4 Intl.+Reg'!M74</f>
        <v>0</v>
      </c>
      <c r="DP18" s="581"/>
    </row>
    <row r="19" spans="1:120" ht="16.5" customHeight="1" thickTop="1" thickBot="1">
      <c r="A19" s="255"/>
      <c r="B19" s="255"/>
      <c r="C19" s="255"/>
    </row>
    <row r="20" spans="1:120" ht="16.5" customHeight="1" thickBot="1">
      <c r="A20" s="256"/>
      <c r="B20" s="98"/>
      <c r="C20" s="98"/>
      <c r="D20" s="98"/>
      <c r="E20" s="98"/>
      <c r="F20" s="98"/>
      <c r="G20" s="98"/>
      <c r="H20" s="98"/>
      <c r="I20" s="257"/>
      <c r="J20" s="257"/>
      <c r="K20" s="98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  <c r="AF20" s="257"/>
      <c r="AG20" s="257"/>
      <c r="AH20" s="257"/>
      <c r="AI20" s="257"/>
      <c r="AJ20" s="257"/>
      <c r="AK20" s="257"/>
      <c r="AL20" s="257"/>
      <c r="AM20" s="257"/>
      <c r="AN20" s="257"/>
      <c r="AO20" s="257"/>
      <c r="AP20" s="257"/>
      <c r="AQ20" s="257"/>
      <c r="AR20" s="257"/>
      <c r="AS20" s="257"/>
      <c r="AT20" s="257"/>
      <c r="AU20" s="257"/>
      <c r="AV20" s="257"/>
      <c r="AW20" s="257"/>
      <c r="AX20" s="257"/>
      <c r="AY20" s="257"/>
      <c r="AZ20" s="582" t="s">
        <v>29</v>
      </c>
      <c r="BA20" s="583"/>
      <c r="BB20" s="583"/>
      <c r="BC20" s="583"/>
      <c r="BD20" s="583"/>
      <c r="BE20" s="583"/>
      <c r="BF20" s="583"/>
      <c r="BG20" s="583"/>
      <c r="BH20" s="583"/>
      <c r="BI20" s="583"/>
      <c r="BJ20" s="583"/>
      <c r="BK20" s="583"/>
      <c r="BL20" s="583"/>
      <c r="BM20" s="583"/>
      <c r="BN20" s="583"/>
      <c r="BO20" s="583"/>
      <c r="BP20" s="584"/>
      <c r="BQ20" s="588" t="s">
        <v>30</v>
      </c>
      <c r="BR20" s="587"/>
      <c r="BS20" s="587"/>
      <c r="BT20" s="587"/>
      <c r="BU20" s="587"/>
      <c r="BV20" s="587"/>
      <c r="BW20" s="587"/>
      <c r="BX20" s="587"/>
      <c r="BY20" s="587"/>
      <c r="BZ20" s="587"/>
      <c r="CA20" s="587"/>
      <c r="CB20" s="587"/>
      <c r="CC20" s="587"/>
      <c r="CD20" s="587"/>
      <c r="CE20" s="587"/>
      <c r="CF20" s="587"/>
      <c r="CG20" s="587"/>
      <c r="CH20" s="587"/>
      <c r="CI20" s="587"/>
      <c r="CJ20" s="587"/>
      <c r="CK20" s="587"/>
      <c r="CL20" s="587"/>
      <c r="CM20" s="587"/>
      <c r="CN20" s="587"/>
      <c r="CO20" s="587"/>
      <c r="CP20" s="587"/>
      <c r="CQ20" s="587"/>
      <c r="CR20" s="587"/>
      <c r="CS20" s="587"/>
      <c r="CT20" s="587"/>
      <c r="CU20" s="587"/>
      <c r="CV20" s="587"/>
      <c r="CW20" s="587"/>
      <c r="CX20" s="587"/>
      <c r="CY20" s="258"/>
      <c r="CZ20" s="258"/>
      <c r="DA20" s="258"/>
      <c r="DB20" s="258"/>
      <c r="DC20" s="258"/>
      <c r="DD20" s="586">
        <v>2025</v>
      </c>
      <c r="DE20" s="587"/>
      <c r="DF20" s="587"/>
      <c r="DG20" s="587"/>
      <c r="DH20" s="242"/>
      <c r="DI20" s="242"/>
      <c r="DJ20" s="242"/>
      <c r="DK20" s="242"/>
      <c r="DL20" s="242"/>
      <c r="DM20" s="242"/>
      <c r="DN20" s="242"/>
      <c r="DO20" s="242"/>
    </row>
    <row r="21" spans="1:120" ht="16" customHeight="1" thickBot="1">
      <c r="A21" s="259" t="s">
        <v>31</v>
      </c>
      <c r="B21" s="153" t="s">
        <v>32</v>
      </c>
      <c r="C21" s="153" t="s">
        <v>33</v>
      </c>
      <c r="D21" s="153" t="s">
        <v>34</v>
      </c>
      <c r="E21" s="153" t="s">
        <v>35</v>
      </c>
      <c r="F21" s="154"/>
      <c r="G21" s="153" t="s">
        <v>36</v>
      </c>
      <c r="H21" s="153" t="s">
        <v>37</v>
      </c>
      <c r="I21" s="154" t="s">
        <v>38</v>
      </c>
      <c r="J21" s="155" t="s">
        <v>39</v>
      </c>
      <c r="K21" s="156"/>
      <c r="L21" s="153" t="s">
        <v>40</v>
      </c>
      <c r="M21" s="153" t="s">
        <v>41</v>
      </c>
      <c r="N21" s="154" t="s">
        <v>42</v>
      </c>
      <c r="O21" s="157" t="s">
        <v>43</v>
      </c>
      <c r="P21" s="158" t="s">
        <v>44</v>
      </c>
      <c r="Q21" s="155" t="s">
        <v>45</v>
      </c>
      <c r="R21" s="156" t="s">
        <v>46</v>
      </c>
      <c r="S21" s="154" t="s">
        <v>47</v>
      </c>
      <c r="T21" s="154" t="s">
        <v>48</v>
      </c>
      <c r="U21" s="154" t="s">
        <v>49</v>
      </c>
      <c r="V21" s="154" t="s">
        <v>50</v>
      </c>
      <c r="W21" s="159" t="s">
        <v>51</v>
      </c>
      <c r="X21" s="159" t="s">
        <v>52</v>
      </c>
      <c r="Y21" s="159" t="s">
        <v>53</v>
      </c>
      <c r="Z21" s="160" t="s">
        <v>54</v>
      </c>
      <c r="AA21" s="160" t="s">
        <v>55</v>
      </c>
      <c r="AB21" s="160" t="s">
        <v>56</v>
      </c>
      <c r="AC21" s="161" t="s">
        <v>57</v>
      </c>
      <c r="AD21" s="161" t="s">
        <v>58</v>
      </c>
      <c r="AE21" s="161" t="s">
        <v>59</v>
      </c>
      <c r="AF21" s="161" t="s">
        <v>60</v>
      </c>
      <c r="AG21" s="161" t="s">
        <v>61</v>
      </c>
      <c r="AH21" s="161" t="s">
        <v>62</v>
      </c>
      <c r="AI21" s="153" t="s">
        <v>63</v>
      </c>
      <c r="AJ21" s="153" t="s">
        <v>64</v>
      </c>
      <c r="AK21" s="153" t="s">
        <v>65</v>
      </c>
      <c r="AL21" s="153" t="s">
        <v>66</v>
      </c>
      <c r="AM21" s="155" t="s">
        <v>67</v>
      </c>
      <c r="AN21" s="161" t="s">
        <v>68</v>
      </c>
      <c r="AO21" s="161" t="s">
        <v>69</v>
      </c>
      <c r="AP21" s="161" t="s">
        <v>70</v>
      </c>
      <c r="AQ21" s="161" t="s">
        <v>71</v>
      </c>
      <c r="AR21" s="161" t="s">
        <v>55</v>
      </c>
      <c r="AS21" s="161" t="s">
        <v>56</v>
      </c>
      <c r="AT21" s="161" t="s">
        <v>57</v>
      </c>
      <c r="AU21" s="161" t="s">
        <v>58</v>
      </c>
      <c r="AV21" s="161" t="s">
        <v>59</v>
      </c>
      <c r="AW21" s="161" t="s">
        <v>60</v>
      </c>
      <c r="AX21" s="161" t="s">
        <v>61</v>
      </c>
      <c r="AY21" s="158" t="s">
        <v>62</v>
      </c>
      <c r="AZ21" s="162" t="s">
        <v>72</v>
      </c>
      <c r="BA21" s="153" t="s">
        <v>73</v>
      </c>
      <c r="BB21" s="153" t="s">
        <v>74</v>
      </c>
      <c r="BC21" s="154" t="s">
        <v>75</v>
      </c>
      <c r="BD21" s="163" t="s">
        <v>76</v>
      </c>
      <c r="BE21" s="164" t="s">
        <v>51</v>
      </c>
      <c r="BF21" s="160" t="s">
        <v>52</v>
      </c>
      <c r="BG21" s="160" t="s">
        <v>53</v>
      </c>
      <c r="BH21" s="160" t="s">
        <v>54</v>
      </c>
      <c r="BI21" s="160" t="s">
        <v>55</v>
      </c>
      <c r="BJ21" s="160" t="s">
        <v>77</v>
      </c>
      <c r="BK21" s="160" t="s">
        <v>78</v>
      </c>
      <c r="BL21" s="160" t="s">
        <v>79</v>
      </c>
      <c r="BM21" s="160" t="s">
        <v>80</v>
      </c>
      <c r="BN21" s="160" t="s">
        <v>81</v>
      </c>
      <c r="BO21" s="160" t="s">
        <v>82</v>
      </c>
      <c r="BP21" s="165" t="s">
        <v>44</v>
      </c>
      <c r="BQ21" s="162" t="s">
        <v>83</v>
      </c>
      <c r="BR21" s="153" t="s">
        <v>84</v>
      </c>
      <c r="BS21" s="153" t="s">
        <v>85</v>
      </c>
      <c r="BT21" s="154" t="s">
        <v>86</v>
      </c>
      <c r="BU21" s="154" t="s">
        <v>87</v>
      </c>
      <c r="BV21" s="164" t="s">
        <v>51</v>
      </c>
      <c r="BW21" s="160" t="s">
        <v>52</v>
      </c>
      <c r="BX21" s="160" t="s">
        <v>53</v>
      </c>
      <c r="BY21" s="160" t="s">
        <v>54</v>
      </c>
      <c r="BZ21" s="160" t="s">
        <v>55</v>
      </c>
      <c r="CA21" s="160" t="s">
        <v>77</v>
      </c>
      <c r="CB21" s="160" t="s">
        <v>78</v>
      </c>
      <c r="CC21" s="160" t="s">
        <v>79</v>
      </c>
      <c r="CD21" s="160" t="s">
        <v>80</v>
      </c>
      <c r="CE21" s="160" t="s">
        <v>81</v>
      </c>
      <c r="CF21" s="160" t="s">
        <v>82</v>
      </c>
      <c r="CG21" s="159" t="s">
        <v>44</v>
      </c>
      <c r="CH21" s="162" t="s">
        <v>88</v>
      </c>
      <c r="CI21" s="153" t="s">
        <v>89</v>
      </c>
      <c r="CJ21" s="156" t="s">
        <v>90</v>
      </c>
      <c r="CK21" s="153" t="s">
        <v>91</v>
      </c>
      <c r="CL21" s="153" t="s">
        <v>92</v>
      </c>
      <c r="CM21" s="203" t="s">
        <v>51</v>
      </c>
      <c r="CN21" s="203" t="s">
        <v>52</v>
      </c>
      <c r="CO21" s="203" t="s">
        <v>53</v>
      </c>
      <c r="CP21" s="203" t="s">
        <v>71</v>
      </c>
      <c r="CQ21" s="203" t="s">
        <v>55</v>
      </c>
      <c r="CR21" s="203" t="s">
        <v>56</v>
      </c>
      <c r="CS21" s="203" t="s">
        <v>57</v>
      </c>
      <c r="CT21" s="203" t="s">
        <v>58</v>
      </c>
      <c r="CU21" s="203" t="s">
        <v>59</v>
      </c>
      <c r="CV21" s="203" t="s">
        <v>60</v>
      </c>
      <c r="CW21" s="203" t="s">
        <v>61</v>
      </c>
      <c r="CX21" s="203" t="s">
        <v>62</v>
      </c>
      <c r="CY21" s="162" t="s">
        <v>93</v>
      </c>
      <c r="CZ21" s="153" t="s">
        <v>94</v>
      </c>
      <c r="DA21" s="156" t="s">
        <v>95</v>
      </c>
      <c r="DB21" s="153" t="s">
        <v>96</v>
      </c>
      <c r="DC21" s="153" t="s">
        <v>97</v>
      </c>
      <c r="DD21" s="203" t="s">
        <v>51</v>
      </c>
      <c r="DE21" s="203" t="s">
        <v>52</v>
      </c>
      <c r="DF21" s="203" t="s">
        <v>53</v>
      </c>
      <c r="DG21" s="203" t="s">
        <v>54</v>
      </c>
      <c r="DH21" s="203" t="s">
        <v>55</v>
      </c>
      <c r="DI21" s="203" t="s">
        <v>77</v>
      </c>
      <c r="DJ21" s="203" t="s">
        <v>78</v>
      </c>
      <c r="DK21" s="203" t="s">
        <v>79</v>
      </c>
      <c r="DL21" s="203" t="s">
        <v>80</v>
      </c>
      <c r="DM21" s="203" t="s">
        <v>81</v>
      </c>
      <c r="DN21" s="203" t="s">
        <v>82</v>
      </c>
      <c r="DO21" s="203" t="s">
        <v>44</v>
      </c>
    </row>
    <row r="22" spans="1:120">
      <c r="A22" s="260" t="s">
        <v>98</v>
      </c>
      <c r="B22" s="261">
        <v>0.10750931939587249</v>
      </c>
      <c r="C22" s="261">
        <v>0.1114921998213845</v>
      </c>
      <c r="D22" s="261">
        <v>0.1201531589023612</v>
      </c>
      <c r="E22" s="261">
        <v>0.138524755933886</v>
      </c>
      <c r="F22" s="262"/>
      <c r="G22" s="262">
        <f>'CAAC Data'!O234</f>
        <v>130811</v>
      </c>
      <c r="H22" s="262">
        <f>'CAAC Data'!P234</f>
        <v>134612</v>
      </c>
      <c r="I22" s="262">
        <f>'CAAC Data'!Q234</f>
        <v>144005</v>
      </c>
      <c r="J22" s="262">
        <f>'CAAC Data'!R234</f>
        <v>138439</v>
      </c>
      <c r="K22" s="262"/>
      <c r="L22" s="262">
        <f>'CAAC Data'!O209</f>
        <v>142649</v>
      </c>
      <c r="M22" s="262">
        <f>'CAAC Data'!P209</f>
        <v>142849</v>
      </c>
      <c r="N22" s="262">
        <f>'CAAC Data'!Q209</f>
        <v>155632</v>
      </c>
      <c r="O22" s="262">
        <f>'CAAC Data'!R209</f>
        <v>144527</v>
      </c>
      <c r="P22" s="263">
        <f>'CAAC Data'!M209</f>
        <v>46436</v>
      </c>
      <c r="Q22" s="261">
        <f>'CAAC Data'!N209</f>
        <v>585657</v>
      </c>
      <c r="R22" s="264">
        <v>9.8000000000000004E-2</v>
      </c>
      <c r="S22" s="265">
        <v>7.1999999999999995E-2</v>
      </c>
      <c r="T22" s="265">
        <f>'CAAC Data'!Q184</f>
        <v>-0.2431656892499372</v>
      </c>
      <c r="U22" s="265">
        <f>'CAAC Data'!R184</f>
        <v>-0.16128378378378383</v>
      </c>
      <c r="V22" s="265">
        <f>'CAAC Data'!N184</f>
        <v>-0.38160199795113026</v>
      </c>
      <c r="W22" s="266">
        <f>'CAAC Data'!B184</f>
        <v>-7.0281803202501214E-2</v>
      </c>
      <c r="X22" s="266">
        <f>'CAAC Data'!C184</f>
        <v>-0.84770024867824378</v>
      </c>
      <c r="Y22" s="266">
        <f>'CAAC Data'!D184</f>
        <v>-0.69248598761009728</v>
      </c>
      <c r="Z22" s="267">
        <f>'CAAC Data'!E184</f>
        <v>-0.64628598154683448</v>
      </c>
      <c r="AA22" s="267">
        <f>'CAAC Data'!F184</f>
        <v>-0.46932629233879286</v>
      </c>
      <c r="AB22" s="267">
        <f>'CAAC Data'!G184</f>
        <v>-0.35353770096972514</v>
      </c>
      <c r="AC22" s="268">
        <f>'CAAC Data'!H184</f>
        <v>-0.26123579518506579</v>
      </c>
      <c r="AD22" s="268">
        <f>'CAAC Data'!I184</f>
        <v>-0.15215667471923577</v>
      </c>
      <c r="AE22" s="268">
        <f>'CAAC Data'!J184</f>
        <v>-1.9386372037622723E-2</v>
      </c>
      <c r="AF22" s="268">
        <f>'CAAC Data'!K184</f>
        <v>-1.5744939827630255E-2</v>
      </c>
      <c r="AG22" s="268">
        <f>'CAAC Data'!L184</f>
        <v>-6.162785765788692E-2</v>
      </c>
      <c r="AH22" s="268">
        <f>'CAAC Data'!M184</f>
        <v>-9.2083728141958865E-2</v>
      </c>
      <c r="AI22" s="265">
        <f>'CAAC Data'!O158</f>
        <v>0</v>
      </c>
      <c r="AJ22" s="265">
        <f>'CAAC Data'!P158</f>
        <v>0</v>
      </c>
      <c r="AK22" s="265">
        <f>'CAAC Data'!Q158</f>
        <v>0</v>
      </c>
      <c r="AL22" s="265">
        <f>'CAAC Data'!R158</f>
        <v>0</v>
      </c>
      <c r="AM22" s="269">
        <f>'CAAC Data'!N158</f>
        <v>0</v>
      </c>
      <c r="AN22" s="268">
        <f>'CAAC Data'!B158</f>
        <v>0</v>
      </c>
      <c r="AO22" s="268">
        <f>'CAAC Data'!C158</f>
        <v>0</v>
      </c>
      <c r="AP22" s="268">
        <f>'CAAC Data'!D158</f>
        <v>0</v>
      </c>
      <c r="AQ22" s="268">
        <f>'CAAC Data'!E158</f>
        <v>0</v>
      </c>
      <c r="AR22" s="268">
        <f>'CAAC Data'!F158</f>
        <v>0</v>
      </c>
      <c r="AS22" s="268">
        <f>'CAAC Data'!G158</f>
        <v>0</v>
      </c>
      <c r="AT22" s="268">
        <f>'CAAC Data'!H158</f>
        <v>0</v>
      </c>
      <c r="AU22" s="268">
        <f>'CAAC Data'!I158</f>
        <v>0</v>
      </c>
      <c r="AV22" s="268">
        <f>'CAAC Data'!J158</f>
        <v>0</v>
      </c>
      <c r="AW22" s="268">
        <f>'CAAC Data'!K158</f>
        <v>0</v>
      </c>
      <c r="AX22" s="268">
        <f>'CAAC Data'!L158</f>
        <v>0</v>
      </c>
      <c r="AY22" s="270">
        <f>'CAAC Data'!M158</f>
        <v>0</v>
      </c>
      <c r="AZ22" s="174">
        <f>'CAAC Data'!O128</f>
        <v>430</v>
      </c>
      <c r="BA22" s="175">
        <f>'CAAC Data'!P128</f>
        <v>332</v>
      </c>
      <c r="BB22" s="175">
        <f>'CAAC Data'!Q128</f>
        <v>629</v>
      </c>
      <c r="BC22" s="176">
        <f>'CAAC Data'!R128</f>
        <v>940</v>
      </c>
      <c r="BD22" s="177">
        <f>'CAAC Data'!N128</f>
        <v>2331</v>
      </c>
      <c r="BE22" s="178">
        <f>'CAAC Data'!B128</f>
        <v>156</v>
      </c>
      <c r="BF22" s="179">
        <f>'CAAC Data'!C128</f>
        <v>151</v>
      </c>
      <c r="BG22" s="179">
        <f>'CAAC Data'!D128</f>
        <v>123</v>
      </c>
      <c r="BH22" s="179">
        <f>'CAAC Data'!E128</f>
        <v>99</v>
      </c>
      <c r="BI22" s="179">
        <f>'CAAC Data'!F128</f>
        <v>106</v>
      </c>
      <c r="BJ22" s="179">
        <f>'CAAC Data'!G128</f>
        <v>127</v>
      </c>
      <c r="BK22" s="179">
        <f>'CAAC Data'!H128</f>
        <v>167</v>
      </c>
      <c r="BL22" s="179">
        <f>'CAAC Data'!I128</f>
        <v>208</v>
      </c>
      <c r="BM22" s="179">
        <f>'CAAC Data'!J128</f>
        <v>254</v>
      </c>
      <c r="BN22" s="179">
        <f>'CAAC Data'!K128</f>
        <v>249</v>
      </c>
      <c r="BO22" s="179">
        <f>'CAAC Data'!L128</f>
        <v>291</v>
      </c>
      <c r="BP22" s="180">
        <f>'CAAC Data'!M128</f>
        <v>400</v>
      </c>
      <c r="BQ22" s="174">
        <f>'CAAC Data'!O97</f>
        <v>6.2488372093023257</v>
      </c>
      <c r="BR22" s="175">
        <f>'CAAC Data'!P97</f>
        <v>22.53012048192771</v>
      </c>
      <c r="BS22" s="175">
        <f>'CAAC Data'!Q97</f>
        <v>18.556438791732909</v>
      </c>
      <c r="BT22" s="175">
        <f>'CAAC Data'!R97</f>
        <v>12.306382978723404</v>
      </c>
      <c r="BU22" s="175">
        <f>'CAAC Data'!N97</f>
        <v>14.331617331617332</v>
      </c>
      <c r="BV22" s="181">
        <f>'CAAC Data'!B97</f>
        <v>3.1217948717948714</v>
      </c>
      <c r="BW22" s="179">
        <f>'CAAC Data'!C97</f>
        <v>5.4238410596026494</v>
      </c>
      <c r="BX22" s="179">
        <f>'CAAC Data'!D97</f>
        <v>11.227642276422765</v>
      </c>
      <c r="BY22" s="179">
        <f>'CAAC Data'!E97</f>
        <v>20.606060606060606</v>
      </c>
      <c r="BZ22" s="179">
        <f>'CAAC Data'!F97</f>
        <v>22.89622641509434</v>
      </c>
      <c r="CA22" s="179">
        <f>'CAAC Data'!G97</f>
        <v>23.724409448818896</v>
      </c>
      <c r="CB22" s="179">
        <f>'CAAC Data'!H97</f>
        <v>23.383233532934131</v>
      </c>
      <c r="CC22" s="179">
        <f>'CAAC Data'!I97</f>
        <v>20.14903846153846</v>
      </c>
      <c r="CD22" s="179">
        <f>'CAAC Data'!J97</f>
        <v>14.078740157480315</v>
      </c>
      <c r="CE22" s="179">
        <f>'CAAC Data'!K97</f>
        <v>14.943775100401606</v>
      </c>
      <c r="CF22" s="179">
        <f>'CAAC Data'!L97</f>
        <v>12.147766323024054</v>
      </c>
      <c r="CG22" s="194">
        <f>'CAAC Data'!M97</f>
        <v>10.78</v>
      </c>
      <c r="CH22" s="200">
        <f>'CAAC Data'!O65</f>
        <v>0</v>
      </c>
      <c r="CI22" s="175">
        <f>'CAAC Data'!P65</f>
        <v>0</v>
      </c>
      <c r="CJ22" s="199">
        <f>'CAAC Data'!Q65</f>
        <v>0</v>
      </c>
      <c r="CK22" s="175">
        <f>'CAAC Data'!R65</f>
        <v>0</v>
      </c>
      <c r="CL22" s="175">
        <f>'CAAC Data'!N65</f>
        <v>0</v>
      </c>
      <c r="CM22" s="179">
        <f>'CAAC Data'!B65</f>
        <v>0</v>
      </c>
      <c r="CN22" s="179">
        <f>'CAAC Data'!C65</f>
        <v>0</v>
      </c>
      <c r="CO22" s="179">
        <f>'CAAC Data'!D65</f>
        <v>0</v>
      </c>
      <c r="CP22" s="179">
        <f>'CAAC Data'!E65</f>
        <v>0</v>
      </c>
      <c r="CQ22" s="179">
        <f>'CAAC Data'!F65</f>
        <v>0</v>
      </c>
      <c r="CR22" s="179">
        <f>'CAAC Data'!G65</f>
        <v>0</v>
      </c>
      <c r="CS22" s="179">
        <f>'CAAC Data'!H65</f>
        <v>0</v>
      </c>
      <c r="CT22" s="179">
        <f>'CAAC Data'!I65</f>
        <v>0</v>
      </c>
      <c r="CU22" s="179">
        <f>'CAAC Data'!J65</f>
        <v>0</v>
      </c>
      <c r="CV22" s="179">
        <f>'CAAC Data'!K65</f>
        <v>0</v>
      </c>
      <c r="CW22" s="179">
        <f>'CAAC Data'!L65</f>
        <v>0</v>
      </c>
      <c r="CX22" s="180">
        <f>'CAAC Data'!M65</f>
        <v>0</v>
      </c>
      <c r="CY22" s="194">
        <f>'CAAC Data'!O38</f>
        <v>2.8435147264389338E-2</v>
      </c>
      <c r="CZ22" s="194">
        <f>'CAAC Data'!P38</f>
        <v>5.4925711463514215E-2</v>
      </c>
      <c r="DA22" s="194">
        <f>'CAAC Data'!Q38</f>
        <v>2.7645355797905946E-2</v>
      </c>
      <c r="DB22" s="194">
        <f>'CAAC Data'!R38</f>
        <v>5.1480156148340894E-2</v>
      </c>
      <c r="DC22" s="194"/>
      <c r="DD22" s="179">
        <f>'CAAC Data'!B30</f>
        <v>0.13220977703339276</v>
      </c>
      <c r="DE22" s="179">
        <f>'CAAC Data'!C30</f>
        <v>-1.5412932138284208E-2</v>
      </c>
      <c r="DF22" s="179">
        <f>'CAAC Data'!D30</f>
        <v>3.510360438795046E-2</v>
      </c>
      <c r="DG22" s="179">
        <f>'CAAC Data'!E30</f>
        <v>8.9008042895442285E-2</v>
      </c>
      <c r="DH22" s="179">
        <f>'CAAC Data'!F30</f>
        <v>8.153420189906746E-2</v>
      </c>
      <c r="DI22" s="179">
        <f>'CAAC Data'!G30</f>
        <v>4.3535327708173588E-2</v>
      </c>
      <c r="DJ22" s="179">
        <f>'CAAC Data'!H30</f>
        <v>3.8822031937051582E-2</v>
      </c>
      <c r="DK22" s="179">
        <f>'CAAC Data'!I30</f>
        <v>3.3416978622458071E-2</v>
      </c>
      <c r="DL22" s="179">
        <f>'CAAC Data'!J30</f>
        <v>4.5861913583337577E-2</v>
      </c>
      <c r="DM22" s="179">
        <f>'CAAC Data'!K30</f>
        <v>5.840042438993942E-2</v>
      </c>
      <c r="DN22" s="179">
        <f>'CAAC Data'!L30</f>
        <v>6.6236665839741971E-2</v>
      </c>
      <c r="DO22" s="179">
        <f>'CAAC Data'!M30</f>
        <v>6.3622163329062564E-2</v>
      </c>
    </row>
    <row r="23" spans="1:120">
      <c r="A23" s="271" t="s">
        <v>99</v>
      </c>
      <c r="B23" s="272">
        <v>8.7711661515692319E-2</v>
      </c>
      <c r="C23" s="272">
        <v>0.10188275705628839</v>
      </c>
      <c r="D23" s="272">
        <v>0.1097538618886349</v>
      </c>
      <c r="E23" s="272">
        <v>0.15565676387562569</v>
      </c>
      <c r="F23" s="273"/>
      <c r="G23" s="273">
        <f>'CAAC Data'!O238</f>
        <v>18151</v>
      </c>
      <c r="H23" s="273">
        <f>'CAAC Data'!P238</f>
        <v>18428</v>
      </c>
      <c r="I23" s="273">
        <f>'CAAC Data'!Q238</f>
        <v>19578</v>
      </c>
      <c r="J23" s="273">
        <f>'CAAC Data'!R238</f>
        <v>18745</v>
      </c>
      <c r="K23" s="273"/>
      <c r="L23" s="273">
        <f>'CAAC Data'!O213</f>
        <v>21128</v>
      </c>
      <c r="M23" s="273">
        <f>'CAAC Data'!P213</f>
        <v>21336</v>
      </c>
      <c r="N23" s="273">
        <f>'CAAC Data'!Q213</f>
        <v>22406</v>
      </c>
      <c r="O23" s="273">
        <f>'CAAC Data'!R213</f>
        <v>20422</v>
      </c>
      <c r="P23" s="274">
        <f>'CAAC Data'!M213</f>
        <v>7020</v>
      </c>
      <c r="Q23" s="272">
        <f>'CAAC Data'!N213</f>
        <v>85292</v>
      </c>
      <c r="R23" s="275">
        <v>8.8999999999999996E-2</v>
      </c>
      <c r="S23" s="276">
        <f>'CAAC Data'!P188</f>
        <v>-0.9835020622422197</v>
      </c>
      <c r="T23" s="276">
        <f>'CAAC Data'!Q188</f>
        <v>-0.99616053791714088</v>
      </c>
      <c r="U23" s="276">
        <f>'CAAC Data'!R188</f>
        <v>-0.99576476537643022</v>
      </c>
      <c r="V23" s="276">
        <f>'CAAC Data'!N188</f>
        <v>-0.87669417999343435</v>
      </c>
      <c r="W23" s="277">
        <f>'CAAC Data'!B188</f>
        <v>2.786027436006222E-2</v>
      </c>
      <c r="X23" s="277">
        <f>'CAAC Data'!C188</f>
        <v>-0.83886662850601024</v>
      </c>
      <c r="Y23" s="277">
        <v>2.7E-2</v>
      </c>
      <c r="Z23" s="277">
        <f>'CAAC Data'!E188</f>
        <v>-0.98835578002244673</v>
      </c>
      <c r="AA23" s="277">
        <f>'CAAC Data'!F188</f>
        <v>-0.9839255499153976</v>
      </c>
      <c r="AB23" s="278">
        <f>'CAAC Data'!G188</f>
        <v>-0.97821810005621135</v>
      </c>
      <c r="AC23" s="278">
        <f>'CAAC Data'!H188</f>
        <v>-0.97672906916276647</v>
      </c>
      <c r="AD23" s="278">
        <f>'CAAC Data'!I188</f>
        <v>-0.97546243865609661</v>
      </c>
      <c r="AE23" s="278">
        <f>'CAAC Data'!J188</f>
        <v>-0.96852371804344617</v>
      </c>
      <c r="AF23" s="278">
        <f>'CAAC Data'!K188</f>
        <v>-0.96776567559611426</v>
      </c>
      <c r="AG23" s="278">
        <f>'CAAC Data'!L188</f>
        <v>-0.97139830508474578</v>
      </c>
      <c r="AH23" s="278">
        <f>'CAAC Data'!M188</f>
        <v>-0.97222222222222221</v>
      </c>
      <c r="AI23" s="276">
        <f>'CAAC Data'!O162</f>
        <v>-0.20398009950248752</v>
      </c>
      <c r="AJ23" s="276">
        <f>'CAAC Data'!P162</f>
        <v>0.24583333333333335</v>
      </c>
      <c r="AK23" s="276">
        <f>'CAAC Data'!Q162</f>
        <v>-8.1939799331103624E-2</v>
      </c>
      <c r="AL23" s="276">
        <f>'CAAC Data'!R162</f>
        <v>-0.19489981785063748</v>
      </c>
      <c r="AM23" s="276">
        <f>'CAAC Data'!N162</f>
        <v>0</v>
      </c>
      <c r="AN23" s="278">
        <f>'CAAC Data'!B162</f>
        <v>-0.9746438746438747</v>
      </c>
      <c r="AO23" s="278">
        <f>'CAAC Data'!C162</f>
        <v>-0.3370786516853933</v>
      </c>
      <c r="AP23" s="278">
        <f>'CAAC Data'!D162</f>
        <v>0.55932203389830515</v>
      </c>
      <c r="AQ23" s="278">
        <f>'CAAC Data'!E162</f>
        <v>1.6304347826086918E-2</v>
      </c>
      <c r="AR23" s="278">
        <f>'CAAC Data'!F162</f>
        <v>0.12834224598930488</v>
      </c>
      <c r="AS23" s="278">
        <f>'CAAC Data'!G162</f>
        <v>-5.2132701421800931E-2</v>
      </c>
      <c r="AT23" s="278">
        <f>'CAAC Data'!H162</f>
        <v>6.4999999999999947E-2</v>
      </c>
      <c r="AU23" s="278">
        <f>'CAAC Data'!I162</f>
        <v>-0.19718309859154926</v>
      </c>
      <c r="AV23" s="278">
        <f>'CAAC Data'!J162</f>
        <v>-3.5087719298245612E-2</v>
      </c>
      <c r="AW23" s="278">
        <f>'CAAC Data'!K162</f>
        <v>-0.16363636363636369</v>
      </c>
      <c r="AX23" s="278">
        <f>'CAAC Data'!L162</f>
        <v>0</v>
      </c>
      <c r="AY23" s="277">
        <f>'CAAC Data'!M162</f>
        <v>0.20289855072463769</v>
      </c>
      <c r="AZ23" s="207">
        <f>'CAAC Data'!O133</f>
        <v>274</v>
      </c>
      <c r="BA23" s="208">
        <f>'CAAC Data'!P133</f>
        <v>310</v>
      </c>
      <c r="BB23" s="209">
        <f>'CAAC Data'!Q133</f>
        <v>536</v>
      </c>
      <c r="BC23" s="209">
        <f>'CAAC Data'!R133</f>
        <v>741</v>
      </c>
      <c r="BD23" s="210">
        <f>'CAAC Data'!N133</f>
        <v>1861</v>
      </c>
      <c r="BE23" s="211">
        <f>'CAAC Data'!B133</f>
        <v>92</v>
      </c>
      <c r="BF23" s="212">
        <f>'CAAC Data'!C133</f>
        <v>82</v>
      </c>
      <c r="BG23" s="212">
        <f>'CAAC Data'!D133</f>
        <v>100</v>
      </c>
      <c r="BH23" s="212">
        <f>'CAAC Data'!E133</f>
        <v>93</v>
      </c>
      <c r="BI23" s="212">
        <f>'CAAC Data'!F133</f>
        <v>100</v>
      </c>
      <c r="BJ23" s="212">
        <f>'CAAC Data'!G133</f>
        <v>117</v>
      </c>
      <c r="BK23" s="212">
        <f>'CAAC Data'!H133</f>
        <v>146</v>
      </c>
      <c r="BL23" s="212">
        <f>'CAAC Data'!I133</f>
        <v>178</v>
      </c>
      <c r="BM23" s="212">
        <f>'CAAC Data'!J133</f>
        <v>212</v>
      </c>
      <c r="BN23" s="212">
        <f>'CAAC Data'!K133</f>
        <v>201</v>
      </c>
      <c r="BO23" s="212">
        <f>'CAAC Data'!L133</f>
        <v>232</v>
      </c>
      <c r="BP23" s="212">
        <f>'CAAC Data'!M133</f>
        <v>308</v>
      </c>
      <c r="BQ23" s="207">
        <f>'CAAC Data'!O102</f>
        <v>7.1824817518248167</v>
      </c>
      <c r="BR23" s="208">
        <f>'CAAC Data'!P102</f>
        <v>18.764516129032259</v>
      </c>
      <c r="BS23" s="208">
        <f>'CAAC Data'!Q102</f>
        <v>18.106343283582088</v>
      </c>
      <c r="BT23" s="208">
        <f>'CAAC Data'!R102</f>
        <v>13.093117408906883</v>
      </c>
      <c r="BU23" s="208">
        <f>'CAAC Data'!N102</f>
        <v>14.61149919398173</v>
      </c>
      <c r="BV23" s="213">
        <f>'CAAC Data'!B102</f>
        <v>3.8043478260869561</v>
      </c>
      <c r="BW23" s="212">
        <f>'CAAC Data'!C102</f>
        <v>7.6097560975609753</v>
      </c>
      <c r="BX23" s="212">
        <f>'CAAC Data'!D102</f>
        <v>9.94</v>
      </c>
      <c r="BY23" s="212">
        <f>'CAAC Data'!E102</f>
        <v>16.440860215053764</v>
      </c>
      <c r="BZ23" s="212">
        <f>'CAAC Data'!F102</f>
        <v>18.760000000000002</v>
      </c>
      <c r="CA23" s="212">
        <f>'CAAC Data'!G102</f>
        <v>20.615384615384617</v>
      </c>
      <c r="CB23" s="212">
        <f>'CAAC Data'!H102</f>
        <v>21.965753424657535</v>
      </c>
      <c r="CC23" s="212">
        <f>'CAAC Data'!I102</f>
        <v>19.477528089887642</v>
      </c>
      <c r="CD23" s="212">
        <f>'CAAC Data'!J102</f>
        <v>14.297169811320755</v>
      </c>
      <c r="CE23" s="212">
        <f>'CAAC Data'!K102</f>
        <v>15.398009950248756</v>
      </c>
      <c r="CF23" s="212">
        <f>'CAAC Data'!L102</f>
        <v>12.616379310344827</v>
      </c>
      <c r="CG23" s="214">
        <f>'CAAC Data'!M102</f>
        <v>11.948051948051948</v>
      </c>
      <c r="CH23" s="207">
        <f>'CAAC Data'!O70</f>
        <v>0</v>
      </c>
      <c r="CI23" s="215">
        <f>'CAAC Data'!P70</f>
        <v>0</v>
      </c>
      <c r="CJ23" s="208">
        <f>'CAAC Data'!Q70</f>
        <v>0</v>
      </c>
      <c r="CK23" s="215">
        <f>'CAAC Data'!R70</f>
        <v>0</v>
      </c>
      <c r="CL23" s="215">
        <f>'CAAC Data'!N70</f>
        <v>0</v>
      </c>
      <c r="CM23" s="212">
        <f>'CAAC Data'!B70</f>
        <v>0</v>
      </c>
      <c r="CN23" s="212">
        <f>'CAAC Data'!C70</f>
        <v>0</v>
      </c>
      <c r="CO23" s="212">
        <f>'CAAC Data'!D70</f>
        <v>0</v>
      </c>
      <c r="CP23" s="212">
        <f>'CAAC Data'!E70</f>
        <v>0</v>
      </c>
      <c r="CQ23" s="212">
        <f>'CAAC Data'!F70</f>
        <v>0</v>
      </c>
      <c r="CR23" s="212">
        <f>'CAAC Data'!G70</f>
        <v>0</v>
      </c>
      <c r="CS23" s="212">
        <f>'CAAC Data'!H70</f>
        <v>0</v>
      </c>
      <c r="CT23" s="212">
        <f>'CAAC Data'!I70</f>
        <v>0</v>
      </c>
      <c r="CU23" s="212">
        <f>'CAAC Data'!J70</f>
        <v>0</v>
      </c>
      <c r="CV23" s="212">
        <f>'CAAC Data'!K70</f>
        <v>0</v>
      </c>
      <c r="CW23" s="212">
        <f>'CAAC Data'!L70</f>
        <v>0</v>
      </c>
      <c r="CX23" s="216">
        <f>'CAAC Data'!M70</f>
        <v>0</v>
      </c>
      <c r="CY23" s="214">
        <f>'CAAC Data'!O42</f>
        <v>2.8871639530481108E-3</v>
      </c>
      <c r="CZ23" s="214">
        <f>'CAAC Data'!P42</f>
        <v>1.5091863517060267E-2</v>
      </c>
      <c r="DA23" s="214"/>
      <c r="DB23" s="214"/>
      <c r="DC23" s="214"/>
      <c r="DD23" s="212">
        <f>'CAAC Data'!B34</f>
        <v>0.11108343711083446</v>
      </c>
      <c r="DE23" s="212">
        <f>'CAAC Data'!C34</f>
        <v>-3.3474203204789554E-2</v>
      </c>
      <c r="DF23" s="212">
        <f>'CAAC Data'!D34</f>
        <v>1.5071691850479629E-2</v>
      </c>
      <c r="DG23" s="212">
        <f>'CAAC Data'!E34</f>
        <v>7.2867659544714414E-2</v>
      </c>
      <c r="DH23" s="212">
        <f>'CAAC Data'!F34</f>
        <v>6.5472595500528419E-2</v>
      </c>
      <c r="DI23" s="212">
        <f>'CAAC Data'!G34</f>
        <v>2.8626935603679682E-2</v>
      </c>
      <c r="DJ23" s="212">
        <f>'CAAC Data'!H34</f>
        <v>2.8079943357363524E-2</v>
      </c>
      <c r="DK23" s="212">
        <f>'CAAC Data'!I34</f>
        <v>2.2342617321633007E-2</v>
      </c>
      <c r="DL23" s="212">
        <f>'CAAC Data'!J34</f>
        <v>3.6058410516880857E-2</v>
      </c>
      <c r="DM23" s="212">
        <f>'CAAC Data'!K34</f>
        <v>4.3659766915985498E-2</v>
      </c>
      <c r="DN23" s="212">
        <f>'CAAC Data'!L34</f>
        <v>5.1169940904008948E-2</v>
      </c>
      <c r="DO23" s="212">
        <f>'CAAC Data'!M34</f>
        <v>6.0561743729465434E-2</v>
      </c>
      <c r="DP23" s="254" t="s">
        <v>114</v>
      </c>
    </row>
    <row r="24" spans="1:120">
      <c r="A24" s="271" t="s">
        <v>101</v>
      </c>
      <c r="B24" s="272"/>
      <c r="C24" s="272"/>
      <c r="D24" s="272"/>
      <c r="E24" s="272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4"/>
      <c r="Q24" s="272"/>
      <c r="R24" s="275"/>
      <c r="S24" s="276"/>
      <c r="T24" s="276"/>
      <c r="U24" s="276"/>
      <c r="V24" s="276"/>
      <c r="W24" s="277"/>
      <c r="X24" s="277"/>
      <c r="Y24" s="277"/>
      <c r="Z24" s="277"/>
      <c r="AA24" s="277"/>
      <c r="AB24" s="278"/>
      <c r="AC24" s="278"/>
      <c r="AD24" s="278"/>
      <c r="AE24" s="278"/>
      <c r="AF24" s="278"/>
      <c r="AG24" s="278"/>
      <c r="AH24" s="278"/>
      <c r="AI24" s="276"/>
      <c r="AJ24" s="276"/>
      <c r="AK24" s="276"/>
      <c r="AL24" s="276"/>
      <c r="AM24" s="276"/>
      <c r="AN24" s="278"/>
      <c r="AO24" s="278"/>
      <c r="AP24" s="278"/>
      <c r="AQ24" s="278"/>
      <c r="AR24" s="278"/>
      <c r="AS24" s="278"/>
      <c r="AT24" s="278"/>
      <c r="AU24" s="278"/>
      <c r="AV24" s="278"/>
      <c r="AW24" s="278"/>
      <c r="AX24" s="278"/>
      <c r="AY24" s="277"/>
      <c r="AZ24" s="207"/>
      <c r="BA24" s="208"/>
      <c r="BB24" s="209"/>
      <c r="BC24" s="209"/>
      <c r="BD24" s="210"/>
      <c r="BE24" s="211"/>
      <c r="BF24" s="212"/>
      <c r="BG24" s="212"/>
      <c r="BH24" s="212"/>
      <c r="BI24" s="212"/>
      <c r="BJ24" s="212"/>
      <c r="BK24" s="212"/>
      <c r="BL24" s="212"/>
      <c r="BM24" s="212"/>
      <c r="BN24" s="212"/>
      <c r="BO24" s="212"/>
      <c r="BP24" s="212"/>
      <c r="BQ24" s="207" t="str">
        <f>'CAAC Data'!O112</f>
        <v>Q1</v>
      </c>
      <c r="BR24" s="208" t="str">
        <f>'CAAC Data'!P112</f>
        <v>Q2</v>
      </c>
      <c r="BS24" s="208" t="str">
        <f>'CAAC Data'!Q112</f>
        <v>Q3</v>
      </c>
      <c r="BT24" s="208" t="str">
        <f>'CAAC Data'!R112</f>
        <v>Q4</v>
      </c>
      <c r="BU24" s="208" t="str">
        <f>'CAAC Data'!R112</f>
        <v>Q4</v>
      </c>
      <c r="BV24" s="213"/>
      <c r="BW24" s="212"/>
      <c r="BX24" s="212"/>
      <c r="BY24" s="212"/>
      <c r="BZ24" s="212"/>
      <c r="CA24" s="212"/>
      <c r="CB24" s="212"/>
      <c r="CC24" s="212"/>
      <c r="CD24" s="212"/>
      <c r="CE24" s="212" t="str">
        <f>'CAAC Data'!K112</f>
        <v>Oct</v>
      </c>
      <c r="CF24" s="212" t="str">
        <f>'CAAC Data'!L112</f>
        <v>Nov</v>
      </c>
      <c r="CG24" s="214" t="str">
        <f>'CAAC Data'!M112</f>
        <v>Dec</v>
      </c>
      <c r="CH24" s="207" t="str">
        <f>'CAAC Data'!O80</f>
        <v>Q1</v>
      </c>
      <c r="CI24" s="215" t="str">
        <f>'CAAC Data'!P80</f>
        <v>Q2</v>
      </c>
      <c r="CJ24" s="208" t="str">
        <f>'CAAC Data'!Q80</f>
        <v>Q3</v>
      </c>
      <c r="CK24" s="215" t="str">
        <f>'CAAC Data'!R80</f>
        <v>Q4</v>
      </c>
      <c r="CL24" s="215" t="str">
        <f>'CAAC Data'!N80</f>
        <v>Year</v>
      </c>
      <c r="CM24" s="212" t="str">
        <f>'CAAC Data'!B80</f>
        <v>Jan</v>
      </c>
      <c r="CN24" s="212" t="str">
        <f>'CAAC Data'!C80</f>
        <v>Feb</v>
      </c>
      <c r="CO24" s="212" t="str">
        <f>'CAAC Data'!D80</f>
        <v>Mar</v>
      </c>
      <c r="CP24" s="212" t="str">
        <f>'CAAC Data'!E80</f>
        <v>Apr</v>
      </c>
      <c r="CQ24" s="212" t="str">
        <f>'CAAC Data'!F80</f>
        <v>May</v>
      </c>
      <c r="CR24" s="212" t="str">
        <f>'CAAC Data'!G80</f>
        <v>Jun</v>
      </c>
      <c r="CS24" s="212" t="str">
        <f>'CAAC Data'!H80</f>
        <v>Jul</v>
      </c>
      <c r="CT24" s="212" t="str">
        <f>'CAAC Data'!I80</f>
        <v>Aug</v>
      </c>
      <c r="CU24" s="212" t="str">
        <f>'CAAC Data'!J80</f>
        <v>Sep</v>
      </c>
      <c r="CV24" s="212" t="str">
        <f>'CAAC Data'!K80</f>
        <v>Oct</v>
      </c>
      <c r="CW24" s="212" t="str">
        <f>'CAAC Data'!L80</f>
        <v>Nov</v>
      </c>
      <c r="CX24" s="216" t="str">
        <f>'CAAC Data'!M80</f>
        <v>Dec</v>
      </c>
      <c r="CY24" s="214">
        <f>'CAAC Data'!O50</f>
        <v>-1.736111111111116E-2</v>
      </c>
      <c r="CZ24" s="214">
        <f>'CAAC Data'!P50</f>
        <v>2.3031825795645E-2</v>
      </c>
      <c r="DA24" s="214"/>
      <c r="DB24" s="214"/>
      <c r="DC24" s="214"/>
      <c r="DD24" s="212">
        <f>'CAAC Data'!B42</f>
        <v>9.1217649554518498E-2</v>
      </c>
      <c r="DE24" s="212">
        <f>'CAAC Data'!C42</f>
        <v>-5.1659988551803093E-2</v>
      </c>
      <c r="DF24" s="212">
        <f>'CAAC Data'!D42</f>
        <v>-3.1546187579572837E-2</v>
      </c>
      <c r="DG24" s="212">
        <f>'CAAC Data'!E42</f>
        <v>1.3748597081930436E-2</v>
      </c>
      <c r="DH24" s="212">
        <f>'CAAC Data'!F42</f>
        <v>1.7907501410039384E-2</v>
      </c>
      <c r="DI24" s="212">
        <f>'CAAC Data'!G42</f>
        <v>1.3631253513209707E-2</v>
      </c>
      <c r="DJ24" s="212">
        <f>'CAAC Data'!H42</f>
        <v>3.120124804992197E-2</v>
      </c>
      <c r="DK24" s="212">
        <f>'CAAC Data'!I42</f>
        <v>5.3856801308669988E-2</v>
      </c>
      <c r="DL24" s="212">
        <f>'CAAC Data'!J42</f>
        <v>6.1622580168464669E-2</v>
      </c>
      <c r="DM24" s="212">
        <f>'CAAC Data'!K42</f>
        <v>0.1532234324403885</v>
      </c>
      <c r="DN24" s="212">
        <f>'CAAC Data'!L42</f>
        <v>0.13816585956416461</v>
      </c>
      <c r="DO24" s="212">
        <f>'CAAC Data'!M42</f>
        <v>9.1737891737891708E-2</v>
      </c>
      <c r="DP24" s="585" t="s">
        <v>115</v>
      </c>
    </row>
    <row r="25" spans="1:120">
      <c r="A25" s="279" t="s">
        <v>102</v>
      </c>
      <c r="B25" s="280">
        <v>5.1080550098231869E-2</v>
      </c>
      <c r="C25" s="280">
        <v>-2.5937749401436561E-2</v>
      </c>
      <c r="D25" s="280">
        <v>-7.3217726396917149E-2</v>
      </c>
      <c r="E25" s="280">
        <v>-9.1944990176817343E-2</v>
      </c>
      <c r="F25" s="281">
        <f>'CAAC Data'!N254</f>
        <v>0</v>
      </c>
      <c r="G25" s="281">
        <f>'CAAC Data'!O254</f>
        <v>0</v>
      </c>
      <c r="H25" s="281">
        <f>'CAAC Data'!P254</f>
        <v>0</v>
      </c>
      <c r="I25" s="281">
        <f>'CAAC Data'!Q254</f>
        <v>0</v>
      </c>
      <c r="J25" s="281">
        <f>'CAAC Data'!R254</f>
        <v>0</v>
      </c>
      <c r="K25" s="281">
        <f>'CAAC Data'!S254</f>
        <v>0</v>
      </c>
      <c r="L25" s="281">
        <f>'CAAC Data'!O229</f>
        <v>0</v>
      </c>
      <c r="M25" s="281">
        <f>'CAAC Data'!P229</f>
        <v>0</v>
      </c>
      <c r="N25" s="281">
        <f>'CAAC Data'!Q229</f>
        <v>0</v>
      </c>
      <c r="O25" s="281">
        <f>'CAAC Data'!R229</f>
        <v>0</v>
      </c>
      <c r="P25" s="282">
        <f>'CAAC Data'!M229</f>
        <v>0</v>
      </c>
      <c r="Q25" s="280">
        <f>'CAAC Data'!N229</f>
        <v>0</v>
      </c>
      <c r="R25" s="283">
        <v>0.13800000000000001</v>
      </c>
      <c r="S25" s="284">
        <f>'CAAC Data'!P204</f>
        <v>0</v>
      </c>
      <c r="T25" s="284">
        <f>'CAAC Data'!Q204</f>
        <v>0</v>
      </c>
      <c r="U25" s="284">
        <f>'CAAC Data'!R204</f>
        <v>0</v>
      </c>
      <c r="V25" s="284">
        <f>'CAAC Data'!N204</f>
        <v>0</v>
      </c>
      <c r="W25" s="285">
        <f>'CAAC Data'!B204</f>
        <v>0</v>
      </c>
      <c r="X25" s="285">
        <f>'CAAC Data'!C204</f>
        <v>0</v>
      </c>
      <c r="Y25" s="285">
        <v>0.14099999999999999</v>
      </c>
      <c r="Z25" s="285">
        <f>'CAAC Data'!E204</f>
        <v>0</v>
      </c>
      <c r="AA25" s="285">
        <f>'CAAC Data'!F204</f>
        <v>0</v>
      </c>
      <c r="AB25" s="286">
        <f>'CAAC Data'!G204</f>
        <v>0</v>
      </c>
      <c r="AC25" s="286">
        <f>'CAAC Data'!H204</f>
        <v>0</v>
      </c>
      <c r="AD25" s="286">
        <f>'CAAC Data'!I204</f>
        <v>0</v>
      </c>
      <c r="AE25" s="286">
        <f>'CAAC Data'!J204</f>
        <v>0</v>
      </c>
      <c r="AF25" s="286">
        <f>'CAAC Data'!K204</f>
        <v>0</v>
      </c>
      <c r="AG25" s="286">
        <f>'CAAC Data'!L204</f>
        <v>0</v>
      </c>
      <c r="AH25" s="286">
        <f>'CAAC Data'!M204</f>
        <v>0</v>
      </c>
      <c r="AI25" s="284">
        <f>'CAAC Data'!O178</f>
        <v>0</v>
      </c>
      <c r="AJ25" s="284">
        <f>'CAAC Data'!P178</f>
        <v>0</v>
      </c>
      <c r="AK25" s="284">
        <f>'CAAC Data'!Q178</f>
        <v>0</v>
      </c>
      <c r="AL25" s="284">
        <f>'CAAC Data'!R178</f>
        <v>0</v>
      </c>
      <c r="AM25" s="284">
        <f>'CAAC Data'!N178</f>
        <v>0</v>
      </c>
      <c r="AN25" s="286">
        <f>'CAAC Data'!B178</f>
        <v>0</v>
      </c>
      <c r="AO25" s="286">
        <f>'CAAC Data'!C178</f>
        <v>0</v>
      </c>
      <c r="AP25" s="286">
        <f>'CAAC Data'!D178</f>
        <v>0</v>
      </c>
      <c r="AQ25" s="286">
        <f>'CAAC Data'!E178</f>
        <v>0</v>
      </c>
      <c r="AR25" s="286">
        <f>'CAAC Data'!F178</f>
        <v>0</v>
      </c>
      <c r="AS25" s="286">
        <f>'CAAC Data'!G178</f>
        <v>0</v>
      </c>
      <c r="AT25" s="286">
        <f>'CAAC Data'!H178</f>
        <v>0</v>
      </c>
      <c r="AU25" s="286">
        <f>'CAAC Data'!I178</f>
        <v>0</v>
      </c>
      <c r="AV25" s="286">
        <f>'CAAC Data'!J178</f>
        <v>0</v>
      </c>
      <c r="AW25" s="286">
        <f>'CAAC Data'!K178</f>
        <v>0</v>
      </c>
      <c r="AX25" s="286">
        <f>'CAAC Data'!L178</f>
        <v>0</v>
      </c>
      <c r="AY25" s="285">
        <f>'CAAC Data'!M178</f>
        <v>0</v>
      </c>
      <c r="AZ25" s="128">
        <f>'CAAC Data'!O153</f>
        <v>0</v>
      </c>
      <c r="BA25" s="113">
        <f>'CAAC Data'!P153</f>
        <v>0</v>
      </c>
      <c r="BB25" s="114">
        <f>'CAAC Data'!Q153</f>
        <v>0</v>
      </c>
      <c r="BC25" s="114">
        <f>'CAAC Data'!R153</f>
        <v>0</v>
      </c>
      <c r="BD25" s="141">
        <f>'CAAC Data'!N153</f>
        <v>0</v>
      </c>
      <c r="BE25" s="115">
        <f>'CAAC Data'!B153</f>
        <v>0</v>
      </c>
      <c r="BF25" s="116">
        <f>'CAAC Data'!C153</f>
        <v>0</v>
      </c>
      <c r="BG25" s="116">
        <f>'CAAC Data'!D153</f>
        <v>0</v>
      </c>
      <c r="BH25" s="116">
        <f>'CAAC Data'!E153</f>
        <v>0</v>
      </c>
      <c r="BI25" s="116">
        <f>'CAAC Data'!F153</f>
        <v>0</v>
      </c>
      <c r="BJ25" s="116">
        <f>'CAAC Data'!G153</f>
        <v>0</v>
      </c>
      <c r="BK25" s="116">
        <f>'CAAC Data'!H153</f>
        <v>0</v>
      </c>
      <c r="BL25" s="116">
        <f>'CAAC Data'!I153</f>
        <v>0</v>
      </c>
      <c r="BM25" s="116">
        <f>'CAAC Data'!J153</f>
        <v>0</v>
      </c>
      <c r="BN25" s="116">
        <f>'CAAC Data'!K153</f>
        <v>0</v>
      </c>
      <c r="BO25" s="116">
        <f>'CAAC Data'!L153</f>
        <v>0</v>
      </c>
      <c r="BP25" s="116">
        <f>'CAAC Data'!M153</f>
        <v>0</v>
      </c>
      <c r="BQ25" s="128">
        <f>'CAAC Data'!O122</f>
        <v>0</v>
      </c>
      <c r="BR25" s="113">
        <f>'CAAC Data'!P122</f>
        <v>0</v>
      </c>
      <c r="BS25" s="113">
        <f>'CAAC Data'!Q122</f>
        <v>0</v>
      </c>
      <c r="BT25" s="113">
        <f>'CAAC Data'!R122</f>
        <v>0</v>
      </c>
      <c r="BU25" s="113">
        <f>'CAAC Data'!N122</f>
        <v>0</v>
      </c>
      <c r="BV25" s="149">
        <f>'CAAC Data'!B122</f>
        <v>0</v>
      </c>
      <c r="BW25" s="116">
        <f>'CAAC Data'!C122</f>
        <v>0</v>
      </c>
      <c r="BX25" s="116">
        <f>'CAAC Data'!D122</f>
        <v>0</v>
      </c>
      <c r="BY25" s="116">
        <f>'CAAC Data'!E122</f>
        <v>0</v>
      </c>
      <c r="BZ25" s="116">
        <f>'CAAC Data'!F122</f>
        <v>0</v>
      </c>
      <c r="CA25" s="116">
        <f>'CAAC Data'!G122</f>
        <v>0</v>
      </c>
      <c r="CB25" s="116">
        <f>'CAAC Data'!H122</f>
        <v>0</v>
      </c>
      <c r="CC25" s="116">
        <f>'CAAC Data'!I122</f>
        <v>0</v>
      </c>
      <c r="CD25" s="116">
        <f>'CAAC Data'!J122</f>
        <v>0</v>
      </c>
      <c r="CE25" s="116">
        <f>'CAAC Data'!K122</f>
        <v>0</v>
      </c>
      <c r="CF25" s="116">
        <f>'CAAC Data'!L122</f>
        <v>0</v>
      </c>
      <c r="CG25" s="195">
        <f>'CAAC Data'!M122</f>
        <v>0</v>
      </c>
      <c r="CH25" s="128">
        <f>'CAAC Data'!O90</f>
        <v>0</v>
      </c>
      <c r="CI25" s="112">
        <f>'CAAC Data'!P90</f>
        <v>0</v>
      </c>
      <c r="CJ25" s="113">
        <f>'CAAC Data'!Q90</f>
        <v>0</v>
      </c>
      <c r="CK25" s="112">
        <f>'CAAC Data'!R90</f>
        <v>0</v>
      </c>
      <c r="CL25" s="112">
        <f>'CAAC Data'!N90</f>
        <v>0</v>
      </c>
      <c r="CM25" s="116">
        <f>'CAAC Data'!B90</f>
        <v>0</v>
      </c>
      <c r="CN25" s="116">
        <f>'CAAC Data'!C90</f>
        <v>0</v>
      </c>
      <c r="CO25" s="116">
        <f>'CAAC Data'!D90</f>
        <v>0</v>
      </c>
      <c r="CP25" s="116">
        <f>'CAAC Data'!E90</f>
        <v>0</v>
      </c>
      <c r="CQ25" s="116">
        <f>'CAAC Data'!F90</f>
        <v>0</v>
      </c>
      <c r="CR25" s="116">
        <f>'CAAC Data'!G90</f>
        <v>0</v>
      </c>
      <c r="CS25" s="116">
        <f>'CAAC Data'!H90</f>
        <v>0</v>
      </c>
      <c r="CT25" s="116">
        <f>'CAAC Data'!I90</f>
        <v>0</v>
      </c>
      <c r="CU25" s="116">
        <f>'CAAC Data'!J90</f>
        <v>0</v>
      </c>
      <c r="CV25" s="116">
        <f>'CAAC Data'!K90</f>
        <v>0</v>
      </c>
      <c r="CW25" s="116">
        <f>'CAAC Data'!L90</f>
        <v>0</v>
      </c>
      <c r="CX25" s="117">
        <f>'CAAC Data'!M90</f>
        <v>0</v>
      </c>
      <c r="CY25" s="195">
        <f>'CAAC Data'!O59</f>
        <v>160804</v>
      </c>
      <c r="CZ25" s="195">
        <f>'CAAC Data'!P59</f>
        <v>155543.5</v>
      </c>
      <c r="DA25" s="195"/>
      <c r="DB25" s="195"/>
      <c r="DC25" s="195"/>
      <c r="DD25" s="116">
        <f>'CAAC Data'!B51</f>
        <v>-0.1837349397590361</v>
      </c>
      <c r="DE25" s="116">
        <f>'CAAC Data'!C51</f>
        <v>-0.32019704433497542</v>
      </c>
      <c r="DF25" s="116">
        <f>'CAAC Data'!D51</f>
        <v>-0.25610948191593352</v>
      </c>
      <c r="DG25" s="116">
        <f>'CAAC Data'!E51</f>
        <v>-0.22519083969465647</v>
      </c>
      <c r="DH25" s="116">
        <f>'CAAC Data'!F51</f>
        <v>-0.23656927426955698</v>
      </c>
      <c r="DI25" s="116">
        <f>'CAAC Data'!G51</f>
        <v>-0.20676328502415464</v>
      </c>
      <c r="DJ25" s="116">
        <f>'CAAC Data'!H51</f>
        <v>-0.23865698729582574</v>
      </c>
      <c r="DK25" s="116">
        <f>'CAAC Data'!I51</f>
        <v>-2.777777777777779E-2</v>
      </c>
      <c r="DL25" s="116">
        <f>'CAAC Data'!J51</f>
        <v>2.5423728813559254E-2</v>
      </c>
      <c r="DM25" s="116">
        <f>'CAAC Data'!K51</f>
        <v>0.12666666666666671</v>
      </c>
      <c r="DN25" s="116">
        <f>'CAAC Data'!L51</f>
        <v>0.15625</v>
      </c>
      <c r="DO25" s="116">
        <f>'CAAC Data'!M51</f>
        <v>0.18965517241379315</v>
      </c>
      <c r="DP25" s="581"/>
    </row>
    <row r="26" spans="1:120" ht="16" customHeight="1" thickBot="1">
      <c r="A26" s="287" t="s">
        <v>103</v>
      </c>
      <c r="B26" s="288">
        <v>0.31084162520729669</v>
      </c>
      <c r="C26" s="288">
        <v>0.23291711729426809</v>
      </c>
      <c r="D26" s="288">
        <v>0.26009922041105588</v>
      </c>
      <c r="E26" s="288">
        <v>0.1160559261628438</v>
      </c>
      <c r="F26" s="289"/>
      <c r="G26" s="289" t="str">
        <f>'CAAC Data'!O250</f>
        <v>Q1</v>
      </c>
      <c r="H26" s="289" t="str">
        <f>'CAAC Data'!P250</f>
        <v>Q2</v>
      </c>
      <c r="I26" s="289" t="str">
        <f>'CAAC Data'!Q250</f>
        <v>Q3</v>
      </c>
      <c r="J26" s="289" t="str">
        <f>'CAAC Data'!R250</f>
        <v>Q4</v>
      </c>
      <c r="K26" s="289"/>
      <c r="L26" s="289" t="str">
        <f>'CAAC Data'!O225</f>
        <v>Q1</v>
      </c>
      <c r="M26" s="289" t="str">
        <f>'CAAC Data'!P225</f>
        <v>Q2</v>
      </c>
      <c r="N26" s="289" t="str">
        <f>'CAAC Data'!Q225</f>
        <v>Q3</v>
      </c>
      <c r="O26" s="289" t="str">
        <f>'CAAC Data'!R225</f>
        <v>Q4</v>
      </c>
      <c r="P26" s="290" t="str">
        <f>'CAAC Data'!M225</f>
        <v>Dec</v>
      </c>
      <c r="Q26" s="288" t="str">
        <f>'CAAC Data'!N225</f>
        <v>Year</v>
      </c>
      <c r="R26" s="291">
        <v>0.16700000000000001</v>
      </c>
      <c r="S26" s="292">
        <v>0.16300000000000001</v>
      </c>
      <c r="T26" s="292" t="str">
        <f>'CAAC Data'!Q200</f>
        <v>Q3</v>
      </c>
      <c r="U26" s="292" t="str">
        <f>'CAAC Data'!R200</f>
        <v>Q4</v>
      </c>
      <c r="V26" s="292" t="str">
        <f>'CAAC Data'!N200</f>
        <v>Year</v>
      </c>
      <c r="W26" s="293" t="str">
        <f>'CAAC Data'!B200</f>
        <v>Jan</v>
      </c>
      <c r="X26" s="293" t="str">
        <f>'CAAC Data'!C200</f>
        <v>Feb</v>
      </c>
      <c r="Y26" s="293">
        <v>0.14099999999999999</v>
      </c>
      <c r="Z26" s="293" t="str">
        <f>'CAAC Data'!E200</f>
        <v>Apr</v>
      </c>
      <c r="AA26" s="293" t="str">
        <f>'CAAC Data'!F200</f>
        <v>May</v>
      </c>
      <c r="AB26" s="294" t="str">
        <f>'CAAC Data'!G200</f>
        <v>Jun</v>
      </c>
      <c r="AC26" s="295" t="str">
        <f>'CAAC Data'!H200</f>
        <v>Jul</v>
      </c>
      <c r="AD26" s="295" t="str">
        <f>'CAAC Data'!I200</f>
        <v>Aug</v>
      </c>
      <c r="AE26" s="295" t="str">
        <f>'CAAC Data'!J200</f>
        <v>Sep</v>
      </c>
      <c r="AF26" s="295" t="str">
        <f>'CAAC Data'!K200</f>
        <v>Oct</v>
      </c>
      <c r="AG26" s="295" t="str">
        <f>'CAAC Data'!L200</f>
        <v>Nov</v>
      </c>
      <c r="AH26" s="295" t="str">
        <f>'CAAC Data'!M200</f>
        <v>Dec</v>
      </c>
      <c r="AI26" s="292" t="str">
        <f>'CAAC Data'!O174</f>
        <v>Q1</v>
      </c>
      <c r="AJ26" s="292" t="str">
        <f>'CAAC Data'!P174</f>
        <v>Q2</v>
      </c>
      <c r="AK26" s="292" t="str">
        <f>'CAAC Data'!Q174</f>
        <v>Q3</v>
      </c>
      <c r="AL26" s="292" t="str">
        <f>'CAAC Data'!R174</f>
        <v>Q4</v>
      </c>
      <c r="AM26" s="292" t="str">
        <f>'CAAC Data'!N174</f>
        <v>Year</v>
      </c>
      <c r="AN26" s="295" t="str">
        <f>'CAAC Data'!B174</f>
        <v>Jan</v>
      </c>
      <c r="AO26" s="295" t="str">
        <f>'CAAC Data'!C174</f>
        <v>Feb</v>
      </c>
      <c r="AP26" s="295" t="str">
        <f>'CAAC Data'!D174</f>
        <v>Mar</v>
      </c>
      <c r="AQ26" s="295" t="str">
        <f>'CAAC Data'!E174</f>
        <v>Apr</v>
      </c>
      <c r="AR26" s="295" t="str">
        <f>'CAAC Data'!F174</f>
        <v>May</v>
      </c>
      <c r="AS26" s="295" t="str">
        <f>'CAAC Data'!G174</f>
        <v>Jun</v>
      </c>
      <c r="AT26" s="295" t="str">
        <f>'CAAC Data'!H174</f>
        <v>Jul</v>
      </c>
      <c r="AU26" s="295" t="str">
        <f>'CAAC Data'!I174</f>
        <v>Aug</v>
      </c>
      <c r="AV26" s="295" t="str">
        <f>'CAAC Data'!J174</f>
        <v>Sep</v>
      </c>
      <c r="AW26" s="295" t="str">
        <f>'CAAC Data'!K174</f>
        <v>Oct</v>
      </c>
      <c r="AX26" s="295" t="str">
        <f>'CAAC Data'!L174</f>
        <v>Nov</v>
      </c>
      <c r="AY26" s="296" t="str">
        <f>'CAAC Data'!M174</f>
        <v>Dec</v>
      </c>
      <c r="AZ26" s="134">
        <f>'CAAC Data'!O148</f>
        <v>0</v>
      </c>
      <c r="BA26" s="139">
        <f>'CAAC Data'!P148</f>
        <v>0</v>
      </c>
      <c r="BB26" s="182">
        <f>'CAAC Data'!Q148</f>
        <v>0</v>
      </c>
      <c r="BC26" s="182">
        <f>'CAAC Data'!R148</f>
        <v>0</v>
      </c>
      <c r="BD26" s="142">
        <f>'CAAC Data'!N148</f>
        <v>0</v>
      </c>
      <c r="BE26" s="123">
        <f>'CAAC Data'!B148</f>
        <v>0</v>
      </c>
      <c r="BF26" s="124">
        <f>'CAAC Data'!C148</f>
        <v>0</v>
      </c>
      <c r="BG26" s="124">
        <f>'CAAC Data'!D148</f>
        <v>0</v>
      </c>
      <c r="BH26" s="124">
        <f>'CAAC Data'!E148</f>
        <v>0</v>
      </c>
      <c r="BI26" s="124">
        <f>'CAAC Data'!F148</f>
        <v>0</v>
      </c>
      <c r="BJ26" s="124">
        <f>'CAAC Data'!G148</f>
        <v>0</v>
      </c>
      <c r="BK26" s="124">
        <f>'CAAC Data'!H148</f>
        <v>0</v>
      </c>
      <c r="BL26" s="124">
        <f>'CAAC Data'!I148</f>
        <v>0</v>
      </c>
      <c r="BM26" s="124">
        <f>'CAAC Data'!J148</f>
        <v>0</v>
      </c>
      <c r="BN26" s="124">
        <f>'CAAC Data'!K148</f>
        <v>0</v>
      </c>
      <c r="BO26" s="124">
        <f>'CAAC Data'!L148</f>
        <v>0</v>
      </c>
      <c r="BP26" s="124">
        <f>'CAAC Data'!M148</f>
        <v>0</v>
      </c>
      <c r="BQ26" s="134">
        <f>'CAAC Data'!O117</f>
        <v>0</v>
      </c>
      <c r="BR26" s="139">
        <f>'CAAC Data'!P117</f>
        <v>0</v>
      </c>
      <c r="BS26" s="139">
        <f>'CAAC Data'!Q117</f>
        <v>0</v>
      </c>
      <c r="BT26" s="139">
        <f>'CAAC Data'!R117</f>
        <v>0</v>
      </c>
      <c r="BU26" s="139">
        <f>'CAAC Data'!N117</f>
        <v>0</v>
      </c>
      <c r="BV26" s="150">
        <f>'CAAC Data'!B117</f>
        <v>0</v>
      </c>
      <c r="BW26" s="124">
        <f>'CAAC Data'!C117</f>
        <v>0</v>
      </c>
      <c r="BX26" s="124">
        <f>'CAAC Data'!D117</f>
        <v>0</v>
      </c>
      <c r="BY26" s="124">
        <f>'CAAC Data'!E117</f>
        <v>0</v>
      </c>
      <c r="BZ26" s="124">
        <f>'CAAC Data'!F117</f>
        <v>0</v>
      </c>
      <c r="CA26" s="124">
        <f>'CAAC Data'!G117</f>
        <v>0</v>
      </c>
      <c r="CB26" s="124">
        <f>'CAAC Data'!H117</f>
        <v>0</v>
      </c>
      <c r="CC26" s="124">
        <f>'CAAC Data'!I117</f>
        <v>0</v>
      </c>
      <c r="CD26" s="124">
        <f>'CAAC Data'!J117</f>
        <v>0</v>
      </c>
      <c r="CE26" s="124">
        <f>'CAAC Data'!K117</f>
        <v>0</v>
      </c>
      <c r="CF26" s="124">
        <f>'CAAC Data'!L117</f>
        <v>0</v>
      </c>
      <c r="CG26" s="196">
        <f>'CAAC Data'!M117</f>
        <v>0</v>
      </c>
      <c r="CH26" s="134">
        <f>'CAAC Data'!O85</f>
        <v>0</v>
      </c>
      <c r="CI26" s="191">
        <f>'CAAC Data'!P85</f>
        <v>0</v>
      </c>
      <c r="CJ26" s="139">
        <f>'CAAC Data'!Q85</f>
        <v>0</v>
      </c>
      <c r="CK26" s="191">
        <f>'CAAC Data'!R85</f>
        <v>0</v>
      </c>
      <c r="CL26" s="191">
        <f>'CAAC Data'!N85</f>
        <v>0</v>
      </c>
      <c r="CM26" s="124">
        <f>'CAAC Data'!B85</f>
        <v>0</v>
      </c>
      <c r="CN26" s="124">
        <f>'CAAC Data'!C85</f>
        <v>0</v>
      </c>
      <c r="CO26" s="124">
        <f>'CAAC Data'!D85</f>
        <v>0</v>
      </c>
      <c r="CP26" s="124">
        <f>'CAAC Data'!E85</f>
        <v>0</v>
      </c>
      <c r="CQ26" s="124">
        <f>'CAAC Data'!F85</f>
        <v>0</v>
      </c>
      <c r="CR26" s="124">
        <f>'CAAC Data'!G85</f>
        <v>0</v>
      </c>
      <c r="CS26" s="124">
        <f>'CAAC Data'!H85</f>
        <v>0</v>
      </c>
      <c r="CT26" s="124">
        <f>'CAAC Data'!I85</f>
        <v>0</v>
      </c>
      <c r="CU26" s="124">
        <f>'CAAC Data'!J85</f>
        <v>0</v>
      </c>
      <c r="CV26" s="124">
        <f>'CAAC Data'!K85</f>
        <v>0</v>
      </c>
      <c r="CW26" s="124">
        <f>'CAAC Data'!L85</f>
        <v>0</v>
      </c>
      <c r="CX26" s="125">
        <f>'CAAC Data'!M85</f>
        <v>0</v>
      </c>
      <c r="CY26" s="196">
        <f>'CAAC Data'!O55</f>
        <v>177228</v>
      </c>
      <c r="CZ26" s="196">
        <f>'CAAC Data'!P55</f>
        <v>173486</v>
      </c>
      <c r="DA26" s="196"/>
      <c r="DB26" s="196"/>
      <c r="DC26" s="196"/>
      <c r="DD26" s="124">
        <f>'CAAC Data'!B47</f>
        <v>0.13629629629629636</v>
      </c>
      <c r="DE26" s="124">
        <f>'CAAC Data'!C47</f>
        <v>-6.0271220492215116E-3</v>
      </c>
      <c r="DF26" s="124">
        <f>'CAAC Data'!D47</f>
        <v>6.450545815415154E-3</v>
      </c>
      <c r="DG26" s="124">
        <f>'CAAC Data'!E47</f>
        <v>5.4934210526315752E-2</v>
      </c>
      <c r="DH26" s="124">
        <f>'CAAC Data'!F47</f>
        <v>6.2676173105620903E-2</v>
      </c>
      <c r="DI26" s="124">
        <f>'CAAC Data'!G47</f>
        <v>5.1142904127610578E-2</v>
      </c>
      <c r="DJ26" s="124">
        <f>'CAAC Data'!H47</f>
        <v>7.6327769347496188E-2</v>
      </c>
      <c r="DK26" s="124">
        <f>'CAAC Data'!I47</f>
        <v>6.4755384395949189E-2</v>
      </c>
      <c r="DL26" s="124">
        <f>'CAAC Data'!J47</f>
        <v>6.5852450899488435E-2</v>
      </c>
      <c r="DM26" s="124">
        <f>'CAAC Data'!K47</f>
        <v>0.15651886168100604</v>
      </c>
      <c r="DN26" s="124">
        <f>'CAAC Data'!L47</f>
        <v>0.136009485094851</v>
      </c>
      <c r="DO26" s="124">
        <f>'CAAC Data'!M47</f>
        <v>8.0961416824794519E-2</v>
      </c>
      <c r="DP26" s="581"/>
    </row>
    <row r="27" spans="1:120" ht="16" hidden="1" customHeight="1">
      <c r="A27" s="297" t="s">
        <v>104</v>
      </c>
      <c r="B27" s="298"/>
      <c r="C27" s="298"/>
      <c r="D27" s="298"/>
      <c r="E27" s="298"/>
      <c r="F27" s="299"/>
      <c r="G27" s="298">
        <f>'CAAC Data'!O246</f>
        <v>2664</v>
      </c>
      <c r="H27" s="298">
        <f>'CAAC Data'!P246</f>
        <v>2791</v>
      </c>
      <c r="I27" s="298">
        <f>'CAAC Data'!Q246</f>
        <v>2947</v>
      </c>
      <c r="J27" s="298">
        <f>'CAAC Data'!R246</f>
        <v>2868</v>
      </c>
      <c r="K27" s="299"/>
      <c r="L27" s="298">
        <f>'CAAC Data'!O221</f>
        <v>3034</v>
      </c>
      <c r="M27" s="298">
        <f>'CAAC Data'!P221</f>
        <v>3144</v>
      </c>
      <c r="N27" s="298">
        <f>'CAAC Data'!Q221</f>
        <v>2746</v>
      </c>
      <c r="O27" s="298">
        <f>'CAAC Data'!R221</f>
        <v>2150</v>
      </c>
      <c r="P27" s="300"/>
      <c r="Q27" s="298"/>
      <c r="R27" s="301">
        <f>'CAAC Data'!O196</f>
        <v>-0.7432432432432432</v>
      </c>
      <c r="S27" s="301">
        <f>'CAAC Data'!P196</f>
        <v>-0.99077608142493634</v>
      </c>
      <c r="T27" s="301">
        <f>'CAAC Data'!Q196</f>
        <v>-0.99714362224404174</v>
      </c>
      <c r="U27" s="302">
        <f>'CAAC Data'!R196</f>
        <v>-0.99564195475467632</v>
      </c>
      <c r="V27" s="302">
        <f>'CAAC Data'!N196</f>
        <v>-0.91322015531876466</v>
      </c>
      <c r="W27" s="303"/>
      <c r="X27" s="303"/>
      <c r="Y27" s="303"/>
      <c r="Z27" s="304"/>
      <c r="AA27" s="304"/>
      <c r="AB27" s="304"/>
      <c r="AC27" s="305"/>
      <c r="AD27" s="305"/>
      <c r="AE27" s="305"/>
      <c r="AF27" s="305"/>
      <c r="AG27" s="305"/>
      <c r="AH27" s="305"/>
      <c r="AI27" s="301"/>
      <c r="AJ27" s="301"/>
      <c r="AK27" s="301"/>
      <c r="AL27" s="301"/>
      <c r="AM27" s="301"/>
      <c r="AN27" s="305"/>
      <c r="AO27" s="305"/>
      <c r="AP27" s="305"/>
      <c r="AQ27" s="305"/>
      <c r="AR27" s="305"/>
      <c r="AS27" s="305"/>
      <c r="AT27" s="305"/>
      <c r="AU27" s="305"/>
      <c r="AV27" s="305"/>
      <c r="AW27" s="305"/>
      <c r="AX27" s="305"/>
      <c r="AY27" s="306"/>
      <c r="AZ27" s="166"/>
      <c r="BA27" s="167"/>
      <c r="BB27" s="167"/>
      <c r="BC27" s="168"/>
      <c r="BD27" s="169"/>
      <c r="BE27" s="170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2"/>
      <c r="BQ27" s="166"/>
      <c r="BR27" s="167"/>
      <c r="BS27" s="167"/>
      <c r="BT27" s="168"/>
      <c r="BU27" s="169"/>
      <c r="BV27" s="173"/>
      <c r="BW27" s="171"/>
      <c r="BX27" s="171"/>
      <c r="BY27" s="171"/>
      <c r="BZ27" s="171"/>
      <c r="CA27" s="171"/>
      <c r="CB27" s="171"/>
      <c r="CC27" s="171"/>
      <c r="CD27" s="171"/>
      <c r="CE27" s="171"/>
      <c r="CF27" s="171"/>
      <c r="CG27" s="197"/>
      <c r="CH27" s="201"/>
      <c r="CI27" s="192"/>
      <c r="CJ27" s="188"/>
      <c r="CK27" s="192"/>
      <c r="CL27" s="192"/>
      <c r="CM27" s="171"/>
      <c r="CN27" s="171"/>
      <c r="CO27" s="171"/>
      <c r="CP27" s="171"/>
      <c r="CQ27" s="171"/>
      <c r="CR27" s="171"/>
      <c r="CS27" s="171"/>
      <c r="CT27" s="171"/>
      <c r="CU27" s="171"/>
      <c r="CV27" s="171"/>
      <c r="CW27" s="171"/>
      <c r="CX27" s="172"/>
      <c r="CY27" s="197"/>
      <c r="CZ27" s="197"/>
      <c r="DA27" s="197"/>
      <c r="DB27" s="197"/>
      <c r="DC27" s="197"/>
      <c r="DD27" s="171"/>
      <c r="DE27" s="171"/>
      <c r="DF27" s="171"/>
      <c r="DG27" s="171"/>
      <c r="DH27" s="171"/>
      <c r="DI27" s="171"/>
      <c r="DJ27" s="171"/>
      <c r="DK27" s="171"/>
      <c r="DL27" s="171"/>
      <c r="DM27" s="171"/>
      <c r="DN27" s="171"/>
      <c r="DO27" s="171"/>
    </row>
    <row r="28" spans="1:120" ht="15.65" hidden="1" customHeight="1">
      <c r="A28" s="307" t="s">
        <v>105</v>
      </c>
      <c r="B28" s="308">
        <v>6.0036962491938572E-2</v>
      </c>
      <c r="C28" s="308">
        <v>5.8124269832589448E-2</v>
      </c>
      <c r="D28" s="308">
        <v>5.8366281717510793E-2</v>
      </c>
      <c r="E28" s="308">
        <v>0.1028624814615811</v>
      </c>
      <c r="F28" s="309"/>
      <c r="G28" s="308">
        <v>0.14579564330774189</v>
      </c>
      <c r="H28" s="308">
        <v>0.13840440886595401</v>
      </c>
      <c r="I28" s="308">
        <v>0.1153915501962683</v>
      </c>
      <c r="J28" s="308">
        <v>0.16008564514616699</v>
      </c>
      <c r="K28" s="310"/>
      <c r="L28" s="308">
        <v>9.8091979321746292E-2</v>
      </c>
      <c r="M28" s="308">
        <v>0.1246176471844354</v>
      </c>
      <c r="N28" s="308">
        <v>9.5081406667339996E-2</v>
      </c>
      <c r="O28" s="309">
        <v>7.7172820095998462E-2</v>
      </c>
      <c r="P28" s="311">
        <v>6.5459285488227659E-2</v>
      </c>
      <c r="Q28" s="308">
        <v>9.8298188688650007E-2</v>
      </c>
      <c r="R28" s="312">
        <f>'Top 4 Total'!O109</f>
        <v>-0.54218780002252065</v>
      </c>
      <c r="S28" s="313">
        <v>5.8000000000000003E-2</v>
      </c>
      <c r="T28" s="313">
        <f>'Top 4 Total'!Q109</f>
        <v>-0.27111561189108957</v>
      </c>
      <c r="U28" s="313">
        <f>'Top 4 Total'!R109</f>
        <v>-0.19752605252715216</v>
      </c>
      <c r="V28" s="313">
        <f>AVERAGE(R28:U28)</f>
        <v>-0.23820736611019058</v>
      </c>
      <c r="W28" s="314">
        <f>'Top 4 Total'!B109</f>
        <v>-4.6842393829310658E-2</v>
      </c>
      <c r="X28" s="314">
        <f>'Top 4 Total'!C109</f>
        <v>-0.85757162363486683</v>
      </c>
      <c r="Y28" s="314">
        <f>'Top 4 Total'!D109</f>
        <v>-0.72302853599014172</v>
      </c>
      <c r="Z28" s="315">
        <f>'Top 4 Total'!E109</f>
        <v>-0.71107623112695095</v>
      </c>
      <c r="AA28" s="315">
        <f>'Top 4 Total'!F109</f>
        <v>-0.56828482470362629</v>
      </c>
      <c r="AB28" s="315">
        <f>'Top 4 Total'!G109</f>
        <v>-0.47586372991061898</v>
      </c>
      <c r="AC28" s="316">
        <f>'Top 4 Total'!H109</f>
        <v>-0.37369302601684684</v>
      </c>
      <c r="AD28" s="316">
        <f>'Top 4 Total'!I109</f>
        <v>-0.28857020021276292</v>
      </c>
      <c r="AE28" s="316">
        <f>'Top 4 Total'!J109</f>
        <v>-0.14011660589603148</v>
      </c>
      <c r="AF28" s="316">
        <f>'Top 4 Total'!K109</f>
        <v>-0.1352759654666188</v>
      </c>
      <c r="AG28" s="316">
        <f>'Top 4 Total'!L109</f>
        <v>-0.19893438034448352</v>
      </c>
      <c r="AH28" s="316">
        <f>'Top 4 Total'!M109</f>
        <v>-0.26173440841910933</v>
      </c>
      <c r="AI28" s="313"/>
      <c r="AJ28" s="313"/>
      <c r="AK28" s="313"/>
      <c r="AL28" s="313"/>
      <c r="AM28" s="313"/>
      <c r="AN28" s="316">
        <f>'Top 4 Total'!N109</f>
        <v>0</v>
      </c>
      <c r="AO28" s="316">
        <f>'Top 4 Total'!O109</f>
        <v>-0.54218780002252065</v>
      </c>
      <c r="AP28" s="316">
        <f>'Top 4 Total'!P109</f>
        <v>-0.58467309525937461</v>
      </c>
      <c r="AQ28" s="316">
        <f>'Top 4 Total'!Q109</f>
        <v>-0.27111561189108957</v>
      </c>
      <c r="AR28" s="316">
        <f>'Top 4 Total'!R109</f>
        <v>-0.19752605252715216</v>
      </c>
      <c r="AS28" s="316">
        <f>'Top 4 Total'!S109</f>
        <v>-0.39512330892815795</v>
      </c>
      <c r="AT28" s="316">
        <f>'Top 4 Total'!T109</f>
        <v>0</v>
      </c>
      <c r="AU28" s="316"/>
      <c r="AV28" s="316"/>
      <c r="AW28" s="316"/>
      <c r="AX28" s="316"/>
      <c r="AY28" s="317"/>
      <c r="AZ28" s="130"/>
      <c r="BA28" s="119"/>
      <c r="BB28" s="119"/>
      <c r="BC28" s="137"/>
      <c r="BD28" s="140"/>
      <c r="BE28" s="109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1"/>
      <c r="BQ28" s="130"/>
      <c r="BR28" s="119"/>
      <c r="BS28" s="119"/>
      <c r="BT28" s="137"/>
      <c r="BU28" s="140"/>
      <c r="BV28" s="148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98"/>
      <c r="CH28" s="202"/>
      <c r="CI28" s="193"/>
      <c r="CJ28" s="189"/>
      <c r="CK28" s="193"/>
      <c r="CL28" s="193"/>
      <c r="CM28" s="110"/>
      <c r="CN28" s="110"/>
      <c r="CO28" s="110"/>
      <c r="CP28" s="110"/>
      <c r="CQ28" s="110"/>
      <c r="CR28" s="110"/>
      <c r="CS28" s="110"/>
      <c r="CT28" s="110"/>
      <c r="CU28" s="110"/>
      <c r="CV28" s="110"/>
      <c r="CW28" s="110"/>
      <c r="CX28" s="111"/>
      <c r="CY28" s="198"/>
      <c r="CZ28" s="198"/>
      <c r="DA28" s="198"/>
      <c r="DB28" s="198"/>
      <c r="DC28" s="198"/>
      <c r="DD28" s="110"/>
      <c r="DE28" s="110"/>
      <c r="DF28" s="110"/>
      <c r="DG28" s="110"/>
      <c r="DH28" s="110"/>
      <c r="DI28" s="110"/>
      <c r="DJ28" s="110"/>
      <c r="DK28" s="110"/>
      <c r="DL28" s="110"/>
      <c r="DM28" s="110"/>
      <c r="DN28" s="110"/>
      <c r="DO28" s="110"/>
    </row>
    <row r="29" spans="1:120" ht="18" hidden="1" customHeight="1">
      <c r="A29" s="318" t="s">
        <v>106</v>
      </c>
      <c r="B29" s="280">
        <v>3.4646530610605408E-2</v>
      </c>
      <c r="C29" s="280">
        <v>4.170599733156144E-2</v>
      </c>
      <c r="D29" s="280">
        <v>4.2045546907583782E-2</v>
      </c>
      <c r="E29" s="280">
        <v>0.1089508349498365</v>
      </c>
      <c r="F29" s="281"/>
      <c r="G29" s="280">
        <v>0.15885513693026471</v>
      </c>
      <c r="H29" s="280">
        <v>0.15682133775805271</v>
      </c>
      <c r="I29" s="280">
        <v>0.1248078322015977</v>
      </c>
      <c r="J29" s="280">
        <v>0.1622232760765365</v>
      </c>
      <c r="K29" s="319"/>
      <c r="L29" s="280">
        <v>9.7018099087087695E-2</v>
      </c>
      <c r="M29" s="280">
        <v>0.11363947476491849</v>
      </c>
      <c r="N29" s="280">
        <v>9.114587743244762E-2</v>
      </c>
      <c r="O29" s="281">
        <v>7.21928245491672E-2</v>
      </c>
      <c r="P29" s="320">
        <v>5.6820941644000873E-2</v>
      </c>
      <c r="Q29" s="280">
        <v>9.3101817283943067E-2</v>
      </c>
      <c r="R29" s="321">
        <f>'Top4 Domestic'!O122</f>
        <v>0</v>
      </c>
      <c r="S29" s="322">
        <v>4.7E-2</v>
      </c>
      <c r="T29" s="322">
        <f>'Top4 Domestic'!Q122</f>
        <v>0</v>
      </c>
      <c r="U29" s="322">
        <f>'Top4 Domestic'!R122</f>
        <v>0</v>
      </c>
      <c r="V29" s="313">
        <f>AVERAGE(R29:U29)</f>
        <v>1.175E-2</v>
      </c>
      <c r="W29" s="286">
        <f>'Top4 Domestic'!B122</f>
        <v>-1</v>
      </c>
      <c r="X29" s="286" t="e">
        <f>'Top4 Domestic'!C122</f>
        <v>#DIV/0!</v>
      </c>
      <c r="Y29" s="286" t="e">
        <f>'Top4 Domestic'!D122</f>
        <v>#DIV/0!</v>
      </c>
      <c r="Z29" s="323" t="e">
        <f>'Top4 Domestic'!E122</f>
        <v>#DIV/0!</v>
      </c>
      <c r="AA29" s="323" t="e">
        <f>'Top4 Domestic'!F122</f>
        <v>#DIV/0!</v>
      </c>
      <c r="AB29" s="323" t="e">
        <f>'Top4 Domestic'!G122</f>
        <v>#DIV/0!</v>
      </c>
      <c r="AC29" s="324" t="e">
        <f>'Top4 Domestic'!H122</f>
        <v>#DIV/0!</v>
      </c>
      <c r="AD29" s="324" t="e">
        <f>'Top4 Domestic'!I122</f>
        <v>#DIV/0!</v>
      </c>
      <c r="AE29" s="324" t="e">
        <f>'Top4 Domestic'!J122</f>
        <v>#DIV/0!</v>
      </c>
      <c r="AF29" s="324" t="e">
        <f>'Top4 Domestic'!K122</f>
        <v>#DIV/0!</v>
      </c>
      <c r="AG29" s="324" t="e">
        <f>'Top4 Domestic'!L122</f>
        <v>#DIV/0!</v>
      </c>
      <c r="AH29" s="324" t="e">
        <f>'Top4 Domestic'!M122</f>
        <v>#DIV/0!</v>
      </c>
      <c r="AI29" s="322"/>
      <c r="AJ29" s="322"/>
      <c r="AK29" s="322"/>
      <c r="AL29" s="322"/>
      <c r="AM29" s="322"/>
      <c r="AN29" s="324">
        <f>'Top4 Domestic'!N122</f>
        <v>0</v>
      </c>
      <c r="AO29" s="324">
        <f>'Top4 Domestic'!O122</f>
        <v>0</v>
      </c>
      <c r="AP29" s="324">
        <f>'Top4 Domestic'!P122</f>
        <v>0</v>
      </c>
      <c r="AQ29" s="324">
        <f>'Top4 Domestic'!Q122</f>
        <v>0</v>
      </c>
      <c r="AR29" s="324">
        <f>'Top4 Domestic'!R122</f>
        <v>0</v>
      </c>
      <c r="AS29" s="324">
        <f>'Top4 Domestic'!S122</f>
        <v>0</v>
      </c>
      <c r="AT29" s="324">
        <f>'Top4 Domestic'!T122</f>
        <v>0</v>
      </c>
      <c r="AU29" s="324"/>
      <c r="AV29" s="324"/>
      <c r="AW29" s="324"/>
      <c r="AX29" s="324"/>
      <c r="AY29" s="325"/>
      <c r="AZ29" s="131"/>
      <c r="BA29" s="108"/>
      <c r="BB29" s="108"/>
      <c r="BC29" s="135"/>
      <c r="BD29" s="140"/>
      <c r="BE29" s="109"/>
      <c r="BF29" s="110"/>
      <c r="BG29" s="110"/>
      <c r="BH29" s="110"/>
      <c r="BI29" s="110"/>
      <c r="BJ29" s="110"/>
      <c r="BK29" s="110"/>
      <c r="BL29" s="110"/>
      <c r="BM29" s="110"/>
      <c r="BN29" s="110"/>
      <c r="BO29" s="110"/>
      <c r="BP29" s="111"/>
      <c r="BQ29" s="131"/>
      <c r="BR29" s="108"/>
      <c r="BS29" s="108"/>
      <c r="BT29" s="135"/>
      <c r="BU29" s="140"/>
      <c r="BV29" s="148"/>
      <c r="BW29" s="110"/>
      <c r="BX29" s="110"/>
      <c r="BY29" s="110"/>
      <c r="BZ29" s="110"/>
      <c r="CA29" s="110"/>
      <c r="CB29" s="110"/>
      <c r="CC29" s="110"/>
      <c r="CD29" s="110"/>
      <c r="CE29" s="110"/>
      <c r="CF29" s="110"/>
      <c r="CG29" s="198"/>
      <c r="CH29" s="202"/>
      <c r="CI29" s="193"/>
      <c r="CJ29" s="189"/>
      <c r="CK29" s="193"/>
      <c r="CL29" s="193"/>
      <c r="CM29" s="110"/>
      <c r="CN29" s="110"/>
      <c r="CO29" s="110"/>
      <c r="CP29" s="110"/>
      <c r="CQ29" s="110"/>
      <c r="CR29" s="110"/>
      <c r="CS29" s="110"/>
      <c r="CT29" s="110"/>
      <c r="CU29" s="110"/>
      <c r="CV29" s="110"/>
      <c r="CW29" s="110"/>
      <c r="CX29" s="111"/>
      <c r="CY29" s="198"/>
      <c r="CZ29" s="198"/>
      <c r="DA29" s="198"/>
      <c r="DB29" s="198"/>
      <c r="DC29" s="198"/>
      <c r="DD29" s="110"/>
      <c r="DE29" s="110"/>
      <c r="DF29" s="110"/>
      <c r="DG29" s="110"/>
      <c r="DH29" s="110"/>
      <c r="DI29" s="110"/>
      <c r="DJ29" s="110"/>
      <c r="DK29" s="110"/>
      <c r="DL29" s="110"/>
      <c r="DM29" s="110"/>
      <c r="DN29" s="110"/>
      <c r="DO29" s="110"/>
    </row>
    <row r="30" spans="1:120" ht="15.65" hidden="1" customHeight="1">
      <c r="A30" s="318" t="s">
        <v>107</v>
      </c>
      <c r="B30" s="280">
        <v>9.4145204030150476E-2</v>
      </c>
      <c r="C30" s="280">
        <v>5.9756403827160298E-5</v>
      </c>
      <c r="D30" s="280">
        <v>-4.7798349860429967E-2</v>
      </c>
      <c r="E30" s="280">
        <v>-7.165969359466462E-2</v>
      </c>
      <c r="F30" s="281"/>
      <c r="G30" s="280">
        <v>-8.3474673885410189E-2</v>
      </c>
      <c r="H30" s="280">
        <v>5.0705334020479942E-3</v>
      </c>
      <c r="I30" s="280">
        <v>9.4197073390545727E-2</v>
      </c>
      <c r="J30" s="280">
        <v>0.15460566251261779</v>
      </c>
      <c r="K30" s="319"/>
      <c r="L30" s="280">
        <v>9.7493155119401598E-2</v>
      </c>
      <c r="M30" s="280">
        <v>0.13401207095311871</v>
      </c>
      <c r="N30" s="280">
        <v>9.9752247449121922E-2</v>
      </c>
      <c r="O30" s="281">
        <v>7.4324106480768037E-2</v>
      </c>
      <c r="P30" s="320">
        <v>8.6705343368904675E-2</v>
      </c>
      <c r="Q30" s="280">
        <v>0.1007962357890109</v>
      </c>
      <c r="R30" s="321">
        <f>'Top4 Intl.+Reg'!O453</f>
        <v>-1</v>
      </c>
      <c r="S30" s="321">
        <f>'Top4 Intl.+Reg'!P453</f>
        <v>-1</v>
      </c>
      <c r="T30" s="321">
        <f>'Top4 Intl.+Reg'!Q453</f>
        <v>-1</v>
      </c>
      <c r="U30" s="321">
        <f>'Top4 Intl.+Reg'!R453</f>
        <v>-1</v>
      </c>
      <c r="V30" s="313">
        <f>AVERAGE(R30:U30)</f>
        <v>-1</v>
      </c>
      <c r="W30" s="286">
        <f>'Top4 Intl.+Reg'!B453</f>
        <v>0.30513065156504871</v>
      </c>
      <c r="X30" s="286">
        <f>'Top4 Intl.+Reg'!C453</f>
        <v>0.20746757873735211</v>
      </c>
      <c r="Y30" s="286">
        <f>'Top4 Intl.+Reg'!D453</f>
        <v>0.18114637870855144</v>
      </c>
      <c r="Z30" s="323">
        <f>'Top4 Intl.+Reg'!E453</f>
        <v>0.21334841034002161</v>
      </c>
      <c r="AA30" s="323">
        <f>'Top4 Intl.+Reg'!F453</f>
        <v>0.19381584853845957</v>
      </c>
      <c r="AB30" s="323">
        <f>'Top4 Intl.+Reg'!G453</f>
        <v>0.21771282462649144</v>
      </c>
      <c r="AC30" s="324">
        <f>'Top4 Intl.+Reg'!H453</f>
        <v>0.20284156911804141</v>
      </c>
      <c r="AD30" s="324">
        <f>'Top4 Intl.+Reg'!I453</f>
        <v>0.20591060985797816</v>
      </c>
      <c r="AE30" s="324">
        <f>'Top4 Intl.+Reg'!J453</f>
        <v>0.19422943400107995</v>
      </c>
      <c r="AF30" s="324">
        <f>'Top4 Intl.+Reg'!K453</f>
        <v>0.16816143497757841</v>
      </c>
      <c r="AG30" s="324">
        <f>'Top4 Intl.+Reg'!L453</f>
        <v>-3.1432146235770286E-3</v>
      </c>
      <c r="AH30" s="324">
        <f>'Top4 Intl.+Reg'!M453</f>
        <v>-8.5921118322516254E-2</v>
      </c>
      <c r="AI30" s="321"/>
      <c r="AJ30" s="321"/>
      <c r="AK30" s="321"/>
      <c r="AL30" s="321"/>
      <c r="AM30" s="321"/>
      <c r="AN30" s="324">
        <f>'Top4 Intl.+Reg'!N453</f>
        <v>0</v>
      </c>
      <c r="AO30" s="324">
        <f>'Top4 Intl.+Reg'!O453</f>
        <v>-1</v>
      </c>
      <c r="AP30" s="324">
        <f>'Top4 Intl.+Reg'!P453</f>
        <v>-1</v>
      </c>
      <c r="AQ30" s="324">
        <f>'Top4 Intl.+Reg'!Q453</f>
        <v>-1</v>
      </c>
      <c r="AR30" s="324">
        <f>'Top4 Intl.+Reg'!R453</f>
        <v>-1</v>
      </c>
      <c r="AS30" s="324">
        <f>'Top4 Intl.+Reg'!S453</f>
        <v>-1</v>
      </c>
      <c r="AT30" s="324">
        <f>'Top4 Intl.+Reg'!T453</f>
        <v>0</v>
      </c>
      <c r="AU30" s="324"/>
      <c r="AV30" s="324"/>
      <c r="AW30" s="324"/>
      <c r="AX30" s="324"/>
      <c r="AY30" s="325"/>
      <c r="AZ30" s="131"/>
      <c r="BA30" s="120"/>
      <c r="BB30" s="120"/>
      <c r="BC30" s="138"/>
      <c r="BD30" s="140"/>
      <c r="BE30" s="109"/>
      <c r="BF30" s="110"/>
      <c r="BG30" s="110"/>
      <c r="BH30" s="110"/>
      <c r="BI30" s="110"/>
      <c r="BJ30" s="110"/>
      <c r="BK30" s="110"/>
      <c r="BL30" s="110"/>
      <c r="BM30" s="110"/>
      <c r="BN30" s="110"/>
      <c r="BO30" s="110"/>
      <c r="BP30" s="111"/>
      <c r="BQ30" s="131"/>
      <c r="BR30" s="120"/>
      <c r="BS30" s="120"/>
      <c r="BT30" s="138"/>
      <c r="BU30" s="140"/>
      <c r="BV30" s="148"/>
      <c r="BW30" s="110"/>
      <c r="BX30" s="110"/>
      <c r="BY30" s="110"/>
      <c r="BZ30" s="110"/>
      <c r="CA30" s="110"/>
      <c r="CB30" s="110"/>
      <c r="CC30" s="110"/>
      <c r="CD30" s="110"/>
      <c r="CE30" s="110"/>
      <c r="CF30" s="110"/>
      <c r="CG30" s="198"/>
      <c r="CH30" s="202"/>
      <c r="CI30" s="193"/>
      <c r="CJ30" s="189"/>
      <c r="CK30" s="193"/>
      <c r="CL30" s="193"/>
      <c r="CM30" s="110"/>
      <c r="CN30" s="110"/>
      <c r="CO30" s="110"/>
      <c r="CP30" s="110"/>
      <c r="CQ30" s="110"/>
      <c r="CR30" s="110"/>
      <c r="CS30" s="110"/>
      <c r="CT30" s="110"/>
      <c r="CU30" s="110"/>
      <c r="CV30" s="110"/>
      <c r="CW30" s="110"/>
      <c r="CX30" s="111"/>
      <c r="CY30" s="198"/>
      <c r="CZ30" s="198"/>
      <c r="DA30" s="198"/>
      <c r="DB30" s="198"/>
      <c r="DC30" s="198"/>
      <c r="DD30" s="110"/>
      <c r="DE30" s="110"/>
      <c r="DF30" s="110"/>
      <c r="DG30" s="110"/>
      <c r="DH30" s="110"/>
      <c r="DI30" s="110"/>
      <c r="DJ30" s="110"/>
      <c r="DK30" s="110"/>
      <c r="DL30" s="110"/>
      <c r="DM30" s="110"/>
      <c r="DN30" s="110"/>
      <c r="DO30" s="110"/>
    </row>
    <row r="31" spans="1:120" ht="16" hidden="1" customHeight="1">
      <c r="A31" s="326" t="s">
        <v>108</v>
      </c>
      <c r="B31" s="327">
        <v>0.23300681153151959</v>
      </c>
      <c r="C31" s="327">
        <v>0.1919311003248847</v>
      </c>
      <c r="D31" s="327">
        <v>0.2063269598599784</v>
      </c>
      <c r="E31" s="327">
        <v>9.773088581194167E-2</v>
      </c>
      <c r="F31" s="328"/>
      <c r="G31" s="327">
        <v>0.11581860487863629</v>
      </c>
      <c r="H31" s="327">
        <v>3.79430552676705E-2</v>
      </c>
      <c r="I31" s="327">
        <v>5.5793713599041839E-2</v>
      </c>
      <c r="J31" s="327">
        <v>0.145424482721773</v>
      </c>
      <c r="K31" s="329"/>
      <c r="L31" s="327">
        <v>0.10587235128628231</v>
      </c>
      <c r="M31" s="327">
        <v>0.20714073046660841</v>
      </c>
      <c r="N31" s="327">
        <v>0.1227658585052778</v>
      </c>
      <c r="O31" s="328">
        <v>0.11536644122845981</v>
      </c>
      <c r="P31" s="330">
        <v>0.1218328941587712</v>
      </c>
      <c r="Q31" s="327">
        <v>0.13623741156953351</v>
      </c>
      <c r="R31" s="331">
        <f>'Top4 Intl.+Reg'!O436</f>
        <v>0</v>
      </c>
      <c r="S31" s="331">
        <f>'Top4 Intl.+Reg'!P436</f>
        <v>0</v>
      </c>
      <c r="T31" s="331">
        <f>'Top4 Intl.+Reg'!Q436</f>
        <v>0</v>
      </c>
      <c r="U31" s="331">
        <f>'Top4 Intl.+Reg'!R436</f>
        <v>0</v>
      </c>
      <c r="V31" s="313">
        <f>AVERAGE(R31:U31)</f>
        <v>0</v>
      </c>
      <c r="W31" s="332">
        <f>'Top4 Intl.+Reg'!B436</f>
        <v>6.0410405709992565E-2</v>
      </c>
      <c r="X31" s="332">
        <f>'Top4 Intl.+Reg'!C436</f>
        <v>3.9853869146444509E-4</v>
      </c>
      <c r="Y31" s="332">
        <f>'Top4 Intl.+Reg'!D436</f>
        <v>2.5496314985724577E-2</v>
      </c>
      <c r="Z31" s="333">
        <f>'Top4 Intl.+Reg'!E436</f>
        <v>6.3148807596848933E-2</v>
      </c>
      <c r="AA31" s="333">
        <f>'Top4 Intl.+Reg'!F436</f>
        <v>-1.9792533647307042E-2</v>
      </c>
      <c r="AB31" s="333">
        <f>'Top4 Intl.+Reg'!G436</f>
        <v>6.7017354926893979E-2</v>
      </c>
      <c r="AC31" s="334">
        <f>'Top4 Intl.+Reg'!H436</f>
        <v>0.10791506540895157</v>
      </c>
      <c r="AD31" s="334">
        <f>'Top4 Intl.+Reg'!I436</f>
        <v>6.6728565922707483E-2</v>
      </c>
      <c r="AE31" s="334">
        <f>'Top4 Intl.+Reg'!J436</f>
        <v>-0.20102970882396409</v>
      </c>
      <c r="AF31" s="334">
        <f>'Top4 Intl.+Reg'!K436</f>
        <v>-4.4030741971753273E-2</v>
      </c>
      <c r="AG31" s="334">
        <f>'Top4 Intl.+Reg'!L436</f>
        <v>-0.25752558699578576</v>
      </c>
      <c r="AH31" s="334">
        <f>'Top4 Intl.+Reg'!M436</f>
        <v>0.11537459094726477</v>
      </c>
      <c r="AI31" s="331"/>
      <c r="AJ31" s="331"/>
      <c r="AK31" s="331"/>
      <c r="AL31" s="331"/>
      <c r="AM31" s="331"/>
      <c r="AN31" s="334">
        <f>'Top4 Intl.+Reg'!N436</f>
        <v>0</v>
      </c>
      <c r="AO31" s="334">
        <f>'Top4 Intl.+Reg'!O436</f>
        <v>0</v>
      </c>
      <c r="AP31" s="334">
        <f>'Top4 Intl.+Reg'!P436</f>
        <v>0</v>
      </c>
      <c r="AQ31" s="334">
        <f>'Top4 Intl.+Reg'!Q436</f>
        <v>0</v>
      </c>
      <c r="AR31" s="334">
        <f>'Top4 Intl.+Reg'!R436</f>
        <v>0</v>
      </c>
      <c r="AS31" s="334">
        <f>'Top4 Intl.+Reg'!S436</f>
        <v>0</v>
      </c>
      <c r="AT31" s="334">
        <f>'Top4 Intl.+Reg'!T436</f>
        <v>0</v>
      </c>
      <c r="AU31" s="334"/>
      <c r="AV31" s="334"/>
      <c r="AW31" s="334"/>
      <c r="AX31" s="334"/>
      <c r="AY31" s="335"/>
      <c r="AZ31" s="129"/>
      <c r="BA31" s="121"/>
      <c r="BB31" s="118"/>
      <c r="BC31" s="136"/>
      <c r="BD31" s="140"/>
      <c r="BE31" s="109"/>
      <c r="BF31" s="110"/>
      <c r="BG31" s="110"/>
      <c r="BH31" s="110"/>
      <c r="BI31" s="110"/>
      <c r="BJ31" s="110"/>
      <c r="BK31" s="110"/>
      <c r="BL31" s="110"/>
      <c r="BM31" s="110"/>
      <c r="BN31" s="110"/>
      <c r="BO31" s="110"/>
      <c r="BP31" s="111"/>
      <c r="BQ31" s="129"/>
      <c r="BR31" s="121"/>
      <c r="BS31" s="121"/>
      <c r="BT31" s="136"/>
      <c r="BU31" s="140"/>
      <c r="BV31" s="148"/>
      <c r="BW31" s="110"/>
      <c r="BX31" s="110"/>
      <c r="BY31" s="110"/>
      <c r="BZ31" s="110"/>
      <c r="CA31" s="110"/>
      <c r="CB31" s="110"/>
      <c r="CC31" s="110"/>
      <c r="CD31" s="110"/>
      <c r="CE31" s="110"/>
      <c r="CF31" s="110"/>
      <c r="CG31" s="198"/>
      <c r="CH31" s="202"/>
      <c r="CI31" s="193"/>
      <c r="CJ31" s="189"/>
      <c r="CK31" s="193"/>
      <c r="CL31" s="193"/>
      <c r="CM31" s="110"/>
      <c r="CN31" s="110"/>
      <c r="CO31" s="110"/>
      <c r="CP31" s="110"/>
      <c r="CQ31" s="110"/>
      <c r="CR31" s="110"/>
      <c r="CS31" s="110"/>
      <c r="CT31" s="110"/>
      <c r="CU31" s="110"/>
      <c r="CV31" s="110"/>
      <c r="CW31" s="110"/>
      <c r="CX31" s="111"/>
      <c r="CY31" s="198"/>
      <c r="CZ31" s="198"/>
      <c r="DA31" s="198"/>
      <c r="DB31" s="198"/>
      <c r="DC31" s="198"/>
      <c r="DD31" s="110"/>
      <c r="DE31" s="110"/>
      <c r="DF31" s="110"/>
      <c r="DG31" s="110"/>
      <c r="DH31" s="110"/>
      <c r="DI31" s="110"/>
      <c r="DJ31" s="110"/>
      <c r="DK31" s="110"/>
      <c r="DL31" s="110"/>
      <c r="DM31" s="110"/>
      <c r="DN31" s="110"/>
      <c r="DO31" s="110"/>
    </row>
    <row r="32" spans="1:120">
      <c r="A32" s="336" t="s">
        <v>109</v>
      </c>
      <c r="B32" s="337"/>
      <c r="C32" s="337"/>
      <c r="D32" s="337"/>
      <c r="E32" s="337"/>
      <c r="F32" s="337"/>
      <c r="G32" s="338"/>
      <c r="H32" s="338"/>
      <c r="I32" s="338"/>
      <c r="J32" s="338"/>
      <c r="K32" s="339"/>
      <c r="L32" s="338"/>
      <c r="M32" s="338"/>
      <c r="N32" s="338"/>
      <c r="O32" s="340"/>
      <c r="P32" s="341"/>
      <c r="Q32" s="338"/>
      <c r="R32" s="342">
        <f>'Top 4 Total'!O107</f>
        <v>-0.56986443476960114</v>
      </c>
      <c r="S32" s="342">
        <f>'Top 4 Total'!P107</f>
        <v>-0.62545650453999091</v>
      </c>
      <c r="T32" s="342">
        <f>'Top 4 Total'!Q107</f>
        <v>-0.26959786933141772</v>
      </c>
      <c r="U32" s="342">
        <f>'Top 4 Total'!R107</f>
        <v>-0.25704435364745626</v>
      </c>
      <c r="V32" s="342">
        <f>'Top 4 Total'!S107</f>
        <v>-0.42781409647834923</v>
      </c>
      <c r="W32" s="343">
        <f>'Top 4 Total'!B107</f>
        <v>-5.2897836787879515E-2</v>
      </c>
      <c r="X32" s="343">
        <f>'Top 4 Total'!C107</f>
        <v>-0.87464588227595153</v>
      </c>
      <c r="Y32" s="343">
        <f>'Top 4 Total'!D107</f>
        <v>-0.78749560875356228</v>
      </c>
      <c r="Z32" s="343">
        <f>'Top 4 Total'!E107</f>
        <v>-0.74725659584403459</v>
      </c>
      <c r="AA32" s="343">
        <f>'Top 4 Total'!F107</f>
        <v>-0.61684095501861225</v>
      </c>
      <c r="AB32" s="343">
        <f>'Top 4 Total'!G107</f>
        <v>-0.51450334405582532</v>
      </c>
      <c r="AC32" s="343">
        <f>'Top 4 Total'!H107</f>
        <v>-0.37201804895357882</v>
      </c>
      <c r="AD32" s="343">
        <f>'Top 4 Total'!I107</f>
        <v>-0.28192583644637237</v>
      </c>
      <c r="AE32" s="343">
        <f>'Top 4 Total'!J107</f>
        <v>-0.14296822080387728</v>
      </c>
      <c r="AF32" s="343">
        <f>'Top 4 Total'!K107</f>
        <v>-0.17010210292902794</v>
      </c>
      <c r="AG32" s="343">
        <f>'Top 4 Total'!L107</f>
        <v>-0.27340893185813642</v>
      </c>
      <c r="AH32" s="343">
        <f>'Top 4 Total'!M107</f>
        <v>-0.33119212700714495</v>
      </c>
      <c r="AI32" s="342">
        <f>'Top 4 Total'!O91</f>
        <v>-0.44695507428036341</v>
      </c>
      <c r="AJ32" s="342">
        <f>'Top 4 Total'!P91</f>
        <v>-0.16983369447015595</v>
      </c>
      <c r="AK32" s="342">
        <f>'Top 4 Total'!Q91</f>
        <v>-0.45452483991087622</v>
      </c>
      <c r="AL32" s="342">
        <f>'Top 4 Total'!R91</f>
        <v>-0.49685245365544584</v>
      </c>
      <c r="AM32" s="342">
        <f>AVERAGE(AN32:AY32)</f>
        <v>-0.39159510181890761</v>
      </c>
      <c r="AN32" s="343">
        <f>'Top 4 Total'!B91</f>
        <v>-0.51938122897967653</v>
      </c>
      <c r="AO32" s="343">
        <f>'Top 4 Total'!C91</f>
        <v>-0.63160091086618597</v>
      </c>
      <c r="AP32" s="343">
        <f>'Top 4 Total'!D91</f>
        <v>-0.19130617742702083</v>
      </c>
      <c r="AQ32" s="343">
        <f>'Top 4 Total'!E91</f>
        <v>-0.11600693989662292</v>
      </c>
      <c r="AR32" s="343">
        <f>'Top 4 Total'!F91</f>
        <v>-0.14135062818311173</v>
      </c>
      <c r="AS32" s="343">
        <f>'Top 4 Total'!G91</f>
        <v>-0.25160860696828302</v>
      </c>
      <c r="AT32" s="343">
        <f>'Top 4 Total'!H91</f>
        <v>-0.23565579281703009</v>
      </c>
      <c r="AU32" s="343">
        <f>'Top 4 Total'!I91</f>
        <v>-0.70111632587744022</v>
      </c>
      <c r="AV32" s="343">
        <f>'Top 4 Total'!J91</f>
        <v>-0.4151511682265282</v>
      </c>
      <c r="AW32" s="343">
        <f>'Top 4 Total'!K91</f>
        <v>-0.35387016478499689</v>
      </c>
      <c r="AX32" s="343">
        <f>'Top 4 Total'!L91</f>
        <v>-0.59658981108499021</v>
      </c>
      <c r="AY32" s="344">
        <f>'Top 4 Total'!M91</f>
        <v>-0.54550346671500427</v>
      </c>
      <c r="AZ32" s="132">
        <f>'Top 4 Total'!O75</f>
        <v>17635.48</v>
      </c>
      <c r="BA32" s="108">
        <f>'Top 4 Total'!P75</f>
        <v>26673.260000000002</v>
      </c>
      <c r="BB32" s="108">
        <f>'Top 4 Total'!Q75</f>
        <v>18498.349999999999</v>
      </c>
      <c r="BC32" s="135">
        <f>'Top 4 Total'!R75</f>
        <v>16247.550000000001</v>
      </c>
      <c r="BD32" s="140">
        <f>'Top 4 Total'!S75</f>
        <v>79054.64</v>
      </c>
      <c r="BE32" s="109">
        <f>'Top 4 Total'!B75</f>
        <v>5141.6499999999996</v>
      </c>
      <c r="BF32" s="110">
        <f>'Top 4 Total'!C75</f>
        <v>3884.33</v>
      </c>
      <c r="BG32" s="110">
        <f>'Top 4 Total'!D75</f>
        <v>8609.5</v>
      </c>
      <c r="BH32" s="110">
        <f>'Top 4 Total'!E75</f>
        <v>9313.91</v>
      </c>
      <c r="BI32" s="110">
        <f>'Top 4 Total'!F75</f>
        <v>9335.09</v>
      </c>
      <c r="BJ32" s="110">
        <f>'Top 4 Total'!G75</f>
        <v>8024.26</v>
      </c>
      <c r="BK32" s="110">
        <f>'Top 4 Total'!H75</f>
        <v>8810.16</v>
      </c>
      <c r="BL32" s="110">
        <f>'Top 4 Total'!I75</f>
        <v>3557.98</v>
      </c>
      <c r="BM32" s="110">
        <f>'Top 4 Total'!J75</f>
        <v>6130.21</v>
      </c>
      <c r="BN32" s="110">
        <f>'Top 4 Total'!K75</f>
        <v>7133.17</v>
      </c>
      <c r="BO32" s="110">
        <f>'Top 4 Total'!L75</f>
        <v>4300.28</v>
      </c>
      <c r="BP32" s="111">
        <f>'Top 4 Total'!M75</f>
        <v>4814.1000000000004</v>
      </c>
      <c r="BQ32" s="132">
        <f>'Top 4 Total'!O53</f>
        <v>-0.1797925889301808</v>
      </c>
      <c r="BR32" s="108">
        <f>'Top 4 Total'!P53</f>
        <v>-3.8653162431204757E-3</v>
      </c>
      <c r="BS32" s="108">
        <f>'Top 4 Total'!Q53</f>
        <v>5.3822446395115131E-2</v>
      </c>
      <c r="BT32" s="108">
        <f>'Top 4 Total'!R53</f>
        <v>1.5899889546889368E-2</v>
      </c>
      <c r="BU32" s="108">
        <f>'Top 4 Total'!S53</f>
        <v>-2.6594019508405453E-2</v>
      </c>
      <c r="BV32" s="148">
        <f>'Top 4 Total'!B53</f>
        <v>-0.23988752054278517</v>
      </c>
      <c r="BW32" s="110">
        <f>'Top 4 Total'!C53</f>
        <v>-0.16839229197066774</v>
      </c>
      <c r="BX32" s="110">
        <f>'Top 4 Total'!D53</f>
        <v>-0.13108780490524863</v>
      </c>
      <c r="BY32" s="110">
        <f>'Top 4 Total'!E53</f>
        <v>-2.1666188079213833E-2</v>
      </c>
      <c r="BZ32" s="110">
        <f>'Top 4 Total'!F53</f>
        <v>-1.9176990549217732E-2</v>
      </c>
      <c r="CA32" s="110">
        <f>'Top 4 Total'!G53</f>
        <v>2.9419242692296121E-2</v>
      </c>
      <c r="CB32" s="110">
        <f>'Top 4 Total'!H53</f>
        <v>8.3248981977792402E-2</v>
      </c>
      <c r="CC32" s="110">
        <f>'Top 4 Total'!I53</f>
        <v>6.3011656875427313E-2</v>
      </c>
      <c r="CD32" s="110">
        <f>'Top 4 Total'!J53</f>
        <v>1.1512528375842157E-2</v>
      </c>
      <c r="CE32" s="110">
        <f>'Top 4 Total'!K53</f>
        <v>4.3269012366049964E-2</v>
      </c>
      <c r="CF32" s="110">
        <f>'Top 4 Total'!L53</f>
        <v>-1.4375533002595309E-2</v>
      </c>
      <c r="CG32" s="198">
        <f>'Top 4 Total'!M53</f>
        <v>1.7375658322178023E-2</v>
      </c>
      <c r="CH32" s="131">
        <f>'Top 4 Total'!O35</f>
        <v>0.41717999284237273</v>
      </c>
      <c r="CI32" s="108">
        <f>'Top 4 Total'!P35</f>
        <v>0.14064966684537894</v>
      </c>
      <c r="CJ32" s="138">
        <f>'Top 4 Total'!Q35</f>
        <v>0.13820676866992598</v>
      </c>
      <c r="CK32" s="108">
        <f>'Top 4 Total'!R35</f>
        <v>0.12393198798368932</v>
      </c>
      <c r="CL32" s="108">
        <f>'Top 4 Total'!S35</f>
        <v>0.19238501456702606</v>
      </c>
      <c r="CM32" s="110">
        <f>'Top 4 Total'!B35</f>
        <v>0.49228479935852776</v>
      </c>
      <c r="CN32" s="110">
        <f>'Top 4 Total'!C35</f>
        <v>0.47449538494359111</v>
      </c>
      <c r="CO32" s="110">
        <f>'Top 4 Total'!D35</f>
        <v>0.29685539748267775</v>
      </c>
      <c r="CP32" s="110">
        <f>'Top 4 Total'!E35</f>
        <v>0.12948845782695328</v>
      </c>
      <c r="CQ32" s="110">
        <f>'Top 4 Total'!F35</f>
        <v>0.17068663295685926</v>
      </c>
      <c r="CR32" s="110">
        <f>'Top 4 Total'!G35</f>
        <v>0.12200837022962063</v>
      </c>
      <c r="CS32" s="110">
        <f>'Top 4 Total'!H35</f>
        <v>0.11438302638538356</v>
      </c>
      <c r="CT32" s="110">
        <f>'Top 4 Total'!I35</f>
        <v>0.15463699437206113</v>
      </c>
      <c r="CU32" s="110">
        <f>'Top 4 Total'!J35</f>
        <v>0.14634934440527569</v>
      </c>
      <c r="CV32" s="110">
        <f>'Top 4 Total'!K35</f>
        <v>0.1451091782673346</v>
      </c>
      <c r="CW32" s="110">
        <f>'Top 4 Total'!L35</f>
        <v>0.13247660246661397</v>
      </c>
      <c r="CX32" s="111">
        <f>'Top 4 Total'!M35</f>
        <v>9.2748739853310003E-2</v>
      </c>
      <c r="CY32" s="198">
        <f>'Top 4 Total'!O17</f>
        <v>116541.10999999999</v>
      </c>
      <c r="CZ32" s="198">
        <f>'Top 4 Total'!P17</f>
        <v>117049.73999999999</v>
      </c>
      <c r="DA32" s="198"/>
      <c r="DB32" s="198"/>
      <c r="DC32" s="198"/>
      <c r="DD32" s="110">
        <f>'Top 4 Total'!B23</f>
        <v>0.11148286700207599</v>
      </c>
      <c r="DE32" s="110">
        <f>'Top 4 Total'!C23</f>
        <v>-2.4893246202830621E-2</v>
      </c>
      <c r="DF32" s="110">
        <f>'Top 4 Total'!D23</f>
        <v>2.8238684815459658E-2</v>
      </c>
      <c r="DG32" s="110">
        <f>'Top 4 Total'!E23</f>
        <v>9.1331735870471276E-2</v>
      </c>
      <c r="DH32" s="110">
        <f>'Top 4 Total'!F23</f>
        <v>7.1183695965915117E-2</v>
      </c>
      <c r="DI32" s="110">
        <f>'Top 4 Total'!G23</f>
        <v>3.9154146832642178E-2</v>
      </c>
      <c r="DJ32" s="110">
        <f>'Top 4 Total'!H23</f>
        <v>3.9236327804237137E-2</v>
      </c>
      <c r="DK32" s="110">
        <f>'Top 4 Total'!I23</f>
        <v>2.9591750934879313E-2</v>
      </c>
      <c r="DL32" s="110">
        <f>'Top 4 Total'!J23</f>
        <v>4.0141199533750171E-2</v>
      </c>
      <c r="DM32" s="110">
        <f>'Top 4 Total'!K23</f>
        <v>6.0154218184557129E-2</v>
      </c>
      <c r="DN32" s="110">
        <f>'Top 4 Total'!L23</f>
        <v>6.9731468757935566E-2</v>
      </c>
      <c r="DO32" s="110">
        <f>'Top 4 Total'!M23</f>
        <v>7.3817485466848964E-2</v>
      </c>
      <c r="DP32" s="580" t="s">
        <v>114</v>
      </c>
    </row>
    <row r="33" spans="1:120" ht="16" customHeight="1" thickBot="1">
      <c r="A33" s="345" t="s">
        <v>110</v>
      </c>
      <c r="B33" s="346"/>
      <c r="C33" s="346"/>
      <c r="D33" s="346"/>
      <c r="E33" s="346"/>
      <c r="F33" s="346"/>
      <c r="G33" s="347"/>
      <c r="H33" s="347"/>
      <c r="I33" s="347"/>
      <c r="J33" s="347"/>
      <c r="K33" s="348"/>
      <c r="L33" s="347"/>
      <c r="M33" s="347"/>
      <c r="N33" s="347"/>
      <c r="O33" s="349"/>
      <c r="P33" s="350"/>
      <c r="Q33" s="347"/>
      <c r="R33" s="351">
        <f>'Top4 Domestic'!O120</f>
        <v>0</v>
      </c>
      <c r="S33" s="351">
        <f>'Top4 Domestic'!P120</f>
        <v>0</v>
      </c>
      <c r="T33" s="351">
        <f>'Top4 Domestic'!Q120</f>
        <v>0</v>
      </c>
      <c r="U33" s="351">
        <f>'Top4 Domestic'!R120</f>
        <v>0</v>
      </c>
      <c r="V33" s="351">
        <f>'Top4 Domestic'!S120</f>
        <v>0</v>
      </c>
      <c r="W33" s="352">
        <f>'Top4 Domestic'!B120</f>
        <v>-4.1269592271592326E-2</v>
      </c>
      <c r="X33" s="352">
        <f>'Top4 Domestic'!C120</f>
        <v>-0.82883828742841559</v>
      </c>
      <c r="Y33" s="352">
        <f>'Top4 Domestic'!D120</f>
        <v>1.2032183541782842</v>
      </c>
      <c r="Z33" s="352">
        <f>'Top4 Domestic'!E120</f>
        <v>-4.2159308674114992E-2</v>
      </c>
      <c r="AA33" s="352">
        <f>'Top4 Domestic'!F120</f>
        <v>0.52659393756370099</v>
      </c>
      <c r="AB33" s="352">
        <f>'Top4 Domestic'!G120</f>
        <v>9.3073860685937593E-2</v>
      </c>
      <c r="AC33" s="352">
        <f>'Top4 Domestic'!H120</f>
        <v>0.311752064246126</v>
      </c>
      <c r="AD33" s="352">
        <f>'Top4 Domestic'!I120</f>
        <v>0.25333701238229911</v>
      </c>
      <c r="AE33" s="352">
        <f>'Top4 Domestic'!J120</f>
        <v>6.991303869227794E-2</v>
      </c>
      <c r="AF33" s="352">
        <f>'Top4 Domestic'!K120</f>
        <v>7.672621114497713E-2</v>
      </c>
      <c r="AG33" s="352">
        <f>'Top4 Domestic'!L120</f>
        <v>-0.10830954456959252</v>
      </c>
      <c r="AH33" s="352">
        <f>'Top4 Domestic'!M120</f>
        <v>-0.10382425825463804</v>
      </c>
      <c r="AI33" s="351">
        <f>'Top4 Domestic'!O95</f>
        <v>0</v>
      </c>
      <c r="AJ33" s="351">
        <f>'Top4 Domestic'!P95</f>
        <v>0</v>
      </c>
      <c r="AK33" s="351">
        <f>'Top4 Domestic'!Q95</f>
        <v>0</v>
      </c>
      <c r="AL33" s="351">
        <f>'Top4 Domestic'!R95</f>
        <v>0</v>
      </c>
      <c r="AM33" s="351">
        <f>AVERAGE(AN33:AY33)</f>
        <v>0</v>
      </c>
      <c r="AN33" s="352">
        <f>'Top4 Domestic'!B95</f>
        <v>0</v>
      </c>
      <c r="AO33" s="352">
        <f>'Top4 Domestic'!C95</f>
        <v>0</v>
      </c>
      <c r="AP33" s="352">
        <f>'Top4 Domestic'!D95</f>
        <v>0</v>
      </c>
      <c r="AQ33" s="352">
        <f>'Top4 Domestic'!E95</f>
        <v>0</v>
      </c>
      <c r="AR33" s="352">
        <f>'Top4 Domestic'!F95</f>
        <v>0</v>
      </c>
      <c r="AS33" s="352">
        <f>'Top4 Domestic'!G95</f>
        <v>0</v>
      </c>
      <c r="AT33" s="352">
        <f>'Top4 Domestic'!H95</f>
        <v>0</v>
      </c>
      <c r="AU33" s="352">
        <f>'Top4 Domestic'!I95</f>
        <v>0</v>
      </c>
      <c r="AV33" s="352">
        <f>'Top4 Domestic'!J95</f>
        <v>0</v>
      </c>
      <c r="AW33" s="352">
        <f>'Top4 Domestic'!K95</f>
        <v>0</v>
      </c>
      <c r="AX33" s="352">
        <f>'Top4 Domestic'!L95</f>
        <v>0</v>
      </c>
      <c r="AY33" s="353">
        <f>'Top4 Domestic'!M95</f>
        <v>0</v>
      </c>
      <c r="AZ33" s="217">
        <f>'Top4 Domestic'!O76</f>
        <v>17529.23</v>
      </c>
      <c r="BA33" s="218">
        <f>'Top4 Domestic'!P76</f>
        <v>26520.05</v>
      </c>
      <c r="BB33" s="218">
        <f>'Top4 Domestic'!Q76</f>
        <v>18353.2</v>
      </c>
      <c r="BC33" s="219">
        <f>'Top4 Domestic'!R76</f>
        <v>16110.260000000002</v>
      </c>
      <c r="BD33" s="220">
        <f>'Top4 Domestic'!S76</f>
        <v>78512.740000000005</v>
      </c>
      <c r="BE33" s="221">
        <f>'Top4 Domestic'!B76</f>
        <v>5101.74</v>
      </c>
      <c r="BF33" s="222">
        <f>'Top4 Domestic'!C76</f>
        <v>3859.27</v>
      </c>
      <c r="BG33" s="222">
        <f>'Top4 Domestic'!D76</f>
        <v>8568.2199999999993</v>
      </c>
      <c r="BH33" s="222">
        <f>'Top4 Domestic'!E76</f>
        <v>9270.0400000000009</v>
      </c>
      <c r="BI33" s="222">
        <f>'Top4 Domestic'!F76</f>
        <v>9281.5300000000007</v>
      </c>
      <c r="BJ33" s="222">
        <f>'Top4 Domestic'!G76</f>
        <v>7968.48</v>
      </c>
      <c r="BK33" s="222">
        <f>'Top4 Domestic'!H76</f>
        <v>8747.36</v>
      </c>
      <c r="BL33" s="222">
        <f>'Top4 Domestic'!I76</f>
        <v>3517.81</v>
      </c>
      <c r="BM33" s="222">
        <f>'Top4 Domestic'!J76</f>
        <v>6088.03</v>
      </c>
      <c r="BN33" s="222">
        <f>'Top4 Domestic'!K76</f>
        <v>7094.03</v>
      </c>
      <c r="BO33" s="222">
        <f>'Top4 Domestic'!L76</f>
        <v>4256.8500000000004</v>
      </c>
      <c r="BP33" s="223">
        <f>'Top4 Domestic'!M76</f>
        <v>4759.38</v>
      </c>
      <c r="BQ33" s="217">
        <f>'Top4 Domestic'!O53</f>
        <v>-4.0910743017156137E-2</v>
      </c>
      <c r="BR33" s="218">
        <f>'Top4 Domestic'!P53</f>
        <v>0.12557026155677598</v>
      </c>
      <c r="BS33" s="218">
        <f>'Top4 Domestic'!Q53</f>
        <v>0.14527683503903166</v>
      </c>
      <c r="BT33" s="218">
        <f>'Top4 Domestic'!R53</f>
        <v>8.1086942717867538E-2</v>
      </c>
      <c r="BU33" s="218">
        <f>'Top4 Domestic'!S53</f>
        <v>7.9273156834317238E-2</v>
      </c>
      <c r="BV33" s="224">
        <f>'Top4 Domestic'!B53</f>
        <v>-0.10060192822161051</v>
      </c>
      <c r="BW33" s="222">
        <f>'Top4 Domestic'!C53</f>
        <v>-2.7470078331430892E-2</v>
      </c>
      <c r="BX33" s="222">
        <f>'Top4 Domestic'!D53</f>
        <v>5.1621540873791893E-3</v>
      </c>
      <c r="BY33" s="222">
        <f>'Top4 Domestic'!E53</f>
        <v>0.1240480010987377</v>
      </c>
      <c r="BZ33" s="222">
        <f>'Top4 Domestic'!F53</f>
        <v>0.10571971330360541</v>
      </c>
      <c r="CA33" s="222">
        <f>'Top4 Domestic'!G53</f>
        <v>0.14737864663696398</v>
      </c>
      <c r="CB33" s="222">
        <f>'Top4 Domestic'!H53</f>
        <v>0.18916105277568329</v>
      </c>
      <c r="CC33" s="222">
        <f>'Top4 Domestic'!I53</f>
        <v>0.15622330506708892</v>
      </c>
      <c r="CD33" s="222">
        <f>'Top4 Domestic'!J53</f>
        <v>8.587072083204772E-2</v>
      </c>
      <c r="CE33" s="222">
        <f>'Top4 Domestic'!K53</f>
        <v>0.11656009576655668</v>
      </c>
      <c r="CF33" s="222">
        <f>'Top4 Domestic'!L53</f>
        <v>5.058832682083314E-2</v>
      </c>
      <c r="CG33" s="225">
        <f>'Top4 Domestic'!M53</f>
        <v>7.3917772508851343E-2</v>
      </c>
      <c r="CH33" s="226">
        <f>'Top4 Domestic'!O35</f>
        <v>0.28825738016827263</v>
      </c>
      <c r="CI33" s="218">
        <f>'Top4 Domestic'!P35</f>
        <v>5.6132615147226117E-2</v>
      </c>
      <c r="CJ33" s="227">
        <f>'Top4 Domestic'!Q35</f>
        <v>8.5496537378901394E-2</v>
      </c>
      <c r="CK33" s="218">
        <f>'Top4 Domestic'!R35</f>
        <v>7.7640852919148573E-2</v>
      </c>
      <c r="CL33" s="218">
        <f>'Top4 Domestic'!S35</f>
        <v>0.11977382333014797</v>
      </c>
      <c r="CM33" s="222">
        <f>'Top4 Domestic'!B35</f>
        <v>0.3494102912267707</v>
      </c>
      <c r="CN33" s="222">
        <f>'Top4 Domestic'!C35</f>
        <v>0.3400823065847054</v>
      </c>
      <c r="CO33" s="222">
        <f>'Top4 Domestic'!D35</f>
        <v>0.1836357433012783</v>
      </c>
      <c r="CP33" s="222">
        <f>'Top4 Domestic'!E35</f>
        <v>2.9102031582612486E-2</v>
      </c>
      <c r="CQ33" s="222">
        <f>'Top4 Domestic'!F35</f>
        <v>8.8346615881295998E-2</v>
      </c>
      <c r="CR33" s="222">
        <f>'Top4 Domestic'!G35</f>
        <v>5.0526551831053812E-2</v>
      </c>
      <c r="CS33" s="222">
        <f>'Top4 Domestic'!H35</f>
        <v>5.769558447747114E-2</v>
      </c>
      <c r="CT33" s="222">
        <f>'Top4 Domestic'!I35</f>
        <v>0.10282006362163543</v>
      </c>
      <c r="CU33" s="222">
        <f>'Top4 Domestic'!J35</f>
        <v>9.746662069745704E-2</v>
      </c>
      <c r="CV33" s="222">
        <f>'Top4 Domestic'!K35</f>
        <v>9.9177713392202937E-2</v>
      </c>
      <c r="CW33" s="222">
        <f>'Top4 Domestic'!L35</f>
        <v>8.2175928351619243E-2</v>
      </c>
      <c r="CX33" s="223">
        <f>'Top4 Domestic'!M35</f>
        <v>4.9103380624458959E-2</v>
      </c>
      <c r="CY33" s="225">
        <f>'Top4 Domestic'!O17</f>
        <v>99717.330000000016</v>
      </c>
      <c r="CZ33" s="225">
        <f>'Top4 Domestic'!P17</f>
        <v>99766.720000000001</v>
      </c>
      <c r="DA33" s="225"/>
      <c r="DB33" s="225"/>
      <c r="DC33" s="225"/>
      <c r="DD33" s="222">
        <f>'Top4 Domestic'!B23</f>
        <v>6.9011823480020773E-2</v>
      </c>
      <c r="DE33" s="222">
        <f>'Top4 Domestic'!C23</f>
        <v>-4.4181465919916119E-2</v>
      </c>
      <c r="DF33" s="222">
        <f>'Top4 Domestic'!D23</f>
        <v>5.2571209191307755E-3</v>
      </c>
      <c r="DG33" s="222">
        <f>'Top4 Domestic'!E23</f>
        <v>7.6865839239594891E-2</v>
      </c>
      <c r="DH33" s="222">
        <f>'Top4 Domestic'!F23</f>
        <v>5.5558075418545849E-2</v>
      </c>
      <c r="DI33" s="222">
        <f>'Top4 Domestic'!G23</f>
        <v>2.4025511868001281E-2</v>
      </c>
      <c r="DJ33" s="222">
        <f>'Top4 Domestic'!H23</f>
        <v>2.9756051334813405E-2</v>
      </c>
      <c r="DK33" s="222">
        <f>'Top4 Domestic'!I23</f>
        <v>1.7801266339869226E-2</v>
      </c>
      <c r="DL33" s="222">
        <f>'Top4 Domestic'!J23</f>
        <v>2.9359520675913187E-2</v>
      </c>
      <c r="DM33" s="222">
        <f>'Top4 Domestic'!K23</f>
        <v>4.3863024457337252E-2</v>
      </c>
      <c r="DN33" s="222">
        <f>'Top4 Domestic'!L23</f>
        <v>5.2693093153964865E-2</v>
      </c>
      <c r="DO33" s="222">
        <f>'Top4 Domestic'!M23</f>
        <v>7.0447669732924822E-2</v>
      </c>
      <c r="DP33" s="581"/>
    </row>
    <row r="34" spans="1:120">
      <c r="A34" s="354" t="s">
        <v>111</v>
      </c>
      <c r="B34" s="355"/>
      <c r="C34" s="355"/>
      <c r="D34" s="355"/>
      <c r="E34" s="355"/>
      <c r="F34" s="355"/>
      <c r="G34" s="356"/>
      <c r="H34" s="356"/>
      <c r="I34" s="356"/>
      <c r="J34" s="356"/>
      <c r="K34" s="355"/>
      <c r="L34" s="356"/>
      <c r="M34" s="356"/>
      <c r="N34" s="356"/>
      <c r="O34" s="357"/>
      <c r="P34" s="358"/>
      <c r="Q34" s="356"/>
      <c r="R34" s="359"/>
      <c r="S34" s="359"/>
      <c r="T34" s="359"/>
      <c r="U34" s="359"/>
      <c r="V34" s="359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  <c r="AI34" s="359"/>
      <c r="AJ34" s="359"/>
      <c r="AK34" s="359"/>
      <c r="AL34" s="359"/>
      <c r="AM34" s="359"/>
      <c r="AN34" s="360"/>
      <c r="AO34" s="360"/>
      <c r="AP34" s="360"/>
      <c r="AQ34" s="360"/>
      <c r="AR34" s="360"/>
      <c r="AS34" s="360"/>
      <c r="AT34" s="360"/>
      <c r="AU34" s="360"/>
      <c r="AV34" s="360"/>
      <c r="AW34" s="360"/>
      <c r="AX34" s="360"/>
      <c r="AY34" s="361"/>
      <c r="AZ34" s="228"/>
      <c r="BA34" s="229"/>
      <c r="BB34" s="229"/>
      <c r="BC34" s="230"/>
      <c r="BD34" s="231"/>
      <c r="BE34" s="232"/>
      <c r="BF34" s="233"/>
      <c r="BG34" s="233"/>
      <c r="BH34" s="233"/>
      <c r="BI34" s="233"/>
      <c r="BJ34" s="233"/>
      <c r="BK34" s="233"/>
      <c r="BL34" s="233"/>
      <c r="BM34" s="233"/>
      <c r="BN34" s="233"/>
      <c r="BO34" s="233"/>
      <c r="BP34" s="234"/>
      <c r="BQ34" s="228">
        <f>'Top4 Intl.+Reg'!O224</f>
        <v>0</v>
      </c>
      <c r="BR34" s="228">
        <f>'Top4 Intl.+Reg'!P224</f>
        <v>0</v>
      </c>
      <c r="BS34" s="228">
        <f>'Top4 Intl.+Reg'!Q224</f>
        <v>0</v>
      </c>
      <c r="BT34" s="228">
        <f>'Top4 Intl.+Reg'!R224</f>
        <v>0</v>
      </c>
      <c r="BU34" s="229">
        <f>'Top4 Intl.+Reg'!S224</f>
        <v>0</v>
      </c>
      <c r="BV34" s="235"/>
      <c r="BW34" s="233"/>
      <c r="BX34" s="233"/>
      <c r="BY34" s="233"/>
      <c r="BZ34" s="233"/>
      <c r="CA34" s="233"/>
      <c r="CB34" s="233"/>
      <c r="CC34" s="233"/>
      <c r="CD34" s="233"/>
      <c r="CE34" s="233">
        <f>'Top4 Intl.+Reg'!K224</f>
        <v>0</v>
      </c>
      <c r="CF34" s="233">
        <f>'Top4 Intl.+Reg'!L224</f>
        <v>0</v>
      </c>
      <c r="CG34" s="236">
        <f>'Top4 Intl.+Reg'!M224</f>
        <v>0</v>
      </c>
      <c r="CH34" s="237">
        <f>'Top4 Intl.+Reg'!O167</f>
        <v>-0.21432553539773669</v>
      </c>
      <c r="CI34" s="229">
        <f>'Top4 Intl.+Reg'!P167</f>
        <v>-0.19933429785081247</v>
      </c>
      <c r="CJ34" s="238">
        <f>'Top4 Intl.+Reg'!Q167</f>
        <v>-4.350295005678495E-2</v>
      </c>
      <c r="CK34" s="229">
        <f>'Top4 Intl.+Reg'!R167</f>
        <v>0.11652105118326905</v>
      </c>
      <c r="CL34" s="229">
        <f>'Top4 Intl.+Reg'!S167</f>
        <v>-0.10078032160938899</v>
      </c>
      <c r="CM34" s="233">
        <f>'Top4 Intl.+Reg'!B167</f>
        <v>-0.21312197054550974</v>
      </c>
      <c r="CN34" s="233">
        <f>'Top4 Intl.+Reg'!C167</f>
        <v>-0.18067271653123873</v>
      </c>
      <c r="CO34" s="233">
        <f>'Top4 Intl.+Reg'!D167</f>
        <v>-0.24893930210407833</v>
      </c>
      <c r="CP34" s="233">
        <f>'Top4 Intl.+Reg'!E167</f>
        <v>-0.19441466750452807</v>
      </c>
      <c r="CQ34" s="233">
        <f>'Top4 Intl.+Reg'!F167</f>
        <v>-0.21456561040295863</v>
      </c>
      <c r="CR34" s="233">
        <f>'Top4 Intl.+Reg'!G167</f>
        <v>-0.18879687441582238</v>
      </c>
      <c r="CS34" s="233">
        <f>'Top4 Intl.+Reg'!H167</f>
        <v>-0.16465369581448452</v>
      </c>
      <c r="CT34" s="233">
        <f>'Top4 Intl.+Reg'!I167</f>
        <v>1.9185849188444681E-2</v>
      </c>
      <c r="CU34" s="233">
        <f>'Top4 Intl.+Reg'!J167</f>
        <v>5.6949923112923795E-2</v>
      </c>
      <c r="CV34" s="233">
        <f>'Top4 Intl.+Reg'!K167</f>
        <v>9.5262186021804585E-2</v>
      </c>
      <c r="CW34" s="233">
        <f>'Top4 Intl.+Reg'!L167</f>
        <v>0.12499507065395976</v>
      </c>
      <c r="CX34" s="234">
        <f>'Top4 Intl.+Reg'!M167</f>
        <v>0.12990249887002014</v>
      </c>
      <c r="CY34" s="236">
        <f>'Top4 Intl.+Reg'!O111</f>
        <v>-1</v>
      </c>
      <c r="CZ34" s="236">
        <f>'Top4 Intl.+Reg'!P111</f>
        <v>-1</v>
      </c>
      <c r="DA34" s="236"/>
      <c r="DB34" s="236"/>
      <c r="DC34" s="236"/>
      <c r="DD34" s="233">
        <f>'Top4 Intl.+Reg'!B73</f>
        <v>8.2333455854674886E-2</v>
      </c>
      <c r="DE34" s="233">
        <f>'Top4 Intl.+Reg'!C73</f>
        <v>-4.7406033395771097E-2</v>
      </c>
      <c r="DF34" s="233">
        <f>'Top4 Intl.+Reg'!D73</f>
        <v>-2.0269009038761165E-2</v>
      </c>
      <c r="DG34" s="233">
        <f>'Top4 Intl.+Reg'!E73</f>
        <v>2.1426008508893313E-2</v>
      </c>
      <c r="DH34" s="233">
        <f>'Top4 Intl.+Reg'!F73</f>
        <v>3.3554706180581206E-2</v>
      </c>
      <c r="DI34" s="233">
        <f>'Top4 Intl.+Reg'!G73</f>
        <v>7.4639335220376912E-2</v>
      </c>
      <c r="DJ34" s="233">
        <f>'Top4 Intl.+Reg'!H73</f>
        <v>5.3558119855114716E-2</v>
      </c>
      <c r="DK34" s="233">
        <f>'Top4 Intl.+Reg'!I73</f>
        <v>9.2141463166846682E-2</v>
      </c>
      <c r="DL34" s="233">
        <f>'Top4 Intl.+Reg'!J73</f>
        <v>7.4413857537789285E-2</v>
      </c>
      <c r="DM34" s="233">
        <f>'Top4 Intl.+Reg'!K73</f>
        <v>0.18632457176328732</v>
      </c>
      <c r="DN34" s="233">
        <f>'Top4 Intl.+Reg'!L73</f>
        <v>0.17930439792661179</v>
      </c>
      <c r="DO34" s="233">
        <f>'Top4 Intl.+Reg'!M73</f>
        <v>0.10983375537118367</v>
      </c>
      <c r="DP34" s="580" t="s">
        <v>115</v>
      </c>
    </row>
    <row r="35" spans="1:120">
      <c r="A35" s="318" t="s">
        <v>112</v>
      </c>
      <c r="B35" s="337"/>
      <c r="C35" s="337"/>
      <c r="D35" s="337"/>
      <c r="E35" s="337"/>
      <c r="F35" s="337"/>
      <c r="G35" s="338"/>
      <c r="H35" s="338"/>
      <c r="I35" s="338"/>
      <c r="J35" s="338"/>
      <c r="K35" s="339"/>
      <c r="L35" s="338"/>
      <c r="M35" s="338"/>
      <c r="N35" s="338"/>
      <c r="O35" s="340"/>
      <c r="P35" s="341"/>
      <c r="Q35" s="338"/>
      <c r="R35" s="342">
        <f>'Top4 Intl.+Reg'!O451</f>
        <v>0.16745703317362759</v>
      </c>
      <c r="S35" s="342">
        <f>'Top4 Intl.+Reg'!P451</f>
        <v>0.133604844894613</v>
      </c>
      <c r="T35" s="342">
        <f>'Top4 Intl.+Reg'!Q451</f>
        <v>6.8133603039123747E-2</v>
      </c>
      <c r="U35" s="342">
        <f>'Top4 Intl.+Reg'!R451</f>
        <v>7.9161726040109182E-2</v>
      </c>
      <c r="V35" s="342">
        <f>'Top4 Intl.+Reg'!S451</f>
        <v>0.11072052584761161</v>
      </c>
      <c r="W35" s="343">
        <f>'Top4 Intl.+Reg'!B451</f>
        <v>0.19616047255722369</v>
      </c>
      <c r="X35" s="343">
        <f>'Top4 Intl.+Reg'!C451</f>
        <v>0.15020332090816657</v>
      </c>
      <c r="Y35" s="343">
        <f>'Top4 Intl.+Reg'!D451</f>
        <v>0.15600097162692661</v>
      </c>
      <c r="Z35" s="343">
        <f>'Top4 Intl.+Reg'!E451</f>
        <v>0.14496124031007751</v>
      </c>
      <c r="AA35" s="343">
        <f>'Top4 Intl.+Reg'!F451</f>
        <v>0.16145578895945278</v>
      </c>
      <c r="AB35" s="343">
        <f>'Top4 Intl.+Reg'!G451</f>
        <v>9.4925184070936641E-2</v>
      </c>
      <c r="AC35" s="343">
        <f>'Top4 Intl.+Reg'!H451</f>
        <v>5.275849470222882E-2</v>
      </c>
      <c r="AD35" s="343">
        <f>'Top4 Intl.+Reg'!I451</f>
        <v>7.4341874341874448E-2</v>
      </c>
      <c r="AE35" s="343">
        <f>'Top4 Intl.+Reg'!J451</f>
        <v>7.7807741116751483E-2</v>
      </c>
      <c r="AF35" s="343">
        <f>'Top4 Intl.+Reg'!K451</f>
        <v>5.4058252427184428E-2</v>
      </c>
      <c r="AG35" s="343">
        <f>'Top4 Intl.+Reg'!L451</f>
        <v>8.5873015873015879E-2</v>
      </c>
      <c r="AH35" s="343">
        <f>'Top4 Intl.+Reg'!M451</f>
        <v>9.7079360312335661E-2</v>
      </c>
      <c r="AI35" s="342" t="e">
        <f>'Top4 Intl.+Reg'!O392</f>
        <v>#VALUE!</v>
      </c>
      <c r="AJ35" s="342" t="e">
        <f>'Top4 Intl.+Reg'!P392</f>
        <v>#VALUE!</v>
      </c>
      <c r="AK35" s="342" t="e">
        <f>'Top4 Intl.+Reg'!Q392</f>
        <v>#VALUE!</v>
      </c>
      <c r="AL35" s="342" t="e">
        <f>'Top4 Intl.+Reg'!R392</f>
        <v>#VALUE!</v>
      </c>
      <c r="AM35" s="342">
        <f>AVERAGE(AN35:AY35)</f>
        <v>-0.87014301843692732</v>
      </c>
      <c r="AN35" s="343">
        <f>'Top4 Intl.+Reg'!B392</f>
        <v>9.0534979423868567E-3</v>
      </c>
      <c r="AO35" s="343">
        <f>'Top4 Intl.+Reg'!C392</f>
        <v>-0.77218825955660308</v>
      </c>
      <c r="AP35" s="343">
        <f>'Top4 Intl.+Reg'!D392</f>
        <v>-0.90056259743780931</v>
      </c>
      <c r="AQ35" s="343">
        <f>'Top4 Intl.+Reg'!E392</f>
        <v>-0.98964116452268114</v>
      </c>
      <c r="AR35" s="343">
        <f>'Top4 Intl.+Reg'!F392</f>
        <v>-0.98212407991587802</v>
      </c>
      <c r="AS35" s="343">
        <f>'Top4 Intl.+Reg'!G392</f>
        <v>-0.9740419378163413</v>
      </c>
      <c r="AT35" s="343">
        <f>'Top4 Intl.+Reg'!H392</f>
        <v>-0.97397098632609147</v>
      </c>
      <c r="AU35" s="343">
        <f>'Top4 Intl.+Reg'!I392</f>
        <v>-0.97046523784631467</v>
      </c>
      <c r="AV35" s="343">
        <f>'Top4 Intl.+Reg'!J392</f>
        <v>-0.97130031643240855</v>
      </c>
      <c r="AW35" s="343">
        <f>'Top4 Intl.+Reg'!K392</f>
        <v>-0.96838847542553974</v>
      </c>
      <c r="AX35" s="343">
        <f>'Top4 Intl.+Reg'!L392</f>
        <v>-0.97251863762607804</v>
      </c>
      <c r="AY35" s="344">
        <f>'Top4 Intl.+Reg'!M392</f>
        <v>-0.97556802627977002</v>
      </c>
      <c r="AZ35" s="128">
        <f>'Top4 Intl.+Reg'!O333</f>
        <v>44.75</v>
      </c>
      <c r="BA35" s="112">
        <f>'Top4 Intl.+Reg'!P333</f>
        <v>83.78</v>
      </c>
      <c r="BB35" s="112">
        <f>'Top4 Intl.+Reg'!Q333</f>
        <v>74.489999999999995</v>
      </c>
      <c r="BC35" s="114">
        <f>'Top4 Intl.+Reg'!R333</f>
        <v>71.489999999999995</v>
      </c>
      <c r="BD35" s="141">
        <f>'Top4 Intl.+Reg'!S333</f>
        <v>274.51</v>
      </c>
      <c r="BE35" s="115">
        <f>'Top4 Intl.+Reg'!B333</f>
        <v>17.29</v>
      </c>
      <c r="BF35" s="116">
        <f>'Top4 Intl.+Reg'!C333</f>
        <v>10.029999999999999</v>
      </c>
      <c r="BG35" s="116">
        <f>'Top4 Intl.+Reg'!D333</f>
        <v>17.43</v>
      </c>
      <c r="BH35" s="116">
        <f>'Top4 Intl.+Reg'!E333</f>
        <v>20.059999999999999</v>
      </c>
      <c r="BI35" s="116">
        <f>'Top4 Intl.+Reg'!F333</f>
        <v>30.66</v>
      </c>
      <c r="BJ35" s="116">
        <f>'Top4 Intl.+Reg'!G333</f>
        <v>33.06</v>
      </c>
      <c r="BK35" s="116">
        <f>'Top4 Intl.+Reg'!H333</f>
        <v>39.409999999999997</v>
      </c>
      <c r="BL35" s="116">
        <f>'Top4 Intl.+Reg'!I333</f>
        <v>14.37</v>
      </c>
      <c r="BM35" s="116">
        <f>'Top4 Intl.+Reg'!J333</f>
        <v>20.71</v>
      </c>
      <c r="BN35" s="116">
        <f>'Top4 Intl.+Reg'!K333</f>
        <v>18.84</v>
      </c>
      <c r="BO35" s="116">
        <f>'Top4 Intl.+Reg'!L333</f>
        <v>21.16</v>
      </c>
      <c r="BP35" s="117">
        <f>'Top4 Intl.+Reg'!M333</f>
        <v>31.49</v>
      </c>
      <c r="BQ35" s="128">
        <f>'Top4 Intl.+Reg'!O262</f>
        <v>0</v>
      </c>
      <c r="BR35" s="112">
        <f>'Top4 Intl.+Reg'!P262</f>
        <v>0</v>
      </c>
      <c r="BS35" s="112">
        <f>'Top4 Intl.+Reg'!Q262</f>
        <v>0</v>
      </c>
      <c r="BT35" s="112">
        <f>'Top4 Intl.+Reg'!R262</f>
        <v>0</v>
      </c>
      <c r="BU35" s="112">
        <f>'Top4 Intl.+Reg'!S262</f>
        <v>0</v>
      </c>
      <c r="BV35" s="149">
        <f>'Top4 Intl.+Reg'!B262</f>
        <v>0</v>
      </c>
      <c r="BW35" s="116">
        <f>'Top4 Intl.+Reg'!C262</f>
        <v>0</v>
      </c>
      <c r="BX35" s="116">
        <f>'Top4 Intl.+Reg'!D262</f>
        <v>0</v>
      </c>
      <c r="BY35" s="116">
        <f>'Top4 Intl.+Reg'!E262</f>
        <v>0</v>
      </c>
      <c r="BZ35" s="116">
        <f>'Top4 Intl.+Reg'!F262</f>
        <v>0</v>
      </c>
      <c r="CA35" s="116">
        <f>'Top4 Intl.+Reg'!G262</f>
        <v>0</v>
      </c>
      <c r="CB35" s="116">
        <f>'Top4 Intl.+Reg'!H262</f>
        <v>0</v>
      </c>
      <c r="CC35" s="116">
        <f>'Top4 Intl.+Reg'!I262</f>
        <v>0</v>
      </c>
      <c r="CD35" s="116">
        <f>'Top4 Intl.+Reg'!J262</f>
        <v>0</v>
      </c>
      <c r="CE35" s="116">
        <f>'Top4 Intl.+Reg'!K262</f>
        <v>0</v>
      </c>
      <c r="CF35" s="116">
        <f>'Top4 Intl.+Reg'!L262</f>
        <v>0</v>
      </c>
      <c r="CG35" s="195">
        <f>'Top4 Intl.+Reg'!M262</f>
        <v>0</v>
      </c>
      <c r="CH35" s="128">
        <f>'Top4 Intl.+Reg'!O205</f>
        <v>0</v>
      </c>
      <c r="CI35" s="112">
        <f>'Top4 Intl.+Reg'!P205</f>
        <v>0</v>
      </c>
      <c r="CJ35" s="113">
        <f>'Top4 Intl.+Reg'!Q205</f>
        <v>0</v>
      </c>
      <c r="CK35" s="112">
        <f>'Top4 Intl.+Reg'!R205</f>
        <v>0</v>
      </c>
      <c r="CL35" s="112">
        <f>'Top4 Intl.+Reg'!S205</f>
        <v>0</v>
      </c>
      <c r="CM35" s="116">
        <f>'Top4 Intl.+Reg'!B205</f>
        <v>0</v>
      </c>
      <c r="CN35" s="116">
        <f>'Top4 Intl.+Reg'!C205</f>
        <v>0</v>
      </c>
      <c r="CO35" s="116">
        <f>'Top4 Intl.+Reg'!D205</f>
        <v>0</v>
      </c>
      <c r="CP35" s="116">
        <f>'Top4 Intl.+Reg'!E205</f>
        <v>0</v>
      </c>
      <c r="CQ35" s="116">
        <f>'Top4 Intl.+Reg'!F205</f>
        <v>0</v>
      </c>
      <c r="CR35" s="116">
        <f>'Top4 Intl.+Reg'!G205</f>
        <v>0</v>
      </c>
      <c r="CS35" s="116">
        <f>'Top4 Intl.+Reg'!H205</f>
        <v>0</v>
      </c>
      <c r="CT35" s="116">
        <f>'Top4 Intl.+Reg'!I205</f>
        <v>0</v>
      </c>
      <c r="CU35" s="116">
        <f>'Top4 Intl.+Reg'!J205</f>
        <v>0</v>
      </c>
      <c r="CV35" s="116">
        <f>'Top4 Intl.+Reg'!K205</f>
        <v>0</v>
      </c>
      <c r="CW35" s="116">
        <f>'Top4 Intl.+Reg'!L205</f>
        <v>0</v>
      </c>
      <c r="CX35" s="117">
        <f>'Top4 Intl.+Reg'!M205</f>
        <v>0</v>
      </c>
      <c r="CY35" s="195">
        <f>'Top4 Intl.+Reg'!O149</f>
        <v>0</v>
      </c>
      <c r="CZ35" s="195">
        <f>'Top4 Intl.+Reg'!P149</f>
        <v>0</v>
      </c>
      <c r="DA35" s="195"/>
      <c r="DB35" s="195"/>
      <c r="DC35" s="195"/>
      <c r="DD35" s="116">
        <f>'Top4 Intl.+Reg'!B110</f>
        <v>-0.12446988973706541</v>
      </c>
      <c r="DE35" s="116">
        <f>'Top4 Intl.+Reg'!C110</f>
        <v>-0.26675068262969959</v>
      </c>
      <c r="DF35" s="116">
        <f>'Top4 Intl.+Reg'!D110</f>
        <v>-0.19820971867007675</v>
      </c>
      <c r="DG35" s="116">
        <f>'Top4 Intl.+Reg'!E110</f>
        <v>-0.1958516154766653</v>
      </c>
      <c r="DH35" s="116">
        <f>'Top4 Intl.+Reg'!F110</f>
        <v>-0.21142972536348947</v>
      </c>
      <c r="DI35" s="116">
        <f>'Top4 Intl.+Reg'!G110</f>
        <v>-0.16687116564417181</v>
      </c>
      <c r="DJ35" s="116">
        <f>'Top4 Intl.+Reg'!H110</f>
        <v>-0.14958502219648717</v>
      </c>
      <c r="DK35" s="116">
        <f>'Top4 Intl.+Reg'!I110</f>
        <v>-7.357578305654866E-3</v>
      </c>
      <c r="DL35" s="116">
        <f>'Top4 Intl.+Reg'!J110</f>
        <v>5.9123055162659144E-2</v>
      </c>
      <c r="DM35" s="116">
        <f>'Top4 Intl.+Reg'!K110</f>
        <v>0.15111940298507465</v>
      </c>
      <c r="DN35" s="116">
        <f>'Top4 Intl.+Reg'!L110</f>
        <v>0.16812658943204295</v>
      </c>
      <c r="DO35" s="116">
        <f>'Top4 Intl.+Reg'!M110</f>
        <v>-0.22546698237305984</v>
      </c>
      <c r="DP35" s="581"/>
    </row>
    <row r="36" spans="1:120" ht="16" customHeight="1" thickBot="1">
      <c r="A36" s="326" t="s">
        <v>113</v>
      </c>
      <c r="B36" s="362"/>
      <c r="C36" s="362"/>
      <c r="D36" s="362"/>
      <c r="E36" s="362"/>
      <c r="F36" s="362"/>
      <c r="G36" s="327"/>
      <c r="H36" s="327"/>
      <c r="I36" s="327"/>
      <c r="J36" s="327"/>
      <c r="K36" s="329"/>
      <c r="L36" s="327"/>
      <c r="M36" s="327"/>
      <c r="N36" s="327"/>
      <c r="O36" s="328"/>
      <c r="P36" s="330"/>
      <c r="Q36" s="327"/>
      <c r="R36" s="331">
        <f>'Top4 Intl.+Reg'!O434</f>
        <v>0</v>
      </c>
      <c r="S36" s="331">
        <f>'Top4 Intl.+Reg'!P434</f>
        <v>0</v>
      </c>
      <c r="T36" s="331">
        <f>'Top4 Intl.+Reg'!Q434</f>
        <v>0</v>
      </c>
      <c r="U36" s="331">
        <f>'Top4 Intl.+Reg'!R434</f>
        <v>0</v>
      </c>
      <c r="V36" s="331">
        <f>'Top4 Intl.+Reg'!S434</f>
        <v>0</v>
      </c>
      <c r="W36" s="332">
        <f>'Top4 Intl.+Reg'!B434</f>
        <v>8.2403096426768352E-2</v>
      </c>
      <c r="X36" s="332">
        <f>'Top4 Intl.+Reg'!C434</f>
        <v>-4.9647595356550389E-2</v>
      </c>
      <c r="Y36" s="332">
        <f>'Top4 Intl.+Reg'!D434</f>
        <v>6.0366452175809604E-2</v>
      </c>
      <c r="Z36" s="332">
        <f>'Top4 Intl.+Reg'!E434</f>
        <v>1.7433787606068396E-2</v>
      </c>
      <c r="AA36" s="332">
        <f>'Top4 Intl.+Reg'!F434</f>
        <v>-2.8659522846744889E-2</v>
      </c>
      <c r="AB36" s="332">
        <f>'Top4 Intl.+Reg'!G434</f>
        <v>-2.5862517562574849E-2</v>
      </c>
      <c r="AC36" s="332">
        <f>'Top4 Intl.+Reg'!H434</f>
        <v>4.6367521367521425E-2</v>
      </c>
      <c r="AD36" s="332">
        <f>'Top4 Intl.+Reg'!I434</f>
        <v>2.414743720645296E-2</v>
      </c>
      <c r="AE36" s="332">
        <f>'Top4 Intl.+Reg'!J434</f>
        <v>-0.14640346941827431</v>
      </c>
      <c r="AF36" s="332">
        <f>'Top4 Intl.+Reg'!K434</f>
        <v>1.1621116561550959E-2</v>
      </c>
      <c r="AG36" s="332">
        <f>'Top4 Intl.+Reg'!L434</f>
        <v>-5.8881256133463955E-3</v>
      </c>
      <c r="AH36" s="332">
        <f>'Top4 Intl.+Reg'!M434</f>
        <v>6.9217815457871312E-2</v>
      </c>
      <c r="AI36" s="331">
        <f>'Top4 Intl.+Reg'!O375</f>
        <v>0</v>
      </c>
      <c r="AJ36" s="331">
        <f>'Top4 Intl.+Reg'!P375</f>
        <v>0</v>
      </c>
      <c r="AK36" s="331">
        <f>'Top4 Intl.+Reg'!Q375</f>
        <v>0</v>
      </c>
      <c r="AL36" s="331">
        <f>'Top4 Intl.+Reg'!R375</f>
        <v>0</v>
      </c>
      <c r="AM36" s="331">
        <f>AVERAGE(AN36:AY36)</f>
        <v>1.2589938323948826E-2</v>
      </c>
      <c r="AN36" s="332">
        <f>'Top4 Intl.+Reg'!B375</f>
        <v>7.3317764622820025E-3</v>
      </c>
      <c r="AO36" s="332">
        <f>'Top4 Intl.+Reg'!C375</f>
        <v>-0.81383437567392714</v>
      </c>
      <c r="AP36" s="332">
        <f>'Top4 Intl.+Reg'!D375</f>
        <v>-0.5409788589632204</v>
      </c>
      <c r="AQ36" s="332">
        <f>'Top4 Intl.+Reg'!E375</f>
        <v>-0.89968454258675079</v>
      </c>
      <c r="AR36" s="332">
        <f>'Top4 Intl.+Reg'!F375</f>
        <v>0.64150943396226423</v>
      </c>
      <c r="AS36" s="332">
        <f>'Top4 Intl.+Reg'!G375</f>
        <v>0.60536398467432928</v>
      </c>
      <c r="AT36" s="332">
        <f>'Top4 Intl.+Reg'!H375</f>
        <v>-6.4439140811455742E-2</v>
      </c>
      <c r="AU36" s="332">
        <f>'Top4 Intl.+Reg'!I375</f>
        <v>0.25255102040816313</v>
      </c>
      <c r="AV36" s="332">
        <f>'Top4 Intl.+Reg'!J375</f>
        <v>-1.4256619144602856E-2</v>
      </c>
      <c r="AW36" s="332">
        <f>'Top4 Intl.+Reg'!K375</f>
        <v>0.88429752066115674</v>
      </c>
      <c r="AX36" s="332">
        <f>'Top4 Intl.+Reg'!L375</f>
        <v>-2.7412280701754277E-2</v>
      </c>
      <c r="AY36" s="363">
        <f>'Top4 Intl.+Reg'!M375</f>
        <v>0.12063134160090194</v>
      </c>
      <c r="AZ36" s="134">
        <f>'Top4 Intl.+Reg'!O308</f>
        <v>61.48</v>
      </c>
      <c r="BA36" s="122">
        <f>'Top4 Intl.+Reg'!P308</f>
        <v>69.430000000000007</v>
      </c>
      <c r="BB36" s="122">
        <f>'Top4 Intl.+Reg'!Q308</f>
        <v>70.650000000000006</v>
      </c>
      <c r="BC36" s="139">
        <f>'Top4 Intl.+Reg'!R308</f>
        <v>65.81</v>
      </c>
      <c r="BD36" s="142">
        <f>'Top4 Intl.+Reg'!S308</f>
        <v>267.37</v>
      </c>
      <c r="BE36" s="123">
        <f>'Top4 Intl.+Reg'!B308</f>
        <v>22.61</v>
      </c>
      <c r="BF36" s="124">
        <f>'Top4 Intl.+Reg'!C308</f>
        <v>15.02</v>
      </c>
      <c r="BG36" s="124">
        <f>'Top4 Intl.+Reg'!D308</f>
        <v>23.85</v>
      </c>
      <c r="BH36" s="124">
        <f>'Top4 Intl.+Reg'!E308</f>
        <v>23.8</v>
      </c>
      <c r="BI36" s="124">
        <f>'Top4 Intl.+Reg'!F308</f>
        <v>22.9</v>
      </c>
      <c r="BJ36" s="124">
        <f>'Top4 Intl.+Reg'!G308</f>
        <v>22.73</v>
      </c>
      <c r="BK36" s="124">
        <f>'Top4 Intl.+Reg'!H308</f>
        <v>23.39</v>
      </c>
      <c r="BL36" s="124">
        <f>'Top4 Intl.+Reg'!I308</f>
        <v>25.79</v>
      </c>
      <c r="BM36" s="124">
        <f>'Top4 Intl.+Reg'!J308</f>
        <v>21.47</v>
      </c>
      <c r="BN36" s="124">
        <f>'Top4 Intl.+Reg'!K308</f>
        <v>20.3</v>
      </c>
      <c r="BO36" s="124">
        <f>'Top4 Intl.+Reg'!L308</f>
        <v>22.27</v>
      </c>
      <c r="BP36" s="125">
        <f>'Top4 Intl.+Reg'!M308</f>
        <v>23.24</v>
      </c>
      <c r="BQ36" s="134">
        <f>'Top4 Intl.+Reg'!O243</f>
        <v>0</v>
      </c>
      <c r="BR36" s="122">
        <f>'Top4 Intl.+Reg'!P243</f>
        <v>0</v>
      </c>
      <c r="BS36" s="122">
        <f>'Top4 Intl.+Reg'!Q243</f>
        <v>0</v>
      </c>
      <c r="BT36" s="122">
        <f>'Top4 Intl.+Reg'!R243</f>
        <v>0</v>
      </c>
      <c r="BU36" s="122">
        <f>'Top4 Intl.+Reg'!S243</f>
        <v>0</v>
      </c>
      <c r="BV36" s="150">
        <f>'Top4 Intl.+Reg'!B243</f>
        <v>0</v>
      </c>
      <c r="BW36" s="124">
        <f>'Top4 Intl.+Reg'!C243</f>
        <v>0</v>
      </c>
      <c r="BX36" s="124">
        <f>'Top4 Intl.+Reg'!D243</f>
        <v>0</v>
      </c>
      <c r="BY36" s="124">
        <f>'Top4 Intl.+Reg'!E243</f>
        <v>0</v>
      </c>
      <c r="BZ36" s="124">
        <f>'Top4 Intl.+Reg'!F243</f>
        <v>0</v>
      </c>
      <c r="CA36" s="124">
        <f>'Top4 Intl.+Reg'!G243</f>
        <v>0</v>
      </c>
      <c r="CB36" s="124">
        <f>'Top4 Intl.+Reg'!H243</f>
        <v>0</v>
      </c>
      <c r="CC36" s="124">
        <f>'Top4 Intl.+Reg'!I243</f>
        <v>0</v>
      </c>
      <c r="CD36" s="124">
        <f>'Top4 Intl.+Reg'!J243</f>
        <v>0</v>
      </c>
      <c r="CE36" s="124">
        <f>'Top4 Intl.+Reg'!K243</f>
        <v>0</v>
      </c>
      <c r="CF36" s="124">
        <f>'Top4 Intl.+Reg'!L243</f>
        <v>0</v>
      </c>
      <c r="CG36" s="196">
        <f>'Top4 Intl.+Reg'!M243</f>
        <v>0</v>
      </c>
      <c r="CH36" s="134">
        <f>'Top4 Intl.+Reg'!O186</f>
        <v>0</v>
      </c>
      <c r="CI36" s="191">
        <f>'Top4 Intl.+Reg'!P186</f>
        <v>0</v>
      </c>
      <c r="CJ36" s="139">
        <f>'Top4 Intl.+Reg'!Q186</f>
        <v>0</v>
      </c>
      <c r="CK36" s="191">
        <f>'Top4 Intl.+Reg'!R186</f>
        <v>0</v>
      </c>
      <c r="CL36" s="191">
        <f>'Top4 Intl.+Reg'!S186</f>
        <v>0</v>
      </c>
      <c r="CM36" s="124">
        <f>'Top4 Intl.+Reg'!B186</f>
        <v>0</v>
      </c>
      <c r="CN36" s="124">
        <f>'Top4 Intl.+Reg'!C186</f>
        <v>0</v>
      </c>
      <c r="CO36" s="124">
        <f>'Top4 Intl.+Reg'!D186</f>
        <v>0</v>
      </c>
      <c r="CP36" s="124">
        <f>'Top4 Intl.+Reg'!E186</f>
        <v>0</v>
      </c>
      <c r="CQ36" s="124">
        <f>'Top4 Intl.+Reg'!F186</f>
        <v>0</v>
      </c>
      <c r="CR36" s="124">
        <f>'Top4 Intl.+Reg'!G186</f>
        <v>0</v>
      </c>
      <c r="CS36" s="124">
        <f>'Top4 Intl.+Reg'!H186</f>
        <v>0</v>
      </c>
      <c r="CT36" s="124">
        <f>'Top4 Intl.+Reg'!I186</f>
        <v>0</v>
      </c>
      <c r="CU36" s="124">
        <f>'Top4 Intl.+Reg'!J186</f>
        <v>0</v>
      </c>
      <c r="CV36" s="124">
        <f>'Top4 Intl.+Reg'!K186</f>
        <v>0</v>
      </c>
      <c r="CW36" s="124">
        <f>'Top4 Intl.+Reg'!L186</f>
        <v>0</v>
      </c>
      <c r="CX36" s="125">
        <f>'Top4 Intl.+Reg'!M186</f>
        <v>0</v>
      </c>
      <c r="CY36" s="196">
        <f>'Top4 Intl.+Reg'!O130</f>
        <v>0</v>
      </c>
      <c r="CZ36" s="196">
        <f>'Top4 Intl.+Reg'!P130</f>
        <v>0</v>
      </c>
      <c r="DA36" s="196"/>
      <c r="DB36" s="196"/>
      <c r="DC36" s="196"/>
      <c r="DD36" s="124">
        <f>'Top4 Intl.+Reg'!B92</f>
        <v>0.12839875233072728</v>
      </c>
      <c r="DE36" s="124">
        <f>'Top4 Intl.+Reg'!C92</f>
        <v>3.5101973027140687E-3</v>
      </c>
      <c r="DF36" s="124">
        <f>'Top4 Intl.+Reg'!D92</f>
        <v>2.3823130302395024E-2</v>
      </c>
      <c r="DG36" s="124">
        <f>'Top4 Intl.+Reg'!E92</f>
        <v>7.1590146629104012E-2</v>
      </c>
      <c r="DH36" s="124">
        <f>'Top4 Intl.+Reg'!F92</f>
        <v>9.1397116199410933E-2</v>
      </c>
      <c r="DI36" s="124">
        <f>'Top4 Intl.+Reg'!G92</f>
        <v>0.13357265395516582</v>
      </c>
      <c r="DJ36" s="124">
        <f>'Top4 Intl.+Reg'!H92</f>
        <v>0.11099226729038869</v>
      </c>
      <c r="DK36" s="124">
        <f>'Top4 Intl.+Reg'!I92</f>
        <v>0.10926855661917934</v>
      </c>
      <c r="DL36" s="124">
        <f>'Top4 Intl.+Reg'!J92</f>
        <v>7.5556262347075354E-2</v>
      </c>
      <c r="DM36" s="124">
        <f>'Top4 Intl.+Reg'!K92</f>
        <v>0.18840612150338076</v>
      </c>
      <c r="DN36" s="124">
        <f>'Top4 Intl.+Reg'!L92</f>
        <v>0.18056153745018655</v>
      </c>
      <c r="DO36" s="124">
        <f>'Top4 Intl.+Reg'!M92</f>
        <v>0.12629326631203108</v>
      </c>
      <c r="DP36" s="581"/>
    </row>
    <row r="37" spans="1:120" ht="16.5" customHeight="1" thickTop="1" thickBot="1">
      <c r="A37" s="255"/>
      <c r="B37" s="255"/>
      <c r="C37" s="255"/>
    </row>
    <row r="38" spans="1:120" ht="16.5" customHeight="1" thickBot="1">
      <c r="A38" s="256"/>
      <c r="B38" s="98"/>
      <c r="C38" s="98"/>
      <c r="D38" s="98"/>
      <c r="E38" s="98"/>
      <c r="F38" s="98"/>
      <c r="G38" s="98"/>
      <c r="H38" s="98"/>
      <c r="I38" s="257"/>
      <c r="J38" s="257"/>
      <c r="K38" s="98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257"/>
      <c r="AG38" s="257"/>
      <c r="AH38" s="257"/>
      <c r="AI38" s="257"/>
      <c r="AJ38" s="257"/>
      <c r="AK38" s="257"/>
      <c r="AL38" s="257"/>
      <c r="AM38" s="257"/>
      <c r="AN38" s="257"/>
      <c r="AO38" s="257"/>
      <c r="AP38" s="257"/>
      <c r="AQ38" s="257"/>
      <c r="AR38" s="257"/>
      <c r="AS38" s="257"/>
      <c r="AT38" s="257"/>
      <c r="AU38" s="257"/>
      <c r="AV38" s="257"/>
      <c r="AW38" s="257"/>
      <c r="AX38" s="257"/>
      <c r="AY38" s="257"/>
      <c r="AZ38" s="582" t="s">
        <v>29</v>
      </c>
      <c r="BA38" s="583"/>
      <c r="BB38" s="583"/>
      <c r="BC38" s="583"/>
      <c r="BD38" s="583"/>
      <c r="BE38" s="583"/>
      <c r="BF38" s="583"/>
      <c r="BG38" s="583"/>
      <c r="BH38" s="583"/>
      <c r="BI38" s="583"/>
      <c r="BJ38" s="583"/>
      <c r="BK38" s="583"/>
      <c r="BL38" s="583"/>
      <c r="BM38" s="583"/>
      <c r="BN38" s="583"/>
      <c r="BO38" s="583"/>
      <c r="BP38" s="584"/>
      <c r="BQ38" s="588" t="s">
        <v>30</v>
      </c>
      <c r="BR38" s="587"/>
      <c r="BS38" s="587"/>
      <c r="BT38" s="587"/>
      <c r="BU38" s="587"/>
      <c r="BV38" s="587"/>
      <c r="BW38" s="587"/>
      <c r="BX38" s="587"/>
      <c r="BY38" s="587"/>
      <c r="BZ38" s="587"/>
      <c r="CA38" s="587"/>
      <c r="CB38" s="587"/>
      <c r="CC38" s="587"/>
      <c r="CD38" s="587"/>
      <c r="CE38" s="587"/>
      <c r="CF38" s="587"/>
      <c r="CG38" s="587"/>
      <c r="CH38" s="587"/>
      <c r="CI38" s="587"/>
      <c r="CJ38" s="587"/>
      <c r="CK38" s="587"/>
      <c r="CL38" s="587"/>
      <c r="CM38" s="587"/>
      <c r="CN38" s="587"/>
      <c r="CO38" s="587"/>
      <c r="CP38" s="587"/>
      <c r="CQ38" s="587"/>
      <c r="CR38" s="587"/>
      <c r="CS38" s="587"/>
      <c r="CT38" s="587"/>
      <c r="CU38" s="587"/>
      <c r="CV38" s="587"/>
      <c r="CW38" s="587"/>
      <c r="CX38" s="587"/>
      <c r="CY38" s="258"/>
      <c r="CZ38" s="258"/>
      <c r="DA38" s="258"/>
      <c r="DB38" s="258"/>
      <c r="DC38" s="258"/>
      <c r="DD38" s="589">
        <v>2024</v>
      </c>
      <c r="DE38" s="587"/>
      <c r="DF38" s="587"/>
      <c r="DG38" s="587"/>
      <c r="DH38" s="239"/>
      <c r="DI38" s="239"/>
      <c r="DJ38" s="239"/>
      <c r="DK38" s="239"/>
      <c r="DL38" s="239"/>
      <c r="DM38" s="239"/>
      <c r="DN38" s="239"/>
      <c r="DO38" s="239"/>
    </row>
    <row r="39" spans="1:120" ht="16" customHeight="1" thickBot="1">
      <c r="A39" s="259" t="s">
        <v>31</v>
      </c>
      <c r="B39" s="153" t="s">
        <v>32</v>
      </c>
      <c r="C39" s="153" t="s">
        <v>33</v>
      </c>
      <c r="D39" s="153" t="s">
        <v>34</v>
      </c>
      <c r="E39" s="153" t="s">
        <v>35</v>
      </c>
      <c r="F39" s="154"/>
      <c r="G39" s="153" t="s">
        <v>36</v>
      </c>
      <c r="H39" s="153" t="s">
        <v>37</v>
      </c>
      <c r="I39" s="154" t="s">
        <v>38</v>
      </c>
      <c r="J39" s="155" t="s">
        <v>39</v>
      </c>
      <c r="K39" s="156"/>
      <c r="L39" s="153" t="s">
        <v>40</v>
      </c>
      <c r="M39" s="153" t="s">
        <v>41</v>
      </c>
      <c r="N39" s="154" t="s">
        <v>42</v>
      </c>
      <c r="O39" s="157" t="s">
        <v>43</v>
      </c>
      <c r="P39" s="158" t="s">
        <v>44</v>
      </c>
      <c r="Q39" s="155" t="s">
        <v>45</v>
      </c>
      <c r="R39" s="156" t="s">
        <v>46</v>
      </c>
      <c r="S39" s="154" t="s">
        <v>47</v>
      </c>
      <c r="T39" s="154" t="s">
        <v>48</v>
      </c>
      <c r="U39" s="154" t="s">
        <v>49</v>
      </c>
      <c r="V39" s="154" t="s">
        <v>50</v>
      </c>
      <c r="W39" s="159" t="s">
        <v>51</v>
      </c>
      <c r="X39" s="159" t="s">
        <v>52</v>
      </c>
      <c r="Y39" s="159" t="s">
        <v>53</v>
      </c>
      <c r="Z39" s="160" t="s">
        <v>54</v>
      </c>
      <c r="AA39" s="160" t="s">
        <v>55</v>
      </c>
      <c r="AB39" s="160" t="s">
        <v>56</v>
      </c>
      <c r="AC39" s="161" t="s">
        <v>57</v>
      </c>
      <c r="AD39" s="161" t="s">
        <v>58</v>
      </c>
      <c r="AE39" s="161" t="s">
        <v>59</v>
      </c>
      <c r="AF39" s="161" t="s">
        <v>60</v>
      </c>
      <c r="AG39" s="161" t="s">
        <v>61</v>
      </c>
      <c r="AH39" s="161" t="s">
        <v>62</v>
      </c>
      <c r="AI39" s="153" t="s">
        <v>63</v>
      </c>
      <c r="AJ39" s="153" t="s">
        <v>64</v>
      </c>
      <c r="AK39" s="153" t="s">
        <v>65</v>
      </c>
      <c r="AL39" s="153" t="s">
        <v>66</v>
      </c>
      <c r="AM39" s="155" t="s">
        <v>67</v>
      </c>
      <c r="AN39" s="161" t="s">
        <v>68</v>
      </c>
      <c r="AO39" s="161" t="s">
        <v>69</v>
      </c>
      <c r="AP39" s="161" t="s">
        <v>70</v>
      </c>
      <c r="AQ39" s="161" t="s">
        <v>71</v>
      </c>
      <c r="AR39" s="161" t="s">
        <v>55</v>
      </c>
      <c r="AS39" s="161" t="s">
        <v>56</v>
      </c>
      <c r="AT39" s="161" t="s">
        <v>57</v>
      </c>
      <c r="AU39" s="161" t="s">
        <v>58</v>
      </c>
      <c r="AV39" s="161" t="s">
        <v>59</v>
      </c>
      <c r="AW39" s="161" t="s">
        <v>60</v>
      </c>
      <c r="AX39" s="161" t="s">
        <v>61</v>
      </c>
      <c r="AY39" s="158" t="s">
        <v>62</v>
      </c>
      <c r="AZ39" s="162" t="s">
        <v>72</v>
      </c>
      <c r="BA39" s="153" t="s">
        <v>73</v>
      </c>
      <c r="BB39" s="153" t="s">
        <v>74</v>
      </c>
      <c r="BC39" s="154" t="s">
        <v>75</v>
      </c>
      <c r="BD39" s="163" t="s">
        <v>76</v>
      </c>
      <c r="BE39" s="164" t="s">
        <v>51</v>
      </c>
      <c r="BF39" s="160" t="s">
        <v>52</v>
      </c>
      <c r="BG39" s="160" t="s">
        <v>53</v>
      </c>
      <c r="BH39" s="160" t="s">
        <v>54</v>
      </c>
      <c r="BI39" s="160" t="s">
        <v>55</v>
      </c>
      <c r="BJ39" s="160" t="s">
        <v>77</v>
      </c>
      <c r="BK39" s="160" t="s">
        <v>78</v>
      </c>
      <c r="BL39" s="160" t="s">
        <v>79</v>
      </c>
      <c r="BM39" s="160" t="s">
        <v>80</v>
      </c>
      <c r="BN39" s="160" t="s">
        <v>81</v>
      </c>
      <c r="BO39" s="160" t="s">
        <v>82</v>
      </c>
      <c r="BP39" s="165" t="s">
        <v>44</v>
      </c>
      <c r="BQ39" s="162" t="s">
        <v>83</v>
      </c>
      <c r="BR39" s="153" t="s">
        <v>84</v>
      </c>
      <c r="BS39" s="153" t="s">
        <v>85</v>
      </c>
      <c r="BT39" s="154" t="s">
        <v>86</v>
      </c>
      <c r="BU39" s="154" t="s">
        <v>87</v>
      </c>
      <c r="BV39" s="164" t="s">
        <v>51</v>
      </c>
      <c r="BW39" s="160" t="s">
        <v>52</v>
      </c>
      <c r="BX39" s="160" t="s">
        <v>53</v>
      </c>
      <c r="BY39" s="160" t="s">
        <v>54</v>
      </c>
      <c r="BZ39" s="160" t="s">
        <v>55</v>
      </c>
      <c r="CA39" s="160" t="s">
        <v>77</v>
      </c>
      <c r="CB39" s="160" t="s">
        <v>78</v>
      </c>
      <c r="CC39" s="160" t="s">
        <v>79</v>
      </c>
      <c r="CD39" s="160" t="s">
        <v>80</v>
      </c>
      <c r="CE39" s="160" t="s">
        <v>81</v>
      </c>
      <c r="CF39" s="160" t="s">
        <v>82</v>
      </c>
      <c r="CG39" s="159" t="s">
        <v>44</v>
      </c>
      <c r="CH39" s="162" t="s">
        <v>88</v>
      </c>
      <c r="CI39" s="153" t="s">
        <v>89</v>
      </c>
      <c r="CJ39" s="156" t="s">
        <v>90</v>
      </c>
      <c r="CK39" s="153" t="s">
        <v>91</v>
      </c>
      <c r="CL39" s="153" t="s">
        <v>92</v>
      </c>
      <c r="CM39" s="203" t="s">
        <v>51</v>
      </c>
      <c r="CN39" s="203" t="s">
        <v>52</v>
      </c>
      <c r="CO39" s="203" t="s">
        <v>53</v>
      </c>
      <c r="CP39" s="203" t="s">
        <v>71</v>
      </c>
      <c r="CQ39" s="203" t="s">
        <v>55</v>
      </c>
      <c r="CR39" s="203" t="s">
        <v>56</v>
      </c>
      <c r="CS39" s="203" t="s">
        <v>57</v>
      </c>
      <c r="CT39" s="203" t="s">
        <v>58</v>
      </c>
      <c r="CU39" s="203" t="s">
        <v>59</v>
      </c>
      <c r="CV39" s="203" t="s">
        <v>60</v>
      </c>
      <c r="CW39" s="203" t="s">
        <v>61</v>
      </c>
      <c r="CX39" s="203" t="s">
        <v>62</v>
      </c>
      <c r="CY39" s="162" t="s">
        <v>93</v>
      </c>
      <c r="CZ39" s="153" t="s">
        <v>94</v>
      </c>
      <c r="DA39" s="156" t="s">
        <v>95</v>
      </c>
      <c r="DB39" s="153" t="s">
        <v>96</v>
      </c>
      <c r="DC39" s="153" t="s">
        <v>97</v>
      </c>
      <c r="DD39" s="203" t="s">
        <v>51</v>
      </c>
      <c r="DE39" s="203" t="s">
        <v>52</v>
      </c>
      <c r="DF39" s="203" t="s">
        <v>53</v>
      </c>
      <c r="DG39" s="203" t="s">
        <v>54</v>
      </c>
      <c r="DH39" s="203" t="s">
        <v>55</v>
      </c>
      <c r="DI39" s="203" t="s">
        <v>77</v>
      </c>
      <c r="DJ39" s="203" t="s">
        <v>78</v>
      </c>
      <c r="DK39" s="203" t="s">
        <v>79</v>
      </c>
      <c r="DL39" s="203" t="s">
        <v>80</v>
      </c>
      <c r="DM39" s="203" t="s">
        <v>81</v>
      </c>
      <c r="DN39" s="203" t="s">
        <v>82</v>
      </c>
      <c r="DO39" s="203" t="s">
        <v>44</v>
      </c>
    </row>
    <row r="40" spans="1:120">
      <c r="A40" s="260" t="s">
        <v>98</v>
      </c>
      <c r="B40" s="261">
        <v>0.10750931939587249</v>
      </c>
      <c r="C40" s="261">
        <v>0.1114921998213845</v>
      </c>
      <c r="D40" s="261">
        <v>0.1201531589023612</v>
      </c>
      <c r="E40" s="261">
        <v>0.138524755933886</v>
      </c>
      <c r="F40" s="262"/>
      <c r="G40" s="262">
        <f>'CAAC Data'!O252</f>
        <v>0.13663965855266591</v>
      </c>
      <c r="H40" s="262">
        <f>'CAAC Data'!P252</f>
        <v>0.13450837258203752</v>
      </c>
      <c r="I40" s="262">
        <f>'CAAC Data'!Q252</f>
        <v>0.10607234553271661</v>
      </c>
      <c r="J40" s="262">
        <f>'CAAC Data'!R252</f>
        <v>0.14607875592445763</v>
      </c>
      <c r="K40" s="262"/>
      <c r="L40" s="262">
        <f>'CAAC Data'!O227</f>
        <v>0.11656554092730387</v>
      </c>
      <c r="M40" s="262">
        <f>'CAAC Data'!P227</f>
        <v>0.13203239781503107</v>
      </c>
      <c r="N40" s="262">
        <f>'CAAC Data'!Q227</f>
        <v>0.10319346198750079</v>
      </c>
      <c r="O40" s="262">
        <f>'CAAC Data'!R227</f>
        <v>8.7175838188568555E-2</v>
      </c>
      <c r="P40" s="263">
        <f>'CAAC Data'!M227</f>
        <v>7.5445816186556991E-2</v>
      </c>
      <c r="Q40" s="261">
        <f>'CAAC Data'!N227</f>
        <v>0.10919040890399656</v>
      </c>
      <c r="R40" s="264">
        <v>9.8000000000000004E-2</v>
      </c>
      <c r="S40" s="265">
        <v>7.1999999999999995E-2</v>
      </c>
      <c r="T40" s="265">
        <f>'CAAC Data'!Q202</f>
        <v>9.1237331606862648E-2</v>
      </c>
      <c r="U40" s="265">
        <f>'CAAC Data'!R202</f>
        <v>5.4971260457370219E-2</v>
      </c>
      <c r="V40" s="265">
        <f>'CAAC Data'!N202</f>
        <v>7.9110384300899339E-2</v>
      </c>
      <c r="W40" s="266">
        <f>'CAAC Data'!B202</f>
        <v>0.14940822035721979</v>
      </c>
      <c r="X40" s="266">
        <f>'CAAC Data'!C202</f>
        <v>0.11151034568207163</v>
      </c>
      <c r="Y40" s="266">
        <f>'CAAC Data'!D202</f>
        <v>4.089335045328979E-2</v>
      </c>
      <c r="Z40" s="267">
        <f>'CAAC Data'!E202</f>
        <v>4.6825115289109709E-2</v>
      </c>
      <c r="AA40" s="267">
        <f>'CAAC Data'!F202</f>
        <v>8.7396265560165887E-2</v>
      </c>
      <c r="AB40" s="267">
        <f>'CAAC Data'!G202</f>
        <v>8.1714899046153144E-2</v>
      </c>
      <c r="AC40" s="268">
        <f>'CAAC Data'!H202</f>
        <v>0.10267948455716924</v>
      </c>
      <c r="AD40" s="268">
        <f>'CAAC Data'!I202</f>
        <v>8.2555508414651424E-2</v>
      </c>
      <c r="AE40" s="268">
        <f>'CAAC Data'!J202</f>
        <v>8.8766927161009423E-2</v>
      </c>
      <c r="AF40" s="268">
        <f>'CAAC Data'!K202</f>
        <v>5.3563834704631663E-2</v>
      </c>
      <c r="AG40" s="268">
        <f>'CAAC Data'!L202</f>
        <v>5.9972830429918522E-2</v>
      </c>
      <c r="AH40" s="268">
        <f>'CAAC Data'!M202</f>
        <v>5.1498724489795977E-2</v>
      </c>
      <c r="AI40" s="265">
        <f>'CAAC Data'!O176</f>
        <v>-0.53909034919094456</v>
      </c>
      <c r="AJ40" s="265">
        <f>'CAAC Data'!P176</f>
        <v>-0.54492955210163874</v>
      </c>
      <c r="AK40" s="265">
        <f>'CAAC Data'!Q176</f>
        <v>-0.24009652465600251</v>
      </c>
      <c r="AL40" s="265">
        <f>'CAAC Data'!R176</f>
        <v>-0.15812039312039317</v>
      </c>
      <c r="AM40" s="269">
        <f>'CAAC Data'!N176</f>
        <v>-0.36709927319678237</v>
      </c>
      <c r="AN40" s="268">
        <f>'CAAC Data'!B176</f>
        <v>-5.2627637466534316E-2</v>
      </c>
      <c r="AO40" s="268">
        <f>'CAAC Data'!C176</f>
        <v>-0.84505629249804926</v>
      </c>
      <c r="AP40" s="268">
        <f>'CAAC Data'!D176</f>
        <v>-0.71691836124401909</v>
      </c>
      <c r="AQ40" s="268">
        <f>'CAAC Data'!E176</f>
        <v>-0.68532324259196509</v>
      </c>
      <c r="AR40" s="268">
        <f>'CAAC Data'!F176</f>
        <v>-0.52611495349391846</v>
      </c>
      <c r="AS40" s="268">
        <f>'CAAC Data'!G176</f>
        <v>-0.42451417231437449</v>
      </c>
      <c r="AT40" s="268">
        <f>'CAAC Data'!H176</f>
        <v>-0.34065192829800506</v>
      </c>
      <c r="AU40" s="268">
        <f>'CAAC Data'!I176</f>
        <v>-0.2461380188771678</v>
      </c>
      <c r="AV40" s="268">
        <f>'CAAC Data'!J176</f>
        <v>-0.12443153799791795</v>
      </c>
      <c r="AW40" s="268">
        <f>'CAAC Data'!K176</f>
        <v>-0.11686146502404271</v>
      </c>
      <c r="AX40" s="268">
        <f>'CAAC Data'!L176</f>
        <v>-0.16295374872780732</v>
      </c>
      <c r="AY40" s="270">
        <f>'CAAC Data'!M176</f>
        <v>-0.19782031842304781</v>
      </c>
      <c r="AZ40" s="174">
        <f>'CAAC Data'!O146</f>
        <v>-0.36574532016946304</v>
      </c>
      <c r="BA40" s="175">
        <f>'CAAC Data'!P146</f>
        <v>-0.10946901720679825</v>
      </c>
      <c r="BB40" s="175">
        <f>'CAAC Data'!Q146</f>
        <v>-0.38593318577002944</v>
      </c>
      <c r="BC40" s="176">
        <f>'CAAC Data'!R146</f>
        <v>-0.46265970515970511</v>
      </c>
      <c r="BD40" s="177">
        <f>'CAAC Data'!N146</f>
        <v>-0.33247458613436465</v>
      </c>
      <c r="BE40" s="178">
        <f>'CAAC Data'!B146</f>
        <v>-0.43495029299983146</v>
      </c>
      <c r="BF40" s="179">
        <f>'CAAC Data'!C146</f>
        <v>-0.5550663248244343</v>
      </c>
      <c r="BG40" s="179">
        <f>'CAAC Data'!D146</f>
        <v>-0.10619766746411485</v>
      </c>
      <c r="BH40" s="179">
        <f>'CAAC Data'!E146</f>
        <v>-3.8103844271245135E-2</v>
      </c>
      <c r="BI40" s="179">
        <f>'CAAC Data'!F146</f>
        <v>-6.3622521051569514E-2</v>
      </c>
      <c r="BJ40" s="179">
        <f>'CAAC Data'!G146</f>
        <v>-0.2272250720784813</v>
      </c>
      <c r="BK40" s="179">
        <f>'CAAC Data'!H146</f>
        <v>-0.17173403483921013</v>
      </c>
      <c r="BL40" s="179">
        <f>'CAAC Data'!I146</f>
        <v>-0.63409974199026742</v>
      </c>
      <c r="BM40" s="179">
        <f>'CAAC Data'!J146</f>
        <v>-0.34036491151169801</v>
      </c>
      <c r="BN40" s="179">
        <f>'CAAC Data'!K146</f>
        <v>-0.31801270576673335</v>
      </c>
      <c r="BO40" s="179">
        <f>'CAAC Data'!L146</f>
        <v>-0.59434957970522828</v>
      </c>
      <c r="BP40" s="180">
        <f>'CAAC Data'!M146</f>
        <v>-0.48644806671720997</v>
      </c>
      <c r="BQ40" s="174">
        <f>'CAAC Data'!O115</f>
        <v>-0.52609444890290713</v>
      </c>
      <c r="BR40" s="175">
        <f>'CAAC Data'!P115</f>
        <v>-0.73947007283859389</v>
      </c>
      <c r="BS40" s="175">
        <f>'CAAC Data'!Q115</f>
        <v>-0.50711954909522394</v>
      </c>
      <c r="BT40" s="175">
        <f>'CAAC Data'!R115</f>
        <v>-0.71001842751842759</v>
      </c>
      <c r="BU40" s="175">
        <f>'CAAC Data'!N115</f>
        <v>-0.6185495456722172</v>
      </c>
      <c r="BV40" s="181">
        <f>'CAAC Data'!B115</f>
        <v>-0.44745661168629358</v>
      </c>
      <c r="BW40" s="179">
        <f>'CAAC Data'!C115</f>
        <v>-0.41860810760598965</v>
      </c>
      <c r="BX40" s="179">
        <f>'CAAC Data'!D115</f>
        <v>-0.71273175837320579</v>
      </c>
      <c r="BY40" s="179">
        <f>'CAAC Data'!E115</f>
        <v>-0.85165104107835388</v>
      </c>
      <c r="BZ40" s="179">
        <f>'CAAC Data'!F115</f>
        <v>-0.77851363994936618</v>
      </c>
      <c r="CA40" s="179">
        <f>'CAAC Data'!G115</f>
        <v>-0.58806679896656311</v>
      </c>
      <c r="CB40" s="179">
        <f>'CAAC Data'!H115</f>
        <v>-0.42672130318207113</v>
      </c>
      <c r="CC40" s="179">
        <f>'CAAC Data'!I115</f>
        <v>-0.47250073483784583</v>
      </c>
      <c r="CD40" s="179">
        <f>'CAAC Data'!J115</f>
        <v>-0.63291509141051638</v>
      </c>
      <c r="CE40" s="179">
        <f>'CAAC Data'!K115</f>
        <v>-0.72054332947246502</v>
      </c>
      <c r="CF40" s="179">
        <f>'CAAC Data'!L115</f>
        <v>-0.76307060198273591</v>
      </c>
      <c r="CG40" s="194">
        <f>'CAAC Data'!M115</f>
        <v>-0.64529946929492032</v>
      </c>
      <c r="CH40" s="200">
        <f>'CAAC Data'!O83</f>
        <v>-0.1994736940333327</v>
      </c>
      <c r="CI40" s="175">
        <f>'CAAC Data'!P83</f>
        <v>-3.6959532044634646E-2</v>
      </c>
      <c r="CJ40" s="199">
        <f>'CAAC Data'!Q83</f>
        <v>2.6184880085799778E-2</v>
      </c>
      <c r="CK40" s="175">
        <f>'CAAC Data'!R83</f>
        <v>-4.4011056511056523E-2</v>
      </c>
      <c r="CL40" s="175">
        <f>'CAAC Data'!N83</f>
        <v>-6.1513072152949988E-2</v>
      </c>
      <c r="CM40" s="179">
        <f>'CAAC Data'!B83</f>
        <v>-0.25533109917061392</v>
      </c>
      <c r="CN40" s="179">
        <f>'CAAC Data'!C83</f>
        <v>-0.19741388919852865</v>
      </c>
      <c r="CO40" s="179">
        <f>'CAAC Data'!D83</f>
        <v>-0.14578349282296654</v>
      </c>
      <c r="CP40" s="179">
        <f>'CAAC Data'!E83</f>
        <v>-5.3522346473888316E-2</v>
      </c>
      <c r="CQ40" s="179">
        <f>'CAAC Data'!F83</f>
        <v>-5.1569465592837926E-2</v>
      </c>
      <c r="CR40" s="179">
        <f>'CAAC Data'!G83</f>
        <v>-5.5790616692252826E-3</v>
      </c>
      <c r="CS40" s="179">
        <f>'CAAC Data'!H83</f>
        <v>5.2730982614121125E-2</v>
      </c>
      <c r="CT40" s="179">
        <f>'CAAC Data'!I83</f>
        <v>4.4514843724484887E-2</v>
      </c>
      <c r="CU40" s="179">
        <f>'CAAC Data'!J83</f>
        <v>-2.3067229192920924E-2</v>
      </c>
      <c r="CV40" s="179">
        <f>'CAAC Data'!K83</f>
        <v>-1.632094345582813E-2</v>
      </c>
      <c r="CW40" s="179">
        <f>'CAAC Data'!L83</f>
        <v>-7.6651965773304687E-2</v>
      </c>
      <c r="CX40" s="180">
        <f>'CAAC Data'!M83</f>
        <v>-4.1091736163760384E-2</v>
      </c>
      <c r="CY40" s="194">
        <f>'CAAC Data'!O56</f>
        <v>0.37728766931667179</v>
      </c>
      <c r="CZ40" s="194">
        <f>'CAAC Data'!P56</f>
        <v>0.11862221047269639</v>
      </c>
      <c r="DA40" s="194">
        <f>'CAAC Data'!Q56</f>
        <v>0.12285831823084026</v>
      </c>
      <c r="DB40" s="194">
        <f>'CAAC Data'!R56</f>
        <v>0.14050824043434962</v>
      </c>
      <c r="DC40" s="194"/>
      <c r="DD40" s="179">
        <f>'CAAC Data'!B56</f>
        <v>0.44105593966059087</v>
      </c>
      <c r="DE40" s="179">
        <f>'CAAC Data'!C56</f>
        <v>0.44629629629629619</v>
      </c>
      <c r="DF40" s="179">
        <f>'CAAC Data'!D56</f>
        <v>0.25656397689480137</v>
      </c>
      <c r="DG40" s="179">
        <f>'CAAC Data'!E56</f>
        <v>0.11287916459472891</v>
      </c>
      <c r="DH40" s="179">
        <f>'CAAC Data'!F56</f>
        <v>0.13874811404696508</v>
      </c>
      <c r="DI40" s="179">
        <f>'CAAC Data'!G56</f>
        <v>0.10446946306197757</v>
      </c>
      <c r="DJ40" s="179">
        <f>'CAAC Data'!H56</f>
        <v>0.10745178445569303</v>
      </c>
      <c r="DK40" s="179">
        <f>'CAAC Data'!I56</f>
        <v>0.14012569570383349</v>
      </c>
      <c r="DL40" s="179">
        <f>'CAAC Data'!J56</f>
        <v>0.12019068984856984</v>
      </c>
      <c r="DM40" s="179">
        <f>'CAAC Data'!K56</f>
        <v>0.14343823592378513</v>
      </c>
      <c r="DN40" s="179">
        <f>'CAAC Data'!L56</f>
        <v>0.15192586393419205</v>
      </c>
      <c r="DO40" s="179">
        <f>'CAAC Data'!M56</f>
        <v>0.12620572422517395</v>
      </c>
    </row>
    <row r="41" spans="1:120">
      <c r="A41" s="271" t="s">
        <v>99</v>
      </c>
      <c r="B41" s="272">
        <v>8.7711661515692319E-2</v>
      </c>
      <c r="C41" s="272">
        <v>0.10188275705628839</v>
      </c>
      <c r="D41" s="272">
        <v>0.1097538618886349</v>
      </c>
      <c r="E41" s="272">
        <v>0.15565676387562569</v>
      </c>
      <c r="F41" s="273"/>
      <c r="G41" s="273">
        <f>'CAAC Data'!O256</f>
        <v>0.14711061309428519</v>
      </c>
      <c r="H41" s="273">
        <f>'CAAC Data'!P256</f>
        <v>0.15114352655157881</v>
      </c>
      <c r="I41" s="273">
        <f>'CAAC Data'!Q256</f>
        <v>0.11481011337553038</v>
      </c>
      <c r="J41" s="273">
        <f>'CAAC Data'!R256</f>
        <v>0.13787843016181456</v>
      </c>
      <c r="K41" s="273"/>
      <c r="L41" s="273">
        <f>'CAAC Data'!O231</f>
        <v>0.11766501535026519</v>
      </c>
      <c r="M41" s="273">
        <f>'CAAC Data'!P231</f>
        <v>0.13835829919865117</v>
      </c>
      <c r="N41" s="273">
        <f>'CAAC Data'!Q231</f>
        <v>0.10011620561374501</v>
      </c>
      <c r="O41" s="273">
        <f>'CAAC Data'!R231</f>
        <v>8.1884925385045104E-2</v>
      </c>
      <c r="P41" s="274">
        <f>'CAAC Data'!M231</f>
        <v>6.6413987039980471E-2</v>
      </c>
      <c r="Q41" s="272">
        <f>'CAAC Data'!N231</f>
        <v>0.10880246450884856</v>
      </c>
      <c r="R41" s="275">
        <v>8.8999999999999996E-2</v>
      </c>
      <c r="S41" s="276">
        <f>'CAAC Data'!P206</f>
        <v>4.5117225488875867E-2</v>
      </c>
      <c r="T41" s="276">
        <f>'CAAC Data'!Q206</f>
        <v>8.385203249727069E-2</v>
      </c>
      <c r="U41" s="276">
        <f>'CAAC Data'!R206</f>
        <v>5.020247693090707E-2</v>
      </c>
      <c r="V41" s="276">
        <f>'CAAC Data'!N206</f>
        <v>6.7105580833874967E-2</v>
      </c>
      <c r="W41" s="277">
        <f>'CAAC Data'!B206</f>
        <v>0.13887591850777814</v>
      </c>
      <c r="X41" s="277">
        <f>'CAAC Data'!C206</f>
        <v>0.10882791600577635</v>
      </c>
      <c r="Y41" s="277">
        <v>2.7E-2</v>
      </c>
      <c r="Z41" s="277">
        <f>'CAAC Data'!E206</f>
        <v>3.4250118065082047E-2</v>
      </c>
      <c r="AA41" s="277">
        <f>'CAAC Data'!F206</f>
        <v>5.2588350204226586E-2</v>
      </c>
      <c r="AB41" s="278">
        <f>'CAAC Data'!G206</f>
        <v>4.8438596888516594E-2</v>
      </c>
      <c r="AC41" s="278">
        <f>'CAAC Data'!H206</f>
        <v>9.5267402376910004E-2</v>
      </c>
      <c r="AD41" s="278">
        <f>'CAAC Data'!I206</f>
        <v>7.4848729326341346E-2</v>
      </c>
      <c r="AE41" s="278">
        <f>'CAAC Data'!J206</f>
        <v>8.1789079760133498E-2</v>
      </c>
      <c r="AF41" s="278">
        <f>'CAAC Data'!K206</f>
        <v>4.816106597606562E-2</v>
      </c>
      <c r="AG41" s="278">
        <f>'CAAC Data'!L206</f>
        <v>5.3789786519657934E-2</v>
      </c>
      <c r="AH41" s="278">
        <f>'CAAC Data'!M206</f>
        <v>4.8817958771869563E-2</v>
      </c>
      <c r="AI41" s="276">
        <f>'CAAC Data'!O180</f>
        <v>-0.53361744798195043</v>
      </c>
      <c r="AJ41" s="276">
        <f>'CAAC Data'!P180</f>
        <v>-0.47794280805984035</v>
      </c>
      <c r="AK41" s="276">
        <f>'CAAC Data'!Q180</f>
        <v>-0.13266747772850362</v>
      </c>
      <c r="AL41" s="276">
        <f>'CAAC Data'!R180</f>
        <v>-4.1600820357220569E-2</v>
      </c>
      <c r="AM41" s="276">
        <f>'CAAC Data'!N180</f>
        <v>-0.29147747148801828</v>
      </c>
      <c r="AN41" s="278">
        <f>'CAAC Data'!B180</f>
        <v>-6.4887143412023618E-2</v>
      </c>
      <c r="AO41" s="278">
        <f>'CAAC Data'!C180</f>
        <v>-0.84597976002391218</v>
      </c>
      <c r="AP41" s="278">
        <f>'CAAC Data'!D180</f>
        <v>-0.68633573812856685</v>
      </c>
      <c r="AQ41" s="278">
        <f>'CAAC Data'!E180</f>
        <v>-0.63835616438356158</v>
      </c>
      <c r="AR41" s="278">
        <f>'CAAC Data'!F180</f>
        <v>-0.45764177404728257</v>
      </c>
      <c r="AS41" s="278">
        <f>'CAAC Data'!G180</f>
        <v>-0.33938831051017326</v>
      </c>
      <c r="AT41" s="278">
        <f>'CAAC Data'!H180</f>
        <v>-0.24584859229979272</v>
      </c>
      <c r="AU41" s="278">
        <f>'CAAC Data'!I180</f>
        <v>-0.13764050214858048</v>
      </c>
      <c r="AV41" s="278">
        <f>'CAAC Data'!J180</f>
        <v>-5.4182469887050777E-3</v>
      </c>
      <c r="AW41" s="278">
        <f>'CAAC Data'!K180</f>
        <v>-1.6538147328989394E-3</v>
      </c>
      <c r="AX41" s="278">
        <f>'CAAC Data'!L180</f>
        <v>-4.7965554359526319E-2</v>
      </c>
      <c r="AY41" s="277">
        <f>'CAAC Data'!M180</f>
        <v>-7.8968080454744238E-2</v>
      </c>
      <c r="AZ41" s="207">
        <f>'CAAC Data'!O151</f>
        <v>-0.27320130358485839</v>
      </c>
      <c r="BA41" s="208">
        <f>'CAAC Data'!P151</f>
        <v>2.2246877348699012E-2</v>
      </c>
      <c r="BB41" s="209">
        <f>'CAAC Data'!Q151</f>
        <v>-0.29954345067566679</v>
      </c>
      <c r="BC41" s="209">
        <f>'CAAC Data'!R151</f>
        <v>-0.38868637490605928</v>
      </c>
      <c r="BD41" s="210">
        <f>'CAAC Data'!N151</f>
        <v>-0.23699100042987697</v>
      </c>
      <c r="BE41" s="211">
        <f>'CAAC Data'!B151</f>
        <v>-0.35257433861292131</v>
      </c>
      <c r="BF41" s="212">
        <f>'CAAC Data'!C151</f>
        <v>-0.49120372347239416</v>
      </c>
      <c r="BG41" s="212">
        <f>'CAAC Data'!D151</f>
        <v>2.5907182082480995E-2</v>
      </c>
      <c r="BH41" s="212">
        <f>'CAAC Data'!E151</f>
        <v>0.10693629049793429</v>
      </c>
      <c r="BI41" s="212">
        <f>'CAAC Data'!F151</f>
        <v>7.1957314887065804E-2</v>
      </c>
      <c r="BJ41" s="212">
        <f>'CAAC Data'!G151</f>
        <v>-0.1127910492893861</v>
      </c>
      <c r="BK41" s="212">
        <f>'CAAC Data'!H151</f>
        <v>-5.2413338758743655E-2</v>
      </c>
      <c r="BL41" s="212">
        <f>'CAAC Data'!I151</f>
        <v>-0.58276256778818181</v>
      </c>
      <c r="BM41" s="212">
        <f>'CAAC Data'!J151</f>
        <v>-0.2508023173425582</v>
      </c>
      <c r="BN41" s="212">
        <f>'CAAC Data'!K151</f>
        <v>-0.22842568792715245</v>
      </c>
      <c r="BO41" s="212">
        <f>'CAAC Data'!L151</f>
        <v>-0.53961248654467164</v>
      </c>
      <c r="BP41" s="212">
        <f>'CAAC Data'!M151</f>
        <v>-0.41125929164844777</v>
      </c>
      <c r="BQ41" s="207">
        <f>'CAAC Data'!O120</f>
        <v>-0.45745800952619708</v>
      </c>
      <c r="BR41" s="208">
        <f>'CAAC Data'!P120</f>
        <v>-0.70205790773415411</v>
      </c>
      <c r="BS41" s="208">
        <f>'CAAC Data'!Q120</f>
        <v>-0.43900684169904369</v>
      </c>
      <c r="BT41" s="208">
        <f>'CAAC Data'!R120</f>
        <v>-0.67501773460601078</v>
      </c>
      <c r="BU41" s="208">
        <f>'CAAC Data'!N120</f>
        <v>-0.56593042258472659</v>
      </c>
      <c r="BV41" s="213">
        <f>'CAAC Data'!B120</f>
        <v>-0.36651417720426394</v>
      </c>
      <c r="BW41" s="212">
        <f>'CAAC Data'!C120</f>
        <v>-0.33509116529313809</v>
      </c>
      <c r="BX41" s="212">
        <f>'CAAC Data'!D120</f>
        <v>-0.67164854097125015</v>
      </c>
      <c r="BY41" s="212">
        <f>'CAAC Data'!E120</f>
        <v>-0.83081104587953902</v>
      </c>
      <c r="BZ41" s="212">
        <f>'CAAC Data'!F120</f>
        <v>-0.74762216082839483</v>
      </c>
      <c r="CA41" s="212">
        <f>'CAAC Data'!G120</f>
        <v>-0.52749578815499587</v>
      </c>
      <c r="CB41" s="212">
        <f>'CAAC Data'!H120</f>
        <v>-0.34453293030285415</v>
      </c>
      <c r="CC41" s="212">
        <f>'CAAC Data'!I120</f>
        <v>-0.39774070668593198</v>
      </c>
      <c r="CD41" s="212">
        <f>'CAAC Data'!J120</f>
        <v>-0.58644187888134036</v>
      </c>
      <c r="CE41" s="212">
        <f>'CAAC Data'!K120</f>
        <v>-0.68766812122661247</v>
      </c>
      <c r="CF41" s="212">
        <f>'CAAC Data'!L120</f>
        <v>-0.73560818083961244</v>
      </c>
      <c r="CG41" s="214">
        <f>'CAAC Data'!M120</f>
        <v>-0.59960647135986012</v>
      </c>
      <c r="CH41" s="207">
        <f>'CAAC Data'!O88</f>
        <v>-0.10064821115209688</v>
      </c>
      <c r="CI41" s="215">
        <f>'CAAC Data'!P88</f>
        <v>5.4207079202605479E-2</v>
      </c>
      <c r="CJ41" s="208">
        <f>'CAAC Data'!Q88</f>
        <v>9.6110827675522925E-2</v>
      </c>
      <c r="CK41" s="215">
        <f>'CAAC Data'!R88</f>
        <v>5.267704755683944E-3</v>
      </c>
      <c r="CL41" s="215">
        <f>'CAAC Data'!N88</f>
        <v>1.5602619638938053E-2</v>
      </c>
      <c r="CM41" s="212">
        <f>'CAAC Data'!B88</f>
        <v>-0.15560398774329987</v>
      </c>
      <c r="CN41" s="212">
        <f>'CAAC Data'!C88</f>
        <v>-9.8360305734659925E-2</v>
      </c>
      <c r="CO41" s="212">
        <f>'CAAC Data'!D88</f>
        <v>-4.8110261656078346E-2</v>
      </c>
      <c r="CP41" s="212">
        <f>'CAAC Data'!E88</f>
        <v>4.6662317895194594E-2</v>
      </c>
      <c r="CQ41" s="212">
        <f>'CAAC Data'!F88</f>
        <v>3.6885505198557489E-2</v>
      </c>
      <c r="CR41" s="212">
        <f>'CAAC Data'!G88</f>
        <v>7.9441876538943301E-2</v>
      </c>
      <c r="CS41" s="212">
        <f>'CAAC Data'!H88</f>
        <v>0.13073301168400864</v>
      </c>
      <c r="CT41" s="212">
        <f>'CAAC Data'!I88</f>
        <v>0.11773094894072167</v>
      </c>
      <c r="CU41" s="212">
        <f>'CAAC Data'!J88</f>
        <v>3.4864335431167515E-2</v>
      </c>
      <c r="CV41" s="212">
        <f>'CAAC Data'!K88</f>
        <v>3.7758782154741377E-2</v>
      </c>
      <c r="CW41" s="212">
        <f>'CAAC Data'!L88</f>
        <v>-2.7664155005382107E-2</v>
      </c>
      <c r="CX41" s="216">
        <f>'CAAC Data'!M88</f>
        <v>3.0607783121994192E-3</v>
      </c>
      <c r="CY41" s="214">
        <f>'CAAC Data'!O60</f>
        <v>0.28066388984015989</v>
      </c>
      <c r="CZ41" s="214">
        <f>'CAAC Data'!P60</f>
        <v>5.6121756134656975E-2</v>
      </c>
      <c r="DA41" s="214"/>
      <c r="DB41" s="214"/>
      <c r="DC41" s="214"/>
      <c r="DD41" s="212">
        <f>'CAAC Data'!B60</f>
        <v>0.33385295545730997</v>
      </c>
      <c r="DE41" s="212">
        <f>'CAAC Data'!C60</f>
        <v>0.34474675001775945</v>
      </c>
      <c r="DF41" s="212">
        <f>'CAAC Data'!D60</f>
        <v>0.17234904187688072</v>
      </c>
      <c r="DG41" s="212">
        <f>'CAAC Data'!E60</f>
        <v>3.9897374106697692E-2</v>
      </c>
      <c r="DH41" s="212">
        <f>'CAAC Data'!F60</f>
        <v>7.7655290241223529E-2</v>
      </c>
      <c r="DI41" s="212">
        <f>'CAAC Data'!G60</f>
        <v>5.0564270850008031E-2</v>
      </c>
      <c r="DJ41" s="212">
        <f>'CAAC Data'!H60</f>
        <v>6.4911919939680596E-2</v>
      </c>
      <c r="DK41" s="212">
        <f>'CAAC Data'!I60</f>
        <v>0.10005875933853781</v>
      </c>
      <c r="DL41" s="212">
        <f>'CAAC Data'!J60</f>
        <v>7.8394651523389536E-2</v>
      </c>
      <c r="DM41" s="212">
        <f>'CAAC Data'!K60</f>
        <v>0.10383625820821019</v>
      </c>
      <c r="DN41" s="212">
        <f>'CAAC Data'!L60</f>
        <v>0.10900033211557614</v>
      </c>
      <c r="DO41" s="212">
        <f>'CAAC Data'!M60</f>
        <v>8.7968613775065485E-2</v>
      </c>
      <c r="DP41" s="254" t="s">
        <v>116</v>
      </c>
    </row>
    <row r="42" spans="1:120">
      <c r="A42" s="271" t="s">
        <v>101</v>
      </c>
      <c r="B42" s="272"/>
      <c r="C42" s="272"/>
      <c r="D42" s="272"/>
      <c r="E42" s="272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4"/>
      <c r="Q42" s="272"/>
      <c r="R42" s="275"/>
      <c r="S42" s="276"/>
      <c r="T42" s="276"/>
      <c r="U42" s="276"/>
      <c r="V42" s="276"/>
      <c r="W42" s="277"/>
      <c r="X42" s="277"/>
      <c r="Y42" s="277"/>
      <c r="Z42" s="277"/>
      <c r="AA42" s="277"/>
      <c r="AB42" s="278"/>
      <c r="AC42" s="278"/>
      <c r="AD42" s="278"/>
      <c r="AE42" s="278"/>
      <c r="AF42" s="278"/>
      <c r="AG42" s="278"/>
      <c r="AH42" s="278"/>
      <c r="AI42" s="276"/>
      <c r="AJ42" s="276"/>
      <c r="AK42" s="276"/>
      <c r="AL42" s="276"/>
      <c r="AM42" s="276"/>
      <c r="AN42" s="278"/>
      <c r="AO42" s="278"/>
      <c r="AP42" s="278"/>
      <c r="AQ42" s="278"/>
      <c r="AR42" s="278"/>
      <c r="AS42" s="278"/>
      <c r="AT42" s="278"/>
      <c r="AU42" s="278"/>
      <c r="AV42" s="278"/>
      <c r="AW42" s="278"/>
      <c r="AX42" s="278"/>
      <c r="AY42" s="277"/>
      <c r="AZ42" s="207"/>
      <c r="BA42" s="208"/>
      <c r="BB42" s="209"/>
      <c r="BC42" s="209"/>
      <c r="BD42" s="210"/>
      <c r="BE42" s="211"/>
      <c r="BF42" s="212"/>
      <c r="BG42" s="212"/>
      <c r="BH42" s="212"/>
      <c r="BI42" s="212"/>
      <c r="BJ42" s="212"/>
      <c r="BK42" s="212"/>
      <c r="BL42" s="212"/>
      <c r="BM42" s="212"/>
      <c r="BN42" s="212"/>
      <c r="BO42" s="212"/>
      <c r="BP42" s="212"/>
      <c r="BQ42" s="207">
        <f>'CAAC Data'!O130</f>
        <v>-0.97964786065884135</v>
      </c>
      <c r="BR42" s="208">
        <f>'CAAC Data'!P130</f>
        <v>-0.98443944506936631</v>
      </c>
      <c r="BS42" s="208">
        <f>'CAAC Data'!Q130</f>
        <v>-0.9719271623672231</v>
      </c>
      <c r="BT42" s="208">
        <f>'CAAC Data'!R130</f>
        <v>-0.9539712075213006</v>
      </c>
      <c r="BU42" s="208">
        <f>'CAAC Data'!R130</f>
        <v>-0.9539712075213006</v>
      </c>
      <c r="BV42" s="213"/>
      <c r="BW42" s="212"/>
      <c r="BX42" s="212"/>
      <c r="BY42" s="212"/>
      <c r="BZ42" s="212"/>
      <c r="CA42" s="212"/>
      <c r="CB42" s="212"/>
      <c r="CC42" s="212"/>
      <c r="CD42" s="212"/>
      <c r="CE42" s="212">
        <f>'CAAC Data'!K130</f>
        <v>-0.96335001471886961</v>
      </c>
      <c r="CF42" s="212">
        <f>'CAAC Data'!L130</f>
        <v>-0.95596246973365617</v>
      </c>
      <c r="CG42" s="214">
        <f>'CAAC Data'!M130</f>
        <v>-0.94301994301994307</v>
      </c>
      <c r="CH42" s="207">
        <f>'CAAC Data'!O98</f>
        <v>-0.85247065505490349</v>
      </c>
      <c r="CI42" s="215">
        <f>'CAAC Data'!P98</f>
        <v>-0.63385826771653542</v>
      </c>
      <c r="CJ42" s="208">
        <f>'CAAC Data'!Q98</f>
        <v>-0.45099526912434174</v>
      </c>
      <c r="CK42" s="215">
        <f>'CAAC Data'!R98</f>
        <v>-0.38752325923024189</v>
      </c>
      <c r="CL42" s="215">
        <f>'CAAC Data'!N98</f>
        <v>-0.58099235567227869</v>
      </c>
      <c r="CM42" s="212">
        <f>'CAAC Data'!B98</f>
        <v>-0.90906519587045675</v>
      </c>
      <c r="CN42" s="212">
        <f>'CAAC Data'!C98</f>
        <v>-0.86119061247853468</v>
      </c>
      <c r="CO42" s="212">
        <f>'CAAC Data'!D98</f>
        <v>-0.78724006224359877</v>
      </c>
      <c r="CP42" s="212">
        <f>'CAAC Data'!E98</f>
        <v>-0.69991582491582494</v>
      </c>
      <c r="CQ42" s="212">
        <f>'CAAC Data'!F98</f>
        <v>-0.64283699943598416</v>
      </c>
      <c r="CR42" s="212">
        <f>'CAAC Data'!G98</f>
        <v>-0.55874086565486225</v>
      </c>
      <c r="CS42" s="212">
        <f>'CAAC Data'!H98</f>
        <v>-0.47061882475299011</v>
      </c>
      <c r="CT42" s="212">
        <f>'CAAC Data'!I98</f>
        <v>-0.44645778281112369</v>
      </c>
      <c r="CU42" s="212">
        <f>'CAAC Data'!J98</f>
        <v>-0.43401802866853845</v>
      </c>
      <c r="CV42" s="212">
        <f>'CAAC Data'!K98</f>
        <v>-0.41566087724462764</v>
      </c>
      <c r="CW42" s="212">
        <f>'CAAC Data'!L98</f>
        <v>-0.42100484261501214</v>
      </c>
      <c r="CX42" s="216">
        <f>'CAAC Data'!M98</f>
        <v>-0.32877492877492875</v>
      </c>
      <c r="CY42" s="214">
        <f>'CAAC Data'!O68</f>
        <v>-0.22264293828095416</v>
      </c>
      <c r="CZ42" s="214">
        <f>'CAAC Data'!P68</f>
        <v>-0.1591207349081365</v>
      </c>
      <c r="DA42" s="214"/>
      <c r="DB42" s="214"/>
      <c r="DC42" s="214"/>
      <c r="DD42" s="212">
        <f>'CAAC Data'!B68</f>
        <v>-0.2753500212134069</v>
      </c>
      <c r="DE42" s="212">
        <f>'CAAC Data'!C68</f>
        <v>-0.18589009730967376</v>
      </c>
      <c r="DF42" s="212">
        <f>'CAAC Data'!D68</f>
        <v>-0.2062526524260857</v>
      </c>
      <c r="DG42" s="212">
        <f>'CAAC Data'!E68</f>
        <v>-0.17340067340067344</v>
      </c>
      <c r="DH42" s="212">
        <f>'CAAC Data'!F68</f>
        <v>-0.16990975747320924</v>
      </c>
      <c r="DI42" s="212">
        <f>'CAAC Data'!G68</f>
        <v>-0.13406408094435074</v>
      </c>
      <c r="DJ42" s="212">
        <f>'CAAC Data'!H68</f>
        <v>-9.1003640145605802E-2</v>
      </c>
      <c r="DK42" s="212">
        <f>'CAAC Data'!I68</f>
        <v>-6.8579338115011934E-2</v>
      </c>
      <c r="DL42" s="212">
        <f>'CAAC Data'!J68</f>
        <v>-5.9110388650805423E-2</v>
      </c>
      <c r="DM42" s="212">
        <f>'CAAC Data'!K68</f>
        <v>-2.8260229614365584E-2</v>
      </c>
      <c r="DN42" s="212">
        <f>'CAAC Data'!L68</f>
        <v>-3.9648910411622329E-2</v>
      </c>
      <c r="DO42" s="212">
        <f>'CAAC Data'!M68</f>
        <v>5.8404558404558937E-3</v>
      </c>
      <c r="DP42" s="585" t="s">
        <v>115</v>
      </c>
    </row>
    <row r="43" spans="1:120">
      <c r="A43" s="279" t="s">
        <v>102</v>
      </c>
      <c r="B43" s="280">
        <v>5.1080550098231869E-2</v>
      </c>
      <c r="C43" s="280">
        <v>-2.5937749401436561E-2</v>
      </c>
      <c r="D43" s="280">
        <v>-7.3217726396917149E-2</v>
      </c>
      <c r="E43" s="280">
        <v>-9.1944990176817343E-2</v>
      </c>
      <c r="F43" s="281">
        <f>'CAAC Data'!N272</f>
        <v>4.4141578519121261E-2</v>
      </c>
      <c r="G43" s="281">
        <f>'CAAC Data'!O272</f>
        <v>-9.4953271028037411E-2</v>
      </c>
      <c r="H43" s="281">
        <f>'CAAC Data'!P272</f>
        <v>3.113478082752974E-2</v>
      </c>
      <c r="I43" s="281">
        <f>'CAAC Data'!Q272</f>
        <v>0.10478170478170479</v>
      </c>
      <c r="J43" s="281">
        <f>'CAAC Data'!R272</f>
        <v>0.15577672003461696</v>
      </c>
      <c r="K43" s="281">
        <f>'CAAC Data'!S272</f>
        <v>0</v>
      </c>
      <c r="L43" s="281">
        <f>'CAAC Data'!O247</f>
        <v>0.1003717472118959</v>
      </c>
      <c r="M43" s="281">
        <f>'CAAC Data'!P247</f>
        <v>0.10885975367501</v>
      </c>
      <c r="N43" s="281">
        <f>'CAAC Data'!Q247</f>
        <v>0.10914565299209644</v>
      </c>
      <c r="O43" s="281">
        <f>'CAAC Data'!R247</f>
        <v>7.37551478846874E-2</v>
      </c>
      <c r="P43" s="282">
        <f>'CAAC Data'!M247</f>
        <v>8.3612040133779209E-2</v>
      </c>
      <c r="Q43" s="280">
        <f>'CAAC Data'!N247</f>
        <v>9.7798558347944597E-2</v>
      </c>
      <c r="R43" s="283">
        <v>0.13800000000000001</v>
      </c>
      <c r="S43" s="284">
        <f>'CAAC Data'!P222</f>
        <v>0.12647796488713725</v>
      </c>
      <c r="T43" s="284">
        <f>'CAAC Data'!Q222</f>
        <v>-6.8204954190702383E-2</v>
      </c>
      <c r="U43" s="284">
        <f>'CAAC Data'!R222</f>
        <v>-0.25034867503486746</v>
      </c>
      <c r="V43" s="284">
        <f>'CAAC Data'!N222</f>
        <v>-1.7391304347826098E-2</v>
      </c>
      <c r="W43" s="285">
        <f>'CAAC Data'!B222</f>
        <v>0.18430439952437583</v>
      </c>
      <c r="X43" s="285">
        <f>'CAAC Data'!C222</f>
        <v>9.375E-2</v>
      </c>
      <c r="Y43" s="285">
        <v>0.14099999999999999</v>
      </c>
      <c r="Z43" s="285">
        <f>'CAAC Data'!E222</f>
        <v>0.11727078891257992</v>
      </c>
      <c r="AA43" s="285">
        <f>'CAAC Data'!F222</f>
        <v>0.14578833693304527</v>
      </c>
      <c r="AB43" s="286">
        <f>'CAAC Data'!G222</f>
        <v>0.11650485436893199</v>
      </c>
      <c r="AC43" s="286">
        <f>'CAAC Data'!H222</f>
        <v>0.1053159478435306</v>
      </c>
      <c r="AD43" s="286">
        <f>'CAAC Data'!I222</f>
        <v>-0.10601719197707737</v>
      </c>
      <c r="AE43" s="286">
        <f>'CAAC Data'!J222</f>
        <v>-0.21594684385382057</v>
      </c>
      <c r="AF43" s="286">
        <f>'CAAC Data'!K222</f>
        <v>-0.21218487394957986</v>
      </c>
      <c r="AG43" s="286">
        <f>'CAAC Data'!L222</f>
        <v>-0.25423728813559321</v>
      </c>
      <c r="AH43" s="286">
        <f>'CAAC Data'!M222</f>
        <v>-0.28395061728395066</v>
      </c>
      <c r="AI43" s="284">
        <f>'CAAC Data'!O196</f>
        <v>-0.7432432432432432</v>
      </c>
      <c r="AJ43" s="284">
        <f>'CAAC Data'!P196</f>
        <v>-0.99077608142493634</v>
      </c>
      <c r="AK43" s="284">
        <f>'CAAC Data'!Q196</f>
        <v>-0.99714362224404174</v>
      </c>
      <c r="AL43" s="284">
        <f>'CAAC Data'!R196</f>
        <v>-0.99564195475467632</v>
      </c>
      <c r="AM43" s="284">
        <f>'CAAC Data'!N196</f>
        <v>-0.91322015531876466</v>
      </c>
      <c r="AN43" s="286">
        <f>'CAAC Data'!B196</f>
        <v>-0.32128514056224899</v>
      </c>
      <c r="AO43" s="286">
        <f>'CAAC Data'!C196</f>
        <v>-0.92709359605911335</v>
      </c>
      <c r="AP43" s="286">
        <f>'CAAC Data'!D196</f>
        <v>-0.97165200391006845</v>
      </c>
      <c r="AQ43" s="286">
        <f>'CAAC Data'!E196</f>
        <v>-0.99427480916030531</v>
      </c>
      <c r="AR43" s="286">
        <f>'CAAC Data'!F196</f>
        <v>-0.99151743638077283</v>
      </c>
      <c r="AS43" s="286">
        <f>'CAAC Data'!G196</f>
        <v>-0.98647342995169085</v>
      </c>
      <c r="AT43" s="286">
        <f>'CAAC Data'!H196</f>
        <v>-0.98185117967332125</v>
      </c>
      <c r="AU43" s="286">
        <f>'CAAC Data'!I196</f>
        <v>-0.9786324786324786</v>
      </c>
      <c r="AV43" s="286">
        <f>'CAAC Data'!J196</f>
        <v>-0.96610169491525422</v>
      </c>
      <c r="AW43" s="286">
        <f>'CAAC Data'!K196</f>
        <v>-0.95866666666666667</v>
      </c>
      <c r="AX43" s="286">
        <f>'CAAC Data'!L196</f>
        <v>-0.96306818181818177</v>
      </c>
      <c r="AY43" s="285">
        <f>'CAAC Data'!M196</f>
        <v>-0.95402298850574718</v>
      </c>
      <c r="AZ43" s="128">
        <f>'CAAC Data'!O171</f>
        <v>-0.96407382992748847</v>
      </c>
      <c r="BA43" s="113">
        <f>'CAAC Data'!P171</f>
        <v>-0.93288804071246823</v>
      </c>
      <c r="BB43" s="114">
        <f>'CAAC Data'!Q171</f>
        <v>-0.9431900946831755</v>
      </c>
      <c r="BC43" s="114">
        <f>'CAAC Data'!R171</f>
        <v>-0.94651162790697674</v>
      </c>
      <c r="BD43" s="141">
        <f>'CAAC Data'!N171</f>
        <v>-0.94663175004515077</v>
      </c>
      <c r="BE43" s="115">
        <f>'CAAC Data'!B171</f>
        <v>-0.96385542168674698</v>
      </c>
      <c r="BF43" s="116">
        <f>'CAAC Data'!C171</f>
        <v>-0.97339901477832513</v>
      </c>
      <c r="BG43" s="116">
        <f>'CAAC Data'!D171</f>
        <v>-0.95503421309872927</v>
      </c>
      <c r="BH43" s="116">
        <f>'CAAC Data'!E171</f>
        <v>-0.95133587786259544</v>
      </c>
      <c r="BI43" s="116">
        <f>'CAAC Data'!F171</f>
        <v>-0.92365692742695571</v>
      </c>
      <c r="BJ43" s="116">
        <f>'CAAC Data'!G171</f>
        <v>-0.92367149758454103</v>
      </c>
      <c r="BK43" s="116">
        <f>'CAAC Data'!H171</f>
        <v>-0.926497277676951</v>
      </c>
      <c r="BL43" s="116">
        <f>'CAAC Data'!I171</f>
        <v>-0.96474358974358976</v>
      </c>
      <c r="BM43" s="116">
        <f>'CAAC Data'!J171</f>
        <v>-0.94067796610169496</v>
      </c>
      <c r="BN43" s="116">
        <f>'CAAC Data'!K171</f>
        <v>-0.96</v>
      </c>
      <c r="BO43" s="116">
        <f>'CAAC Data'!L171</f>
        <v>-0.95170454545454541</v>
      </c>
      <c r="BP43" s="116">
        <f>'CAAC Data'!M171</f>
        <v>-0.92672413793103448</v>
      </c>
      <c r="BQ43" s="128">
        <f>'CAAC Data'!O140</f>
        <v>-0.94858272907053398</v>
      </c>
      <c r="BR43" s="113">
        <f>'CAAC Data'!P140</f>
        <v>-0.99300254452926207</v>
      </c>
      <c r="BS43" s="113">
        <f>'CAAC Data'!Q140</f>
        <v>-0.96613255644573925</v>
      </c>
      <c r="BT43" s="113">
        <f>'CAAC Data'!R140</f>
        <v>-0.90744186046511632</v>
      </c>
      <c r="BU43" s="113">
        <f>'CAAC Data'!N140</f>
        <v>-0.95755824453675276</v>
      </c>
      <c r="BV43" s="149">
        <f>'CAAC Data'!B140</f>
        <v>-0.93574297188755018</v>
      </c>
      <c r="BW43" s="116">
        <f>'CAAC Data'!C140</f>
        <v>-0.93201970443349758</v>
      </c>
      <c r="BX43" s="116">
        <f>'CAAC Data'!D140</f>
        <v>-0.97751710654936463</v>
      </c>
      <c r="BY43" s="116">
        <f>'CAAC Data'!E140</f>
        <v>-0.99427480916030531</v>
      </c>
      <c r="BZ43" s="116">
        <f>'CAAC Data'!F140</f>
        <v>-0.99434495758718189</v>
      </c>
      <c r="CA43" s="116">
        <f>'CAAC Data'!G140</f>
        <v>-0.99033816425120769</v>
      </c>
      <c r="CB43" s="116">
        <f>'CAAC Data'!H140</f>
        <v>-0.98094373865698725</v>
      </c>
      <c r="CC43" s="116">
        <f>'CAAC Data'!I140</f>
        <v>-0.96794871794871795</v>
      </c>
      <c r="CD43" s="116">
        <f>'CAAC Data'!J140</f>
        <v>-0.94067796610169496</v>
      </c>
      <c r="CE43" s="116">
        <f>'CAAC Data'!K140</f>
        <v>-0.93599999999999994</v>
      </c>
      <c r="CF43" s="116">
        <f>'CAAC Data'!L140</f>
        <v>-0.91619318181818188</v>
      </c>
      <c r="CG43" s="195">
        <f>'CAAC Data'!M140</f>
        <v>-0.86781609195402298</v>
      </c>
      <c r="CH43" s="128">
        <f>'CAAC Data'!O108</f>
        <v>-0.71160184574818719</v>
      </c>
      <c r="CI43" s="112">
        <f>'CAAC Data'!P108</f>
        <v>-0.46405852417302795</v>
      </c>
      <c r="CJ43" s="113">
        <f>'CAAC Data'!Q108</f>
        <v>-0.24981791697013833</v>
      </c>
      <c r="CK43" s="112">
        <f>'CAAC Data'!R108</f>
        <v>-3.9534883720930281E-2</v>
      </c>
      <c r="CL43" s="112">
        <f>'CAAC Data'!N108</f>
        <v>-0.39633375474083443</v>
      </c>
      <c r="CM43" s="116">
        <f>'CAAC Data'!B108</f>
        <v>-0.79819277108433728</v>
      </c>
      <c r="CN43" s="116">
        <f>'CAAC Data'!C108</f>
        <v>-0.73990147783251237</v>
      </c>
      <c r="CO43" s="116">
        <f>'CAAC Data'!D108</f>
        <v>-0.59921798631476053</v>
      </c>
      <c r="CP43" s="116">
        <f>'CAAC Data'!E108</f>
        <v>-0.50667938931297707</v>
      </c>
      <c r="CQ43" s="116">
        <f>'CAAC Data'!F108</f>
        <v>-0.47502356267672008</v>
      </c>
      <c r="CR43" s="116">
        <f>'CAAC Data'!G108</f>
        <v>-0.40966183574879222</v>
      </c>
      <c r="CS43" s="116">
        <f>'CAAC Data'!H108</f>
        <v>-0.34754990925589835</v>
      </c>
      <c r="CT43" s="116">
        <f>'CAAC Data'!I108</f>
        <v>-0.19444444444444442</v>
      </c>
      <c r="CU43" s="116">
        <f>'CAAC Data'!J108</f>
        <v>-0.17090395480225984</v>
      </c>
      <c r="CV43" s="116">
        <f>'CAAC Data'!K108</f>
        <v>-0.10133333333333339</v>
      </c>
      <c r="CW43" s="116">
        <f>'CAAC Data'!L108</f>
        <v>-5.2556818181818232E-2</v>
      </c>
      <c r="CX43" s="117">
        <f>'CAAC Data'!M108</f>
        <v>4.022988505747116E-2</v>
      </c>
      <c r="CY43" s="195">
        <f>'CAAC Data'!O77</f>
        <v>-0.24060646011865527</v>
      </c>
      <c r="CZ43" s="195">
        <f>'CAAC Data'!P77</f>
        <v>-0.24045801526717558</v>
      </c>
      <c r="DA43" s="195"/>
      <c r="DB43" s="195"/>
      <c r="DC43" s="195"/>
      <c r="DD43" s="116">
        <f>'CAAC Data'!B77</f>
        <v>-0.24397590361445787</v>
      </c>
      <c r="DE43" s="116">
        <f>'CAAC Data'!C77</f>
        <v>-0.21576354679802956</v>
      </c>
      <c r="DF43" s="116">
        <f>'CAAC Data'!D77</f>
        <v>-0.26197458455522971</v>
      </c>
      <c r="DG43" s="116">
        <f>'CAAC Data'!E77</f>
        <v>-0.24045801526717558</v>
      </c>
      <c r="DH43" s="116">
        <f>'CAAC Data'!F77</f>
        <v>-0.25824693685202638</v>
      </c>
      <c r="DI43" s="116">
        <f>'CAAC Data'!G77</f>
        <v>-0.22222222222222221</v>
      </c>
      <c r="DJ43" s="116">
        <f>'CAAC Data'!H77</f>
        <v>-0.21778584392014522</v>
      </c>
      <c r="DK43" s="116">
        <f>'CAAC Data'!I77</f>
        <v>-6.4102564102563875E-3</v>
      </c>
      <c r="DL43" s="116">
        <f>'CAAC Data'!J77</f>
        <v>4.9435028248587587E-2</v>
      </c>
      <c r="DM43" s="116">
        <f>'CAAC Data'!K77</f>
        <v>6.5333333333333243E-2</v>
      </c>
      <c r="DN43" s="116">
        <f>'CAAC Data'!L77</f>
        <v>0.10227272727272729</v>
      </c>
      <c r="DO43" s="116">
        <f>'CAAC Data'!M77</f>
        <v>0.11925287356321834</v>
      </c>
      <c r="DP43" s="581"/>
    </row>
    <row r="44" spans="1:120" ht="16" customHeight="1" thickBot="1">
      <c r="A44" s="287" t="s">
        <v>103</v>
      </c>
      <c r="B44" s="288">
        <v>0.31084162520729669</v>
      </c>
      <c r="C44" s="288">
        <v>0.23291711729426809</v>
      </c>
      <c r="D44" s="288">
        <v>0.26009922041105588</v>
      </c>
      <c r="E44" s="288">
        <v>0.1160559261628438</v>
      </c>
      <c r="F44" s="289"/>
      <c r="G44" s="289">
        <f>'CAAC Data'!O268</f>
        <v>9.5121372657547276E-2</v>
      </c>
      <c r="H44" s="289">
        <f>'CAAC Data'!P268</f>
        <v>1.9218500797448135E-2</v>
      </c>
      <c r="I44" s="289">
        <f>'CAAC Data'!Q268</f>
        <v>3.5854893138357768E-2</v>
      </c>
      <c r="J44" s="289">
        <f>'CAAC Data'!R268</f>
        <v>0.14312617702448205</v>
      </c>
      <c r="K44" s="289"/>
      <c r="L44" s="289">
        <f>'CAAC Data'!O243</f>
        <v>0.11819494584837553</v>
      </c>
      <c r="M44" s="289">
        <f>'CAAC Data'!P243</f>
        <v>0.22345669352945774</v>
      </c>
      <c r="N44" s="289">
        <f>'CAAC Data'!Q243</f>
        <v>0.12874983032441967</v>
      </c>
      <c r="O44" s="289">
        <f>'CAAC Data'!R243</f>
        <v>0.13723945276126348</v>
      </c>
      <c r="P44" s="290">
        <f>'CAAC Data'!M243</f>
        <v>0.14987664473684204</v>
      </c>
      <c r="Q44" s="288">
        <f>'CAAC Data'!N243</f>
        <v>0.15012833026063688</v>
      </c>
      <c r="R44" s="291">
        <v>0.16700000000000001</v>
      </c>
      <c r="S44" s="292">
        <v>0.16300000000000001</v>
      </c>
      <c r="T44" s="292">
        <f>'CAAC Data'!Q218</f>
        <v>0.18212975768143824</v>
      </c>
      <c r="U44" s="292">
        <f>'CAAC Data'!R218</f>
        <v>0.15084713736852051</v>
      </c>
      <c r="V44" s="292">
        <f>'CAAC Data'!N218</f>
        <v>0.16636283630877546</v>
      </c>
      <c r="W44" s="293">
        <f>'CAAC Data'!B218</f>
        <v>0.23050435487137944</v>
      </c>
      <c r="X44" s="293">
        <f>'CAAC Data'!C218</f>
        <v>0.13598326359832646</v>
      </c>
      <c r="Y44" s="293">
        <v>0.14099999999999999</v>
      </c>
      <c r="Z44" s="293">
        <f>'CAAC Data'!E218</f>
        <v>0.13921678845793517</v>
      </c>
      <c r="AA44" s="293">
        <f>'CAAC Data'!F218</f>
        <v>0.1872047244094488</v>
      </c>
      <c r="AB44" s="294">
        <f>'CAAC Data'!G218</f>
        <v>0.16494252873563209</v>
      </c>
      <c r="AC44" s="295">
        <f>'CAAC Data'!H218</f>
        <v>0.16389968209113381</v>
      </c>
      <c r="AD44" s="295">
        <f>'CAAC Data'!I218</f>
        <v>0.18010435953543169</v>
      </c>
      <c r="AE44" s="295">
        <f>'CAAC Data'!J218</f>
        <v>0.20505171042163872</v>
      </c>
      <c r="AF44" s="295">
        <f>'CAAC Data'!K218</f>
        <v>0.15101885355170452</v>
      </c>
      <c r="AG44" s="295">
        <f>'CAAC Data'!L218</f>
        <v>0.17305781839856937</v>
      </c>
      <c r="AH44" s="295">
        <f>'CAAC Data'!M218</f>
        <v>0.1306990881458967</v>
      </c>
      <c r="AI44" s="292">
        <f>'CAAC Data'!O192</f>
        <v>-0.54703216535868249</v>
      </c>
      <c r="AJ44" s="292">
        <f>'CAAC Data'!P192</f>
        <v>-0.98224494283201402</v>
      </c>
      <c r="AK44" s="292">
        <f>'CAAC Data'!Q192</f>
        <v>-0.9966395085843528</v>
      </c>
      <c r="AL44" s="292">
        <f>'CAAC Data'!R192</f>
        <v>-0.99644357109744197</v>
      </c>
      <c r="AM44" s="292">
        <f>'CAAC Data'!N192</f>
        <v>-0.87124417257269127</v>
      </c>
      <c r="AN44" s="295">
        <f>'CAAC Data'!B192</f>
        <v>8.5102880658436186E-2</v>
      </c>
      <c r="AO44" s="295">
        <f>'CAAC Data'!C192</f>
        <v>-0.82387410011719409</v>
      </c>
      <c r="AP44" s="295">
        <f>'CAAC Data'!D192</f>
        <v>-0.90869996692027788</v>
      </c>
      <c r="AQ44" s="295">
        <f>'CAAC Data'!E192</f>
        <v>-0.98733552631578947</v>
      </c>
      <c r="AR44" s="295">
        <f>'CAAC Data'!F192</f>
        <v>-0.98258995191510534</v>
      </c>
      <c r="AS44" s="295">
        <f>'CAAC Data'!G192</f>
        <v>-0.97681302417365568</v>
      </c>
      <c r="AT44" s="295">
        <f>'CAAC Data'!H192</f>
        <v>-0.97587253414264041</v>
      </c>
      <c r="AU44" s="295">
        <f>'CAAC Data'!I192</f>
        <v>-0.97503922407645127</v>
      </c>
      <c r="AV44" s="295">
        <f>'CAAC Data'!J192</f>
        <v>-0.96880673378445292</v>
      </c>
      <c r="AW44" s="295">
        <f>'CAAC Data'!K192</f>
        <v>-0.96889477167438787</v>
      </c>
      <c r="AX44" s="295">
        <f>'CAAC Data'!L192</f>
        <v>-0.97239159891598914</v>
      </c>
      <c r="AY44" s="296">
        <f>'CAAC Data'!M192</f>
        <v>-0.97422517394054398</v>
      </c>
      <c r="AZ44" s="134">
        <f>'CAAC Data'!O166</f>
        <v>-0.97949596551342988</v>
      </c>
      <c r="BA44" s="139">
        <f>'CAAC Data'!P166</f>
        <v>-0.97872691292875991</v>
      </c>
      <c r="BB44" s="182">
        <f>'CAAC Data'!Q166</f>
        <v>-0.98001017293997961</v>
      </c>
      <c r="BC44" s="182">
        <f>'CAAC Data'!R166</f>
        <v>-0.98210376532399302</v>
      </c>
      <c r="BD44" s="142">
        <f>'CAAC Data'!N166</f>
        <v>-0.98008569349753427</v>
      </c>
      <c r="BE44" s="123">
        <f>'CAAC Data'!B166</f>
        <v>-0.97662551440329215</v>
      </c>
      <c r="BF44" s="124">
        <f>'CAAC Data'!C166</f>
        <v>-0.98476477482002345</v>
      </c>
      <c r="BG44" s="124">
        <f>'CAAC Data'!D166</f>
        <v>-0.9771749917300695</v>
      </c>
      <c r="BH44" s="124">
        <f>'CAAC Data'!E166</f>
        <v>-0.97763157894736841</v>
      </c>
      <c r="BI44" s="124">
        <f>'CAAC Data'!F166</f>
        <v>-0.97844470237108272</v>
      </c>
      <c r="BJ44" s="124">
        <f>'CAAC Data'!G166</f>
        <v>-0.98010195691498114</v>
      </c>
      <c r="BK44" s="124">
        <f>'CAAC Data'!H166</f>
        <v>-0.97996965098634292</v>
      </c>
      <c r="BL44" s="124">
        <f>'CAAC Data'!I166</f>
        <v>-0.98031664527171591</v>
      </c>
      <c r="BM44" s="124">
        <f>'CAAC Data'!J166</f>
        <v>-0.97969962039940583</v>
      </c>
      <c r="BN44" s="124">
        <f>'CAAC Data'!K166</f>
        <v>-0.98213103904698873</v>
      </c>
      <c r="BO44" s="124">
        <f>'CAAC Data'!L166</f>
        <v>-0.98238482384823844</v>
      </c>
      <c r="BP44" s="124">
        <f>'CAAC Data'!M166</f>
        <v>-0.98181530676786843</v>
      </c>
      <c r="BQ44" s="134">
        <f>'CAAC Data'!O135</f>
        <v>-0.98485685862716921</v>
      </c>
      <c r="BR44" s="139">
        <f>'CAAC Data'!P135</f>
        <v>-0.98295954265611263</v>
      </c>
      <c r="BS44" s="139">
        <f>'CAAC Data'!Q135</f>
        <v>-0.972736520854527</v>
      </c>
      <c r="BT44" s="139">
        <f>'CAAC Data'!R135</f>
        <v>-0.95944614711033271</v>
      </c>
      <c r="BU44" s="139">
        <f>'CAAC Data'!N135</f>
        <v>-0.97492522029696305</v>
      </c>
      <c r="BV44" s="150">
        <f>'CAAC Data'!B135</f>
        <v>-0.98485596707818934</v>
      </c>
      <c r="BW44" s="124">
        <f>'CAAC Data'!C135</f>
        <v>-0.9862715553323288</v>
      </c>
      <c r="BX44" s="124">
        <f>'CAAC Data'!D135</f>
        <v>-0.98346013893483297</v>
      </c>
      <c r="BY44" s="124">
        <f>'CAAC Data'!E135</f>
        <v>-0.98470394736842104</v>
      </c>
      <c r="BZ44" s="124">
        <f>'CAAC Data'!F135</f>
        <v>-0.98341900182390984</v>
      </c>
      <c r="CA44" s="124">
        <f>'CAAC Data'!G135</f>
        <v>-0.98075974346324613</v>
      </c>
      <c r="CB44" s="124">
        <f>'CAAC Data'!H135</f>
        <v>-0.97784522003034902</v>
      </c>
      <c r="CC44" s="124">
        <f>'CAAC Data'!I135</f>
        <v>-0.97461132506061898</v>
      </c>
      <c r="CD44" s="124">
        <f>'CAAC Data'!J135</f>
        <v>-0.96501072784287834</v>
      </c>
      <c r="CE44" s="124">
        <f>'CAAC Data'!K135</f>
        <v>-0.96674387822634023</v>
      </c>
      <c r="CF44" s="124">
        <f>'CAAC Data'!L135</f>
        <v>-0.96070460704607041</v>
      </c>
      <c r="CG44" s="196">
        <f>'CAAC Data'!M135</f>
        <v>-0.9512966476913346</v>
      </c>
      <c r="CH44" s="134">
        <f>'CAAC Data'!O103</f>
        <v>-0.87609152205150875</v>
      </c>
      <c r="CI44" s="191">
        <f>'CAAC Data'!P103</f>
        <v>-0.66320360598065076</v>
      </c>
      <c r="CJ44" s="139">
        <f>'CAAC Data'!Q103</f>
        <v>-0.47909460834181083</v>
      </c>
      <c r="CK44" s="191">
        <f>'CAAC Data'!R103</f>
        <v>-0.42846978984238182</v>
      </c>
      <c r="CL44" s="191">
        <f>'CAAC Data'!N103</f>
        <v>-0.6085450968767685</v>
      </c>
      <c r="CM44" s="124">
        <f>'CAAC Data'!B103</f>
        <v>-0.92724279835390944</v>
      </c>
      <c r="CN44" s="124">
        <f>'CAAC Data'!C103</f>
        <v>-0.8818014398124896</v>
      </c>
      <c r="CO44" s="124">
        <f>'CAAC Data'!D103</f>
        <v>-0.81905391994707244</v>
      </c>
      <c r="CP44" s="124">
        <f>'CAAC Data'!E103</f>
        <v>-0.73322368421052631</v>
      </c>
      <c r="CQ44" s="124">
        <f>'CAAC Data'!F103</f>
        <v>-0.67235947604045765</v>
      </c>
      <c r="CR44" s="124">
        <f>'CAAC Data'!G103</f>
        <v>-0.58411445485939817</v>
      </c>
      <c r="CS44" s="124">
        <f>'CAAC Data'!H103</f>
        <v>-0.49119878603945377</v>
      </c>
      <c r="CT44" s="124">
        <f>'CAAC Data'!I103</f>
        <v>-0.48010269576379971</v>
      </c>
      <c r="CU44" s="124">
        <f>'CAAC Data'!J103</f>
        <v>-0.46476316223799308</v>
      </c>
      <c r="CV44" s="124">
        <f>'CAAC Data'!K103</f>
        <v>-0.45466578424884185</v>
      </c>
      <c r="CW44" s="124">
        <f>'CAAC Data'!L103</f>
        <v>-0.46493902439024393</v>
      </c>
      <c r="CX44" s="125">
        <f>'CAAC Data'!M103</f>
        <v>-0.3693864642631246</v>
      </c>
      <c r="CY44" s="196">
        <f>'CAAC Data'!O73</f>
        <v>-0.21963081684536312</v>
      </c>
      <c r="CZ44" s="196">
        <f>'CAAC Data'!P73</f>
        <v>-0.14506376429199652</v>
      </c>
      <c r="DA44" s="196"/>
      <c r="DB44" s="196"/>
      <c r="DC44" s="196"/>
      <c r="DD44" s="124">
        <f>'CAAC Data'!B73</f>
        <v>-0.28049382716049387</v>
      </c>
      <c r="DE44" s="124">
        <f>'CAAC Data'!C73</f>
        <v>-0.1808136614766449</v>
      </c>
      <c r="DF44" s="124">
        <f>'CAAC Data'!D73</f>
        <v>-0.19682434667548787</v>
      </c>
      <c r="DG44" s="124">
        <f>'CAAC Data'!E73</f>
        <v>-0.1618421052631579</v>
      </c>
      <c r="DH44" s="124">
        <f>'CAAC Data'!F73</f>
        <v>-0.15436909301939972</v>
      </c>
      <c r="DI44" s="124">
        <f>'CAAC Data'!G73</f>
        <v>-0.11905936523598093</v>
      </c>
      <c r="DJ44" s="124">
        <f>'CAAC Data'!H73</f>
        <v>-6.9802731411229169E-2</v>
      </c>
      <c r="DK44" s="124">
        <f>'CAAC Data'!I73</f>
        <v>-7.6879189844530016E-2</v>
      </c>
      <c r="DL44" s="124">
        <f>'CAAC Data'!J73</f>
        <v>-7.1794025416735407E-2</v>
      </c>
      <c r="DM44" s="124">
        <f>'CAAC Data'!K73</f>
        <v>-3.9874255459960262E-2</v>
      </c>
      <c r="DN44" s="124">
        <f>'CAAC Data'!L73</f>
        <v>-5.657181571815717E-2</v>
      </c>
      <c r="DO44" s="124">
        <f>'CAAC Data'!M73</f>
        <v>-6.6413662239088733E-3</v>
      </c>
      <c r="DP44" s="581"/>
    </row>
    <row r="45" spans="1:120" ht="16" hidden="1" customHeight="1" thickBot="1">
      <c r="A45" s="297" t="s">
        <v>104</v>
      </c>
      <c r="B45" s="298"/>
      <c r="C45" s="298"/>
      <c r="D45" s="298"/>
      <c r="E45" s="298"/>
      <c r="F45" s="299"/>
      <c r="G45" s="298">
        <f>'CAAC Data'!O264</f>
        <v>6.1937083931601578E-2</v>
      </c>
      <c r="H45" s="298">
        <f>'CAAC Data'!P264</f>
        <v>2.1160136172485133E-2</v>
      </c>
      <c r="I45" s="298">
        <f>'CAAC Data'!Q264</f>
        <v>4.5823561248421463E-2</v>
      </c>
      <c r="J45" s="298">
        <f>'CAAC Data'!R264</f>
        <v>0.14513908014321131</v>
      </c>
      <c r="K45" s="299"/>
      <c r="L45" s="298">
        <f>'CAAC Data'!O239</f>
        <v>0.11554299059676731</v>
      </c>
      <c r="M45" s="298">
        <f>'CAAC Data'!P239</f>
        <v>0.2046019087462414</v>
      </c>
      <c r="N45" s="298">
        <f>'CAAC Data'!Q239</f>
        <v>0.12575470070726236</v>
      </c>
      <c r="O45" s="298">
        <f>'CAAC Data'!R239</f>
        <v>0.12704425204425207</v>
      </c>
      <c r="P45" s="300"/>
      <c r="Q45" s="298"/>
      <c r="R45" s="301">
        <f>'CAAC Data'!O214</f>
        <v>0.16401300203845515</v>
      </c>
      <c r="S45" s="301">
        <f>'CAAC Data'!P214</f>
        <v>0.15780334273930974</v>
      </c>
      <c r="T45" s="301">
        <f>'CAAC Data'!Q214</f>
        <v>0.14444784962713242</v>
      </c>
      <c r="U45" s="302">
        <f>'CAAC Data'!R214</f>
        <v>8.9463857028540872E-2</v>
      </c>
      <c r="V45" s="302">
        <f>'CAAC Data'!N214</f>
        <v>0.13871458706042561</v>
      </c>
      <c r="W45" s="303"/>
      <c r="X45" s="303"/>
      <c r="Y45" s="303"/>
      <c r="Z45" s="304"/>
      <c r="AA45" s="304"/>
      <c r="AB45" s="304"/>
      <c r="AC45" s="305"/>
      <c r="AD45" s="305"/>
      <c r="AE45" s="305"/>
      <c r="AF45" s="305"/>
      <c r="AG45" s="305"/>
      <c r="AH45" s="305"/>
      <c r="AI45" s="301"/>
      <c r="AJ45" s="301"/>
      <c r="AK45" s="301"/>
      <c r="AL45" s="301"/>
      <c r="AM45" s="301"/>
      <c r="AN45" s="305"/>
      <c r="AO45" s="305"/>
      <c r="AP45" s="305"/>
      <c r="AQ45" s="305"/>
      <c r="AR45" s="305"/>
      <c r="AS45" s="305"/>
      <c r="AT45" s="305"/>
      <c r="AU45" s="305"/>
      <c r="AV45" s="305"/>
      <c r="AW45" s="305"/>
      <c r="AX45" s="305"/>
      <c r="AY45" s="306"/>
      <c r="AZ45" s="166"/>
      <c r="BA45" s="167"/>
      <c r="BB45" s="167"/>
      <c r="BC45" s="168"/>
      <c r="BD45" s="169"/>
      <c r="BE45" s="170"/>
      <c r="BF45" s="171"/>
      <c r="BG45" s="171"/>
      <c r="BH45" s="171"/>
      <c r="BI45" s="171"/>
      <c r="BJ45" s="171"/>
      <c r="BK45" s="171"/>
      <c r="BL45" s="171"/>
      <c r="BM45" s="171"/>
      <c r="BN45" s="171"/>
      <c r="BO45" s="171"/>
      <c r="BP45" s="172"/>
      <c r="BQ45" s="166"/>
      <c r="BR45" s="167"/>
      <c r="BS45" s="167"/>
      <c r="BT45" s="168"/>
      <c r="BU45" s="169"/>
      <c r="BV45" s="173"/>
      <c r="BW45" s="171"/>
      <c r="BX45" s="171"/>
      <c r="BY45" s="171"/>
      <c r="BZ45" s="171"/>
      <c r="CA45" s="171"/>
      <c r="CB45" s="171"/>
      <c r="CC45" s="171"/>
      <c r="CD45" s="171"/>
      <c r="CE45" s="171"/>
      <c r="CF45" s="171"/>
      <c r="CG45" s="197"/>
      <c r="CH45" s="201"/>
      <c r="CI45" s="192"/>
      <c r="CJ45" s="188"/>
      <c r="CK45" s="192"/>
      <c r="CL45" s="192"/>
      <c r="CM45" s="171"/>
      <c r="CN45" s="171"/>
      <c r="CO45" s="171"/>
      <c r="CP45" s="171"/>
      <c r="CQ45" s="171"/>
      <c r="CR45" s="171"/>
      <c r="CS45" s="171"/>
      <c r="CT45" s="171"/>
      <c r="CU45" s="171"/>
      <c r="CV45" s="171"/>
      <c r="CW45" s="171"/>
      <c r="CX45" s="172"/>
      <c r="CY45" s="197"/>
      <c r="CZ45" s="197"/>
      <c r="DA45" s="197"/>
      <c r="DB45" s="197"/>
      <c r="DC45" s="197"/>
      <c r="DD45" s="171"/>
      <c r="DE45" s="171"/>
      <c r="DF45" s="171"/>
      <c r="DG45" s="171"/>
      <c r="DH45" s="171"/>
      <c r="DI45" s="171"/>
      <c r="DJ45" s="171"/>
      <c r="DK45" s="171"/>
      <c r="DL45" s="171"/>
      <c r="DM45" s="171"/>
      <c r="DN45" s="171"/>
      <c r="DO45" s="171"/>
    </row>
    <row r="46" spans="1:120" ht="15.65" hidden="1" customHeight="1" thickTop="1">
      <c r="A46" s="307" t="s">
        <v>105</v>
      </c>
      <c r="B46" s="308">
        <v>6.0036962491938572E-2</v>
      </c>
      <c r="C46" s="308">
        <v>5.8124269832589448E-2</v>
      </c>
      <c r="D46" s="308">
        <v>5.8366281717510793E-2</v>
      </c>
      <c r="E46" s="308">
        <v>0.1028624814615811</v>
      </c>
      <c r="F46" s="309"/>
      <c r="G46" s="308">
        <v>0.14579564330774189</v>
      </c>
      <c r="H46" s="308">
        <v>0.13840440886595401</v>
      </c>
      <c r="I46" s="308">
        <v>0.1153915501962683</v>
      </c>
      <c r="J46" s="308">
        <v>0.16008564514616699</v>
      </c>
      <c r="K46" s="310"/>
      <c r="L46" s="308">
        <v>9.8091979321746292E-2</v>
      </c>
      <c r="M46" s="308">
        <v>0.1246176471844354</v>
      </c>
      <c r="N46" s="308">
        <v>9.5081406667339996E-2</v>
      </c>
      <c r="O46" s="309">
        <v>7.7172820095998462E-2</v>
      </c>
      <c r="P46" s="311">
        <v>6.5459285488227659E-2</v>
      </c>
      <c r="Q46" s="308">
        <v>9.8298188688650007E-2</v>
      </c>
      <c r="R46" s="312">
        <f>'Top 4 Total'!O127</f>
        <v>9.0260637326599946E-2</v>
      </c>
      <c r="S46" s="313">
        <v>5.8000000000000003E-2</v>
      </c>
      <c r="T46" s="313">
        <f>'Top 4 Total'!Q127</f>
        <v>7.9475823367045839E-2</v>
      </c>
      <c r="U46" s="313">
        <f>'Top 4 Total'!R127</f>
        <v>2.0075917030137225E-2</v>
      </c>
      <c r="V46" s="313">
        <f>AVERAGE(R46:U46)</f>
        <v>6.1953094430945752E-2</v>
      </c>
      <c r="W46" s="314">
        <f>'Top 4 Total'!B127</f>
        <v>0.14177875883100199</v>
      </c>
      <c r="X46" s="314">
        <f>'Top 4 Total'!C127</f>
        <v>9.9847321450918791E-2</v>
      </c>
      <c r="Y46" s="314">
        <f>'Top 4 Total'!D127</f>
        <v>3.4463514536483109E-2</v>
      </c>
      <c r="Z46" s="315">
        <f>'Top 4 Total'!E127</f>
        <v>2.7795764766151532E-2</v>
      </c>
      <c r="AA46" s="315">
        <f>'Top 4 Total'!F127</f>
        <v>7.5720636003839825E-2</v>
      </c>
      <c r="AB46" s="315">
        <f>'Top 4 Total'!G127</f>
        <v>7.2751533678970581E-2</v>
      </c>
      <c r="AC46" s="316">
        <f>'Top 4 Total'!H127</f>
        <v>9.1959312372902113E-2</v>
      </c>
      <c r="AD46" s="316">
        <f>'Top 4 Total'!I127</f>
        <v>7.2433183878967133E-2</v>
      </c>
      <c r="AE46" s="316">
        <f>'Top 4 Total'!J127</f>
        <v>7.4075306144810948E-2</v>
      </c>
      <c r="AF46" s="316">
        <f>'Top 4 Total'!K127</f>
        <v>3.7441489016078577E-2</v>
      </c>
      <c r="AG46" s="316">
        <f>'Top 4 Total'!L127</f>
        <v>1.5676001326753619E-2</v>
      </c>
      <c r="AH46" s="316">
        <f>'Top 4 Total'!M127</f>
        <v>5.8346270197382477E-3</v>
      </c>
      <c r="AI46" s="313"/>
      <c r="AJ46" s="313"/>
      <c r="AK46" s="313"/>
      <c r="AL46" s="313"/>
      <c r="AM46" s="313"/>
      <c r="AN46" s="316">
        <f>'Top 4 Total'!N127</f>
        <v>0</v>
      </c>
      <c r="AO46" s="316">
        <f>'Top 4 Total'!O127</f>
        <v>9.0260637326599946E-2</v>
      </c>
      <c r="AP46" s="316">
        <f>'Top 4 Total'!P127</f>
        <v>5.8480363423080162E-2</v>
      </c>
      <c r="AQ46" s="316">
        <f>'Top 4 Total'!Q127</f>
        <v>7.9475823367045839E-2</v>
      </c>
      <c r="AR46" s="316">
        <f>'Top 4 Total'!R127</f>
        <v>2.0075917030137225E-2</v>
      </c>
      <c r="AS46" s="316">
        <f>'Top 4 Total'!S127</f>
        <v>6.1925898804645163E-2</v>
      </c>
      <c r="AT46" s="316">
        <f>'Top 4 Total'!T127</f>
        <v>0</v>
      </c>
      <c r="AU46" s="316"/>
      <c r="AV46" s="316"/>
      <c r="AW46" s="316"/>
      <c r="AX46" s="316"/>
      <c r="AY46" s="317"/>
      <c r="AZ46" s="130"/>
      <c r="BA46" s="119"/>
      <c r="BB46" s="119"/>
      <c r="BC46" s="137"/>
      <c r="BD46" s="140"/>
      <c r="BE46" s="109"/>
      <c r="BF46" s="110"/>
      <c r="BG46" s="110"/>
      <c r="BH46" s="110"/>
      <c r="BI46" s="110"/>
      <c r="BJ46" s="110"/>
      <c r="BK46" s="110"/>
      <c r="BL46" s="110"/>
      <c r="BM46" s="110"/>
      <c r="BN46" s="110"/>
      <c r="BO46" s="110"/>
      <c r="BP46" s="111"/>
      <c r="BQ46" s="130"/>
      <c r="BR46" s="119"/>
      <c r="BS46" s="119"/>
      <c r="BT46" s="137"/>
      <c r="BU46" s="140"/>
      <c r="BV46" s="148"/>
      <c r="BW46" s="110"/>
      <c r="BX46" s="110"/>
      <c r="BY46" s="110"/>
      <c r="BZ46" s="110"/>
      <c r="CA46" s="110"/>
      <c r="CB46" s="110"/>
      <c r="CC46" s="110"/>
      <c r="CD46" s="110"/>
      <c r="CE46" s="110"/>
      <c r="CF46" s="110"/>
      <c r="CG46" s="198"/>
      <c r="CH46" s="202"/>
      <c r="CI46" s="193"/>
      <c r="CJ46" s="189"/>
      <c r="CK46" s="193"/>
      <c r="CL46" s="193"/>
      <c r="CM46" s="110"/>
      <c r="CN46" s="110"/>
      <c r="CO46" s="110"/>
      <c r="CP46" s="110"/>
      <c r="CQ46" s="110"/>
      <c r="CR46" s="110"/>
      <c r="CS46" s="110"/>
      <c r="CT46" s="110"/>
      <c r="CU46" s="110"/>
      <c r="CV46" s="110"/>
      <c r="CW46" s="110"/>
      <c r="CX46" s="111"/>
      <c r="CY46" s="198"/>
      <c r="CZ46" s="198"/>
      <c r="DA46" s="198"/>
      <c r="DB46" s="198"/>
      <c r="DC46" s="198"/>
      <c r="DD46" s="110"/>
      <c r="DE46" s="110"/>
      <c r="DF46" s="110"/>
      <c r="DG46" s="110"/>
      <c r="DH46" s="110"/>
      <c r="DI46" s="110"/>
      <c r="DJ46" s="110"/>
      <c r="DK46" s="110"/>
      <c r="DL46" s="110"/>
      <c r="DM46" s="110"/>
      <c r="DN46" s="110"/>
      <c r="DO46" s="110"/>
    </row>
    <row r="47" spans="1:120" ht="18" hidden="1" customHeight="1">
      <c r="A47" s="318" t="s">
        <v>106</v>
      </c>
      <c r="B47" s="280">
        <v>3.4646530610605408E-2</v>
      </c>
      <c r="C47" s="280">
        <v>4.170599733156144E-2</v>
      </c>
      <c r="D47" s="280">
        <v>4.2045546907583782E-2</v>
      </c>
      <c r="E47" s="280">
        <v>0.1089508349498365</v>
      </c>
      <c r="F47" s="281"/>
      <c r="G47" s="280">
        <v>0.15885513693026471</v>
      </c>
      <c r="H47" s="280">
        <v>0.15682133775805271</v>
      </c>
      <c r="I47" s="280">
        <v>0.1248078322015977</v>
      </c>
      <c r="J47" s="280">
        <v>0.1622232760765365</v>
      </c>
      <c r="K47" s="319"/>
      <c r="L47" s="280">
        <v>9.7018099087087695E-2</v>
      </c>
      <c r="M47" s="280">
        <v>0.11363947476491849</v>
      </c>
      <c r="N47" s="280">
        <v>9.114587743244762E-2</v>
      </c>
      <c r="O47" s="281">
        <v>7.21928245491672E-2</v>
      </c>
      <c r="P47" s="320">
        <v>5.6820941644000873E-2</v>
      </c>
      <c r="Q47" s="280">
        <v>9.3101817283943067E-2</v>
      </c>
      <c r="R47" s="321">
        <f>'Top4 Domestic'!O140</f>
        <v>8.2374185583134363E-2</v>
      </c>
      <c r="S47" s="322">
        <v>4.7E-2</v>
      </c>
      <c r="T47" s="322">
        <f>'Top4 Domestic'!Q140</f>
        <v>7.6347997511240884E-2</v>
      </c>
      <c r="U47" s="322">
        <f>'Top4 Domestic'!R140</f>
        <v>1.6335049692405734E-2</v>
      </c>
      <c r="V47" s="313">
        <f>AVERAGE(R47:U47)</f>
        <v>5.5514308196695242E-2</v>
      </c>
      <c r="W47" s="286">
        <f>'Top4 Domestic'!B140</f>
        <v>0.13204909399359188</v>
      </c>
      <c r="X47" s="286">
        <f>'Top4 Domestic'!C140</f>
        <v>9.9569701375633812E-2</v>
      </c>
      <c r="Y47" s="286">
        <f>'Top4 Domestic'!D140</f>
        <v>2.1442738031150155E-2</v>
      </c>
      <c r="Z47" s="323">
        <f>'Top4 Domestic'!E140</f>
        <v>1.2954648766120291E-2</v>
      </c>
      <c r="AA47" s="323">
        <f>'Top4 Domestic'!F140</f>
        <v>6.4378151717302767E-2</v>
      </c>
      <c r="AB47" s="323">
        <f>'Top4 Domestic'!G140</f>
        <v>6.4113996255862116E-2</v>
      </c>
      <c r="AC47" s="324">
        <f>'Top4 Domestic'!H140</f>
        <v>8.9011600520570333E-2</v>
      </c>
      <c r="AD47" s="324">
        <f>'Top4 Domestic'!I140</f>
        <v>6.872346246196015E-2</v>
      </c>
      <c r="AE47" s="324">
        <f>'Top4 Domestic'!J140</f>
        <v>7.1469839475884145E-2</v>
      </c>
      <c r="AF47" s="324">
        <f>'Top4 Domestic'!K140</f>
        <v>3.5537384555467622E-2</v>
      </c>
      <c r="AG47" s="324">
        <f>'Top4 Domestic'!L140</f>
        <v>9.7845603986164154E-3</v>
      </c>
      <c r="AH47" s="324">
        <f>'Top4 Domestic'!M140</f>
        <v>1.9481540473411663E-3</v>
      </c>
      <c r="AI47" s="322"/>
      <c r="AJ47" s="322"/>
      <c r="AK47" s="322"/>
      <c r="AL47" s="322"/>
      <c r="AM47" s="322"/>
      <c r="AN47" s="324">
        <f>'Top4 Domestic'!N140</f>
        <v>0</v>
      </c>
      <c r="AO47" s="324">
        <f>'Top4 Domestic'!O140</f>
        <v>8.2374185583134363E-2</v>
      </c>
      <c r="AP47" s="324">
        <f>'Top4 Domestic'!P140</f>
        <v>4.6845108932754398E-2</v>
      </c>
      <c r="AQ47" s="324">
        <f>'Top4 Domestic'!Q140</f>
        <v>7.6347997511240884E-2</v>
      </c>
      <c r="AR47" s="324">
        <f>'Top4 Domestic'!R140</f>
        <v>1.6335049692405734E-2</v>
      </c>
      <c r="AS47" s="324">
        <f>'Top4 Domestic'!S140</f>
        <v>5.5380535523624985E-2</v>
      </c>
      <c r="AT47" s="324">
        <f>'Top4 Domestic'!T140</f>
        <v>0</v>
      </c>
      <c r="AU47" s="324"/>
      <c r="AV47" s="324"/>
      <c r="AW47" s="324"/>
      <c r="AX47" s="324"/>
      <c r="AY47" s="325"/>
      <c r="AZ47" s="131"/>
      <c r="BA47" s="108"/>
      <c r="BB47" s="108"/>
      <c r="BC47" s="135"/>
      <c r="BD47" s="140"/>
      <c r="BE47" s="109"/>
      <c r="BF47" s="110"/>
      <c r="BG47" s="110"/>
      <c r="BH47" s="110"/>
      <c r="BI47" s="110"/>
      <c r="BJ47" s="110"/>
      <c r="BK47" s="110"/>
      <c r="BL47" s="110"/>
      <c r="BM47" s="110"/>
      <c r="BN47" s="110"/>
      <c r="BO47" s="110"/>
      <c r="BP47" s="111"/>
      <c r="BQ47" s="131"/>
      <c r="BR47" s="108"/>
      <c r="BS47" s="108"/>
      <c r="BT47" s="135"/>
      <c r="BU47" s="140"/>
      <c r="BV47" s="148"/>
      <c r="BW47" s="110"/>
      <c r="BX47" s="110"/>
      <c r="BY47" s="110"/>
      <c r="BZ47" s="110"/>
      <c r="CA47" s="110"/>
      <c r="CB47" s="110"/>
      <c r="CC47" s="110"/>
      <c r="CD47" s="110"/>
      <c r="CE47" s="110"/>
      <c r="CF47" s="110"/>
      <c r="CG47" s="198"/>
      <c r="CH47" s="202"/>
      <c r="CI47" s="193"/>
      <c r="CJ47" s="189"/>
      <c r="CK47" s="193"/>
      <c r="CL47" s="193"/>
      <c r="CM47" s="110"/>
      <c r="CN47" s="110"/>
      <c r="CO47" s="110"/>
      <c r="CP47" s="110"/>
      <c r="CQ47" s="110"/>
      <c r="CR47" s="110"/>
      <c r="CS47" s="110"/>
      <c r="CT47" s="110"/>
      <c r="CU47" s="110"/>
      <c r="CV47" s="110"/>
      <c r="CW47" s="110"/>
      <c r="CX47" s="111"/>
      <c r="CY47" s="198"/>
      <c r="CZ47" s="198"/>
      <c r="DA47" s="198"/>
      <c r="DB47" s="198"/>
      <c r="DC47" s="198"/>
      <c r="DD47" s="110"/>
      <c r="DE47" s="110"/>
      <c r="DF47" s="110"/>
      <c r="DG47" s="110"/>
      <c r="DH47" s="110"/>
      <c r="DI47" s="110"/>
      <c r="DJ47" s="110"/>
      <c r="DK47" s="110"/>
      <c r="DL47" s="110"/>
      <c r="DM47" s="110"/>
      <c r="DN47" s="110"/>
      <c r="DO47" s="110"/>
    </row>
    <row r="48" spans="1:120" ht="15.65" hidden="1" customHeight="1">
      <c r="A48" s="318" t="s">
        <v>107</v>
      </c>
      <c r="B48" s="280">
        <v>9.4145204030150476E-2</v>
      </c>
      <c r="C48" s="280">
        <v>5.9756403827160298E-5</v>
      </c>
      <c r="D48" s="280">
        <v>-4.7798349860429967E-2</v>
      </c>
      <c r="E48" s="280">
        <v>-7.165969359466462E-2</v>
      </c>
      <c r="F48" s="281"/>
      <c r="G48" s="280">
        <v>-8.3474673885410189E-2</v>
      </c>
      <c r="H48" s="280">
        <v>5.0705334020479942E-3</v>
      </c>
      <c r="I48" s="280">
        <v>9.4197073390545727E-2</v>
      </c>
      <c r="J48" s="280">
        <v>0.15460566251261779</v>
      </c>
      <c r="K48" s="319"/>
      <c r="L48" s="280">
        <v>9.7493155119401598E-2</v>
      </c>
      <c r="M48" s="280">
        <v>0.13401207095311871</v>
      </c>
      <c r="N48" s="280">
        <v>9.9752247449121922E-2</v>
      </c>
      <c r="O48" s="281">
        <v>7.4324106480768037E-2</v>
      </c>
      <c r="P48" s="320">
        <v>8.6705343368904675E-2</v>
      </c>
      <c r="Q48" s="280">
        <v>0.1007962357890109</v>
      </c>
      <c r="R48" s="321">
        <f>'Top4 Intl.+Reg'!O471</f>
        <v>0.13686443858965514</v>
      </c>
      <c r="S48" s="321">
        <f>'Top4 Intl.+Reg'!P471</f>
        <v>0.14620265135232735</v>
      </c>
      <c r="T48" s="321">
        <f>'Top4 Intl.+Reg'!Q471</f>
        <v>-3.2310638696628868E-2</v>
      </c>
      <c r="U48" s="321">
        <f>'Top4 Intl.+Reg'!R471</f>
        <v>-0.2045222268349246</v>
      </c>
      <c r="V48" s="313">
        <f>AVERAGE(R48:U48)</f>
        <v>1.1558556102607254E-2</v>
      </c>
      <c r="W48" s="286">
        <f>'Top4 Intl.+Reg'!B471</f>
        <v>0.18647793411312641</v>
      </c>
      <c r="X48" s="286">
        <f>'Top4 Intl.+Reg'!C471</f>
        <v>9.7338174896289154E-2</v>
      </c>
      <c r="Y48" s="286">
        <f>'Top4 Intl.+Reg'!D471</f>
        <v>0.13084527144896141</v>
      </c>
      <c r="Z48" s="323">
        <f>'Top4 Intl.+Reg'!E471</f>
        <v>0.13339102107299183</v>
      </c>
      <c r="AA48" s="323">
        <f>'Top4 Intl.+Reg'!F471</f>
        <v>0.16768451549700902</v>
      </c>
      <c r="AB48" s="323">
        <f>'Top4 Intl.+Reg'!G471</f>
        <v>0.13789320056722354</v>
      </c>
      <c r="AC48" s="324">
        <f>'Top4 Intl.+Reg'!H471</f>
        <v>0.11246983258271093</v>
      </c>
      <c r="AD48" s="324">
        <f>'Top4 Intl.+Reg'!I471</f>
        <v>-6.7805784602060437E-2</v>
      </c>
      <c r="AE48" s="324">
        <f>'Top4 Intl.+Reg'!J471</f>
        <v>-0.15618479194795631</v>
      </c>
      <c r="AF48" s="324">
        <f>'Top4 Intl.+Reg'!K471</f>
        <v>-0.18011639283084691</v>
      </c>
      <c r="AG48" s="324">
        <f>'Top4 Intl.+Reg'!L471</f>
        <v>-0.20733071618900389</v>
      </c>
      <c r="AH48" s="324">
        <f>'Top4 Intl.+Reg'!M471</f>
        <v>-0.22545119040064032</v>
      </c>
      <c r="AI48" s="321"/>
      <c r="AJ48" s="321"/>
      <c r="AK48" s="321"/>
      <c r="AL48" s="321"/>
      <c r="AM48" s="321"/>
      <c r="AN48" s="324">
        <f>'Top4 Intl.+Reg'!N471</f>
        <v>0</v>
      </c>
      <c r="AO48" s="324">
        <f>'Top4 Intl.+Reg'!O471</f>
        <v>0.13686443858965514</v>
      </c>
      <c r="AP48" s="324">
        <f>'Top4 Intl.+Reg'!P471</f>
        <v>0.14620265135232735</v>
      </c>
      <c r="AQ48" s="324">
        <f>'Top4 Intl.+Reg'!Q471</f>
        <v>-3.2310638696628868E-2</v>
      </c>
      <c r="AR48" s="324">
        <f>'Top4 Intl.+Reg'!R471</f>
        <v>-0.2045222268349246</v>
      </c>
      <c r="AS48" s="324">
        <f>'Top4 Intl.+Reg'!S471</f>
        <v>8.0956022642588721E-3</v>
      </c>
      <c r="AT48" s="324">
        <f>'Top4 Intl.+Reg'!T471</f>
        <v>0</v>
      </c>
      <c r="AU48" s="324"/>
      <c r="AV48" s="324"/>
      <c r="AW48" s="324"/>
      <c r="AX48" s="324"/>
      <c r="AY48" s="325"/>
      <c r="AZ48" s="131"/>
      <c r="BA48" s="120"/>
      <c r="BB48" s="120"/>
      <c r="BC48" s="138"/>
      <c r="BD48" s="140"/>
      <c r="BE48" s="109"/>
      <c r="BF48" s="110"/>
      <c r="BG48" s="110"/>
      <c r="BH48" s="110"/>
      <c r="BI48" s="110"/>
      <c r="BJ48" s="110"/>
      <c r="BK48" s="110"/>
      <c r="BL48" s="110"/>
      <c r="BM48" s="110"/>
      <c r="BN48" s="110"/>
      <c r="BO48" s="110"/>
      <c r="BP48" s="111"/>
      <c r="BQ48" s="131"/>
      <c r="BR48" s="120"/>
      <c r="BS48" s="120"/>
      <c r="BT48" s="138"/>
      <c r="BU48" s="140"/>
      <c r="BV48" s="148"/>
      <c r="BW48" s="110"/>
      <c r="BX48" s="110"/>
      <c r="BY48" s="110"/>
      <c r="BZ48" s="110"/>
      <c r="CA48" s="110"/>
      <c r="CB48" s="110"/>
      <c r="CC48" s="110"/>
      <c r="CD48" s="110"/>
      <c r="CE48" s="110"/>
      <c r="CF48" s="110"/>
      <c r="CG48" s="198"/>
      <c r="CH48" s="202"/>
      <c r="CI48" s="193"/>
      <c r="CJ48" s="189"/>
      <c r="CK48" s="193"/>
      <c r="CL48" s="193"/>
      <c r="CM48" s="110"/>
      <c r="CN48" s="110"/>
      <c r="CO48" s="110"/>
      <c r="CP48" s="110"/>
      <c r="CQ48" s="110"/>
      <c r="CR48" s="110"/>
      <c r="CS48" s="110"/>
      <c r="CT48" s="110"/>
      <c r="CU48" s="110"/>
      <c r="CV48" s="110"/>
      <c r="CW48" s="110"/>
      <c r="CX48" s="111"/>
      <c r="CY48" s="198"/>
      <c r="CZ48" s="198"/>
      <c r="DA48" s="198"/>
      <c r="DB48" s="198"/>
      <c r="DC48" s="198"/>
      <c r="DD48" s="110"/>
      <c r="DE48" s="110"/>
      <c r="DF48" s="110"/>
      <c r="DG48" s="110"/>
      <c r="DH48" s="110"/>
      <c r="DI48" s="110"/>
      <c r="DJ48" s="110"/>
      <c r="DK48" s="110"/>
      <c r="DL48" s="110"/>
      <c r="DM48" s="110"/>
      <c r="DN48" s="110"/>
      <c r="DO48" s="110"/>
    </row>
    <row r="49" spans="1:120" ht="16" hidden="1" customHeight="1" thickBot="1">
      <c r="A49" s="326" t="s">
        <v>108</v>
      </c>
      <c r="B49" s="327">
        <v>0.23300681153151959</v>
      </c>
      <c r="C49" s="327">
        <v>0.1919311003248847</v>
      </c>
      <c r="D49" s="327">
        <v>0.2063269598599784</v>
      </c>
      <c r="E49" s="327">
        <v>9.773088581194167E-2</v>
      </c>
      <c r="F49" s="328"/>
      <c r="G49" s="327">
        <v>0.11581860487863629</v>
      </c>
      <c r="H49" s="327">
        <v>3.79430552676705E-2</v>
      </c>
      <c r="I49" s="327">
        <v>5.5793713599041839E-2</v>
      </c>
      <c r="J49" s="327">
        <v>0.145424482721773</v>
      </c>
      <c r="K49" s="329"/>
      <c r="L49" s="327">
        <v>0.10587235128628231</v>
      </c>
      <c r="M49" s="327">
        <v>0.20714073046660841</v>
      </c>
      <c r="N49" s="327">
        <v>0.1227658585052778</v>
      </c>
      <c r="O49" s="328">
        <v>0.11536644122845981</v>
      </c>
      <c r="P49" s="330">
        <v>0.1218328941587712</v>
      </c>
      <c r="Q49" s="327">
        <v>0.13623741156953351</v>
      </c>
      <c r="R49" s="331">
        <f>'Top4 Intl.+Reg'!O454</f>
        <v>0.13634178465088542</v>
      </c>
      <c r="S49" s="331">
        <f>'Top4 Intl.+Reg'!P454</f>
        <v>0.12235992149136332</v>
      </c>
      <c r="T49" s="331">
        <f>'Top4 Intl.+Reg'!Q454</f>
        <v>0.12677920787903862</v>
      </c>
      <c r="U49" s="331">
        <f>'Top4 Intl.+Reg'!R454</f>
        <v>9.7399514854325631E-2</v>
      </c>
      <c r="V49" s="313">
        <f>AVERAGE(R49:U49)</f>
        <v>0.12072010721890325</v>
      </c>
      <c r="W49" s="332">
        <f>'Top4 Intl.+Reg'!B454</f>
        <v>0.20122286456858207</v>
      </c>
      <c r="X49" s="332">
        <f>'Top4 Intl.+Reg'!C454</f>
        <v>0.10228964520100781</v>
      </c>
      <c r="Y49" s="332">
        <f>'Top4 Intl.+Reg'!D454</f>
        <v>0.10911812008577559</v>
      </c>
      <c r="Z49" s="333">
        <f>'Top4 Intl.+Reg'!E454</f>
        <v>0.11071197817779277</v>
      </c>
      <c r="AA49" s="333">
        <f>'Top4 Intl.+Reg'!F454</f>
        <v>0.13828061075901066</v>
      </c>
      <c r="AB49" s="333">
        <f>'Top4 Intl.+Reg'!G454</f>
        <v>0.11874049113633056</v>
      </c>
      <c r="AC49" s="334">
        <f>'Top4 Intl.+Reg'!H454</f>
        <v>0.10796891715941959</v>
      </c>
      <c r="AD49" s="334">
        <f>'Top4 Intl.+Reg'!I454</f>
        <v>0.12944321456914931</v>
      </c>
      <c r="AE49" s="334">
        <f>'Top4 Intl.+Reg'!J454</f>
        <v>0.14473938763077987</v>
      </c>
      <c r="AF49" s="334">
        <f>'Top4 Intl.+Reg'!K454</f>
        <v>0.10032828028189544</v>
      </c>
      <c r="AG49" s="334">
        <f>'Top4 Intl.+Reg'!L454</f>
        <v>0.11100116537272009</v>
      </c>
      <c r="AH49" s="334">
        <f>'Top4 Intl.+Reg'!M454</f>
        <v>8.2248516926120008E-2</v>
      </c>
      <c r="AI49" s="331"/>
      <c r="AJ49" s="331"/>
      <c r="AK49" s="331"/>
      <c r="AL49" s="331"/>
      <c r="AM49" s="331"/>
      <c r="AN49" s="334">
        <f>'Top4 Intl.+Reg'!N454</f>
        <v>0</v>
      </c>
      <c r="AO49" s="334">
        <f>'Top4 Intl.+Reg'!O454</f>
        <v>0.13634178465088542</v>
      </c>
      <c r="AP49" s="334">
        <f>'Top4 Intl.+Reg'!P454</f>
        <v>0.12235992149136332</v>
      </c>
      <c r="AQ49" s="334">
        <f>'Top4 Intl.+Reg'!Q454</f>
        <v>0.12677920787903862</v>
      </c>
      <c r="AR49" s="334">
        <f>'Top4 Intl.+Reg'!R454</f>
        <v>9.7399514854325631E-2</v>
      </c>
      <c r="AS49" s="334">
        <f>'Top4 Intl.+Reg'!S454</f>
        <v>0.12070846709369554</v>
      </c>
      <c r="AT49" s="334">
        <f>'Top4 Intl.+Reg'!T454</f>
        <v>0</v>
      </c>
      <c r="AU49" s="334"/>
      <c r="AV49" s="334"/>
      <c r="AW49" s="334"/>
      <c r="AX49" s="334"/>
      <c r="AY49" s="335"/>
      <c r="AZ49" s="129"/>
      <c r="BA49" s="121"/>
      <c r="BB49" s="118"/>
      <c r="BC49" s="136"/>
      <c r="BD49" s="140"/>
      <c r="BE49" s="109"/>
      <c r="BF49" s="110"/>
      <c r="BG49" s="110"/>
      <c r="BH49" s="110"/>
      <c r="BI49" s="110"/>
      <c r="BJ49" s="110"/>
      <c r="BK49" s="110"/>
      <c r="BL49" s="110"/>
      <c r="BM49" s="110"/>
      <c r="BN49" s="110"/>
      <c r="BO49" s="110"/>
      <c r="BP49" s="111"/>
      <c r="BQ49" s="129"/>
      <c r="BR49" s="121"/>
      <c r="BS49" s="121"/>
      <c r="BT49" s="136"/>
      <c r="BU49" s="140"/>
      <c r="BV49" s="148"/>
      <c r="BW49" s="110"/>
      <c r="BX49" s="110"/>
      <c r="BY49" s="110"/>
      <c r="BZ49" s="110"/>
      <c r="CA49" s="110"/>
      <c r="CB49" s="110"/>
      <c r="CC49" s="110"/>
      <c r="CD49" s="110"/>
      <c r="CE49" s="110"/>
      <c r="CF49" s="110"/>
      <c r="CG49" s="198"/>
      <c r="CH49" s="202"/>
      <c r="CI49" s="193"/>
      <c r="CJ49" s="189"/>
      <c r="CK49" s="193"/>
      <c r="CL49" s="193"/>
      <c r="CM49" s="110"/>
      <c r="CN49" s="110"/>
      <c r="CO49" s="110"/>
      <c r="CP49" s="110"/>
      <c r="CQ49" s="110"/>
      <c r="CR49" s="110"/>
      <c r="CS49" s="110"/>
      <c r="CT49" s="110"/>
      <c r="CU49" s="110"/>
      <c r="CV49" s="110"/>
      <c r="CW49" s="110"/>
      <c r="CX49" s="111"/>
      <c r="CY49" s="198"/>
      <c r="CZ49" s="198"/>
      <c r="DA49" s="198"/>
      <c r="DB49" s="198"/>
      <c r="DC49" s="198"/>
      <c r="DD49" s="110"/>
      <c r="DE49" s="110"/>
      <c r="DF49" s="110"/>
      <c r="DG49" s="110"/>
      <c r="DH49" s="110"/>
      <c r="DI49" s="110"/>
      <c r="DJ49" s="110"/>
      <c r="DK49" s="110"/>
      <c r="DL49" s="110"/>
      <c r="DM49" s="110"/>
      <c r="DN49" s="110"/>
      <c r="DO49" s="110"/>
    </row>
    <row r="50" spans="1:120">
      <c r="A50" s="336" t="s">
        <v>109</v>
      </c>
      <c r="B50" s="337"/>
      <c r="C50" s="337"/>
      <c r="D50" s="337"/>
      <c r="E50" s="337"/>
      <c r="F50" s="337"/>
      <c r="G50" s="338"/>
      <c r="H50" s="338"/>
      <c r="I50" s="338"/>
      <c r="J50" s="338"/>
      <c r="K50" s="339"/>
      <c r="L50" s="338"/>
      <c r="M50" s="338"/>
      <c r="N50" s="338"/>
      <c r="O50" s="340"/>
      <c r="P50" s="341"/>
      <c r="Q50" s="338"/>
      <c r="R50" s="342">
        <f>'Top 4 Total'!O125</f>
        <v>9.0075282904048093E-2</v>
      </c>
      <c r="S50" s="342">
        <f>'Top 4 Total'!P125</f>
        <v>5.7562675290606657E-2</v>
      </c>
      <c r="T50" s="342">
        <f>'Top 4 Total'!Q125</f>
        <v>7.7893472403709252E-2</v>
      </c>
      <c r="U50" s="342">
        <f>'Top 4 Total'!R125</f>
        <v>5.6396581791026579E-2</v>
      </c>
      <c r="V50" s="342">
        <f>'Top 4 Total'!S125</f>
        <v>7.0373247384495574E-2</v>
      </c>
      <c r="W50" s="343">
        <f>'Top 4 Total'!B125</f>
        <v>0.14337315881703594</v>
      </c>
      <c r="X50" s="343">
        <f>'Top 4 Total'!C125</f>
        <v>9.5688862591287727E-2</v>
      </c>
      <c r="Y50" s="343">
        <f>'Top 4 Total'!D125</f>
        <v>3.6493125491053657E-2</v>
      </c>
      <c r="Z50" s="343">
        <f>'Top 4 Total'!E125</f>
        <v>2.6481337614722156E-2</v>
      </c>
      <c r="AA50" s="343">
        <f>'Top 4 Total'!F125</f>
        <v>7.6751778733230802E-2</v>
      </c>
      <c r="AB50" s="343">
        <f>'Top 4 Total'!G125</f>
        <v>7.0299120685020977E-2</v>
      </c>
      <c r="AC50" s="343">
        <f>'Top 4 Total'!H125</f>
        <v>8.6723252697521236E-2</v>
      </c>
      <c r="AD50" s="343">
        <f>'Top 4 Total'!I125</f>
        <v>7.1734549856603769E-2</v>
      </c>
      <c r="AE50" s="343">
        <f>'Top 4 Total'!J125</f>
        <v>7.540621202588782E-2</v>
      </c>
      <c r="AF50" s="343">
        <f>'Top 4 Total'!K125</f>
        <v>4.5380247539207108E-2</v>
      </c>
      <c r="AG50" s="343">
        <f>'Top 4 Total'!L125</f>
        <v>6.6212656191474872E-2</v>
      </c>
      <c r="AH50" s="343">
        <f>'Top 4 Total'!M125</f>
        <v>5.8393275099517972E-2</v>
      </c>
      <c r="AI50" s="342">
        <f>'Top 4 Total'!O109</f>
        <v>-0.54218780002252065</v>
      </c>
      <c r="AJ50" s="342">
        <f>'Top 4 Total'!P109</f>
        <v>-0.58467309525937461</v>
      </c>
      <c r="AK50" s="342">
        <f>'Top 4 Total'!Q109</f>
        <v>-0.27111561189108957</v>
      </c>
      <c r="AL50" s="342">
        <f>'Top 4 Total'!R109</f>
        <v>-0.19752605252715216</v>
      </c>
      <c r="AM50" s="342">
        <f>AVERAGE(AN50:AY50)</f>
        <v>-0.39841599379594744</v>
      </c>
      <c r="AN50" s="343">
        <f>'Top 4 Total'!B109</f>
        <v>-4.6842393829310658E-2</v>
      </c>
      <c r="AO50" s="343">
        <f>'Top 4 Total'!C109</f>
        <v>-0.85757162363486683</v>
      </c>
      <c r="AP50" s="343">
        <f>'Top 4 Total'!D109</f>
        <v>-0.72302853599014172</v>
      </c>
      <c r="AQ50" s="343">
        <f>'Top 4 Total'!E109</f>
        <v>-0.71107623112695095</v>
      </c>
      <c r="AR50" s="343">
        <f>'Top 4 Total'!F109</f>
        <v>-0.56828482470362629</v>
      </c>
      <c r="AS50" s="343">
        <f>'Top 4 Total'!G109</f>
        <v>-0.47586372991061898</v>
      </c>
      <c r="AT50" s="343">
        <f>'Top 4 Total'!H109</f>
        <v>-0.37369302601684684</v>
      </c>
      <c r="AU50" s="343">
        <f>'Top 4 Total'!I109</f>
        <v>-0.28857020021276292</v>
      </c>
      <c r="AV50" s="343">
        <f>'Top 4 Total'!J109</f>
        <v>-0.14011660589603148</v>
      </c>
      <c r="AW50" s="343">
        <f>'Top 4 Total'!K109</f>
        <v>-0.1352759654666188</v>
      </c>
      <c r="AX50" s="343">
        <f>'Top 4 Total'!L109</f>
        <v>-0.19893438034448352</v>
      </c>
      <c r="AY50" s="344">
        <f>'Top 4 Total'!M109</f>
        <v>-0.26173440841910933</v>
      </c>
      <c r="AZ50" s="132">
        <f>'Top 4 Total'!O93</f>
        <v>-0.42648355433258234</v>
      </c>
      <c r="BA50" s="108">
        <f>'Top 4 Total'!P93</f>
        <v>-0.14964709985811087</v>
      </c>
      <c r="BB50" s="108">
        <f>'Top 4 Total'!Q93</f>
        <v>-0.43686721513474625</v>
      </c>
      <c r="BC50" s="135">
        <f>'Top 4 Total'!R93</f>
        <v>-0.49549123831332798</v>
      </c>
      <c r="BD50" s="140">
        <f>'Top 4 Total'!S93</f>
        <v>-0.37906436277939626</v>
      </c>
      <c r="BE50" s="109">
        <f>'Top 4 Total'!B93</f>
        <v>-0.51508254044114343</v>
      </c>
      <c r="BF50" s="110">
        <f>'Top 4 Total'!C93</f>
        <v>-0.61442620259807446</v>
      </c>
      <c r="BG50" s="110">
        <f>'Top 4 Total'!D93</f>
        <v>-0.15066258092136198</v>
      </c>
      <c r="BH50" s="110">
        <f>'Top 4 Total'!E93</f>
        <v>-6.3922213725636778E-2</v>
      </c>
      <c r="BI50" s="110">
        <f>'Top 4 Total'!F93</f>
        <v>-9.7009608693177318E-2</v>
      </c>
      <c r="BJ50" s="110">
        <f>'Top 4 Total'!G93</f>
        <v>-0.28842856015326224</v>
      </c>
      <c r="BK50" s="110">
        <f>'Top 4 Total'!H93</f>
        <v>-0.21359887347749829</v>
      </c>
      <c r="BL50" s="110">
        <f>'Top 4 Total'!I93</f>
        <v>-0.6911081459617554</v>
      </c>
      <c r="BM50" s="110">
        <f>'Top 4 Total'!J93</f>
        <v>-0.3914680485714549</v>
      </c>
      <c r="BN50" s="110">
        <f>'Top 4 Total'!K93</f>
        <v>-0.34735256680606674</v>
      </c>
      <c r="BO50" s="110">
        <f>'Top 4 Total'!L93</f>
        <v>-0.61837214646024585</v>
      </c>
      <c r="BP50" s="111">
        <f>'Top 4 Total'!M93</f>
        <v>-0.52856053165646477</v>
      </c>
      <c r="BQ50" s="132">
        <f>'Top 4 Total'!O71</f>
        <v>-0.56244144310050426</v>
      </c>
      <c r="BR50" s="108">
        <f>'Top 4 Total'!P71</f>
        <v>-0.75706957579593726</v>
      </c>
      <c r="BS50" s="108">
        <f>'Top 4 Total'!Q71</f>
        <v>-0.52096656680653952</v>
      </c>
      <c r="BT50" s="108">
        <f>'Top 4 Total'!R71</f>
        <v>-0.71849288373609543</v>
      </c>
      <c r="BU50" s="108">
        <f>'Top 4 Total'!S71</f>
        <v>-0.63774884177717739</v>
      </c>
      <c r="BV50" s="148">
        <f>'Top 4 Total'!B71</f>
        <v>-0.50098141038574873</v>
      </c>
      <c r="BW50" s="110">
        <f>'Top 4 Total'!C71</f>
        <v>-0.46008469981371258</v>
      </c>
      <c r="BX50" s="110">
        <f>'Top 4 Total'!D71</f>
        <v>-0.72585896372331504</v>
      </c>
      <c r="BY50" s="110">
        <f>'Top 4 Total'!E71</f>
        <v>-0.86045677978295798</v>
      </c>
      <c r="BZ50" s="110">
        <f>'Top 4 Total'!F71</f>
        <v>-0.79372402197776637</v>
      </c>
      <c r="CA50" s="110">
        <f>'Top 4 Total'!G71</f>
        <v>-0.61704290174940657</v>
      </c>
      <c r="CB50" s="110">
        <f>'Top 4 Total'!H71</f>
        <v>-0.46896172213842158</v>
      </c>
      <c r="CC50" s="110">
        <f>'Top 4 Total'!I71</f>
        <v>-0.49108060682780408</v>
      </c>
      <c r="CD50" s="110">
        <f>'Top 4 Total'!J71</f>
        <v>-0.61117432212839551</v>
      </c>
      <c r="CE50" s="110">
        <f>'Top 4 Total'!K71</f>
        <v>-0.71109521298779632</v>
      </c>
      <c r="CF50" s="110">
        <f>'Top 4 Total'!L71</f>
        <v>-0.7664516407612626</v>
      </c>
      <c r="CG50" s="198">
        <f>'Top 4 Total'!M71</f>
        <v>-0.67825188062259745</v>
      </c>
      <c r="CH50" s="131">
        <f>'Top 4 Total'!O53</f>
        <v>-0.1797925889301808</v>
      </c>
      <c r="CI50" s="108">
        <f>'Top 4 Total'!P53</f>
        <v>-3.8653162431204757E-3</v>
      </c>
      <c r="CJ50" s="138">
        <f>'Top 4 Total'!Q53</f>
        <v>5.3822446395115131E-2</v>
      </c>
      <c r="CK50" s="108">
        <f>'Top 4 Total'!R53</f>
        <v>1.5899889546889368E-2</v>
      </c>
      <c r="CL50" s="108">
        <f>'Top 4 Total'!S53</f>
        <v>-2.6594019508405453E-2</v>
      </c>
      <c r="CM50" s="110">
        <f>'Top 4 Total'!B53</f>
        <v>-0.23988752054278517</v>
      </c>
      <c r="CN50" s="110">
        <f>'Top 4 Total'!C53</f>
        <v>-0.16839229197066774</v>
      </c>
      <c r="CO50" s="110">
        <f>'Top 4 Total'!D53</f>
        <v>-0.13108780490524863</v>
      </c>
      <c r="CP50" s="110">
        <f>'Top 4 Total'!E53</f>
        <v>-2.1666188079213833E-2</v>
      </c>
      <c r="CQ50" s="110">
        <f>'Top 4 Total'!F53</f>
        <v>-1.9176990549217732E-2</v>
      </c>
      <c r="CR50" s="110">
        <f>'Top 4 Total'!G53</f>
        <v>2.9419242692296121E-2</v>
      </c>
      <c r="CS50" s="110">
        <f>'Top 4 Total'!H53</f>
        <v>8.3248981977792402E-2</v>
      </c>
      <c r="CT50" s="110">
        <f>'Top 4 Total'!I53</f>
        <v>6.3011656875427313E-2</v>
      </c>
      <c r="CU50" s="110">
        <f>'Top 4 Total'!J53</f>
        <v>1.1512528375842157E-2</v>
      </c>
      <c r="CV50" s="110">
        <f>'Top 4 Total'!K53</f>
        <v>4.3269012366049964E-2</v>
      </c>
      <c r="CW50" s="110">
        <f>'Top 4 Total'!L53</f>
        <v>-1.4375533002595309E-2</v>
      </c>
      <c r="CX50" s="111">
        <f>'Top 4 Total'!M53</f>
        <v>1.7375658322178023E-2</v>
      </c>
      <c r="CY50" s="198">
        <f>'Top 4 Total'!O35</f>
        <v>0.41717999284237273</v>
      </c>
      <c r="CZ50" s="198">
        <f>'Top 4 Total'!P35</f>
        <v>0.14064966684537894</v>
      </c>
      <c r="DA50" s="198"/>
      <c r="DB50" s="198"/>
      <c r="DC50" s="198"/>
      <c r="DD50" s="110">
        <f>'Top 4 Total'!B35</f>
        <v>0.49228479935852776</v>
      </c>
      <c r="DE50" s="110">
        <f>'Top 4 Total'!C35</f>
        <v>0.47449538494359111</v>
      </c>
      <c r="DF50" s="110">
        <f>'Top 4 Total'!D35</f>
        <v>0.29685539748267775</v>
      </c>
      <c r="DG50" s="110">
        <f>'Top 4 Total'!E35</f>
        <v>0.12948845782695328</v>
      </c>
      <c r="DH50" s="110">
        <f>'Top 4 Total'!F35</f>
        <v>0.17068663295685926</v>
      </c>
      <c r="DI50" s="110">
        <f>'Top 4 Total'!G35</f>
        <v>0.12200837022962063</v>
      </c>
      <c r="DJ50" s="110">
        <f>'Top 4 Total'!H35</f>
        <v>0.11438302638538356</v>
      </c>
      <c r="DK50" s="110">
        <f>'Top 4 Total'!I35</f>
        <v>0.15463699437206113</v>
      </c>
      <c r="DL50" s="110">
        <f>'Top 4 Total'!J35</f>
        <v>0.14634934440527569</v>
      </c>
      <c r="DM50" s="110">
        <f>'Top 4 Total'!K35</f>
        <v>0.1451091782673346</v>
      </c>
      <c r="DN50" s="110">
        <f>'Top 4 Total'!L35</f>
        <v>0.13247660246661397</v>
      </c>
      <c r="DO50" s="110">
        <f>'Top 4 Total'!M35</f>
        <v>9.2748739853310003E-2</v>
      </c>
      <c r="DP50" s="580" t="s">
        <v>116</v>
      </c>
    </row>
    <row r="51" spans="1:120" ht="16" customHeight="1" thickBot="1">
      <c r="A51" s="345" t="s">
        <v>110</v>
      </c>
      <c r="B51" s="346"/>
      <c r="C51" s="346"/>
      <c r="D51" s="346"/>
      <c r="E51" s="346"/>
      <c r="F51" s="346"/>
      <c r="G51" s="347"/>
      <c r="H51" s="347"/>
      <c r="I51" s="347"/>
      <c r="J51" s="347"/>
      <c r="K51" s="348"/>
      <c r="L51" s="347"/>
      <c r="M51" s="347"/>
      <c r="N51" s="347"/>
      <c r="O51" s="349"/>
      <c r="P51" s="350"/>
      <c r="Q51" s="347"/>
      <c r="R51" s="351">
        <f>'Top4 Domestic'!O138</f>
        <v>8.2219900245160238E-2</v>
      </c>
      <c r="S51" s="351">
        <f>'Top4 Domestic'!P138</f>
        <v>4.5408841367754471E-2</v>
      </c>
      <c r="T51" s="351">
        <f>'Top4 Domestic'!Q138</f>
        <v>7.5644677849300734E-2</v>
      </c>
      <c r="U51" s="351">
        <f>'Top4 Domestic'!R138</f>
        <v>5.8685591835230033E-2</v>
      </c>
      <c r="V51" s="351">
        <f>'Top4 Domestic'!S138</f>
        <v>6.5477255383125765E-2</v>
      </c>
      <c r="W51" s="352">
        <f>'Top4 Domestic'!B138</f>
        <v>0.13383329471969896</v>
      </c>
      <c r="X51" s="352">
        <f>'Top4 Domestic'!C138</f>
        <v>9.6001179929853242E-2</v>
      </c>
      <c r="Y51" s="352">
        <f>'Top4 Domestic'!D138</f>
        <v>2.2957954588105789E-2</v>
      </c>
      <c r="Z51" s="352">
        <f>'Top4 Domestic'!E138</f>
        <v>1.0724932040034663E-2</v>
      </c>
      <c r="AA51" s="352">
        <f>'Top4 Domestic'!F138</f>
        <v>6.4833978047008411E-2</v>
      </c>
      <c r="AB51" s="352">
        <f>'Top4 Domestic'!G138</f>
        <v>6.1572256140906001E-2</v>
      </c>
      <c r="AC51" s="352">
        <f>'Top4 Domestic'!H138</f>
        <v>8.3927165452425623E-2</v>
      </c>
      <c r="AD51" s="352">
        <f>'Top4 Domestic'!I138</f>
        <v>6.9207359627862619E-2</v>
      </c>
      <c r="AE51" s="352">
        <f>'Top4 Domestic'!J138</f>
        <v>7.4095831991643379E-2</v>
      </c>
      <c r="AF51" s="352">
        <f>'Top4 Domestic'!K138</f>
        <v>4.6133486920726385E-2</v>
      </c>
      <c r="AG51" s="352">
        <f>'Top4 Domestic'!L138</f>
        <v>6.811391005397005E-2</v>
      </c>
      <c r="AH51" s="352">
        <f>'Top4 Domestic'!M138</f>
        <v>6.2867074501964826E-2</v>
      </c>
      <c r="AI51" s="351">
        <f>'Top4 Domestic'!O113</f>
        <v>-0.5339563731324648</v>
      </c>
      <c r="AJ51" s="351">
        <f>'Top4 Domestic'!P113</f>
        <v>-0.5010019793964815</v>
      </c>
      <c r="AK51" s="351">
        <f>'Top4 Domestic'!Q113</f>
        <v>-0.13287038805559093</v>
      </c>
      <c r="AL51" s="351">
        <f>'Top4 Domestic'!R113</f>
        <v>-5.1427682562525834E-2</v>
      </c>
      <c r="AM51" s="351">
        <f>AVERAGE(AN51:AY51)</f>
        <v>-0.30437923011203266</v>
      </c>
      <c r="AN51" s="352">
        <f>'Top4 Domestic'!B113</f>
        <v>-5.6633092876634539E-2</v>
      </c>
      <c r="AO51" s="352">
        <f>'Top4 Domestic'!C113</f>
        <v>-0.86222211226540768</v>
      </c>
      <c r="AP51" s="352">
        <f>'Top4 Domestic'!D113</f>
        <v>-0.68186334743303756</v>
      </c>
      <c r="AQ51" s="352">
        <f>'Top4 Domestic'!E113</f>
        <v>-0.65124057557969617</v>
      </c>
      <c r="AR51" s="352">
        <f>'Top4 Domestic'!F113</f>
        <v>-0.48317499188623025</v>
      </c>
      <c r="AS51" s="352">
        <f>'Top4 Domestic'!G113</f>
        <v>-0.37088009718077664</v>
      </c>
      <c r="AT51" s="352">
        <f>'Top4 Domestic'!H113</f>
        <v>-0.25185001290667097</v>
      </c>
      <c r="AU51" s="352">
        <f>'Top4 Domestic'!I113</f>
        <v>-0.15261297816484709</v>
      </c>
      <c r="AV51" s="352">
        <f>'Top4 Domestic'!J113</f>
        <v>1.7034411756533752E-2</v>
      </c>
      <c r="AW51" s="352">
        <f>'Top4 Domestic'!K113</f>
        <v>1.4684782853489731E-2</v>
      </c>
      <c r="AX51" s="352">
        <f>'Top4 Domestic'!L113</f>
        <v>-5.4477478297375148E-2</v>
      </c>
      <c r="AY51" s="353">
        <f>'Top4 Domestic'!M113</f>
        <v>-0.11931526936373871</v>
      </c>
      <c r="AZ51" s="217">
        <f>'Top4 Domestic'!O94</f>
        <v>-0.31198925832525415</v>
      </c>
      <c r="BA51" s="218">
        <f>'Top4 Domestic'!P94</f>
        <v>1.9455230487843922E-2</v>
      </c>
      <c r="BB51" s="218">
        <f>'Top4 Domestic'!Q94</f>
        <v>-0.33298206037487776</v>
      </c>
      <c r="BC51" s="219">
        <f>'Top4 Domestic'!R94</f>
        <v>-0.4043682636747109</v>
      </c>
      <c r="BD51" s="220">
        <f>'Top4 Domestic'!S94</f>
        <v>-0.26067507601905293</v>
      </c>
      <c r="BE51" s="221">
        <f>'Top4 Domestic'!B94</f>
        <v>-0.41923453261190058</v>
      </c>
      <c r="BF51" s="222">
        <f>'Top4 Domestic'!C94</f>
        <v>-0.53586066572353708</v>
      </c>
      <c r="BG51" s="222">
        <f>'Top4 Domestic'!D94</f>
        <v>1.8505206707056354E-2</v>
      </c>
      <c r="BH51" s="222">
        <f>'Top4 Domestic'!E94</f>
        <v>0.12888652873791551</v>
      </c>
      <c r="BI51" s="222">
        <f>'Top4 Domestic'!F94</f>
        <v>7.8546823827928991E-2</v>
      </c>
      <c r="BJ51" s="222">
        <f>'Top4 Domestic'!G94</f>
        <v>-0.14905063888061043</v>
      </c>
      <c r="BK51" s="222">
        <f>'Top4 Domestic'!H94</f>
        <v>-6.426500426022308E-2</v>
      </c>
      <c r="BL51" s="222">
        <f>'Top4 Domestic'!I94</f>
        <v>-0.63505747874822904</v>
      </c>
      <c r="BM51" s="222">
        <f>'Top4 Domestic'!J94</f>
        <v>-0.28222948873000731</v>
      </c>
      <c r="BN51" s="222">
        <f>'Top4 Domestic'!K94</f>
        <v>-0.23291854125775036</v>
      </c>
      <c r="BO51" s="222">
        <f>'Top4 Domestic'!L94</f>
        <v>-0.55109768162829131</v>
      </c>
      <c r="BP51" s="223">
        <f>'Top4 Domestic'!M94</f>
        <v>-0.43970497318377644</v>
      </c>
      <c r="BQ51" s="217">
        <f>'Top4 Domestic'!O71</f>
        <v>-0.47773280971460141</v>
      </c>
      <c r="BR51" s="218">
        <f>'Top4 Domestic'!P71</f>
        <v>-0.70998602078648276</v>
      </c>
      <c r="BS51" s="218">
        <f>'Top4 Domestic'!Q71</f>
        <v>-0.43261941126591164</v>
      </c>
      <c r="BT51" s="218">
        <f>'Top4 Domestic'!R71</f>
        <v>-0.67487001323814855</v>
      </c>
      <c r="BU51" s="218">
        <f>'Top4 Domestic'!S71</f>
        <v>-0.57145376118415081</v>
      </c>
      <c r="BV51" s="224">
        <f>'Top4 Domestic'!B71</f>
        <v>-0.40283289417588963</v>
      </c>
      <c r="BW51" s="222">
        <f>'Top4 Domestic'!C71</f>
        <v>-0.35637703292032052</v>
      </c>
      <c r="BX51" s="222">
        <f>'Top4 Domestic'!D71</f>
        <v>-0.67359671251504127</v>
      </c>
      <c r="BY51" s="222">
        <f>'Top4 Domestic'!E71</f>
        <v>-0.83398846624782474</v>
      </c>
      <c r="BZ51" s="222">
        <f>'Top4 Domestic'!F71</f>
        <v>-0.75516257044227419</v>
      </c>
      <c r="CA51" s="222">
        <f>'Top4 Domestic'!G71</f>
        <v>-0.54132521984509929</v>
      </c>
      <c r="CB51" s="222">
        <f>'Top4 Domestic'!H71</f>
        <v>-0.36609856882388569</v>
      </c>
      <c r="CC51" s="222">
        <f>'Top4 Domestic'!I71</f>
        <v>-0.39553784429952499</v>
      </c>
      <c r="CD51" s="222">
        <f>'Top4 Domestic'!J71</f>
        <v>-0.54567809338014961</v>
      </c>
      <c r="CE51" s="222">
        <f>'Top4 Domestic'!K71</f>
        <v>-0.66652380218177276</v>
      </c>
      <c r="CF51" s="222">
        <f>'Top4 Domestic'!L71</f>
        <v>-0.73203460089775618</v>
      </c>
      <c r="CG51" s="225">
        <f>'Top4 Domestic'!M71</f>
        <v>-0.62588522552187298</v>
      </c>
      <c r="CH51" s="226">
        <f>'Top4 Domestic'!O53</f>
        <v>-4.0910743017156137E-2</v>
      </c>
      <c r="CI51" s="218">
        <f>'Top4 Domestic'!P53</f>
        <v>0.12557026155677598</v>
      </c>
      <c r="CJ51" s="227">
        <f>'Top4 Domestic'!Q53</f>
        <v>0.14527683503903166</v>
      </c>
      <c r="CK51" s="218">
        <f>'Top4 Domestic'!R53</f>
        <v>8.1086942717867538E-2</v>
      </c>
      <c r="CL51" s="218">
        <f>'Top4 Domestic'!S53</f>
        <v>7.9273156834317238E-2</v>
      </c>
      <c r="CM51" s="222">
        <f>'Top4 Domestic'!B53</f>
        <v>-0.10060192822161051</v>
      </c>
      <c r="CN51" s="222">
        <f>'Top4 Domestic'!C53</f>
        <v>-2.7470078331430892E-2</v>
      </c>
      <c r="CO51" s="222">
        <f>'Top4 Domestic'!D53</f>
        <v>5.1621540873791893E-3</v>
      </c>
      <c r="CP51" s="222">
        <f>'Top4 Domestic'!E53</f>
        <v>0.1240480010987377</v>
      </c>
      <c r="CQ51" s="222">
        <f>'Top4 Domestic'!F53</f>
        <v>0.10571971330360541</v>
      </c>
      <c r="CR51" s="222">
        <f>'Top4 Domestic'!G53</f>
        <v>0.14737864663696398</v>
      </c>
      <c r="CS51" s="222">
        <f>'Top4 Domestic'!H53</f>
        <v>0.18916105277568329</v>
      </c>
      <c r="CT51" s="222">
        <f>'Top4 Domestic'!I53</f>
        <v>0.15622330506708892</v>
      </c>
      <c r="CU51" s="222">
        <f>'Top4 Domestic'!J53</f>
        <v>8.587072083204772E-2</v>
      </c>
      <c r="CV51" s="222">
        <f>'Top4 Domestic'!K53</f>
        <v>0.11656009576655668</v>
      </c>
      <c r="CW51" s="222">
        <f>'Top4 Domestic'!L53</f>
        <v>5.058832682083314E-2</v>
      </c>
      <c r="CX51" s="223">
        <f>'Top4 Domestic'!M53</f>
        <v>7.3917772508851343E-2</v>
      </c>
      <c r="CY51" s="225">
        <f>'Top4 Domestic'!O35</f>
        <v>0.28825738016827263</v>
      </c>
      <c r="CZ51" s="225">
        <f>'Top4 Domestic'!P35</f>
        <v>5.6132615147226117E-2</v>
      </c>
      <c r="DA51" s="225"/>
      <c r="DB51" s="225"/>
      <c r="DC51" s="225"/>
      <c r="DD51" s="222">
        <f>'Top4 Domestic'!B35</f>
        <v>0.3494102912267707</v>
      </c>
      <c r="DE51" s="222">
        <f>'Top4 Domestic'!C35</f>
        <v>0.3400823065847054</v>
      </c>
      <c r="DF51" s="222">
        <f>'Top4 Domestic'!D35</f>
        <v>0.1836357433012783</v>
      </c>
      <c r="DG51" s="222">
        <f>'Top4 Domestic'!E35</f>
        <v>2.9102031582612486E-2</v>
      </c>
      <c r="DH51" s="222">
        <f>'Top4 Domestic'!F35</f>
        <v>8.8346615881295998E-2</v>
      </c>
      <c r="DI51" s="222">
        <f>'Top4 Domestic'!G35</f>
        <v>5.0526551831053812E-2</v>
      </c>
      <c r="DJ51" s="222">
        <f>'Top4 Domestic'!H35</f>
        <v>5.769558447747114E-2</v>
      </c>
      <c r="DK51" s="222">
        <f>'Top4 Domestic'!I35</f>
        <v>0.10282006362163543</v>
      </c>
      <c r="DL51" s="222">
        <f>'Top4 Domestic'!J35</f>
        <v>9.746662069745704E-2</v>
      </c>
      <c r="DM51" s="222">
        <f>'Top4 Domestic'!K35</f>
        <v>9.9177713392202937E-2</v>
      </c>
      <c r="DN51" s="222">
        <f>'Top4 Domestic'!L35</f>
        <v>8.2175928351619243E-2</v>
      </c>
      <c r="DO51" s="222">
        <f>'Top4 Domestic'!M35</f>
        <v>4.9103380624458959E-2</v>
      </c>
      <c r="DP51" s="581"/>
    </row>
    <row r="52" spans="1:120">
      <c r="A52" s="354" t="s">
        <v>111</v>
      </c>
      <c r="B52" s="355"/>
      <c r="C52" s="355"/>
      <c r="D52" s="355"/>
      <c r="E52" s="355"/>
      <c r="F52" s="355"/>
      <c r="G52" s="356"/>
      <c r="H52" s="356"/>
      <c r="I52" s="356"/>
      <c r="J52" s="356"/>
      <c r="K52" s="355"/>
      <c r="L52" s="356"/>
      <c r="M52" s="356"/>
      <c r="N52" s="356"/>
      <c r="O52" s="357"/>
      <c r="P52" s="358"/>
      <c r="Q52" s="356"/>
      <c r="R52" s="359"/>
      <c r="S52" s="359"/>
      <c r="T52" s="359"/>
      <c r="U52" s="359"/>
      <c r="V52" s="359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0"/>
      <c r="AI52" s="359"/>
      <c r="AJ52" s="359"/>
      <c r="AK52" s="359"/>
      <c r="AL52" s="359"/>
      <c r="AM52" s="359"/>
      <c r="AN52" s="360"/>
      <c r="AO52" s="360"/>
      <c r="AP52" s="360"/>
      <c r="AQ52" s="360"/>
      <c r="AR52" s="360"/>
      <c r="AS52" s="360"/>
      <c r="AT52" s="360"/>
      <c r="AU52" s="360"/>
      <c r="AV52" s="360"/>
      <c r="AW52" s="360"/>
      <c r="AX52" s="360"/>
      <c r="AY52" s="361"/>
      <c r="AZ52" s="228"/>
      <c r="BA52" s="229"/>
      <c r="BB52" s="229"/>
      <c r="BC52" s="230"/>
      <c r="BD52" s="231"/>
      <c r="BE52" s="232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4"/>
      <c r="BQ52" s="228">
        <f>'Top4 Intl.+Reg'!O242</f>
        <v>-0.96824235683364601</v>
      </c>
      <c r="BR52" s="228">
        <f>'Top4 Intl.+Reg'!P242</f>
        <v>-0.98089273019614209</v>
      </c>
      <c r="BS52" s="228">
        <f>'Top4 Intl.+Reg'!Q242</f>
        <v>-0.96883240137039395</v>
      </c>
      <c r="BT52" s="228">
        <f>'Top4 Intl.+Reg'!R242</f>
        <v>-0.94597720865385038</v>
      </c>
      <c r="BU52" s="229">
        <f>'Top4 Intl.+Reg'!S242</f>
        <v>-0.96626077659045884</v>
      </c>
      <c r="BV52" s="235"/>
      <c r="BW52" s="233"/>
      <c r="BX52" s="233"/>
      <c r="BY52" s="233"/>
      <c r="BZ52" s="233"/>
      <c r="CA52" s="233"/>
      <c r="CB52" s="233"/>
      <c r="CC52" s="233"/>
      <c r="CD52" s="233"/>
      <c r="CE52" s="233">
        <f>'Top4 Intl.+Reg'!K242</f>
        <v>-0.95574712971573872</v>
      </c>
      <c r="CF52" s="233">
        <f>'Top4 Intl.+Reg'!L242</f>
        <v>-0.94777667573435731</v>
      </c>
      <c r="CG52" s="236">
        <f>'Top4 Intl.+Reg'!M242</f>
        <v>-0.9349150181667697</v>
      </c>
      <c r="CH52" s="237">
        <f>'Top4 Intl.+Reg'!O185</f>
        <v>-0.84528788372491026</v>
      </c>
      <c r="CI52" s="229">
        <f>'Top4 Intl.+Reg'!P185</f>
        <v>-0.62015450978413933</v>
      </c>
      <c r="CJ52" s="238">
        <f>'Top4 Intl.+Reg'!Q185</f>
        <v>-0.41272603070697655</v>
      </c>
      <c r="CK52" s="229">
        <f>'Top4 Intl.+Reg'!R185</f>
        <v>-0.32453761037064688</v>
      </c>
      <c r="CL52" s="229">
        <f>'Top4 Intl.+Reg'!S185</f>
        <v>-0.55227232338334853</v>
      </c>
      <c r="CM52" s="233">
        <f>'Top4 Intl.+Reg'!B185</f>
        <v>-0.89719202748948723</v>
      </c>
      <c r="CN52" s="233">
        <f>'Top4 Intl.+Reg'!C185</f>
        <v>-0.85395074472861954</v>
      </c>
      <c r="CO52" s="233">
        <f>'Top4 Intl.+Reg'!D185</f>
        <v>-0.78416389225353622</v>
      </c>
      <c r="CP52" s="233">
        <f>'Top4 Intl.+Reg'!E185</f>
        <v>-0.6967170825728477</v>
      </c>
      <c r="CQ52" s="233">
        <f>'Top4 Intl.+Reg'!F185</f>
        <v>-0.62799293812227408</v>
      </c>
      <c r="CR52" s="233">
        <f>'Top4 Intl.+Reg'!G185</f>
        <v>-0.53421407931761111</v>
      </c>
      <c r="CS52" s="233">
        <f>'Top4 Intl.+Reg'!H185</f>
        <v>-0.43998075373359069</v>
      </c>
      <c r="CT52" s="233">
        <f>'Top4 Intl.+Reg'!I185</f>
        <v>-0.41349612226539023</v>
      </c>
      <c r="CU52" s="233">
        <f>'Top4 Intl.+Reg'!J185</f>
        <v>-0.38074463737920794</v>
      </c>
      <c r="CV52" s="233">
        <f>'Top4 Intl.+Reg'!K185</f>
        <v>-0.35903989775949519</v>
      </c>
      <c r="CW52" s="233">
        <f>'Top4 Intl.+Reg'!L185</f>
        <v>-0.35623843579437031</v>
      </c>
      <c r="CX52" s="234">
        <f>'Top4 Intl.+Reg'!M185</f>
        <v>-0.26157231431701877</v>
      </c>
      <c r="CY52" s="236">
        <f>'Top4 Intl.+Reg'!O129</f>
        <v>-0.18884785981165464</v>
      </c>
      <c r="CZ52" s="236">
        <f>'Top4 Intl.+Reg'!P129</f>
        <v>-0.1138700958524379</v>
      </c>
      <c r="DA52" s="236"/>
      <c r="DB52" s="236"/>
      <c r="DC52" s="236"/>
      <c r="DD52" s="233">
        <f>'Top4 Intl.+Reg'!B129</f>
        <v>-0.24218749308049636</v>
      </c>
      <c r="DE52" s="233">
        <f>'Top4 Intl.+Reg'!C129</f>
        <v>-0.1483969009423991</v>
      </c>
      <c r="DF52" s="233">
        <f>'Top4 Intl.+Reg'!D129</f>
        <v>-0.17464767497792366</v>
      </c>
      <c r="DG52" s="233">
        <f>'Top4 Intl.+Reg'!E129</f>
        <v>-0.13499870086485311</v>
      </c>
      <c r="DH52" s="233">
        <f>'Top4 Intl.+Reg'!F129</f>
        <v>-0.12070273593826952</v>
      </c>
      <c r="DI52" s="233">
        <f>'Top4 Intl.+Reg'!G129</f>
        <v>-8.5471656959713926E-2</v>
      </c>
      <c r="DJ52" s="233">
        <f>'Top4 Intl.+Reg'!H129</f>
        <v>-4.2565540771297483E-2</v>
      </c>
      <c r="DK52" s="233">
        <f>'Top4 Intl.+Reg'!I129</f>
        <v>-1.2730243052767709E-2</v>
      </c>
      <c r="DL52" s="233">
        <f>'Top4 Intl.+Reg'!J129</f>
        <v>-1.1499346758830242E-2</v>
      </c>
      <c r="DM52" s="233">
        <f>'Top4 Intl.+Reg'!K129</f>
        <v>1.5385522394588236E-2</v>
      </c>
      <c r="DN52" s="233">
        <f>'Top4 Intl.+Reg'!L129</f>
        <v>6.9854085584306613E-3</v>
      </c>
      <c r="DO52" s="233">
        <f>'Top4 Intl.+Reg'!M129</f>
        <v>3.863970728986077E-2</v>
      </c>
      <c r="DP52" s="580" t="s">
        <v>115</v>
      </c>
    </row>
    <row r="53" spans="1:120">
      <c r="A53" s="318" t="s">
        <v>112</v>
      </c>
      <c r="B53" s="337"/>
      <c r="C53" s="337"/>
      <c r="D53" s="337"/>
      <c r="E53" s="337"/>
      <c r="F53" s="337"/>
      <c r="G53" s="338"/>
      <c r="H53" s="338"/>
      <c r="I53" s="338"/>
      <c r="J53" s="338"/>
      <c r="K53" s="339"/>
      <c r="L53" s="338"/>
      <c r="M53" s="338"/>
      <c r="N53" s="338"/>
      <c r="O53" s="340"/>
      <c r="P53" s="341"/>
      <c r="Q53" s="338"/>
      <c r="R53" s="342">
        <f>'Top4 Intl.+Reg'!O469</f>
        <v>0.13535940997321383</v>
      </c>
      <c r="S53" s="342">
        <f>'Top4 Intl.+Reg'!P469</f>
        <v>0.14359041295957908</v>
      </c>
      <c r="T53" s="342">
        <f>'Top4 Intl.+Reg'!Q469</f>
        <v>-3.415608381206181E-2</v>
      </c>
      <c r="U53" s="342">
        <f>'Top4 Intl.+Reg'!R469</f>
        <v>-0.20468484180109925</v>
      </c>
      <c r="V53" s="342">
        <f>'Top4 Intl.+Reg'!S469</f>
        <v>6.5559289342393967E-3</v>
      </c>
      <c r="W53" s="343">
        <f>'Top4 Intl.+Reg'!B469</f>
        <v>0.18621341873796093</v>
      </c>
      <c r="X53" s="343">
        <f>'Top4 Intl.+Reg'!C469</f>
        <v>9.813243145512951E-2</v>
      </c>
      <c r="Y53" s="343">
        <f>'Top4 Intl.+Reg'!D469</f>
        <v>0.12580421549725984</v>
      </c>
      <c r="Z53" s="343">
        <f>'Top4 Intl.+Reg'!E469</f>
        <v>0.13125019601283761</v>
      </c>
      <c r="AA53" s="343">
        <f>'Top4 Intl.+Reg'!F469</f>
        <v>0.16391271375623506</v>
      </c>
      <c r="AB53" s="343">
        <f>'Top4 Intl.+Reg'!G469</f>
        <v>0.13592253625804274</v>
      </c>
      <c r="AC53" s="343">
        <f>'Top4 Intl.+Reg'!H469</f>
        <v>0.11149621674395882</v>
      </c>
      <c r="AD53" s="343">
        <f>'Top4 Intl.+Reg'!I469</f>
        <v>-7.0575683072783724E-2</v>
      </c>
      <c r="AE53" s="343">
        <f>'Top4 Intl.+Reg'!J469</f>
        <v>-0.15793467955690377</v>
      </c>
      <c r="AF53" s="343">
        <f>'Top4 Intl.+Reg'!K469</f>
        <v>-0.18196867175698872</v>
      </c>
      <c r="AG53" s="343">
        <f>'Top4 Intl.+Reg'!L469</f>
        <v>-0.20661820684764354</v>
      </c>
      <c r="AH53" s="343">
        <f>'Top4 Intl.+Reg'!M469</f>
        <v>-0.22480891767567801</v>
      </c>
      <c r="AI53" s="342">
        <f>'Top4 Intl.+Reg'!O410</f>
        <v>-0.72225086007830785</v>
      </c>
      <c r="AJ53" s="342">
        <f>'Top4 Intl.+Reg'!P410</f>
        <v>-0.99190545672164832</v>
      </c>
      <c r="AK53" s="342">
        <f>'Top4 Intl.+Reg'!Q410</f>
        <v>-0.98058571784715109</v>
      </c>
      <c r="AL53" s="342">
        <f>'Top4 Intl.+Reg'!R410</f>
        <v>-0.89787854292790314</v>
      </c>
      <c r="AM53" s="342">
        <f>AVERAGE(AN53:AY53)</f>
        <v>-0.89722289674001932</v>
      </c>
      <c r="AN53" s="343">
        <f>'Top4 Intl.+Reg'!B410</f>
        <v>-0.25544017882035308</v>
      </c>
      <c r="AO53" s="343">
        <f>'Top4 Intl.+Reg'!C410</f>
        <v>-0.93019089033732671</v>
      </c>
      <c r="AP53" s="343">
        <f>'Top4 Intl.+Reg'!D410</f>
        <v>-0.97479339240530682</v>
      </c>
      <c r="AQ53" s="343">
        <f>'Top4 Intl.+Reg'!E410</f>
        <v>-0.9954441281928067</v>
      </c>
      <c r="AR53" s="343">
        <f>'Top4 Intl.+Reg'!F410</f>
        <v>-0.9934752085455496</v>
      </c>
      <c r="AS53" s="343">
        <f>'Top4 Intl.+Reg'!G410</f>
        <v>-0.98672748345608852</v>
      </c>
      <c r="AT53" s="343">
        <f>'Top4 Intl.+Reg'!H410</f>
        <v>-0.98730730379024112</v>
      </c>
      <c r="AU53" s="343">
        <f>'Top4 Intl.+Reg'!I410</f>
        <v>-0.98403841162730343</v>
      </c>
      <c r="AV53" s="343">
        <f>'Top4 Intl.+Reg'!J410</f>
        <v>-0.96572842147489468</v>
      </c>
      <c r="AW53" s="343">
        <f>'Top4 Intl.+Reg'!K410</f>
        <v>-0.90757089014241266</v>
      </c>
      <c r="AX53" s="343">
        <f>'Top4 Intl.+Reg'!L410</f>
        <v>-0.90345054222806442</v>
      </c>
      <c r="AY53" s="344">
        <f>'Top4 Intl.+Reg'!M410</f>
        <v>-0.88250790985988248</v>
      </c>
      <c r="AZ53" s="128">
        <f>'Top4 Intl.+Reg'!O351</f>
        <v>-0.92965537078303084</v>
      </c>
      <c r="BA53" s="112">
        <f>'Top4 Intl.+Reg'!P351</f>
        <v>-0.86171719072459119</v>
      </c>
      <c r="BB53" s="112">
        <f>'Top4 Intl.+Reg'!Q351</f>
        <v>-0.89410611894407355</v>
      </c>
      <c r="BC53" s="114">
        <f>'Top4 Intl.+Reg'!R351</f>
        <v>-0.91555018574573477</v>
      </c>
      <c r="BD53" s="141">
        <f>'Top4 Intl.+Reg'!S351</f>
        <v>-0.89885733210098073</v>
      </c>
      <c r="BE53" s="115">
        <f>'Top4 Intl.+Reg'!B351</f>
        <v>-0.93151415253532632</v>
      </c>
      <c r="BF53" s="116">
        <f>'Top4 Intl.+Reg'!C351</f>
        <v>-0.95579789449216968</v>
      </c>
      <c r="BG53" s="116">
        <f>'Top4 Intl.+Reg'!D351</f>
        <v>-0.90185778470478439</v>
      </c>
      <c r="BH53" s="116">
        <f>'Top4 Intl.+Reg'!E351</f>
        <v>-0.87359072930913395</v>
      </c>
      <c r="BI53" s="116">
        <f>'Top4 Intl.+Reg'!F351</f>
        <v>-0.85462838054859636</v>
      </c>
      <c r="BJ53" s="116">
        <f>'Top4 Intl.+Reg'!G351</f>
        <v>-0.8569278797622164</v>
      </c>
      <c r="BK53" s="116">
        <f>'Top4 Intl.+Reg'!H351</f>
        <v>-0.84217137335851378</v>
      </c>
      <c r="BL53" s="116">
        <f>'Top4 Intl.+Reg'!I351</f>
        <v>-0.95089740262333045</v>
      </c>
      <c r="BM53" s="116">
        <f>'Top4 Intl.+Reg'!J351</f>
        <v>-0.89709166276659758</v>
      </c>
      <c r="BN53" s="116">
        <f>'Top4 Intl.+Reg'!K351</f>
        <v>-0.94618420054131991</v>
      </c>
      <c r="BO53" s="116">
        <f>'Top4 Intl.+Reg'!L351</f>
        <v>-0.92950377916529736</v>
      </c>
      <c r="BP53" s="117">
        <f>'Top4 Intl.+Reg'!M351</f>
        <v>-0.87056240718021571</v>
      </c>
      <c r="BQ53" s="128">
        <f>'Top4 Intl.+Reg'!O280</f>
        <v>-0.90163839059917039</v>
      </c>
      <c r="BR53" s="112">
        <f>'Top4 Intl.+Reg'!P280</f>
        <v>-0.98295333606853219</v>
      </c>
      <c r="BS53" s="112">
        <f>'Top4 Intl.+Reg'!Q280</f>
        <v>-0.96016038336888176</v>
      </c>
      <c r="BT53" s="112">
        <f>'Top4 Intl.+Reg'!R280</f>
        <v>-0.87836664144193732</v>
      </c>
      <c r="BU53" s="112">
        <f>'Top4 Intl.+Reg'!S280</f>
        <v>-0.93440882791581614</v>
      </c>
      <c r="BV53" s="149">
        <f>'Top4 Intl.+Reg'!B280</f>
        <v>-0.87629309712351611</v>
      </c>
      <c r="BW53" s="116">
        <f>'Top4 Intl.+Reg'!C280</f>
        <v>-0.87597454795502305</v>
      </c>
      <c r="BX53" s="116">
        <f>'Top4 Intl.+Reg'!D280</f>
        <v>-0.95205934135711612</v>
      </c>
      <c r="BY53" s="116">
        <f>'Top4 Intl.+Reg'!E280</f>
        <v>-0.98368942446309093</v>
      </c>
      <c r="BZ53" s="116">
        <f>'Top4 Intl.+Reg'!F280</f>
        <v>-0.98499573273132723</v>
      </c>
      <c r="CA53" s="116">
        <f>'Top4 Intl.+Reg'!G280</f>
        <v>-0.98012861255467898</v>
      </c>
      <c r="CB53" s="116">
        <f>'Top4 Intl.+Reg'!H280</f>
        <v>-0.98371469981114679</v>
      </c>
      <c r="CC53" s="116">
        <f>'Top4 Intl.+Reg'!I280</f>
        <v>-0.9693246022080696</v>
      </c>
      <c r="CD53" s="116">
        <f>'Top4 Intl.+Reg'!J280</f>
        <v>-0.91202781306411718</v>
      </c>
      <c r="CE53" s="116">
        <f>'Top4 Intl.+Reg'!K280</f>
        <v>-0.90482634760832725</v>
      </c>
      <c r="CF53" s="116">
        <f>'Top4 Intl.+Reg'!L280</f>
        <v>-0.884180085441998</v>
      </c>
      <c r="CG53" s="195">
        <f>'Top4 Intl.+Reg'!M280</f>
        <v>-0.84563827726480278</v>
      </c>
      <c r="CH53" s="128">
        <f>'Top4 Intl.+Reg'!O223</f>
        <v>-0.66460593621316688</v>
      </c>
      <c r="CI53" s="112">
        <f>'Top4 Intl.+Reg'!P223</f>
        <v>-0.44660122295672988</v>
      </c>
      <c r="CJ53" s="113">
        <f>'Top4 Intl.+Reg'!Q223</f>
        <v>-0.23460222708512213</v>
      </c>
      <c r="CK53" s="112">
        <f>'Top4 Intl.+Reg'!R223</f>
        <v>-6.1162802696753116E-2</v>
      </c>
      <c r="CL53" s="112">
        <f>'Top4 Intl.+Reg'!S223</f>
        <v>-0.37437801187887187</v>
      </c>
      <c r="CM53" s="116">
        <f>'Top4 Intl.+Reg'!B223</f>
        <v>-0.74766501940336105</v>
      </c>
      <c r="CN53" s="116">
        <f>'Top4 Intl.+Reg'!C223</f>
        <v>-0.68775002876096036</v>
      </c>
      <c r="CO53" s="116">
        <f>'Top4 Intl.+Reg'!D223</f>
        <v>-0.55992680770279568</v>
      </c>
      <c r="CP53" s="116">
        <f>'Top4 Intl.+Reg'!E223</f>
        <v>-0.47605877208313474</v>
      </c>
      <c r="CQ53" s="116">
        <f>'Top4 Intl.+Reg'!F223</f>
        <v>-0.45699235562407658</v>
      </c>
      <c r="CR53" s="116">
        <f>'Top4 Intl.+Reg'!G223</f>
        <v>-0.40622312782741998</v>
      </c>
      <c r="CS53" s="116">
        <f>'Top4 Intl.+Reg'!H223</f>
        <v>-0.32267556765778016</v>
      </c>
      <c r="CT53" s="116">
        <f>'Top4 Intl.+Reg'!I223</f>
        <v>-0.18234542514324503</v>
      </c>
      <c r="CU53" s="116">
        <f>'Top4 Intl.+Reg'!J223</f>
        <v>-0.17052884936818891</v>
      </c>
      <c r="CV53" s="116">
        <f>'Top4 Intl.+Reg'!K223</f>
        <v>-0.11873624566817609</v>
      </c>
      <c r="CW53" s="116">
        <f>'Top4 Intl.+Reg'!L223</f>
        <v>-7.5911929017417057E-2</v>
      </c>
      <c r="CX53" s="117">
        <f>'Top4 Intl.+Reg'!M223</f>
        <v>1.211338542002971E-2</v>
      </c>
      <c r="CY53" s="195">
        <f>'Top4 Intl.+Reg'!O167</f>
        <v>-0.21432553539773669</v>
      </c>
      <c r="CZ53" s="195">
        <f>'Top4 Intl.+Reg'!P167</f>
        <v>-0.19933429785081247</v>
      </c>
      <c r="DA53" s="195"/>
      <c r="DB53" s="195"/>
      <c r="DC53" s="195"/>
      <c r="DD53" s="116">
        <f>'Top4 Intl.+Reg'!B167</f>
        <v>-0.21312197054550974</v>
      </c>
      <c r="DE53" s="116">
        <f>'Top4 Intl.+Reg'!C167</f>
        <v>-0.18067271653123873</v>
      </c>
      <c r="DF53" s="116">
        <f>'Top4 Intl.+Reg'!D167</f>
        <v>-0.24893930210407833</v>
      </c>
      <c r="DG53" s="116">
        <f>'Top4 Intl.+Reg'!E167</f>
        <v>-0.19441466750452807</v>
      </c>
      <c r="DH53" s="116">
        <f>'Top4 Intl.+Reg'!F167</f>
        <v>-0.21456561040295863</v>
      </c>
      <c r="DI53" s="116">
        <f>'Top4 Intl.+Reg'!G167</f>
        <v>-0.18879687441582238</v>
      </c>
      <c r="DJ53" s="116">
        <f>'Top4 Intl.+Reg'!H167</f>
        <v>-0.16465369581448452</v>
      </c>
      <c r="DK53" s="116">
        <f>'Top4 Intl.+Reg'!I167</f>
        <v>1.9185849188444681E-2</v>
      </c>
      <c r="DL53" s="116">
        <f>'Top4 Intl.+Reg'!J167</f>
        <v>5.6949923112923795E-2</v>
      </c>
      <c r="DM53" s="116">
        <f>'Top4 Intl.+Reg'!K167</f>
        <v>9.5262186021804585E-2</v>
      </c>
      <c r="DN53" s="116">
        <f>'Top4 Intl.+Reg'!L167</f>
        <v>0.12499507065395976</v>
      </c>
      <c r="DO53" s="116">
        <f>'Top4 Intl.+Reg'!M167</f>
        <v>0.12990249887002014</v>
      </c>
      <c r="DP53" s="581"/>
    </row>
    <row r="54" spans="1:120" ht="16" customHeight="1" thickBot="1">
      <c r="A54" s="326" t="s">
        <v>113</v>
      </c>
      <c r="B54" s="362"/>
      <c r="C54" s="362"/>
      <c r="D54" s="362"/>
      <c r="E54" s="362"/>
      <c r="F54" s="362"/>
      <c r="G54" s="327"/>
      <c r="H54" s="327"/>
      <c r="I54" s="327"/>
      <c r="J54" s="327"/>
      <c r="K54" s="329"/>
      <c r="L54" s="327"/>
      <c r="M54" s="327"/>
      <c r="N54" s="327"/>
      <c r="O54" s="328"/>
      <c r="P54" s="330"/>
      <c r="Q54" s="327"/>
      <c r="R54" s="331">
        <f>'Top4 Intl.+Reg'!O452</f>
        <v>0.12836438580114384</v>
      </c>
      <c r="S54" s="331">
        <f>'Top4 Intl.+Reg'!P452</f>
        <v>0.11414744645799013</v>
      </c>
      <c r="T54" s="331">
        <f>'Top4 Intl.+Reg'!Q452</f>
        <v>0.11913467604356898</v>
      </c>
      <c r="U54" s="331">
        <f>'Top4 Intl.+Reg'!R452</f>
        <v>0.10386183055186882</v>
      </c>
      <c r="V54" s="331">
        <f>'Top4 Intl.+Reg'!S452</f>
        <v>0.11635399069447505</v>
      </c>
      <c r="W54" s="332">
        <f>'Top4 Intl.+Reg'!B452</f>
        <v>0.19251425181210835</v>
      </c>
      <c r="X54" s="332">
        <f>'Top4 Intl.+Reg'!C452</f>
        <v>9.3235351850034398E-2</v>
      </c>
      <c r="Y54" s="332">
        <f>'Top4 Intl.+Reg'!D452</f>
        <v>0.10269143179694806</v>
      </c>
      <c r="Z54" s="332">
        <f>'Top4 Intl.+Reg'!E452</f>
        <v>0.10131758838481075</v>
      </c>
      <c r="AA54" s="332">
        <f>'Top4 Intl.+Reg'!F452</f>
        <v>0.13295302846460344</v>
      </c>
      <c r="AB54" s="332">
        <f>'Top4 Intl.+Reg'!G452</f>
        <v>0.10896221391722594</v>
      </c>
      <c r="AC54" s="332">
        <f>'Top4 Intl.+Reg'!H452</f>
        <v>9.8263095346923679E-2</v>
      </c>
      <c r="AD54" s="332">
        <f>'Top4 Intl.+Reg'!I452</f>
        <v>0.12139438666376501</v>
      </c>
      <c r="AE54" s="332">
        <f>'Top4 Intl.+Reg'!J452</f>
        <v>0.13982605259066361</v>
      </c>
      <c r="AF54" s="332">
        <f>'Top4 Intl.+Reg'!K452</f>
        <v>9.4030928971115868E-2</v>
      </c>
      <c r="AG54" s="332">
        <f>'Top4 Intl.+Reg'!L452</f>
        <v>0.12050169670615496</v>
      </c>
      <c r="AH54" s="332">
        <f>'Top4 Intl.+Reg'!M452</f>
        <v>9.7949737453591146E-2</v>
      </c>
      <c r="AI54" s="331">
        <f>'Top4 Intl.+Reg'!O393</f>
        <v>-0.55073632919836957</v>
      </c>
      <c r="AJ54" s="331">
        <f>'Top4 Intl.+Reg'!P393</f>
        <v>-0.98039960815481586</v>
      </c>
      <c r="AK54" s="331">
        <f>'Top4 Intl.+Reg'!Q393</f>
        <v>-0.97014095562023739</v>
      </c>
      <c r="AL54" s="331">
        <f>'Top4 Intl.+Reg'!R393</f>
        <v>-0.96989094130727682</v>
      </c>
      <c r="AM54" s="331">
        <f>AVERAGE(AN54:AY54)</f>
        <v>-0.86912237574775253</v>
      </c>
      <c r="AN54" s="332">
        <f>'Top4 Intl.+Reg'!B393</f>
        <v>5.2063369831841344E-2</v>
      </c>
      <c r="AO54" s="332">
        <f>'Top4 Intl.+Reg'!C393</f>
        <v>-0.81289346640961124</v>
      </c>
      <c r="AP54" s="332">
        <f>'Top4 Intl.+Reg'!D393</f>
        <v>-0.90789360458060742</v>
      </c>
      <c r="AQ54" s="332">
        <f>'Top4 Intl.+Reg'!E393</f>
        <v>-0.98632933303318338</v>
      </c>
      <c r="AR54" s="332">
        <f>'Top4 Intl.+Reg'!F393</f>
        <v>-0.98065988905707457</v>
      </c>
      <c r="AS54" s="332">
        <f>'Top4 Intl.+Reg'!G393</f>
        <v>-0.97408038519861806</v>
      </c>
      <c r="AT54" s="332">
        <f>'Top4 Intl.+Reg'!H393</f>
        <v>-0.97285227944297858</v>
      </c>
      <c r="AU54" s="332">
        <f>'Top4 Intl.+Reg'!I393</f>
        <v>-0.97066463308246798</v>
      </c>
      <c r="AV54" s="332">
        <f>'Top4 Intl.+Reg'!J393</f>
        <v>-0.9666242591754729</v>
      </c>
      <c r="AW54" s="332">
        <f>'Top4 Intl.+Reg'!K393</f>
        <v>-0.96737347035162613</v>
      </c>
      <c r="AX54" s="332">
        <f>'Top4 Intl.+Reg'!L393</f>
        <v>-0.96975377766091042</v>
      </c>
      <c r="AY54" s="363">
        <f>'Top4 Intl.+Reg'!M393</f>
        <v>-0.9724067808123219</v>
      </c>
      <c r="AZ54" s="134">
        <f>'Top4 Intl.+Reg'!O326</f>
        <v>-0.97809894524626106</v>
      </c>
      <c r="BA54" s="122">
        <f>'Top4 Intl.+Reg'!P326</f>
        <v>-0.97681533371532081</v>
      </c>
      <c r="BB54" s="122">
        <f>'Top4 Intl.+Reg'!Q326</f>
        <v>-0.97743053985091</v>
      </c>
      <c r="BC54" s="139">
        <f>'Top4 Intl.+Reg'!R326</f>
        <v>-0.98008819765811894</v>
      </c>
      <c r="BD54" s="142">
        <f>'Top4 Intl.+Reg'!S326</f>
        <v>-0.97810014695731917</v>
      </c>
      <c r="BE54" s="123">
        <f>'Top4 Intl.+Reg'!B326</f>
        <v>-0.97532997910456798</v>
      </c>
      <c r="BF54" s="124">
        <f>'Top4 Intl.+Reg'!C326</f>
        <v>-0.98373728282898565</v>
      </c>
      <c r="BG54" s="124">
        <f>'Top4 Intl.+Reg'!D326</f>
        <v>-0.97538033825005788</v>
      </c>
      <c r="BH54" s="124">
        <f>'Top4 Intl.+Reg'!E326</f>
        <v>-0.97608125031417403</v>
      </c>
      <c r="BI54" s="124">
        <f>'Top4 Intl.+Reg'!F326</f>
        <v>-0.97669125357456676</v>
      </c>
      <c r="BJ54" s="124">
        <f>'Top4 Intl.+Reg'!G326</f>
        <v>-0.97768938894831936</v>
      </c>
      <c r="BK54" s="124">
        <f>'Top4 Intl.+Reg'!H326</f>
        <v>-0.97722637944381097</v>
      </c>
      <c r="BL54" s="124">
        <f>'Top4 Intl.+Reg'!I326</f>
        <v>-0.97759071242753881</v>
      </c>
      <c r="BM54" s="124">
        <f>'Top4 Intl.+Reg'!J326</f>
        <v>-0.9774672872495308</v>
      </c>
      <c r="BN54" s="124">
        <f>'Top4 Intl.+Reg'!K326</f>
        <v>-0.98063359395460137</v>
      </c>
      <c r="BO54" s="124">
        <f>'Top4 Intl.+Reg'!L326</f>
        <v>-0.98027410426480122</v>
      </c>
      <c r="BP54" s="125">
        <f>'Top4 Intl.+Reg'!M326</f>
        <v>-0.9793968931890451</v>
      </c>
      <c r="BQ54" s="134">
        <f>'Top4 Intl.+Reg'!O261</f>
        <v>-0.98338373463348117</v>
      </c>
      <c r="BR54" s="122">
        <f>'Top4 Intl.+Reg'!P261</f>
        <v>-0.98039886882427962</v>
      </c>
      <c r="BS54" s="122">
        <f>'Top4 Intl.+Reg'!Q261</f>
        <v>-0.97057515765917779</v>
      </c>
      <c r="BT54" s="122">
        <f>'Top4 Intl.+Reg'!R261</f>
        <v>-0.95754797853999252</v>
      </c>
      <c r="BU54" s="122">
        <f>'Top4 Intl.+Reg'!S261</f>
        <v>-0.97293767445169599</v>
      </c>
      <c r="BV54" s="150">
        <f>'Top4 Intl.+Reg'!B261</f>
        <v>-0.98357567131442214</v>
      </c>
      <c r="BW54" s="124">
        <f>'Top4 Intl.+Reg'!C261</f>
        <v>-0.9846305427564026</v>
      </c>
      <c r="BX54" s="124">
        <f>'Top4 Intl.+Reg'!D261</f>
        <v>-0.98196220336926188</v>
      </c>
      <c r="BY54" s="124">
        <f>'Top4 Intl.+Reg'!E261</f>
        <v>-0.98280402754677643</v>
      </c>
      <c r="BZ54" s="124">
        <f>'Top4 Intl.+Reg'!F261</f>
        <v>-0.98089688926053697</v>
      </c>
      <c r="CA54" s="124">
        <f>'Top4 Intl.+Reg'!G261</f>
        <v>-0.97744372656436684</v>
      </c>
      <c r="CB54" s="124">
        <f>'Top4 Intl.+Reg'!H261</f>
        <v>-0.97558869309716245</v>
      </c>
      <c r="CC54" s="124">
        <f>'Top4 Intl.+Reg'!I261</f>
        <v>-0.97251132618834313</v>
      </c>
      <c r="CD54" s="124">
        <f>'Top4 Intl.+Reg'!J261</f>
        <v>-0.96296661306001408</v>
      </c>
      <c r="CE54" s="124">
        <f>'Top4 Intl.+Reg'!K261</f>
        <v>-0.96475905030296383</v>
      </c>
      <c r="CF54" s="124">
        <f>'Top4 Intl.+Reg'!L261</f>
        <v>-0.95874381723964397</v>
      </c>
      <c r="CG54" s="196">
        <f>'Top4 Intl.+Reg'!M261</f>
        <v>-0.94958967849303955</v>
      </c>
      <c r="CH54" s="134">
        <f>'Top4 Intl.+Reg'!O204</f>
        <v>-0.88636311968389414</v>
      </c>
      <c r="CI54" s="191">
        <f>'Top4 Intl.+Reg'!P204</f>
        <v>-0.66174968597588801</v>
      </c>
      <c r="CJ54" s="139">
        <f>'Top4 Intl.+Reg'!Q204</f>
        <v>-0.44852235618623093</v>
      </c>
      <c r="CK54" s="191">
        <f>'Top4 Intl.+Reg'!R204</f>
        <v>-0.36961117533350074</v>
      </c>
      <c r="CL54" s="191">
        <f>'Top4 Intl.+Reg'!S204</f>
        <v>-0.5895630449069611</v>
      </c>
      <c r="CM54" s="124">
        <f>'Top4 Intl.+Reg'!B204</f>
        <v>-0.93025585409008227</v>
      </c>
      <c r="CN54" s="124">
        <f>'Top4 Intl.+Reg'!C204</f>
        <v>-0.89246578432115098</v>
      </c>
      <c r="CO54" s="124">
        <f>'Top4 Intl.+Reg'!D204</f>
        <v>-0.83559075766021629</v>
      </c>
      <c r="CP54" s="124">
        <f>'Top4 Intl.+Reg'!E204</f>
        <v>-0.74890357428130483</v>
      </c>
      <c r="CQ54" s="124">
        <f>'Top4 Intl.+Reg'!F204</f>
        <v>-0.6696552541380012</v>
      </c>
      <c r="CR54" s="124">
        <f>'Top4 Intl.+Reg'!G204</f>
        <v>-0.56479568706185557</v>
      </c>
      <c r="CS54" s="124">
        <f>'Top4 Intl.+Reg'!H204</f>
        <v>-0.46777066564562708</v>
      </c>
      <c r="CT54" s="124">
        <f>'Top4 Intl.+Reg'!I204</f>
        <v>-0.45889147443349465</v>
      </c>
      <c r="CU54" s="124">
        <f>'Top4 Intl.+Reg'!J204</f>
        <v>-0.41595701313885636</v>
      </c>
      <c r="CV54" s="124">
        <f>'Top4 Intl.+Reg'!K204</f>
        <v>-0.40156865202919734</v>
      </c>
      <c r="CW54" s="124">
        <f>'Top4 Intl.+Reg'!L204</f>
        <v>-0.4045803430156909</v>
      </c>
      <c r="CX54" s="125">
        <f>'Top4 Intl.+Reg'!M204</f>
        <v>-0.30655877595554182</v>
      </c>
      <c r="CY54" s="196">
        <f>'Top4 Intl.+Reg'!O148</f>
        <v>-0.18305590576867137</v>
      </c>
      <c r="CZ54" s="196">
        <f>'Top4 Intl.+Reg'!P148</f>
        <v>-9.3387058018963742E-2</v>
      </c>
      <c r="DA54" s="196"/>
      <c r="DB54" s="196"/>
      <c r="DC54" s="196"/>
      <c r="DD54" s="124">
        <f>'Top4 Intl.+Reg'!B148</f>
        <v>-0.24861454200933597</v>
      </c>
      <c r="DE54" s="124">
        <f>'Top4 Intl.+Reg'!C148</f>
        <v>-0.1409173644792272</v>
      </c>
      <c r="DF54" s="124">
        <f>'Top4 Intl.+Reg'!D148</f>
        <v>-0.15760952307403786</v>
      </c>
      <c r="DG54" s="124">
        <f>'Top4 Intl.+Reg'!E148</f>
        <v>-0.1209466089970691</v>
      </c>
      <c r="DH54" s="124">
        <f>'Top4 Intl.+Reg'!F148</f>
        <v>-9.7834131159489912E-2</v>
      </c>
      <c r="DI54" s="124">
        <f>'Top4 Intl.+Reg'!G148</f>
        <v>-6.0783573673032332E-2</v>
      </c>
      <c r="DJ54" s="124">
        <f>'Top4 Intl.+Reg'!H148</f>
        <v>-1.3642530735231584E-2</v>
      </c>
      <c r="DK54" s="124">
        <f>'Top4 Intl.+Reg'!I148</f>
        <v>-1.9017802356788183E-2</v>
      </c>
      <c r="DL54" s="124">
        <f>'Top4 Intl.+Reg'!J148</f>
        <v>-2.296500038077165E-2</v>
      </c>
      <c r="DM54" s="124">
        <f>'Top4 Intl.+Reg'!K148</f>
        <v>1.2490123177684165E-3</v>
      </c>
      <c r="DN54" s="124">
        <f>'Top4 Intl.+Reg'!L148</f>
        <v>-1.3319853291200667E-2</v>
      </c>
      <c r="DO54" s="124">
        <f>'Top4 Intl.+Reg'!M148</f>
        <v>2.363859442064653E-2</v>
      </c>
      <c r="DP54" s="581"/>
    </row>
    <row r="55" spans="1:120" s="106" customFormat="1" ht="16" hidden="1" customHeight="1" outlineLevel="2" thickTop="1">
      <c r="A55" s="105" t="s">
        <v>117</v>
      </c>
      <c r="B55" s="58"/>
      <c r="C55" s="59"/>
      <c r="D55" s="59"/>
      <c r="E55" s="59"/>
      <c r="F55" s="59"/>
      <c r="G55" s="73">
        <v>3233092</v>
      </c>
      <c r="H55" s="73">
        <v>3427941</v>
      </c>
      <c r="I55" s="73">
        <v>3604074</v>
      </c>
      <c r="J55" s="73"/>
      <c r="K55" s="74"/>
      <c r="L55" s="73">
        <v>3244429</v>
      </c>
      <c r="M55" s="73">
        <v>3495959</v>
      </c>
      <c r="N55" s="73">
        <v>3631150</v>
      </c>
      <c r="O55" s="75"/>
      <c r="P55" s="76"/>
      <c r="Q55" s="73"/>
      <c r="R55" s="77">
        <v>3266873</v>
      </c>
      <c r="S55" s="78">
        <v>3557544</v>
      </c>
      <c r="T55" s="78">
        <v>3702392</v>
      </c>
      <c r="U55" s="78"/>
      <c r="V55" s="78"/>
      <c r="W55" s="79"/>
      <c r="X55" s="79"/>
      <c r="Y55" s="79"/>
      <c r="Z55" s="80"/>
      <c r="AA55" s="80"/>
      <c r="AB55" s="80"/>
      <c r="AC55" s="81"/>
      <c r="AD55" s="81"/>
      <c r="AE55" s="81"/>
      <c r="AF55" s="81"/>
      <c r="AG55" s="81"/>
      <c r="AH55" s="81"/>
      <c r="AI55" s="78"/>
      <c r="AJ55" s="78"/>
      <c r="AK55" s="78"/>
      <c r="AL55" s="78"/>
      <c r="AM55" s="78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78"/>
      <c r="BA55" s="78"/>
      <c r="BB55" s="78"/>
      <c r="BC55" s="78"/>
      <c r="BD55" s="78"/>
      <c r="BE55" s="81"/>
      <c r="BF55" s="257"/>
      <c r="BG55" s="257"/>
      <c r="BH55" s="257"/>
      <c r="BI55" s="257"/>
    </row>
    <row r="56" spans="1:120" s="106" customFormat="1" hidden="1" outlineLevel="2">
      <c r="A56" s="105" t="s">
        <v>118</v>
      </c>
      <c r="B56" s="58"/>
      <c r="C56" s="59"/>
      <c r="D56" s="59"/>
      <c r="E56" s="59"/>
      <c r="F56" s="59"/>
      <c r="G56" s="60">
        <v>66328577</v>
      </c>
      <c r="H56" s="60">
        <v>62974871</v>
      </c>
      <c r="I56" s="60">
        <v>71693489</v>
      </c>
      <c r="J56" s="60"/>
      <c r="K56" s="61"/>
      <c r="L56" s="60">
        <v>75097253</v>
      </c>
      <c r="M56" s="60">
        <v>72776322</v>
      </c>
      <c r="N56" s="60">
        <v>80698414</v>
      </c>
      <c r="O56" s="72"/>
      <c r="P56" s="71"/>
      <c r="Q56" s="60"/>
      <c r="R56" s="70">
        <v>85837717</v>
      </c>
      <c r="S56" s="63">
        <v>82544476</v>
      </c>
      <c r="T56" s="63">
        <v>81757669</v>
      </c>
      <c r="U56" s="63"/>
      <c r="V56" s="63"/>
      <c r="W56" s="62"/>
      <c r="X56" s="62"/>
      <c r="Y56" s="62"/>
      <c r="Z56" s="67"/>
      <c r="AA56" s="67"/>
      <c r="AB56" s="67"/>
      <c r="AC56" s="66"/>
      <c r="AD56" s="66"/>
      <c r="AE56" s="66"/>
      <c r="AF56" s="66"/>
      <c r="AG56" s="66"/>
      <c r="AH56" s="66"/>
      <c r="AI56" s="63"/>
      <c r="AJ56" s="63"/>
      <c r="AK56" s="63"/>
      <c r="AL56" s="63"/>
      <c r="AM56" s="63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3"/>
      <c r="BA56" s="63"/>
      <c r="BB56" s="63"/>
      <c r="BC56" s="63"/>
      <c r="BD56" s="63"/>
      <c r="BE56" s="66"/>
      <c r="BF56" s="257"/>
      <c r="BG56" s="257"/>
      <c r="BH56" s="257"/>
      <c r="BI56" s="257"/>
    </row>
    <row r="57" spans="1:120" s="106" customFormat="1" hidden="1" outlineLevel="2">
      <c r="A57" s="105" t="s">
        <v>119</v>
      </c>
      <c r="B57" s="58"/>
      <c r="C57" s="59"/>
      <c r="D57" s="59"/>
      <c r="E57" s="59"/>
      <c r="F57" s="59"/>
      <c r="G57" s="60">
        <f>SUM(G55:G56)</f>
        <v>69561669</v>
      </c>
      <c r="H57" s="60">
        <f>SUM(H55:H56)</f>
        <v>66402812</v>
      </c>
      <c r="I57" s="60">
        <f>SUM(I55:I56)</f>
        <v>75297563</v>
      </c>
      <c r="J57" s="60"/>
      <c r="K57" s="61">
        <f>SUM(K55:K56)</f>
        <v>0</v>
      </c>
      <c r="L57" s="60">
        <f>SUM(L55:L56)</f>
        <v>78341682</v>
      </c>
      <c r="M57" s="60">
        <f>SUM(M55:M56)</f>
        <v>76272281</v>
      </c>
      <c r="N57" s="60">
        <f>SUM(N55:N56)</f>
        <v>84329564</v>
      </c>
      <c r="O57" s="72"/>
      <c r="P57" s="71">
        <f>SUM(P55:P56)</f>
        <v>0</v>
      </c>
      <c r="Q57" s="60">
        <f>SUM(Q55:Q56)</f>
        <v>0</v>
      </c>
      <c r="R57" s="70">
        <f>SUM(R55:R56)</f>
        <v>89104590</v>
      </c>
      <c r="S57" s="70">
        <f>SUM(S55:S56)</f>
        <v>86102020</v>
      </c>
      <c r="T57" s="70">
        <f>SUM(T55:T56)</f>
        <v>85460061</v>
      </c>
      <c r="U57" s="70"/>
      <c r="V57" s="70"/>
      <c r="W57" s="62">
        <f t="shared" ref="W57:AF57" si="0">SUM(W55:W56)</f>
        <v>0</v>
      </c>
      <c r="X57" s="62">
        <f t="shared" si="0"/>
        <v>0</v>
      </c>
      <c r="Y57" s="62">
        <f t="shared" si="0"/>
        <v>0</v>
      </c>
      <c r="Z57" s="67">
        <f t="shared" si="0"/>
        <v>0</v>
      </c>
      <c r="AA57" s="67">
        <f t="shared" si="0"/>
        <v>0</v>
      </c>
      <c r="AB57" s="67">
        <f t="shared" si="0"/>
        <v>0</v>
      </c>
      <c r="AC57" s="66">
        <f t="shared" si="0"/>
        <v>0</v>
      </c>
      <c r="AD57" s="66">
        <f t="shared" si="0"/>
        <v>0</v>
      </c>
      <c r="AE57" s="66">
        <f t="shared" si="0"/>
        <v>0</v>
      </c>
      <c r="AF57" s="66">
        <f t="shared" si="0"/>
        <v>0</v>
      </c>
      <c r="AG57" s="66"/>
      <c r="AH57" s="66"/>
      <c r="AI57" s="70"/>
      <c r="AJ57" s="70"/>
      <c r="AK57" s="70"/>
      <c r="AL57" s="70"/>
      <c r="AM57" s="70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70"/>
      <c r="BA57" s="70"/>
      <c r="BB57" s="70"/>
      <c r="BC57" s="70"/>
      <c r="BD57" s="70"/>
      <c r="BE57" s="66"/>
      <c r="BF57" s="257"/>
      <c r="BG57" s="257"/>
      <c r="BH57" s="257"/>
      <c r="BI57" s="257"/>
    </row>
    <row r="58" spans="1:120" s="106" customFormat="1" hidden="1" outlineLevel="2">
      <c r="A58" s="105" t="s">
        <v>120</v>
      </c>
      <c r="B58" s="58"/>
      <c r="C58" s="59"/>
      <c r="D58" s="59"/>
      <c r="E58" s="59"/>
      <c r="F58" s="59"/>
      <c r="G58" s="60"/>
      <c r="H58" s="60"/>
      <c r="I58" s="60"/>
      <c r="J58" s="60"/>
      <c r="K58" s="61"/>
      <c r="L58" s="60"/>
      <c r="M58" s="60"/>
      <c r="N58" s="60"/>
      <c r="O58" s="72"/>
      <c r="P58" s="71"/>
      <c r="Q58" s="60"/>
      <c r="R58" s="70"/>
      <c r="S58" s="70"/>
      <c r="T58" s="70"/>
      <c r="U58" s="70"/>
      <c r="V58" s="70"/>
      <c r="W58" s="62"/>
      <c r="X58" s="62"/>
      <c r="Y58" s="62"/>
      <c r="Z58" s="67"/>
      <c r="AA58" s="67"/>
      <c r="AB58" s="67"/>
      <c r="AC58" s="66"/>
      <c r="AD58" s="66"/>
      <c r="AE58" s="66"/>
      <c r="AF58" s="66"/>
      <c r="AG58" s="66"/>
      <c r="AH58" s="66"/>
      <c r="AI58" s="321">
        <f>AVERAGE(AN58:AP58)</f>
        <v>-0.64867234755598835</v>
      </c>
      <c r="AJ58" s="321">
        <f>AVERAGE(AQ58:AS58)</f>
        <v>-0.39190577023738299</v>
      </c>
      <c r="AK58" s="321">
        <f>AVERAGE(AT58:AV58)</f>
        <v>-0.10997263460609003</v>
      </c>
      <c r="AL58" s="321">
        <f>AVERAGE(AW58:AY58)</f>
        <v>-0.10333333333333333</v>
      </c>
      <c r="AM58" s="321">
        <f>AVERAGE(AN58:AY58)</f>
        <v>-0.31347102143319866</v>
      </c>
      <c r="AN58" s="364">
        <v>-0.49267445074667482</v>
      </c>
      <c r="AO58" s="364">
        <v>-0.81801667195325223</v>
      </c>
      <c r="AP58" s="364">
        <v>-0.63532591996803811</v>
      </c>
      <c r="AQ58" s="364">
        <v>-0.51811069213061334</v>
      </c>
      <c r="AR58" s="364">
        <v>-0.32903576684473063</v>
      </c>
      <c r="AS58" s="364">
        <v>-0.32857085173680511</v>
      </c>
      <c r="AT58" s="364">
        <v>-0.17587344942369709</v>
      </c>
      <c r="AU58" s="364">
        <v>-9.7044454394572988E-2</v>
      </c>
      <c r="AV58" s="364">
        <v>-5.7000000000000002E-2</v>
      </c>
      <c r="AW58" s="364">
        <v>-8.5000000000000006E-2</v>
      </c>
      <c r="AX58" s="364">
        <v>-0.1</v>
      </c>
      <c r="AY58" s="364">
        <v>-0.125</v>
      </c>
      <c r="AZ58" s="321">
        <v>-0.24592833876221501</v>
      </c>
      <c r="BA58" s="321"/>
      <c r="BB58" s="321"/>
      <c r="BC58" s="70"/>
      <c r="BD58" s="70"/>
      <c r="BE58" s="364">
        <v>-0.2975206611570248</v>
      </c>
      <c r="BF58" s="364">
        <v>-0.38528896672504381</v>
      </c>
      <c r="BG58" s="364">
        <v>-9.3655589123867178E-2</v>
      </c>
      <c r="BH58" s="364">
        <v>-7.0000000000000007E-2</v>
      </c>
      <c r="BI58" s="364"/>
    </row>
    <row r="59" spans="1:120" s="106" customFormat="1" hidden="1" outlineLevel="2">
      <c r="A59" s="105" t="s">
        <v>121</v>
      </c>
      <c r="B59" s="58"/>
      <c r="C59" s="59"/>
      <c r="D59" s="59"/>
      <c r="E59" s="59"/>
      <c r="F59" s="59"/>
      <c r="G59" s="60"/>
      <c r="H59" s="60"/>
      <c r="I59" s="60"/>
      <c r="J59" s="60"/>
      <c r="K59" s="61"/>
      <c r="L59" s="60"/>
      <c r="M59" s="60"/>
      <c r="N59" s="60"/>
      <c r="O59" s="72"/>
      <c r="P59" s="71"/>
      <c r="Q59" s="60"/>
      <c r="R59" s="70"/>
      <c r="S59" s="70"/>
      <c r="T59" s="70"/>
      <c r="U59" s="70"/>
      <c r="V59" s="70"/>
      <c r="W59" s="62"/>
      <c r="X59" s="62"/>
      <c r="Y59" s="62"/>
      <c r="Z59" s="67"/>
      <c r="AA59" s="67"/>
      <c r="AB59" s="67"/>
      <c r="AC59" s="66"/>
      <c r="AD59" s="66"/>
      <c r="AE59" s="66"/>
      <c r="AF59" s="66"/>
      <c r="AG59" s="66"/>
      <c r="AH59" s="66"/>
      <c r="AI59" s="321">
        <f>AVERAGE(AN59:AP59)</f>
        <v>-0.70398604459000946</v>
      </c>
      <c r="AJ59" s="321">
        <f>AVERAGE(AQ59:AS59)</f>
        <v>-0.52601423673706549</v>
      </c>
      <c r="AK59" s="321">
        <f>AVERAGE(AT59:AV59)</f>
        <v>-0.1791232728537239</v>
      </c>
      <c r="AL59" s="321">
        <f>AVERAGE(AW59:AY59)</f>
        <v>-0.15733333333333333</v>
      </c>
      <c r="AM59" s="321">
        <f>AVERAGE(AN59:AY59)</f>
        <v>-0.39161422187853301</v>
      </c>
      <c r="AN59" s="364">
        <v>-0.51136825288886723</v>
      </c>
      <c r="AO59" s="364">
        <v>-0.85286186754165461</v>
      </c>
      <c r="AP59" s="364">
        <v>-0.74772801333950656</v>
      </c>
      <c r="AQ59" s="364">
        <v>-0.66984384202032743</v>
      </c>
      <c r="AR59" s="364">
        <v>-0.4704843975772478</v>
      </c>
      <c r="AS59" s="364">
        <v>-0.43771447061362112</v>
      </c>
      <c r="AT59" s="364">
        <v>-0.26550399685407822</v>
      </c>
      <c r="AU59" s="364">
        <v>-0.16486582170709349</v>
      </c>
      <c r="AV59" s="364">
        <v>-0.107</v>
      </c>
      <c r="AW59" s="364">
        <v>-0.188</v>
      </c>
      <c r="AX59" s="364">
        <v>-0.16</v>
      </c>
      <c r="AY59" s="364">
        <v>-0.124</v>
      </c>
      <c r="AZ59" s="321">
        <v>-0.37248322147650997</v>
      </c>
      <c r="BA59" s="321"/>
      <c r="BB59" s="321"/>
      <c r="BC59" s="70"/>
      <c r="BD59" s="70"/>
      <c r="BE59" s="364">
        <v>-0.42241074584658889</v>
      </c>
      <c r="BF59" s="364">
        <v>-0.4960897653859232</v>
      </c>
      <c r="BG59" s="364">
        <v>-0.22612270714737501</v>
      </c>
      <c r="BH59" s="364">
        <v>-0.08</v>
      </c>
      <c r="BI59" s="364"/>
    </row>
    <row r="60" spans="1:120" s="106" customFormat="1" hidden="1" outlineLevel="2">
      <c r="A60" s="107" t="s">
        <v>122</v>
      </c>
      <c r="B60" s="96"/>
      <c r="C60" s="97"/>
      <c r="D60" s="97"/>
      <c r="E60" s="97"/>
      <c r="F60" s="97"/>
      <c r="G60" s="88"/>
      <c r="H60" s="88"/>
      <c r="I60" s="88"/>
      <c r="J60" s="88"/>
      <c r="K60" s="89"/>
      <c r="L60" s="88"/>
      <c r="M60" s="88"/>
      <c r="N60" s="88"/>
      <c r="O60" s="90"/>
      <c r="P60" s="91"/>
      <c r="Q60" s="88"/>
      <c r="R60" s="92"/>
      <c r="S60" s="92"/>
      <c r="T60" s="92"/>
      <c r="U60" s="92"/>
      <c r="V60" s="92"/>
      <c r="W60" s="93"/>
      <c r="X60" s="93"/>
      <c r="Y60" s="93"/>
      <c r="Z60" s="94"/>
      <c r="AA60" s="94"/>
      <c r="AB60" s="94"/>
      <c r="AC60" s="95"/>
      <c r="AD60" s="95"/>
      <c r="AE60" s="95"/>
      <c r="AF60" s="95"/>
      <c r="AG60" s="95"/>
      <c r="AH60" s="95"/>
      <c r="AI60" s="365"/>
      <c r="AJ60" s="365"/>
      <c r="AK60" s="92"/>
      <c r="AL60" s="92"/>
      <c r="AM60" s="92"/>
      <c r="AN60" s="366"/>
      <c r="AO60" s="366"/>
      <c r="AP60" s="366"/>
      <c r="AQ60" s="366"/>
      <c r="AR60" s="366"/>
      <c r="AS60" s="366"/>
      <c r="AT60" s="366"/>
      <c r="AU60" s="366"/>
      <c r="AV60" s="366"/>
      <c r="AW60" s="366"/>
      <c r="AX60" s="366"/>
      <c r="AY60" s="366"/>
      <c r="AZ60" s="365"/>
      <c r="BA60" s="365"/>
      <c r="BB60" s="92"/>
      <c r="BC60" s="92"/>
      <c r="BD60" s="92"/>
      <c r="BE60" s="366"/>
      <c r="BF60" s="366"/>
      <c r="BG60" s="366"/>
      <c r="BH60" s="366"/>
      <c r="BI60" s="366"/>
    </row>
    <row r="61" spans="1:120" s="106" customFormat="1" ht="15.65" hidden="1" customHeight="1" outlineLevel="2">
      <c r="A61" s="105" t="s">
        <v>120</v>
      </c>
      <c r="B61" s="58"/>
      <c r="C61" s="59"/>
      <c r="D61" s="59"/>
      <c r="E61" s="59"/>
      <c r="F61" s="59"/>
      <c r="G61" s="60"/>
      <c r="H61" s="60"/>
      <c r="I61" s="60"/>
      <c r="J61" s="60"/>
      <c r="K61" s="61"/>
      <c r="L61" s="60"/>
      <c r="M61" s="60"/>
      <c r="N61" s="60"/>
      <c r="O61" s="72"/>
      <c r="P61" s="71"/>
      <c r="Q61" s="60"/>
      <c r="R61" s="70"/>
      <c r="S61" s="70"/>
      <c r="T61" s="70"/>
      <c r="U61" s="70"/>
      <c r="V61" s="70"/>
      <c r="W61" s="62"/>
      <c r="X61" s="62"/>
      <c r="Y61" s="62"/>
      <c r="Z61" s="67"/>
      <c r="AA61" s="67"/>
      <c r="AB61" s="67"/>
      <c r="AC61" s="66"/>
      <c r="AD61" s="66"/>
      <c r="AE61" s="66"/>
      <c r="AF61" s="66"/>
      <c r="AG61" s="66"/>
      <c r="AH61" s="66"/>
      <c r="AI61" s="321">
        <f>AVERAGE(AN61:AP61)</f>
        <v>-0.55066666666666675</v>
      </c>
      <c r="AJ61" s="321">
        <f>AVERAGE(AQ61:AS61)</f>
        <v>-0.38100000000000001</v>
      </c>
      <c r="AK61" s="70"/>
      <c r="AL61" s="70"/>
      <c r="AM61" s="70"/>
      <c r="AN61" s="364">
        <v>-0.23899999999999999</v>
      </c>
      <c r="AO61" s="364">
        <v>-0.75900000000000001</v>
      </c>
      <c r="AP61" s="364">
        <v>-0.65400000000000003</v>
      </c>
      <c r="AQ61" s="364">
        <v>-0.48699999999999999</v>
      </c>
      <c r="AR61" s="364">
        <v>-0.36199999999999999</v>
      </c>
      <c r="AS61" s="364">
        <v>-0.29399999999999998</v>
      </c>
      <c r="AT61" s="364">
        <v>-0.21</v>
      </c>
      <c r="AU61" s="364">
        <v>-0.11899999999999999</v>
      </c>
      <c r="AV61" s="364">
        <v>-1.2999999999999999E-2</v>
      </c>
      <c r="AW61" s="364"/>
      <c r="AX61" s="364"/>
      <c r="AY61" s="364"/>
      <c r="AZ61" s="321"/>
      <c r="BA61" s="321"/>
      <c r="BB61" s="70"/>
      <c r="BC61" s="70"/>
      <c r="BD61" s="70"/>
      <c r="BE61" s="364"/>
      <c r="BF61" s="364"/>
      <c r="BG61" s="364"/>
      <c r="BH61" s="364"/>
      <c r="BI61" s="364"/>
    </row>
    <row r="62" spans="1:120" s="106" customFormat="1" ht="15.65" hidden="1" customHeight="1" outlineLevel="2">
      <c r="A62" s="105" t="s">
        <v>121</v>
      </c>
      <c r="B62" s="58"/>
      <c r="C62" s="59"/>
      <c r="D62" s="59"/>
      <c r="E62" s="59"/>
      <c r="F62" s="59"/>
      <c r="G62" s="60"/>
      <c r="H62" s="60"/>
      <c r="I62" s="60"/>
      <c r="J62" s="60"/>
      <c r="K62" s="61"/>
      <c r="L62" s="60"/>
      <c r="M62" s="60"/>
      <c r="N62" s="60"/>
      <c r="O62" s="72"/>
      <c r="P62" s="71"/>
      <c r="Q62" s="60"/>
      <c r="R62" s="70"/>
      <c r="S62" s="70"/>
      <c r="T62" s="70"/>
      <c r="U62" s="70"/>
      <c r="V62" s="70"/>
      <c r="W62" s="62"/>
      <c r="X62" s="62"/>
      <c r="Y62" s="62"/>
      <c r="Z62" s="67"/>
      <c r="AA62" s="67"/>
      <c r="AB62" s="67"/>
      <c r="AC62" s="66"/>
      <c r="AD62" s="66"/>
      <c r="AE62" s="66"/>
      <c r="AF62" s="66"/>
      <c r="AG62" s="66"/>
      <c r="AH62" s="66"/>
      <c r="AI62" s="321">
        <f>AVERAGE(AN62:AP62)</f>
        <v>-0.622</v>
      </c>
      <c r="AJ62" s="321">
        <f>AVERAGE(AQ62:AS62)</f>
        <v>-0.57299999999999995</v>
      </c>
      <c r="AK62" s="70"/>
      <c r="AL62" s="70"/>
      <c r="AM62" s="70"/>
      <c r="AN62" s="364">
        <v>-0.26600000000000001</v>
      </c>
      <c r="AO62" s="364">
        <v>-0.82399999999999995</v>
      </c>
      <c r="AP62" s="364">
        <v>-0.77600000000000002</v>
      </c>
      <c r="AQ62" s="364">
        <v>-0.68500000000000005</v>
      </c>
      <c r="AR62" s="364">
        <v>-0.55700000000000005</v>
      </c>
      <c r="AS62" s="364">
        <v>-0.47699999999999998</v>
      </c>
      <c r="AT62" s="364">
        <v>-0.377</v>
      </c>
      <c r="AU62" s="364">
        <v>-0.254</v>
      </c>
      <c r="AV62" s="364">
        <v>-0.158</v>
      </c>
      <c r="AW62" s="364"/>
      <c r="AX62" s="364"/>
      <c r="AY62" s="364"/>
      <c r="AZ62" s="321"/>
      <c r="BA62" s="321"/>
      <c r="BB62" s="70"/>
      <c r="BC62" s="70"/>
      <c r="BD62" s="70"/>
      <c r="BE62" s="364"/>
      <c r="BF62" s="364"/>
      <c r="BG62" s="364"/>
      <c r="BH62" s="364"/>
      <c r="BI62" s="364"/>
    </row>
    <row r="63" spans="1:120" s="367" customFormat="1" hidden="1" outlineLevel="1" collapsed="1">
      <c r="A63" s="318" t="s">
        <v>123</v>
      </c>
      <c r="B63" s="56"/>
      <c r="C63" s="57"/>
      <c r="D63" s="57"/>
      <c r="E63" s="57"/>
      <c r="F63" s="57"/>
      <c r="G63" s="280">
        <f>G57/(3042706+62752613)-1</f>
        <v>5.7243433989582204E-2</v>
      </c>
      <c r="H63" s="280">
        <f>H57/(3308400+61935693)-1</f>
        <v>1.7759753361886732E-2</v>
      </c>
      <c r="I63" s="280">
        <f>I57/(3490403+61935693)-1</f>
        <v>0.15087965817187077</v>
      </c>
      <c r="J63" s="280"/>
      <c r="K63" s="319"/>
      <c r="L63" s="280">
        <f>L57/G57-1</f>
        <v>0.12621912507590927</v>
      </c>
      <c r="M63" s="280">
        <f>M57/H57-1</f>
        <v>0.14863028692218627</v>
      </c>
      <c r="N63" s="280">
        <f>N57/I57-1</f>
        <v>0.11995077450248948</v>
      </c>
      <c r="O63" s="281"/>
      <c r="P63" s="368">
        <f>P57/M57-1</f>
        <v>-1</v>
      </c>
      <c r="Q63" s="280"/>
      <c r="R63" s="321">
        <f>R57/L57-1</f>
        <v>0.13738418330104274</v>
      </c>
      <c r="S63" s="321">
        <f>S57/M57-1</f>
        <v>0.12887695072342198</v>
      </c>
      <c r="T63" s="321">
        <f>T57/N57-1</f>
        <v>1.3405701943389525E-2</v>
      </c>
      <c r="U63" s="321"/>
      <c r="V63" s="321"/>
      <c r="W63" s="286"/>
      <c r="X63" s="286"/>
      <c r="Y63" s="286"/>
      <c r="Z63" s="323"/>
      <c r="AA63" s="323"/>
      <c r="AB63" s="323"/>
      <c r="AC63" s="364"/>
      <c r="AD63" s="364"/>
      <c r="AE63" s="364"/>
      <c r="AF63" s="364"/>
      <c r="AG63" s="364"/>
      <c r="AH63" s="364"/>
      <c r="AI63" s="321"/>
      <c r="AJ63" s="321"/>
      <c r="AK63" s="321"/>
      <c r="AL63" s="321"/>
      <c r="AM63" s="321"/>
      <c r="AN63" s="364"/>
      <c r="AO63" s="364"/>
      <c r="AP63" s="364"/>
      <c r="AQ63" s="364"/>
      <c r="AR63" s="364"/>
      <c r="AS63" s="364"/>
      <c r="AT63" s="364"/>
      <c r="AU63" s="364"/>
      <c r="AV63" s="364"/>
      <c r="AW63" s="364"/>
      <c r="AX63" s="364"/>
      <c r="AY63" s="364"/>
      <c r="AZ63" s="321"/>
      <c r="BA63" s="321"/>
      <c r="BB63" s="321"/>
      <c r="BC63" s="321"/>
      <c r="BD63" s="321"/>
      <c r="BE63" s="364"/>
      <c r="BF63" s="364"/>
      <c r="BG63" s="364"/>
      <c r="BH63" s="364"/>
      <c r="BI63" s="364"/>
    </row>
    <row r="64" spans="1:120" s="367" customFormat="1" ht="16" hidden="1" customHeight="1" outlineLevel="1" thickBot="1">
      <c r="A64" s="326" t="s">
        <v>124</v>
      </c>
      <c r="B64" s="64"/>
      <c r="C64" s="65"/>
      <c r="D64" s="65"/>
      <c r="E64" s="65"/>
      <c r="F64" s="65"/>
      <c r="G64" s="327">
        <v>4.9489999999999999E-2</v>
      </c>
      <c r="H64" s="327">
        <v>-2.7799999999999999E-3</v>
      </c>
      <c r="I64" s="327">
        <v>3.7659999999999999E-2</v>
      </c>
      <c r="J64" s="327"/>
      <c r="K64" s="329"/>
      <c r="L64" s="327">
        <v>0.12484000000000001</v>
      </c>
      <c r="M64" s="327">
        <v>0.17823</v>
      </c>
      <c r="N64" s="327">
        <v>9.5500000000000002E-2</v>
      </c>
      <c r="O64" s="328"/>
      <c r="P64" s="330"/>
      <c r="Q64" s="327"/>
      <c r="R64" s="331">
        <v>8.3790000000000003E-2</v>
      </c>
      <c r="S64" s="369">
        <v>8.6260000000000003E-2</v>
      </c>
      <c r="T64" s="369">
        <v>8.0420000000000005E-2</v>
      </c>
      <c r="U64" s="369"/>
      <c r="V64" s="369"/>
      <c r="W64" s="332"/>
      <c r="X64" s="332"/>
      <c r="Y64" s="332"/>
      <c r="Z64" s="333"/>
      <c r="AA64" s="333"/>
      <c r="AB64" s="333"/>
      <c r="AC64" s="370"/>
      <c r="AD64" s="370"/>
      <c r="AE64" s="370"/>
      <c r="AF64" s="370"/>
      <c r="AG64" s="370"/>
      <c r="AH64" s="370"/>
      <c r="AI64" s="369"/>
      <c r="AJ64" s="369"/>
      <c r="AK64" s="369"/>
      <c r="AL64" s="369"/>
      <c r="AM64" s="369"/>
      <c r="AN64" s="370"/>
      <c r="AO64" s="370"/>
      <c r="AP64" s="370"/>
      <c r="AQ64" s="370"/>
      <c r="AR64" s="370"/>
      <c r="AS64" s="370"/>
      <c r="AT64" s="370"/>
      <c r="AU64" s="370"/>
      <c r="AV64" s="370"/>
      <c r="AW64" s="370"/>
      <c r="AX64" s="370"/>
      <c r="AY64" s="370"/>
      <c r="AZ64" s="369"/>
      <c r="BA64" s="369"/>
      <c r="BB64" s="369"/>
      <c r="BC64" s="369"/>
      <c r="BD64" s="369"/>
      <c r="BE64" s="370"/>
      <c r="BF64" s="370"/>
      <c r="BG64" s="370"/>
      <c r="BH64" s="370"/>
      <c r="BI64" s="370"/>
    </row>
    <row r="65" spans="1:61" s="367" customFormat="1" ht="16.5" hidden="1" customHeight="1" outlineLevel="1" thickTop="1" thickBot="1">
      <c r="A65" s="371" t="s">
        <v>125</v>
      </c>
      <c r="B65" s="68"/>
      <c r="C65" s="69"/>
      <c r="D65" s="69"/>
      <c r="E65" s="69"/>
      <c r="F65" s="69"/>
      <c r="G65" s="372">
        <v>2.5000000000000001E-2</v>
      </c>
      <c r="H65" s="372">
        <v>5.8000000000000003E-2</v>
      </c>
      <c r="I65" s="372">
        <v>8.3000000000000004E-2</v>
      </c>
      <c r="J65" s="372">
        <v>9.5000000000000001E-2</v>
      </c>
      <c r="K65" s="372"/>
      <c r="L65" s="372">
        <v>6.5000000000000002E-2</v>
      </c>
      <c r="M65" s="372">
        <v>7.9000000000000001E-2</v>
      </c>
      <c r="N65" s="372">
        <v>4.2000000000000003E-2</v>
      </c>
      <c r="O65" s="373">
        <v>3.9E-2</v>
      </c>
      <c r="P65" s="374"/>
      <c r="Q65" s="372"/>
      <c r="R65" s="375">
        <v>-4.0000000000000001E-3</v>
      </c>
      <c r="S65" s="376">
        <v>-2.1000000000000001E-2</v>
      </c>
      <c r="T65" s="376">
        <v>-3.7999999999999999E-2</v>
      </c>
      <c r="U65" s="377">
        <v>-5.3999999999999999E-2</v>
      </c>
      <c r="V65" s="377">
        <f>AVERAGE(R65:U65)</f>
        <v>-2.9249999999999998E-2</v>
      </c>
      <c r="W65" s="378"/>
      <c r="X65" s="378"/>
      <c r="Y65" s="378"/>
      <c r="Z65" s="379"/>
      <c r="AA65" s="379"/>
      <c r="AB65" s="379"/>
      <c r="AC65" s="380"/>
      <c r="AD65" s="380"/>
      <c r="AE65" s="380"/>
      <c r="AF65" s="380"/>
      <c r="AG65" s="380"/>
      <c r="AH65" s="380"/>
      <c r="AI65" s="376"/>
      <c r="AJ65" s="376"/>
      <c r="AK65" s="376"/>
      <c r="AL65" s="376"/>
      <c r="AM65" s="376"/>
      <c r="AN65" s="381"/>
      <c r="AO65" s="381"/>
      <c r="AP65" s="381"/>
      <c r="AQ65" s="381"/>
      <c r="AR65" s="381"/>
      <c r="AS65" s="381"/>
      <c r="AT65" s="381"/>
      <c r="AU65" s="381"/>
      <c r="AV65" s="381"/>
      <c r="AW65" s="381"/>
      <c r="AX65" s="381"/>
      <c r="AY65" s="381"/>
      <c r="AZ65" s="376"/>
      <c r="BA65" s="376"/>
      <c r="BB65" s="376"/>
      <c r="BC65" s="376"/>
      <c r="BD65" s="376"/>
      <c r="BE65" s="381"/>
      <c r="BF65" s="381"/>
      <c r="BG65" s="381"/>
      <c r="BH65" s="381"/>
      <c r="BI65" s="381"/>
    </row>
    <row r="66" spans="1:61" s="367" customFormat="1" ht="16" hidden="1" customHeight="1" collapsed="1" thickBot="1">
      <c r="A66" s="382" t="s">
        <v>126</v>
      </c>
      <c r="B66" s="82"/>
      <c r="C66" s="83"/>
      <c r="D66" s="83"/>
      <c r="E66" s="83"/>
      <c r="F66" s="83"/>
      <c r="G66" s="383"/>
      <c r="H66" s="383"/>
      <c r="I66" s="383"/>
      <c r="J66" s="383"/>
      <c r="K66" s="383"/>
      <c r="L66" s="383"/>
      <c r="M66" s="383"/>
      <c r="N66" s="383"/>
      <c r="O66" s="383"/>
      <c r="P66" s="384"/>
      <c r="Q66" s="383"/>
      <c r="R66" s="84">
        <v>0.27950298460416079</v>
      </c>
      <c r="S66" s="84">
        <v>0.13006037542977739</v>
      </c>
      <c r="T66" s="84">
        <v>-0.27622365827136919</v>
      </c>
      <c r="U66" s="119">
        <v>-0.52475545778427346</v>
      </c>
      <c r="V66" s="119">
        <f>AVERAGE(R66:U66)</f>
        <v>-9.7853939005426119E-2</v>
      </c>
      <c r="W66" s="85">
        <v>0.34757384748425868</v>
      </c>
      <c r="X66" s="85">
        <v>0.27045777708278029</v>
      </c>
      <c r="Y66" s="85">
        <v>0.22047732924544361</v>
      </c>
      <c r="Z66" s="86">
        <v>5.3415389227624573E-2</v>
      </c>
      <c r="AA66" s="86">
        <v>0.23580370778834639</v>
      </c>
      <c r="AB66" s="85">
        <v>0.1009620292733613</v>
      </c>
      <c r="AC66" s="85">
        <v>-5.5023728382415871E-2</v>
      </c>
      <c r="AD66" s="85">
        <v>-0.42329916173233828</v>
      </c>
      <c r="AE66" s="85">
        <v>-0.35034808469935352</v>
      </c>
      <c r="AF66" s="85">
        <v>-0.45873726280680499</v>
      </c>
      <c r="AG66" s="85">
        <v>-0.58378499876278722</v>
      </c>
      <c r="AH66" s="85">
        <v>-0.53174411178322822</v>
      </c>
      <c r="AI66" s="85"/>
      <c r="AJ66" s="85"/>
      <c r="AK66" s="85"/>
      <c r="AL66" s="85"/>
      <c r="AM66" s="85"/>
      <c r="AN66" s="87">
        <v>-0.54233887844909956</v>
      </c>
      <c r="AO66" s="87"/>
      <c r="AP66" s="87"/>
      <c r="AZ66" s="85"/>
      <c r="BA66" s="85"/>
      <c r="BB66" s="85"/>
      <c r="BC66" s="85"/>
    </row>
    <row r="67" spans="1:61" ht="16" customHeight="1" thickTop="1">
      <c r="A67" s="255"/>
      <c r="B67" s="36"/>
      <c r="C67" s="36"/>
      <c r="D67" s="36"/>
      <c r="E67" s="36"/>
      <c r="F67" s="36"/>
      <c r="G67" s="36"/>
      <c r="H67" s="36"/>
      <c r="K67" s="36"/>
    </row>
    <row r="72" spans="1:61" ht="15" hidden="1" customHeight="1"/>
    <row r="73" spans="1:61" ht="15" hidden="1" customHeight="1"/>
    <row r="76" spans="1:61" ht="15" hidden="1" customHeight="1"/>
    <row r="77" spans="1:61" ht="15" hidden="1" customHeight="1"/>
    <row r="81" s="254" customFormat="1"/>
    <row r="82" s="254" customFormat="1"/>
    <row r="83" s="254" customFormat="1" ht="15" hidden="1" customHeight="1"/>
    <row r="84" s="367" customFormat="1" ht="15" hidden="1" customHeight="1"/>
    <row r="85" s="254" customFormat="1"/>
    <row r="86" s="254" customFormat="1"/>
    <row r="87" s="254" customFormat="1" ht="15" hidden="1" customHeight="1"/>
    <row r="88" s="367" customFormat="1" ht="15" hidden="1" customHeight="1"/>
    <row r="89" s="254" customFormat="1"/>
    <row r="90" s="254" customFormat="1"/>
    <row r="91" s="254" customFormat="1"/>
    <row r="92" s="254" customFormat="1"/>
    <row r="93" s="254" customFormat="1"/>
    <row r="94" s="254" customFormat="1"/>
    <row r="95" s="254" customFormat="1" ht="15" hidden="1" customHeight="1"/>
    <row r="96" s="254" customFormat="1" ht="15" hidden="1" customHeight="1"/>
    <row r="97" s="254" customFormat="1"/>
    <row r="98" s="254" customFormat="1"/>
    <row r="99" s="254" customFormat="1" ht="15" hidden="1" customHeight="1"/>
    <row r="100" s="254" customFormat="1" ht="15" hidden="1" customHeight="1"/>
    <row r="101" s="254" customFormat="1"/>
    <row r="102" s="254" customFormat="1"/>
    <row r="103" s="254" customFormat="1"/>
    <row r="104" s="254" customFormat="1"/>
    <row r="105" s="254" customFormat="1"/>
    <row r="106" s="254" customFormat="1" ht="15" hidden="1" customHeight="1"/>
    <row r="107" s="367" customFormat="1" ht="15" hidden="1" customHeight="1"/>
    <row r="108" s="254" customFormat="1"/>
    <row r="109" s="254" customFormat="1"/>
    <row r="110" s="254" customFormat="1" ht="15" hidden="1" customHeight="1"/>
    <row r="111" s="367" customFormat="1" ht="15" hidden="1" customHeight="1"/>
    <row r="112" s="254" customFormat="1"/>
    <row r="113" s="254" customFormat="1"/>
    <row r="114" s="254" customFormat="1"/>
    <row r="115" s="254" customFormat="1"/>
    <row r="116" s="254" customFormat="1"/>
    <row r="117" s="254" customFormat="1"/>
    <row r="118" s="254" customFormat="1"/>
    <row r="119" s="254" customFormat="1"/>
    <row r="120" s="254" customFormat="1"/>
    <row r="121" s="254" customFormat="1"/>
    <row r="122" s="254" customFormat="1"/>
    <row r="123" s="254" customFormat="1"/>
    <row r="124" s="254" customFormat="1"/>
    <row r="125" s="254" customFormat="1"/>
    <row r="126" s="254" customFormat="1"/>
    <row r="127" s="254" customFormat="1"/>
    <row r="128" s="254" customFormat="1"/>
    <row r="129" s="254" customFormat="1"/>
    <row r="130" s="367" customFormat="1"/>
    <row r="131" s="254" customFormat="1"/>
    <row r="132" s="254" customFormat="1"/>
    <row r="133" s="254" customFormat="1"/>
    <row r="134" s="367" customFormat="1"/>
    <row r="135" s="254" customFormat="1"/>
    <row r="136" s="254" customFormat="1"/>
    <row r="137" s="254" customFormat="1"/>
    <row r="138" s="254" customFormat="1"/>
    <row r="139" s="254" customFormat="1"/>
    <row r="140" s="254" customFormat="1"/>
    <row r="141" s="254" customFormat="1"/>
    <row r="142" s="254" customFormat="1"/>
    <row r="143" s="254" customFormat="1"/>
    <row r="144" s="254" customFormat="1"/>
    <row r="145" s="254" customFormat="1"/>
    <row r="146" s="254" customFormat="1"/>
    <row r="147" s="254" customFormat="1"/>
    <row r="148" s="254" customFormat="1"/>
    <row r="149" s="254" customFormat="1"/>
    <row r="150" s="254" customFormat="1"/>
    <row r="151" s="254" customFormat="1"/>
    <row r="152" s="254" customFormat="1"/>
    <row r="153" s="254" customFormat="1"/>
    <row r="154" s="367" customFormat="1"/>
    <row r="155" s="254" customFormat="1"/>
    <row r="156" s="254" customFormat="1"/>
    <row r="157" s="254" customFormat="1"/>
    <row r="158" s="367" customFormat="1"/>
    <row r="159" s="367" customFormat="1"/>
    <row r="160" s="254" customFormat="1"/>
    <row r="161" s="254" customFormat="1"/>
    <row r="162" s="254" customFormat="1"/>
    <row r="163" s="254" customFormat="1"/>
    <row r="164" s="254" customFormat="1"/>
    <row r="165" s="254" customFormat="1"/>
    <row r="166" s="254" customFormat="1"/>
    <row r="167" s="254" customFormat="1"/>
    <row r="168" s="254" customFormat="1"/>
    <row r="169" s="254" customFormat="1"/>
    <row r="170" s="254" customFormat="1"/>
    <row r="171" s="254" customFormat="1"/>
    <row r="172" s="254" customFormat="1"/>
    <row r="173" s="254" customFormat="1"/>
    <row r="174" s="254" customFormat="1"/>
    <row r="175" s="254" customFormat="1"/>
    <row r="176" s="254" customFormat="1"/>
    <row r="177" s="254" customFormat="1"/>
    <row r="178" s="254" customFormat="1"/>
    <row r="179" s="254" customFormat="1"/>
    <row r="180" s="254" customFormat="1"/>
    <row r="181" s="254" customFormat="1"/>
    <row r="182" s="254" customFormat="1"/>
    <row r="183" s="254" customFormat="1"/>
    <row r="184" s="254" customFormat="1"/>
    <row r="185" s="254" customFormat="1"/>
    <row r="186" s="254" customFormat="1"/>
    <row r="187" s="254" customFormat="1"/>
    <row r="188" s="254" customFormat="1"/>
    <row r="189" s="254" customFormat="1"/>
    <row r="190" s="254" customFormat="1" ht="17.25" customHeight="1"/>
    <row r="191" s="254" customFormat="1" ht="17.25" customHeight="1"/>
    <row r="192" s="254" customFormat="1"/>
    <row r="193" s="254" customFormat="1"/>
    <row r="194" s="254" customFormat="1"/>
    <row r="195" s="254" customFormat="1"/>
    <row r="196" s="254" customFormat="1"/>
    <row r="197" s="254" customFormat="1" ht="15" hidden="1" customHeight="1"/>
    <row r="198" s="254" customFormat="1" ht="15" hidden="1" customHeight="1"/>
    <row r="199" s="254" customFormat="1"/>
    <row r="200" s="254" customFormat="1"/>
    <row r="201" s="254" customFormat="1"/>
    <row r="202" s="254" customFormat="1"/>
    <row r="203" s="254" customFormat="1"/>
    <row r="204" s="254" customFormat="1"/>
    <row r="205" s="254" customFormat="1"/>
    <row r="206" s="254" customFormat="1"/>
    <row r="207" s="254" customFormat="1"/>
    <row r="208" s="254" customFormat="1"/>
    <row r="209" s="254" customFormat="1"/>
    <row r="210" s="254" customFormat="1"/>
    <row r="211" s="254" customFormat="1"/>
    <row r="212" s="254" customFormat="1"/>
  </sheetData>
  <mergeCells count="18">
    <mergeCell ref="DP50:DP51"/>
    <mergeCell ref="BQ20:CX20"/>
    <mergeCell ref="AZ2:BP2"/>
    <mergeCell ref="DP52:DP54"/>
    <mergeCell ref="BQ38:CX38"/>
    <mergeCell ref="BQ2:CX2"/>
    <mergeCell ref="DD38:DG38"/>
    <mergeCell ref="DP42:DP44"/>
    <mergeCell ref="DD2:DG2"/>
    <mergeCell ref="DP32:DP33"/>
    <mergeCell ref="DP16:DP18"/>
    <mergeCell ref="AZ20:BP20"/>
    <mergeCell ref="DP24:DP26"/>
    <mergeCell ref="DP14:DP15"/>
    <mergeCell ref="DP34:DP36"/>
    <mergeCell ref="AZ38:BP38"/>
    <mergeCell ref="DP6:DP8"/>
    <mergeCell ref="DD20:DG20"/>
  </mergeCells>
  <phoneticPr fontId="3" type="noConversion"/>
  <pageMargins left="0.75" right="0.75" top="1" bottom="1" header="0.5" footer="0.5"/>
  <pageSetup paperSize="9" scale="7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S105"/>
  <sheetViews>
    <sheetView workbookViewId="0"/>
  </sheetViews>
  <sheetFormatPr defaultColWidth="9" defaultRowHeight="12.5"/>
  <cols>
    <col min="1" max="1" width="12.08203125" style="385" customWidth="1"/>
    <col min="2" max="2" width="8.83203125" style="385" customWidth="1"/>
    <col min="3" max="3" width="7.25" style="385" customWidth="1"/>
    <col min="4" max="4" width="11.5" style="385" bestFit="1" customWidth="1"/>
    <col min="5" max="5" width="8.75" style="385" customWidth="1"/>
    <col min="6" max="6" width="10.75" style="385" bestFit="1" customWidth="1"/>
    <col min="7" max="7" width="7.25" style="385" customWidth="1"/>
    <col min="8" max="8" width="9.25" style="385" customWidth="1"/>
    <col min="9" max="10" width="8.5" style="385" bestFit="1" customWidth="1"/>
    <col min="11" max="11" width="8.25" style="385" customWidth="1"/>
    <col min="12" max="13" width="7.25" style="385" customWidth="1"/>
    <col min="14" max="14" width="14.5" style="385" bestFit="1" customWidth="1"/>
    <col min="15" max="15" width="14.58203125" style="386" bestFit="1" customWidth="1"/>
    <col min="16" max="16" width="15.58203125" style="386" bestFit="1" customWidth="1"/>
    <col min="17" max="17" width="15" style="386" bestFit="1" customWidth="1"/>
    <col min="18" max="18" width="11.5" style="386" bestFit="1" customWidth="1"/>
    <col min="19" max="19" width="9" style="385" customWidth="1"/>
    <col min="20" max="16384" width="9" style="385"/>
  </cols>
  <sheetData>
    <row r="1" spans="1:19">
      <c r="A1" s="385" t="s">
        <v>127</v>
      </c>
      <c r="G1" s="387"/>
    </row>
    <row r="2" spans="1:19" ht="13" customHeight="1">
      <c r="A2" s="388">
        <v>2016</v>
      </c>
      <c r="B2" s="187" t="s">
        <v>51</v>
      </c>
      <c r="C2" s="187" t="s">
        <v>52</v>
      </c>
      <c r="D2" s="187" t="s">
        <v>53</v>
      </c>
      <c r="E2" s="187" t="s">
        <v>54</v>
      </c>
      <c r="F2" s="187" t="s">
        <v>55</v>
      </c>
      <c r="G2" s="187" t="s">
        <v>77</v>
      </c>
      <c r="H2" s="187" t="s">
        <v>78</v>
      </c>
      <c r="I2" s="187" t="s">
        <v>79</v>
      </c>
      <c r="J2" s="187" t="s">
        <v>80</v>
      </c>
      <c r="K2" s="187" t="s">
        <v>81</v>
      </c>
      <c r="L2" s="187" t="s">
        <v>82</v>
      </c>
      <c r="M2" s="187" t="s">
        <v>44</v>
      </c>
      <c r="N2" s="389" t="s">
        <v>128</v>
      </c>
      <c r="O2" s="5" t="s">
        <v>129</v>
      </c>
      <c r="P2" s="5" t="s">
        <v>130</v>
      </c>
      <c r="Q2" s="5" t="s">
        <v>131</v>
      </c>
      <c r="R2" s="5" t="s">
        <v>132</v>
      </c>
    </row>
    <row r="3" spans="1:19">
      <c r="A3" s="390" t="s">
        <v>133</v>
      </c>
      <c r="B3" s="391">
        <v>37362</v>
      </c>
      <c r="C3" s="391">
        <v>38977</v>
      </c>
      <c r="D3" s="391">
        <v>38935</v>
      </c>
      <c r="E3" s="391">
        <v>39714</v>
      </c>
      <c r="F3" s="391">
        <v>38973</v>
      </c>
      <c r="G3" s="391">
        <v>38302</v>
      </c>
      <c r="H3" s="391">
        <v>43533</v>
      </c>
      <c r="I3" s="391">
        <v>46420</v>
      </c>
      <c r="J3" s="392">
        <v>41693</v>
      </c>
      <c r="K3" s="27">
        <v>43736</v>
      </c>
      <c r="L3" s="16"/>
      <c r="M3" s="16"/>
      <c r="N3" s="393"/>
      <c r="O3" s="394">
        <f>SUM(B3:D3)</f>
        <v>115274</v>
      </c>
      <c r="P3" s="394">
        <f>SUM(E3:G3)</f>
        <v>116989</v>
      </c>
      <c r="Q3" s="394">
        <f>SUM(H3:J3)</f>
        <v>131646</v>
      </c>
      <c r="R3" s="395">
        <f>SUM(K3:M3)</f>
        <v>43736</v>
      </c>
      <c r="S3" s="387">
        <f>SUM(O3:R3)</f>
        <v>407645</v>
      </c>
    </row>
    <row r="4" spans="1:19">
      <c r="A4" s="390" t="s">
        <v>134</v>
      </c>
      <c r="B4" s="396">
        <f t="shared" ref="B4:M4" si="0">B3/B12-1</f>
        <v>0.15105209649095785</v>
      </c>
      <c r="C4" s="396">
        <f t="shared" si="0"/>
        <v>0.11595613708592212</v>
      </c>
      <c r="D4" s="396">
        <f t="shared" si="0"/>
        <v>6.0957000381492099E-2</v>
      </c>
      <c r="E4" s="396">
        <f t="shared" si="0"/>
        <v>0.10948456488336356</v>
      </c>
      <c r="F4" s="396">
        <f t="shared" si="0"/>
        <v>0.10046590427784841</v>
      </c>
      <c r="G4" s="396">
        <f t="shared" si="0"/>
        <v>0.12507343437903895</v>
      </c>
      <c r="H4" s="396">
        <f t="shared" si="0"/>
        <v>0.11195402298850565</v>
      </c>
      <c r="I4" s="396">
        <f t="shared" si="0"/>
        <v>0.1144722942475751</v>
      </c>
      <c r="J4" s="396">
        <f t="shared" si="0"/>
        <v>0.1353375268905046</v>
      </c>
      <c r="K4" s="396">
        <f t="shared" si="0"/>
        <v>0.13449715960675479</v>
      </c>
      <c r="L4" s="396">
        <f t="shared" si="0"/>
        <v>-1</v>
      </c>
      <c r="M4" s="396">
        <f t="shared" si="0"/>
        <v>-1</v>
      </c>
      <c r="N4" s="397"/>
      <c r="O4" s="398">
        <f>O3/O12-1</f>
        <v>0.10750931939587249</v>
      </c>
      <c r="P4" s="398">
        <f>P3/P12-1</f>
        <v>0.11149219982138447</v>
      </c>
      <c r="Q4" s="398">
        <f>Q3/Q12-1</f>
        <v>0.12015315890236122</v>
      </c>
      <c r="R4" s="398">
        <f>R3/R12-1</f>
        <v>-0.59794818995789745</v>
      </c>
    </row>
    <row r="5" spans="1:19" ht="13" customHeight="1">
      <c r="A5" s="390" t="s">
        <v>135</v>
      </c>
      <c r="B5" s="185">
        <f>B3/M12-1</f>
        <v>5.9884825962384092E-2</v>
      </c>
      <c r="C5" s="399">
        <f t="shared" ref="C5:M5" si="1">C3/B3-1</f>
        <v>4.3225737380225837E-2</v>
      </c>
      <c r="D5" s="399">
        <f t="shared" si="1"/>
        <v>-1.0775585601765503E-3</v>
      </c>
      <c r="E5" s="399">
        <f t="shared" si="1"/>
        <v>2.0007705149608368E-2</v>
      </c>
      <c r="F5" s="399">
        <f t="shared" si="1"/>
        <v>-1.8658407614443262E-2</v>
      </c>
      <c r="G5" s="399">
        <f t="shared" si="1"/>
        <v>-1.7217047699689569E-2</v>
      </c>
      <c r="H5" s="399">
        <f t="shared" si="1"/>
        <v>0.13657250274137112</v>
      </c>
      <c r="I5" s="399">
        <f t="shared" si="1"/>
        <v>6.6317506259619075E-2</v>
      </c>
      <c r="J5" s="399">
        <f t="shared" si="1"/>
        <v>-0.10183110728134426</v>
      </c>
      <c r="K5" s="399">
        <f t="shared" si="1"/>
        <v>4.9001031348187896E-2</v>
      </c>
      <c r="L5" s="399">
        <f t="shared" si="1"/>
        <v>-1</v>
      </c>
      <c r="M5" s="399" t="e">
        <f t="shared" si="1"/>
        <v>#DIV/0!</v>
      </c>
      <c r="N5" s="400" t="s">
        <v>136</v>
      </c>
      <c r="O5" s="401"/>
      <c r="P5" s="398"/>
      <c r="Q5" s="398"/>
      <c r="R5" s="398"/>
    </row>
    <row r="6" spans="1:19">
      <c r="B6" s="402"/>
      <c r="C6" s="402"/>
      <c r="D6" s="402"/>
      <c r="E6" s="402">
        <f>SUM(E3:F3)/SUM(E12:F12)-1</f>
        <v>0.10499929785142537</v>
      </c>
      <c r="F6" s="402"/>
      <c r="G6" s="403"/>
      <c r="H6" s="402"/>
      <c r="I6" s="402"/>
      <c r="J6" s="403"/>
      <c r="K6" s="403"/>
      <c r="L6" s="403"/>
      <c r="M6" s="403"/>
      <c r="N6" s="404"/>
      <c r="O6" s="404"/>
      <c r="P6" s="404"/>
      <c r="Q6" s="404"/>
      <c r="R6" s="404"/>
    </row>
    <row r="7" spans="1:19">
      <c r="A7" s="390" t="s">
        <v>137</v>
      </c>
      <c r="B7" s="391">
        <v>33191</v>
      </c>
      <c r="C7" s="391">
        <v>34600</v>
      </c>
      <c r="D7" s="391">
        <v>34836</v>
      </c>
      <c r="E7" s="391">
        <v>35480</v>
      </c>
      <c r="F7" s="391">
        <v>34876</v>
      </c>
      <c r="G7" s="391">
        <v>34094</v>
      </c>
      <c r="H7" s="391">
        <v>38630</v>
      </c>
      <c r="I7" s="391">
        <v>41330</v>
      </c>
      <c r="J7" s="391">
        <f>37461-727</f>
        <v>36734</v>
      </c>
      <c r="K7" s="391">
        <f>39596-76.8</f>
        <v>39519.199999999997</v>
      </c>
      <c r="L7" s="391"/>
      <c r="M7" s="391"/>
      <c r="N7" s="393"/>
      <c r="O7" s="394">
        <f>SUM(B7:D7)</f>
        <v>102627</v>
      </c>
      <c r="P7" s="394">
        <f>SUM(E7:G7)</f>
        <v>104450</v>
      </c>
      <c r="Q7" s="394">
        <f>SUM(H7:J7)</f>
        <v>116694</v>
      </c>
      <c r="R7" s="395">
        <f>SUM(K7:M7)</f>
        <v>39519.199999999997</v>
      </c>
    </row>
    <row r="8" spans="1:19">
      <c r="A8" s="390" t="s">
        <v>134</v>
      </c>
      <c r="B8" s="396">
        <f t="shared" ref="B8:M8" si="2">B7/B16-1</f>
        <v>0.12321489001692054</v>
      </c>
      <c r="C8" s="396">
        <f t="shared" si="2"/>
        <v>9.7889893701412101E-2</v>
      </c>
      <c r="D8" s="396">
        <f t="shared" si="2"/>
        <v>4.3869111830276974E-2</v>
      </c>
      <c r="E8" s="396">
        <f t="shared" si="2"/>
        <v>9.7806244005074428E-2</v>
      </c>
      <c r="F8" s="396">
        <f t="shared" si="2"/>
        <v>9.3017425097154272E-2</v>
      </c>
      <c r="G8" s="396">
        <f t="shared" si="2"/>
        <v>0.10493907181747475</v>
      </c>
      <c r="H8" s="396">
        <f t="shared" si="2"/>
        <v>8.8107712241563885E-2</v>
      </c>
      <c r="I8" s="396">
        <f t="shared" si="2"/>
        <v>0.1007244060935335</v>
      </c>
      <c r="J8" s="396">
        <f t="shared" si="2"/>
        <v>0.10691255348640993</v>
      </c>
      <c r="K8" s="396">
        <f t="shared" si="2"/>
        <v>0.13560919540229888</v>
      </c>
      <c r="L8" s="396">
        <f t="shared" si="2"/>
        <v>-1</v>
      </c>
      <c r="M8" s="396">
        <f t="shared" si="2"/>
        <v>-1</v>
      </c>
      <c r="N8" s="397"/>
      <c r="O8" s="398">
        <f>O7/O16-1</f>
        <v>8.6724482988659091E-2</v>
      </c>
      <c r="P8" s="398">
        <f>P7/P16-1</f>
        <v>9.8513929934898936E-2</v>
      </c>
      <c r="Q8" s="398">
        <f>Q7/Q16-1</f>
        <v>9.8441206370721845E-2</v>
      </c>
      <c r="R8" s="398">
        <f>R7/R16-1</f>
        <v>-0.5960751446268322</v>
      </c>
    </row>
    <row r="9" spans="1:19" ht="13" customHeight="1">
      <c r="A9" s="390" t="s">
        <v>135</v>
      </c>
      <c r="B9" s="185">
        <f>B7/M16-1</f>
        <v>5.2212782145574455E-2</v>
      </c>
      <c r="C9" s="399">
        <f t="shared" ref="C9:M9" si="3">C7/B7-1</f>
        <v>4.2451266909704355E-2</v>
      </c>
      <c r="D9" s="399">
        <f t="shared" si="3"/>
        <v>6.8208092485548821E-3</v>
      </c>
      <c r="E9" s="399">
        <f t="shared" si="3"/>
        <v>1.8486623033643346E-2</v>
      </c>
      <c r="F9" s="399">
        <f t="shared" si="3"/>
        <v>-1.7023675310033792E-2</v>
      </c>
      <c r="G9" s="399">
        <f t="shared" si="3"/>
        <v>-2.2422296134877895E-2</v>
      </c>
      <c r="H9" s="399">
        <f t="shared" si="3"/>
        <v>0.13304393734968034</v>
      </c>
      <c r="I9" s="399">
        <f t="shared" si="3"/>
        <v>6.9893864871861222E-2</v>
      </c>
      <c r="J9" s="399">
        <f t="shared" si="3"/>
        <v>-0.11120251633196221</v>
      </c>
      <c r="K9" s="399">
        <f t="shared" si="3"/>
        <v>7.5820765503348264E-2</v>
      </c>
      <c r="L9" s="399">
        <f t="shared" si="3"/>
        <v>-1</v>
      </c>
      <c r="M9" s="399" t="e">
        <f t="shared" si="3"/>
        <v>#DIV/0!</v>
      </c>
      <c r="N9" s="400" t="s">
        <v>136</v>
      </c>
      <c r="O9" s="401"/>
      <c r="P9" s="398"/>
      <c r="Q9" s="398"/>
      <c r="R9" s="398"/>
    </row>
    <row r="10" spans="1:19">
      <c r="B10" s="402"/>
      <c r="C10" s="402"/>
      <c r="D10" s="403"/>
      <c r="E10" s="402"/>
      <c r="F10" s="402"/>
      <c r="G10" s="387"/>
      <c r="H10" s="402"/>
      <c r="I10" s="402"/>
      <c r="J10" s="403"/>
      <c r="K10" s="403"/>
      <c r="L10" s="403"/>
      <c r="M10" s="403"/>
      <c r="N10" s="404"/>
      <c r="O10" s="404"/>
      <c r="P10" s="404"/>
      <c r="Q10" s="404"/>
      <c r="R10" s="404"/>
    </row>
    <row r="11" spans="1:19" ht="13" customHeight="1">
      <c r="A11" s="388">
        <v>2015</v>
      </c>
      <c r="B11" s="187" t="s">
        <v>51</v>
      </c>
      <c r="C11" s="187" t="s">
        <v>52</v>
      </c>
      <c r="D11" s="187" t="s">
        <v>53</v>
      </c>
      <c r="E11" s="187" t="s">
        <v>54</v>
      </c>
      <c r="F11" s="187" t="s">
        <v>55</v>
      </c>
      <c r="G11" s="187" t="s">
        <v>77</v>
      </c>
      <c r="H11" s="187" t="s">
        <v>78</v>
      </c>
      <c r="I11" s="187" t="s">
        <v>79</v>
      </c>
      <c r="J11" s="187" t="s">
        <v>80</v>
      </c>
      <c r="K11" s="187" t="s">
        <v>81</v>
      </c>
      <c r="L11" s="187" t="s">
        <v>82</v>
      </c>
      <c r="M11" s="187" t="s">
        <v>44</v>
      </c>
      <c r="N11" s="389" t="s">
        <v>128</v>
      </c>
      <c r="O11" s="5" t="s">
        <v>129</v>
      </c>
      <c r="P11" s="5" t="s">
        <v>130</v>
      </c>
      <c r="Q11" s="5" t="s">
        <v>131</v>
      </c>
      <c r="R11" s="5" t="s">
        <v>132</v>
      </c>
    </row>
    <row r="12" spans="1:19">
      <c r="A12" s="390" t="s">
        <v>133</v>
      </c>
      <c r="B12" s="391">
        <v>32459</v>
      </c>
      <c r="C12" s="391">
        <v>34927</v>
      </c>
      <c r="D12" s="391">
        <v>36698</v>
      </c>
      <c r="E12" s="391">
        <v>35795</v>
      </c>
      <c r="F12" s="391">
        <v>35415</v>
      </c>
      <c r="G12" s="391">
        <v>34044</v>
      </c>
      <c r="H12" s="391">
        <v>39150</v>
      </c>
      <c r="I12" s="391">
        <v>41652</v>
      </c>
      <c r="J12" s="392">
        <v>36723</v>
      </c>
      <c r="K12" s="27">
        <v>38551</v>
      </c>
      <c r="L12" s="16">
        <v>34980</v>
      </c>
      <c r="M12" s="16">
        <v>35251</v>
      </c>
      <c r="N12" s="393"/>
      <c r="O12" s="394">
        <f>SUM(B12:D12)</f>
        <v>104084</v>
      </c>
      <c r="P12" s="394">
        <f>SUM(E12:G12)</f>
        <v>105254</v>
      </c>
      <c r="Q12" s="394">
        <f>SUM(H12:J12)</f>
        <v>117525</v>
      </c>
      <c r="R12" s="395">
        <f>SUM(K12:M12)</f>
        <v>108782</v>
      </c>
      <c r="S12" s="387">
        <f>SUM(O12:R12)</f>
        <v>435645</v>
      </c>
    </row>
    <row r="13" spans="1:19">
      <c r="A13" s="390" t="s">
        <v>134</v>
      </c>
      <c r="B13" s="396">
        <f t="shared" ref="B13:M13" si="4">B12/B21-1</f>
        <v>6.1584249084249088E-2</v>
      </c>
      <c r="C13" s="396">
        <f t="shared" si="4"/>
        <v>0.12356044521649623</v>
      </c>
      <c r="D13" s="396">
        <f t="shared" si="4"/>
        <v>0.21327734981981683</v>
      </c>
      <c r="E13" s="396">
        <f t="shared" si="4"/>
        <v>0.13942384211364001</v>
      </c>
      <c r="F13" s="396">
        <f t="shared" si="4"/>
        <v>0.12991736591902492</v>
      </c>
      <c r="G13" s="396">
        <f t="shared" si="4"/>
        <v>0.11229457313686408</v>
      </c>
      <c r="H13" s="396">
        <f t="shared" si="4"/>
        <v>9.3697619845792834E-2</v>
      </c>
      <c r="I13" s="396">
        <f t="shared" si="4"/>
        <v>0.11658579738894992</v>
      </c>
      <c r="J13" s="396">
        <f t="shared" si="4"/>
        <v>0.10764915244012796</v>
      </c>
      <c r="K13" s="396">
        <f t="shared" si="4"/>
        <v>0.10515150646446703</v>
      </c>
      <c r="L13" s="396">
        <f t="shared" si="4"/>
        <v>7.9729604593017811E-2</v>
      </c>
      <c r="M13" s="396">
        <f t="shared" si="4"/>
        <v>6.360317412424954E-2</v>
      </c>
      <c r="N13" s="397"/>
      <c r="O13" s="398">
        <f>O12/O21-1</f>
        <v>0.13246798463697784</v>
      </c>
      <c r="P13" s="398">
        <f>P12/P21-1</f>
        <v>0.12733893857441236</v>
      </c>
      <c r="Q13" s="398">
        <f>Q12/Q21-1</f>
        <v>0.10608641638353733</v>
      </c>
      <c r="R13" s="398">
        <f>R12/R21-1</f>
        <v>8.3237903667486624E-2</v>
      </c>
    </row>
    <row r="14" spans="1:19" ht="13" customHeight="1">
      <c r="A14" s="390" t="s">
        <v>135</v>
      </c>
      <c r="B14" s="185">
        <f>B12/M21-1</f>
        <v>-2.063784207826691E-2</v>
      </c>
      <c r="C14" s="399">
        <f t="shared" ref="C14:M14" si="5">C12/B12-1</f>
        <v>7.603438183554645E-2</v>
      </c>
      <c r="D14" s="399">
        <f t="shared" si="5"/>
        <v>5.0705757723251255E-2</v>
      </c>
      <c r="E14" s="399">
        <f t="shared" si="5"/>
        <v>-2.4606245571965779E-2</v>
      </c>
      <c r="F14" s="399">
        <f t="shared" si="5"/>
        <v>-1.0616007822321527E-2</v>
      </c>
      <c r="G14" s="399">
        <f t="shared" si="5"/>
        <v>-3.871240999576453E-2</v>
      </c>
      <c r="H14" s="399">
        <f t="shared" si="5"/>
        <v>0.14998237574903062</v>
      </c>
      <c r="I14" s="399">
        <f t="shared" si="5"/>
        <v>6.3908045977011385E-2</v>
      </c>
      <c r="J14" s="399">
        <f t="shared" si="5"/>
        <v>-0.11833765485450876</v>
      </c>
      <c r="K14" s="399">
        <f t="shared" si="5"/>
        <v>4.977806824061215E-2</v>
      </c>
      <c r="L14" s="399">
        <f t="shared" si="5"/>
        <v>-9.2630541360794738E-2</v>
      </c>
      <c r="M14" s="399">
        <f t="shared" si="5"/>
        <v>7.747284162378465E-3</v>
      </c>
      <c r="N14" s="400" t="s">
        <v>136</v>
      </c>
      <c r="O14" s="401"/>
      <c r="P14" s="398"/>
      <c r="Q14" s="398"/>
      <c r="R14" s="398"/>
    </row>
    <row r="15" spans="1:19">
      <c r="B15" s="404">
        <f>B12-B16</f>
        <v>2909</v>
      </c>
      <c r="C15" s="402"/>
      <c r="D15" s="402"/>
      <c r="E15" s="402"/>
      <c r="F15" s="402"/>
      <c r="G15" s="403"/>
      <c r="H15" s="402"/>
      <c r="I15" s="402"/>
      <c r="J15" s="403"/>
      <c r="K15" s="403"/>
      <c r="L15" s="403"/>
      <c r="M15" s="403"/>
      <c r="N15" s="404"/>
      <c r="O15" s="404"/>
      <c r="P15" s="404"/>
      <c r="Q15" s="404"/>
      <c r="R15" s="404"/>
    </row>
    <row r="16" spans="1:19">
      <c r="A16" s="390" t="s">
        <v>137</v>
      </c>
      <c r="B16" s="391">
        <v>29550</v>
      </c>
      <c r="C16" s="391">
        <v>31515</v>
      </c>
      <c r="D16" s="391">
        <v>33372</v>
      </c>
      <c r="E16" s="391">
        <v>32319</v>
      </c>
      <c r="F16" s="391">
        <v>31908</v>
      </c>
      <c r="G16" s="391">
        <v>30856</v>
      </c>
      <c r="H16" s="391">
        <v>35502</v>
      </c>
      <c r="I16" s="391">
        <v>37548</v>
      </c>
      <c r="J16" s="391">
        <v>33186</v>
      </c>
      <c r="K16" s="391">
        <v>34800</v>
      </c>
      <c r="L16" s="391">
        <v>31494</v>
      </c>
      <c r="M16" s="391">
        <v>31544</v>
      </c>
      <c r="N16" s="393"/>
      <c r="O16" s="394">
        <f>SUM(B16:D16)</f>
        <v>94437</v>
      </c>
      <c r="P16" s="394">
        <f>SUM(E16:G16)</f>
        <v>95083</v>
      </c>
      <c r="Q16" s="394">
        <f>SUM(H16:J16)</f>
        <v>106236</v>
      </c>
      <c r="R16" s="395">
        <f>SUM(K16:M16)</f>
        <v>97838</v>
      </c>
      <c r="S16" s="387">
        <f>SUM(O16:R16)</f>
        <v>393594</v>
      </c>
    </row>
    <row r="17" spans="1:19">
      <c r="A17" s="390" t="s">
        <v>134</v>
      </c>
      <c r="B17" s="396">
        <f t="shared" ref="B17:M17" si="6">B16/B25-1</f>
        <v>4.4575630103573793E-2</v>
      </c>
      <c r="C17" s="396">
        <f t="shared" si="6"/>
        <v>9.5602294455066961E-2</v>
      </c>
      <c r="D17" s="396">
        <f t="shared" si="6"/>
        <v>0.19480147506354939</v>
      </c>
      <c r="E17" s="396">
        <f t="shared" si="6"/>
        <v>0.11594903490901554</v>
      </c>
      <c r="F17" s="396">
        <f t="shared" si="6"/>
        <v>0.10164341941720756</v>
      </c>
      <c r="G17" s="396">
        <f t="shared" si="6"/>
        <v>9.259587125101798E-2</v>
      </c>
      <c r="H17" s="396">
        <f t="shared" si="6"/>
        <v>7.8137811655379696E-2</v>
      </c>
      <c r="I17" s="396">
        <f t="shared" si="6"/>
        <v>0.10095293945169326</v>
      </c>
      <c r="J17" s="396">
        <f t="shared" si="6"/>
        <v>9.2147699598499333E-2</v>
      </c>
      <c r="K17" s="396">
        <f t="shared" si="6"/>
        <v>8.736407949006364E-2</v>
      </c>
      <c r="L17" s="396">
        <f t="shared" si="6"/>
        <v>5.99757673667205E-2</v>
      </c>
      <c r="M17" s="396">
        <f t="shared" si="6"/>
        <v>4.7521004217447649E-2</v>
      </c>
      <c r="N17" s="397"/>
      <c r="O17" s="398">
        <f>O16/O25-1</f>
        <v>0.11121962699299881</v>
      </c>
      <c r="P17" s="398">
        <f>P16/P25-1</f>
        <v>0.10348629389782515</v>
      </c>
      <c r="Q17" s="398">
        <f>Q16/Q25-1</f>
        <v>9.0494764935331595E-2</v>
      </c>
      <c r="R17" s="398">
        <f>R16/R25-1</f>
        <v>6.5436844569798147E-2</v>
      </c>
    </row>
    <row r="18" spans="1:19" ht="13" customHeight="1">
      <c r="A18" s="390" t="s">
        <v>135</v>
      </c>
      <c r="B18" s="185">
        <f>B16/M25-1</f>
        <v>-1.8696244147046182E-2</v>
      </c>
      <c r="C18" s="399">
        <f t="shared" ref="C18:M18" si="7">C16/B16-1</f>
        <v>6.6497461928934021E-2</v>
      </c>
      <c r="D18" s="399">
        <f t="shared" si="7"/>
        <v>5.8924321751546938E-2</v>
      </c>
      <c r="E18" s="399">
        <f t="shared" si="7"/>
        <v>-3.1553398058252413E-2</v>
      </c>
      <c r="F18" s="399">
        <f t="shared" si="7"/>
        <v>-1.2716977629258386E-2</v>
      </c>
      <c r="G18" s="399">
        <f t="shared" si="7"/>
        <v>-3.2969788140905121E-2</v>
      </c>
      <c r="H18" s="399">
        <f t="shared" si="7"/>
        <v>0.15057039149598128</v>
      </c>
      <c r="I18" s="399">
        <f t="shared" si="7"/>
        <v>5.7630556025012769E-2</v>
      </c>
      <c r="J18" s="399">
        <f t="shared" si="7"/>
        <v>-0.1161713007350591</v>
      </c>
      <c r="K18" s="399">
        <f t="shared" si="7"/>
        <v>4.8634966552160597E-2</v>
      </c>
      <c r="L18" s="399">
        <f t="shared" si="7"/>
        <v>-9.4999999999999973E-2</v>
      </c>
      <c r="M18" s="399">
        <f t="shared" si="7"/>
        <v>1.5876039880611259E-3</v>
      </c>
      <c r="N18" s="400" t="s">
        <v>136</v>
      </c>
      <c r="O18" s="401"/>
      <c r="P18" s="398"/>
      <c r="Q18" s="398"/>
      <c r="R18" s="398"/>
    </row>
    <row r="19" spans="1:19">
      <c r="B19" s="402"/>
      <c r="C19" s="402"/>
      <c r="D19" s="403"/>
      <c r="E19" s="402"/>
      <c r="F19" s="402"/>
      <c r="G19" s="387"/>
      <c r="H19" s="402"/>
      <c r="I19" s="402"/>
      <c r="J19" s="403"/>
      <c r="K19" s="403"/>
      <c r="L19" s="403"/>
      <c r="M19" s="403"/>
      <c r="N19" s="404"/>
      <c r="O19" s="404"/>
      <c r="P19" s="404"/>
      <c r="Q19" s="404"/>
      <c r="R19" s="404"/>
    </row>
    <row r="20" spans="1:19" ht="13" customHeight="1">
      <c r="A20" s="388">
        <v>2014</v>
      </c>
      <c r="B20" s="187" t="s">
        <v>51</v>
      </c>
      <c r="C20" s="187" t="s">
        <v>52</v>
      </c>
      <c r="D20" s="187" t="s">
        <v>53</v>
      </c>
      <c r="E20" s="187" t="s">
        <v>54</v>
      </c>
      <c r="F20" s="187" t="s">
        <v>55</v>
      </c>
      <c r="G20" s="187" t="s">
        <v>77</v>
      </c>
      <c r="H20" s="187" t="s">
        <v>78</v>
      </c>
      <c r="I20" s="187" t="s">
        <v>79</v>
      </c>
      <c r="J20" s="187" t="s">
        <v>80</v>
      </c>
      <c r="K20" s="187" t="s">
        <v>81</v>
      </c>
      <c r="L20" s="187" t="s">
        <v>82</v>
      </c>
      <c r="M20" s="187" t="s">
        <v>44</v>
      </c>
      <c r="N20" s="389" t="s">
        <v>128</v>
      </c>
      <c r="O20" s="5" t="s">
        <v>129</v>
      </c>
      <c r="P20" s="5" t="s">
        <v>130</v>
      </c>
      <c r="Q20" s="5" t="s">
        <v>131</v>
      </c>
      <c r="R20" s="5" t="s">
        <v>132</v>
      </c>
    </row>
    <row r="21" spans="1:19">
      <c r="A21" s="390" t="s">
        <v>133</v>
      </c>
      <c r="B21" s="391">
        <v>30576</v>
      </c>
      <c r="C21" s="391">
        <v>31086</v>
      </c>
      <c r="D21" s="391">
        <v>30247</v>
      </c>
      <c r="E21" s="391">
        <v>31415</v>
      </c>
      <c r="F21" s="391">
        <v>31343</v>
      </c>
      <c r="G21" s="391">
        <v>30607</v>
      </c>
      <c r="H21" s="391">
        <v>35796</v>
      </c>
      <c r="I21" s="391">
        <v>37303</v>
      </c>
      <c r="J21" s="392">
        <v>33154</v>
      </c>
      <c r="K21" s="16">
        <v>34883</v>
      </c>
      <c r="L21" s="16">
        <v>32397</v>
      </c>
      <c r="M21" s="16">
        <f>N21-SUM(B21:L21)</f>
        <v>33143</v>
      </c>
      <c r="N21" s="393">
        <v>391950</v>
      </c>
      <c r="O21" s="394">
        <f>SUM(B21:D21)</f>
        <v>91909</v>
      </c>
      <c r="P21" s="394">
        <f>SUM(E21:G21)</f>
        <v>93365</v>
      </c>
      <c r="Q21" s="394">
        <f>SUM(H21:J21)</f>
        <v>106253</v>
      </c>
      <c r="R21" s="395">
        <f>N21-SUM(O21:Q21)</f>
        <v>100423</v>
      </c>
      <c r="S21" s="387">
        <f>SUM(O21:R21)</f>
        <v>391950</v>
      </c>
    </row>
    <row r="22" spans="1:19">
      <c r="A22" s="390" t="s">
        <v>134</v>
      </c>
      <c r="B22" s="396">
        <f t="shared" ref="B22:M22" si="8">B21/B30-1</f>
        <v>0.19111803661862092</v>
      </c>
      <c r="C22" s="396">
        <f t="shared" si="8"/>
        <v>0.11523283346487756</v>
      </c>
      <c r="D22" s="396">
        <f t="shared" si="8"/>
        <v>5.0863356842580698E-2</v>
      </c>
      <c r="E22" s="396">
        <f t="shared" si="8"/>
        <v>0.10259020075810743</v>
      </c>
      <c r="F22" s="396">
        <f t="shared" si="8"/>
        <v>9.7713024901061152E-2</v>
      </c>
      <c r="G22" s="396">
        <f t="shared" si="8"/>
        <v>6.8158023312626437E-2</v>
      </c>
      <c r="H22" s="396">
        <f t="shared" si="8"/>
        <v>9.5851829174957937E-2</v>
      </c>
      <c r="I22" s="396">
        <f t="shared" si="8"/>
        <v>7.3251431366343489E-2</v>
      </c>
      <c r="J22" s="396">
        <f t="shared" si="8"/>
        <v>8.7551254715433791E-2</v>
      </c>
      <c r="K22" s="396">
        <f t="shared" si="8"/>
        <v>0.10218332332775137</v>
      </c>
      <c r="L22" s="396">
        <f t="shared" si="8"/>
        <v>0.13613887427669646</v>
      </c>
      <c r="M22" s="396">
        <f t="shared" si="8"/>
        <v>0.18907186165823564</v>
      </c>
      <c r="N22" s="397"/>
      <c r="O22" s="398">
        <f>O21/O30-1</f>
        <v>0.11638951984160717</v>
      </c>
      <c r="P22" s="398">
        <f>P21/P30-1</f>
        <v>8.9452619050397253E-2</v>
      </c>
      <c r="Q22" s="398">
        <f>Q21/Q30-1</f>
        <v>8.5244160274546177E-2</v>
      </c>
      <c r="R22" s="398">
        <f>R21/R30-1</f>
        <v>0.14069084589433989</v>
      </c>
      <c r="S22" s="186">
        <f>S21/S30-1</f>
        <v>0.10729722857869306</v>
      </c>
    </row>
    <row r="23" spans="1:19" ht="13" customHeight="1">
      <c r="A23" s="390" t="s">
        <v>135</v>
      </c>
      <c r="B23" s="185">
        <f>B21/M30-1</f>
        <v>9.6975567753740277E-2</v>
      </c>
      <c r="C23" s="399">
        <f t="shared" ref="C23:M23" si="9">C21/B21-1</f>
        <v>1.6679748822606033E-2</v>
      </c>
      <c r="D23" s="399">
        <f t="shared" si="9"/>
        <v>-2.6989641639323159E-2</v>
      </c>
      <c r="E23" s="399">
        <f t="shared" si="9"/>
        <v>3.8615399874367684E-2</v>
      </c>
      <c r="F23" s="399">
        <f t="shared" si="9"/>
        <v>-2.2918987744707797E-3</v>
      </c>
      <c r="G23" s="399">
        <f t="shared" si="9"/>
        <v>-2.3482117219155829E-2</v>
      </c>
      <c r="H23" s="399">
        <f t="shared" si="9"/>
        <v>0.16953638056653708</v>
      </c>
      <c r="I23" s="399">
        <f t="shared" si="9"/>
        <v>4.2099675941446035E-2</v>
      </c>
      <c r="J23" s="399">
        <f t="shared" si="9"/>
        <v>-0.11122429831380853</v>
      </c>
      <c r="K23" s="399">
        <f t="shared" si="9"/>
        <v>5.2150570066960222E-2</v>
      </c>
      <c r="L23" s="399">
        <f t="shared" si="9"/>
        <v>-7.1266806180661058E-2</v>
      </c>
      <c r="M23" s="399">
        <f t="shared" si="9"/>
        <v>2.3026823471309132E-2</v>
      </c>
      <c r="N23" s="400" t="s">
        <v>136</v>
      </c>
      <c r="O23" s="401"/>
      <c r="P23" s="398"/>
      <c r="Q23" s="398"/>
      <c r="R23" s="398"/>
    </row>
    <row r="24" spans="1:19">
      <c r="B24" s="402"/>
      <c r="C24" s="402"/>
      <c r="D24" s="402"/>
      <c r="E24" s="402"/>
      <c r="F24" s="402"/>
      <c r="G24" s="403"/>
      <c r="H24" s="402"/>
      <c r="I24" s="402"/>
      <c r="J24" s="403"/>
      <c r="K24" s="403"/>
      <c r="L24" s="403"/>
      <c r="M24" s="403"/>
      <c r="N24" s="404"/>
      <c r="O24" s="404"/>
      <c r="P24" s="404"/>
      <c r="Q24" s="404"/>
      <c r="R24" s="404"/>
    </row>
    <row r="25" spans="1:19">
      <c r="A25" s="390" t="s">
        <v>137</v>
      </c>
      <c r="B25" s="391">
        <v>28289</v>
      </c>
      <c r="C25" s="391">
        <v>28765</v>
      </c>
      <c r="D25" s="391">
        <v>27931</v>
      </c>
      <c r="E25" s="391">
        <v>28961</v>
      </c>
      <c r="F25" s="391">
        <v>28964</v>
      </c>
      <c r="G25" s="391">
        <v>28241</v>
      </c>
      <c r="H25" s="391">
        <v>32929</v>
      </c>
      <c r="I25" s="391">
        <v>34105</v>
      </c>
      <c r="J25" s="391">
        <v>30386</v>
      </c>
      <c r="K25" s="391">
        <v>32004</v>
      </c>
      <c r="L25" s="391">
        <v>29712</v>
      </c>
      <c r="M25" s="16">
        <f>N25-SUM(B25:L25)</f>
        <v>30113</v>
      </c>
      <c r="N25" s="393">
        <v>360400</v>
      </c>
      <c r="O25" s="394">
        <f>SUM(B25:D25)</f>
        <v>84985</v>
      </c>
      <c r="P25" s="394">
        <f>SUM(E25:G25)</f>
        <v>86166</v>
      </c>
      <c r="Q25" s="394">
        <f>SUM(H25:J25)</f>
        <v>97420</v>
      </c>
      <c r="R25" s="395">
        <f>N25-SUM(O25:Q25)</f>
        <v>91829</v>
      </c>
      <c r="S25" s="387">
        <f>N25</f>
        <v>360400</v>
      </c>
    </row>
    <row r="26" spans="1:19">
      <c r="A26" s="390" t="s">
        <v>134</v>
      </c>
      <c r="B26" s="396">
        <f t="shared" ref="B26:M26" si="10">B25/B34-1</f>
        <v>0.19026381116674385</v>
      </c>
      <c r="C26" s="396">
        <f t="shared" si="10"/>
        <v>0.11405886909372587</v>
      </c>
      <c r="D26" s="396">
        <f t="shared" si="10"/>
        <v>4.6418402517608204E-2</v>
      </c>
      <c r="E26" s="396">
        <f t="shared" si="10"/>
        <v>9.9339508047373126E-2</v>
      </c>
      <c r="F26" s="396">
        <f t="shared" si="10"/>
        <v>9.2568841946435221E-2</v>
      </c>
      <c r="G26" s="396">
        <f t="shared" si="10"/>
        <v>6.5698113207547149E-2</v>
      </c>
      <c r="H26" s="396">
        <f t="shared" si="10"/>
        <v>9.0653153153153143E-2</v>
      </c>
      <c r="I26" s="396">
        <f t="shared" si="10"/>
        <v>6.4351028305714264E-2</v>
      </c>
      <c r="J26" s="396">
        <f t="shared" si="10"/>
        <v>8.2662296016532411E-2</v>
      </c>
      <c r="K26" s="396">
        <f t="shared" si="10"/>
        <v>8.8053307948595894E-2</v>
      </c>
      <c r="L26" s="396">
        <f t="shared" si="10"/>
        <v>0.12562509471132</v>
      </c>
      <c r="M26" s="396">
        <f t="shared" si="10"/>
        <v>0.17280729085527335</v>
      </c>
      <c r="N26" s="397"/>
      <c r="O26" s="398">
        <f>O25/O34-1</f>
        <v>0.11413364097589107</v>
      </c>
      <c r="P26" s="398">
        <f>P25/P34-1</f>
        <v>8.5843183708445681E-2</v>
      </c>
      <c r="Q26" s="398">
        <f>Q25/Q34-1</f>
        <v>7.8836336253197636E-2</v>
      </c>
      <c r="R26" s="398">
        <f>R25/R34-1</f>
        <v>0.12692977934859972</v>
      </c>
      <c r="S26" s="186">
        <f>S25/S34-1</f>
        <v>0.10072689511941846</v>
      </c>
    </row>
    <row r="27" spans="1:19" ht="13" customHeight="1">
      <c r="A27" s="390" t="s">
        <v>135</v>
      </c>
      <c r="B27" s="185">
        <f>B25/M34-1</f>
        <v>0.10176818819130706</v>
      </c>
      <c r="C27" s="399">
        <f t="shared" ref="C27:M27" si="11">C25/B25-1</f>
        <v>1.6826328254798684E-2</v>
      </c>
      <c r="D27" s="399">
        <f t="shared" si="11"/>
        <v>-2.899356857291846E-2</v>
      </c>
      <c r="E27" s="399">
        <f t="shared" si="11"/>
        <v>3.6876588736529214E-2</v>
      </c>
      <c r="F27" s="399">
        <f t="shared" si="11"/>
        <v>1.0358758330175633E-4</v>
      </c>
      <c r="G27" s="399">
        <f t="shared" si="11"/>
        <v>-2.4962021820190583E-2</v>
      </c>
      <c r="H27" s="399">
        <f t="shared" si="11"/>
        <v>0.16599978754293399</v>
      </c>
      <c r="I27" s="399">
        <f t="shared" si="11"/>
        <v>3.571320112970322E-2</v>
      </c>
      <c r="J27" s="399">
        <f t="shared" si="11"/>
        <v>-0.10904559448761175</v>
      </c>
      <c r="K27" s="399">
        <f t="shared" si="11"/>
        <v>5.3248206410847043E-2</v>
      </c>
      <c r="L27" s="399">
        <f t="shared" si="11"/>
        <v>-7.1616047994000787E-2</v>
      </c>
      <c r="M27" s="399">
        <f t="shared" si="11"/>
        <v>1.3496230479267624E-2</v>
      </c>
      <c r="N27" s="400" t="s">
        <v>136</v>
      </c>
      <c r="O27" s="401"/>
      <c r="P27" s="398"/>
      <c r="Q27" s="398"/>
      <c r="R27" s="398"/>
    </row>
    <row r="28" spans="1:19">
      <c r="B28" s="402"/>
      <c r="C28" s="402"/>
      <c r="D28" s="403"/>
      <c r="E28" s="402"/>
      <c r="F28" s="402"/>
      <c r="G28" s="387"/>
      <c r="H28" s="402"/>
      <c r="I28" s="402"/>
      <c r="J28" s="403"/>
      <c r="K28" s="403"/>
      <c r="L28" s="403"/>
      <c r="M28" s="403"/>
      <c r="N28" s="404"/>
      <c r="O28" s="404"/>
      <c r="P28" s="404"/>
      <c r="Q28" s="404"/>
      <c r="R28" s="404"/>
    </row>
    <row r="29" spans="1:19" ht="13" customHeight="1">
      <c r="A29" s="388">
        <v>2013</v>
      </c>
      <c r="B29" s="187" t="s">
        <v>51</v>
      </c>
      <c r="C29" s="187" t="s">
        <v>52</v>
      </c>
      <c r="D29" s="187" t="s">
        <v>53</v>
      </c>
      <c r="E29" s="187" t="s">
        <v>54</v>
      </c>
      <c r="F29" s="187" t="s">
        <v>55</v>
      </c>
      <c r="G29" s="187" t="s">
        <v>77</v>
      </c>
      <c r="H29" s="187" t="s">
        <v>78</v>
      </c>
      <c r="I29" s="187" t="s">
        <v>79</v>
      </c>
      <c r="J29" s="187" t="s">
        <v>80</v>
      </c>
      <c r="K29" s="187" t="s">
        <v>81</v>
      </c>
      <c r="L29" s="187" t="s">
        <v>82</v>
      </c>
      <c r="M29" s="187" t="s">
        <v>44</v>
      </c>
      <c r="N29" s="389" t="s">
        <v>128</v>
      </c>
      <c r="O29" s="5" t="s">
        <v>129</v>
      </c>
      <c r="P29" s="5" t="s">
        <v>130</v>
      </c>
      <c r="Q29" s="5" t="s">
        <v>131</v>
      </c>
      <c r="R29" s="5" t="s">
        <v>132</v>
      </c>
    </row>
    <row r="30" spans="1:19">
      <c r="A30" s="390" t="s">
        <v>133</v>
      </c>
      <c r="B30" s="391">
        <v>25670</v>
      </c>
      <c r="C30" s="391">
        <v>27874</v>
      </c>
      <c r="D30" s="391">
        <v>28783</v>
      </c>
      <c r="E30" s="391">
        <v>28492</v>
      </c>
      <c r="F30" s="391">
        <v>28553</v>
      </c>
      <c r="G30" s="391">
        <v>28654</v>
      </c>
      <c r="H30" s="391">
        <v>32665</v>
      </c>
      <c r="I30" s="391">
        <v>34757</v>
      </c>
      <c r="J30" s="392">
        <v>30485</v>
      </c>
      <c r="K30" s="16">
        <v>31649</v>
      </c>
      <c r="L30" s="16">
        <v>28515</v>
      </c>
      <c r="M30" s="26">
        <f>R30-SUM(K30:L30)</f>
        <v>27873</v>
      </c>
      <c r="N30" s="393"/>
      <c r="O30" s="394">
        <f>SUM(B30:D30)</f>
        <v>82327</v>
      </c>
      <c r="P30" s="394">
        <f>SUM(E30:G30)</f>
        <v>85699</v>
      </c>
      <c r="Q30" s="394">
        <f>SUM(H30:J30)</f>
        <v>97907</v>
      </c>
      <c r="R30" s="405">
        <f>S30-SUM(O30:Q30)</f>
        <v>88037</v>
      </c>
      <c r="S30" s="406">
        <v>353970</v>
      </c>
    </row>
    <row r="31" spans="1:19">
      <c r="A31" s="390" t="s">
        <v>134</v>
      </c>
      <c r="B31" s="396">
        <f>B30/B39-1</f>
        <v>3.8957497370262217E-5</v>
      </c>
      <c r="C31" s="396">
        <v>0.185</v>
      </c>
      <c r="D31" s="396">
        <f t="shared" ref="D31:M31" si="12">D30/D39-1</f>
        <v>0.15003196420009579</v>
      </c>
      <c r="E31" s="396">
        <f t="shared" si="12"/>
        <v>9.3826781326781239E-2</v>
      </c>
      <c r="F31" s="396">
        <f t="shared" si="12"/>
        <v>0.12395685718784444</v>
      </c>
      <c r="G31" s="396">
        <f t="shared" si="12"/>
        <v>0.13239013594688598</v>
      </c>
      <c r="H31" s="396">
        <f t="shared" si="12"/>
        <v>9.2146176736099594E-2</v>
      </c>
      <c r="I31" s="396">
        <f t="shared" si="12"/>
        <v>0.13181803380116586</v>
      </c>
      <c r="J31" s="396">
        <f t="shared" si="12"/>
        <v>0.11096938775510212</v>
      </c>
      <c r="K31" s="396">
        <f t="shared" si="12"/>
        <v>0.11857637661695053</v>
      </c>
      <c r="L31" s="396">
        <f t="shared" si="12"/>
        <v>0.10352167182662542</v>
      </c>
      <c r="M31" s="407">
        <f t="shared" si="12"/>
        <v>8.7429775280898792E-2</v>
      </c>
      <c r="N31" s="397"/>
      <c r="O31" s="396">
        <f>O30/O39-1</f>
        <v>0.10972272770161884</v>
      </c>
      <c r="P31" s="398">
        <f>P30/P39-1</f>
        <v>0.11651206420344984</v>
      </c>
      <c r="Q31" s="398">
        <f>Q30/Q39-1</f>
        <v>0.11184673737763751</v>
      </c>
      <c r="R31" s="398">
        <f>R30/R39-1</f>
        <v>0.10369079557706296</v>
      </c>
      <c r="S31" s="398">
        <f>S30/S39-1</f>
        <v>0.11043489445268806</v>
      </c>
    </row>
    <row r="32" spans="1:19" ht="13" customHeight="1">
      <c r="A32" s="390" t="s">
        <v>135</v>
      </c>
      <c r="B32" s="399">
        <f>B30/M39-1</f>
        <v>1.4825218476903768E-3</v>
      </c>
      <c r="C32" s="399">
        <f t="shared" ref="C32:M32" si="13">C30/B30-1</f>
        <v>8.5858979353330644E-2</v>
      </c>
      <c r="D32" s="399">
        <f t="shared" si="13"/>
        <v>3.2611035373466324E-2</v>
      </c>
      <c r="E32" s="399">
        <f t="shared" si="13"/>
        <v>-1.0110134454365372E-2</v>
      </c>
      <c r="F32" s="399">
        <f t="shared" si="13"/>
        <v>2.1409518461321664E-3</v>
      </c>
      <c r="G32" s="399">
        <f t="shared" si="13"/>
        <v>3.5372815465974927E-3</v>
      </c>
      <c r="H32" s="399">
        <f t="shared" si="13"/>
        <v>0.13998045648077051</v>
      </c>
      <c r="I32" s="399">
        <f t="shared" si="13"/>
        <v>6.4044083881830804E-2</v>
      </c>
      <c r="J32" s="399">
        <f t="shared" si="13"/>
        <v>-0.12291049285036104</v>
      </c>
      <c r="K32" s="399">
        <f t="shared" si="13"/>
        <v>3.8182712809578412E-2</v>
      </c>
      <c r="L32" s="399">
        <f t="shared" si="13"/>
        <v>-9.902366583462352E-2</v>
      </c>
      <c r="M32" s="408">
        <f t="shared" si="13"/>
        <v>-2.2514466070489236E-2</v>
      </c>
      <c r="N32" s="400" t="s">
        <v>136</v>
      </c>
      <c r="O32" s="401">
        <f>O30/R39-1</f>
        <v>3.2106411252914802E-2</v>
      </c>
      <c r="P32" s="398"/>
      <c r="Q32" s="398"/>
      <c r="R32" s="398"/>
    </row>
    <row r="33" spans="1:19">
      <c r="B33" s="402"/>
      <c r="C33" s="402"/>
      <c r="D33" s="402"/>
      <c r="E33" s="402"/>
      <c r="F33" s="402"/>
      <c r="G33" s="403"/>
      <c r="H33" s="402"/>
      <c r="I33" s="402"/>
      <c r="J33" s="403"/>
      <c r="K33" s="403"/>
      <c r="L33" s="403"/>
      <c r="M33" s="403"/>
      <c r="N33" s="404"/>
      <c r="O33" s="404"/>
      <c r="P33" s="404"/>
      <c r="Q33" s="404"/>
      <c r="R33" s="404"/>
    </row>
    <row r="34" spans="1:19">
      <c r="A34" s="390" t="s">
        <v>137</v>
      </c>
      <c r="B34" s="391">
        <v>23767</v>
      </c>
      <c r="C34" s="391">
        <v>25820</v>
      </c>
      <c r="D34" s="391">
        <v>26692</v>
      </c>
      <c r="E34" s="391">
        <v>26344</v>
      </c>
      <c r="F34" s="391">
        <v>26510</v>
      </c>
      <c r="G34" s="391">
        <v>26500</v>
      </c>
      <c r="H34" s="391">
        <v>30192</v>
      </c>
      <c r="I34" s="391">
        <v>32043</v>
      </c>
      <c r="J34" s="391">
        <v>28066</v>
      </c>
      <c r="K34" s="391">
        <v>29414</v>
      </c>
      <c r="L34" s="391">
        <v>26396</v>
      </c>
      <c r="M34" s="26">
        <f>R34-SUM(K34:L34)</f>
        <v>25676</v>
      </c>
      <c r="N34" s="393"/>
      <c r="O34" s="394">
        <f>SUM(B34:D34)</f>
        <v>76279</v>
      </c>
      <c r="P34" s="394">
        <f>SUM(E34:G34)</f>
        <v>79354</v>
      </c>
      <c r="Q34" s="394">
        <f>SUM(H34:J34)</f>
        <v>90301</v>
      </c>
      <c r="R34" s="405">
        <f>S34-SUM(O34:Q34)</f>
        <v>81486</v>
      </c>
      <c r="S34" s="385">
        <v>327420</v>
      </c>
    </row>
    <row r="35" spans="1:19">
      <c r="A35" s="390" t="s">
        <v>134</v>
      </c>
      <c r="B35" s="396">
        <f>B34/B43-1</f>
        <v>-8.4143211746434687E-5</v>
      </c>
      <c r="C35" s="396">
        <v>0.18099999999999999</v>
      </c>
      <c r="D35" s="401">
        <f t="shared" ref="D35:M35" si="14">D34/D43-1</f>
        <v>0.15185776550295604</v>
      </c>
      <c r="E35" s="401">
        <f t="shared" si="14"/>
        <v>9.3974502719986752E-2</v>
      </c>
      <c r="F35" s="401">
        <f t="shared" si="14"/>
        <v>0.12655107938126808</v>
      </c>
      <c r="G35" s="401">
        <f t="shared" si="14"/>
        <v>0.13228507947359436</v>
      </c>
      <c r="H35" s="401">
        <f t="shared" si="14"/>
        <v>8.9609874048143245E-2</v>
      </c>
      <c r="I35" s="401">
        <f t="shared" si="14"/>
        <v>0.12899020505954484</v>
      </c>
      <c r="J35" s="401">
        <f t="shared" si="14"/>
        <v>0.10192383195916754</v>
      </c>
      <c r="K35" s="401">
        <f t="shared" si="14"/>
        <v>0.11522274881516581</v>
      </c>
      <c r="L35" s="401">
        <f t="shared" si="14"/>
        <v>9.8368841544607122E-2</v>
      </c>
      <c r="M35" s="407">
        <f t="shared" si="14"/>
        <v>8.0548775355609781E-2</v>
      </c>
      <c r="N35" s="397"/>
      <c r="O35" s="396">
        <f>O34/O43-1</f>
        <v>0.10920618301851115</v>
      </c>
      <c r="P35" s="398">
        <f>P34/P43-1</f>
        <v>0.11739442668656808</v>
      </c>
      <c r="Q35" s="398">
        <f>Q34/Q43-1</f>
        <v>0.10715905886391774</v>
      </c>
      <c r="R35" s="398">
        <f>R34/R43-1</f>
        <v>9.8653076082999558E-2</v>
      </c>
      <c r="S35" s="398">
        <f>S34/S43-1</f>
        <v>0.10796031348556423</v>
      </c>
    </row>
    <row r="36" spans="1:19" ht="13" customHeight="1">
      <c r="A36" s="390" t="s">
        <v>135</v>
      </c>
      <c r="B36" s="399">
        <f>B34/M43-1</f>
        <v>2.1041999831661329E-4</v>
      </c>
      <c r="C36" s="399">
        <f t="shared" ref="C36:M36" si="15">C34/B34-1</f>
        <v>8.6380275171456189E-2</v>
      </c>
      <c r="D36" s="399">
        <f t="shared" si="15"/>
        <v>3.3772269558481893E-2</v>
      </c>
      <c r="E36" s="399">
        <f t="shared" si="15"/>
        <v>-1.3037614266446895E-2</v>
      </c>
      <c r="F36" s="399">
        <f t="shared" si="15"/>
        <v>6.301245065289951E-3</v>
      </c>
      <c r="G36" s="399">
        <f t="shared" si="15"/>
        <v>-3.772161448509781E-4</v>
      </c>
      <c r="H36" s="399">
        <f t="shared" si="15"/>
        <v>0.13932075471698102</v>
      </c>
      <c r="I36" s="399">
        <f t="shared" si="15"/>
        <v>6.1307631160572251E-2</v>
      </c>
      <c r="J36" s="399">
        <f t="shared" si="15"/>
        <v>-0.1241144711793527</v>
      </c>
      <c r="K36" s="399">
        <f t="shared" si="15"/>
        <v>4.8029644409605998E-2</v>
      </c>
      <c r="L36" s="399">
        <f t="shared" si="15"/>
        <v>-0.10260420208064192</v>
      </c>
      <c r="M36" s="408">
        <f t="shared" si="15"/>
        <v>-2.7276860130322822E-2</v>
      </c>
      <c r="N36" s="400" t="s">
        <v>136</v>
      </c>
      <c r="O36" s="401">
        <f>O34/R43-1</f>
        <v>2.8448543191899489E-2</v>
      </c>
      <c r="P36" s="398"/>
      <c r="Q36" s="398"/>
      <c r="R36" s="398"/>
    </row>
    <row r="37" spans="1:19">
      <c r="B37" s="402"/>
      <c r="C37" s="402"/>
      <c r="D37" s="403"/>
      <c r="E37" s="402"/>
      <c r="F37" s="402"/>
      <c r="G37" s="387"/>
      <c r="H37" s="402"/>
      <c r="I37" s="402"/>
      <c r="J37" s="403"/>
      <c r="K37" s="403"/>
      <c r="L37" s="403"/>
      <c r="M37" s="403"/>
      <c r="N37" s="404"/>
      <c r="O37" s="404"/>
      <c r="P37" s="404"/>
      <c r="Q37" s="404"/>
      <c r="R37" s="404"/>
    </row>
    <row r="38" spans="1:19" ht="13" customHeight="1">
      <c r="A38" s="388">
        <v>2012</v>
      </c>
      <c r="B38" s="187" t="s">
        <v>51</v>
      </c>
      <c r="C38" s="187" t="s">
        <v>52</v>
      </c>
      <c r="D38" s="187" t="s">
        <v>53</v>
      </c>
      <c r="E38" s="187" t="s">
        <v>54</v>
      </c>
      <c r="F38" s="187" t="s">
        <v>55</v>
      </c>
      <c r="G38" s="187" t="s">
        <v>77</v>
      </c>
      <c r="H38" s="187" t="s">
        <v>78</v>
      </c>
      <c r="I38" s="187" t="s">
        <v>79</v>
      </c>
      <c r="J38" s="187" t="s">
        <v>80</v>
      </c>
      <c r="K38" s="187" t="s">
        <v>81</v>
      </c>
      <c r="L38" s="187" t="s">
        <v>82</v>
      </c>
      <c r="M38" s="187" t="s">
        <v>44</v>
      </c>
      <c r="N38" s="389" t="s">
        <v>128</v>
      </c>
      <c r="O38" s="5" t="s">
        <v>129</v>
      </c>
      <c r="P38" s="5" t="s">
        <v>130</v>
      </c>
      <c r="Q38" s="5" t="s">
        <v>131</v>
      </c>
      <c r="R38" s="5" t="s">
        <v>132</v>
      </c>
    </row>
    <row r="39" spans="1:19">
      <c r="A39" s="390" t="s">
        <v>133</v>
      </c>
      <c r="B39" s="391">
        <v>25669</v>
      </c>
      <c r="C39" s="391">
        <v>23490</v>
      </c>
      <c r="D39" s="391">
        <v>25028</v>
      </c>
      <c r="E39" s="391">
        <v>26048</v>
      </c>
      <c r="F39" s="391">
        <v>25404</v>
      </c>
      <c r="G39" s="391">
        <v>25304</v>
      </c>
      <c r="H39" s="391">
        <v>29909</v>
      </c>
      <c r="I39" s="391">
        <v>30709</v>
      </c>
      <c r="J39" s="392">
        <v>27440</v>
      </c>
      <c r="K39" s="16">
        <v>28294</v>
      </c>
      <c r="L39" s="16">
        <v>25840</v>
      </c>
      <c r="M39" s="16">
        <v>25632</v>
      </c>
      <c r="N39" s="393">
        <f>SUM(B39:M39)</f>
        <v>318767</v>
      </c>
      <c r="O39" s="394">
        <f>SUM(B39:D39)</f>
        <v>74187</v>
      </c>
      <c r="P39" s="394">
        <f>SUM(E39:G39)</f>
        <v>76756</v>
      </c>
      <c r="Q39" s="394">
        <f>SUM(H39:J39)</f>
        <v>88058</v>
      </c>
      <c r="R39" s="395">
        <f>SUM(K39:M39)</f>
        <v>79766</v>
      </c>
      <c r="S39" s="387">
        <f>SUM(O39:R39)</f>
        <v>318767</v>
      </c>
    </row>
    <row r="40" spans="1:19">
      <c r="A40" s="390" t="s">
        <v>134</v>
      </c>
      <c r="B40" s="396">
        <f>B39/B48-1</f>
        <v>0.13243922883487014</v>
      </c>
      <c r="C40" s="396">
        <f>C39/C48-1</f>
        <v>8.5841076133684746E-2</v>
      </c>
      <c r="D40" s="401">
        <v>8.5999999999999993E-2</v>
      </c>
      <c r="E40" s="396">
        <f>E39/E48-1</f>
        <v>6.8942875902823442E-2</v>
      </c>
      <c r="F40" s="396">
        <f>F39/F48-1</f>
        <v>5.5465536582325781E-2</v>
      </c>
      <c r="G40" s="396">
        <f>G39/G48-1</f>
        <v>8.8484535639007156E-2</v>
      </c>
      <c r="H40" s="396">
        <f>H39/H48-1</f>
        <v>9.4765739385065828E-2</v>
      </c>
      <c r="I40" s="396">
        <f>I39/I48-1</f>
        <v>0.113290313225058</v>
      </c>
      <c r="J40" s="396">
        <v>9.5000000000000001E-2</v>
      </c>
      <c r="K40" s="396">
        <v>6.8000000000000005E-2</v>
      </c>
      <c r="L40" s="396">
        <v>8.8999999999999996E-2</v>
      </c>
      <c r="M40" s="396">
        <f>M39/M48-1</f>
        <v>0.11433788366229014</v>
      </c>
      <c r="N40" s="397">
        <f>N39/N48-1</f>
        <v>9.241978211028834E-2</v>
      </c>
      <c r="O40" s="398">
        <v>0.10199999999999999</v>
      </c>
      <c r="P40" s="398">
        <f>P39/P48-1</f>
        <v>7.0754980190837591E-2</v>
      </c>
      <c r="Q40" s="398">
        <f>Q39/Q48-1</f>
        <v>0.10189576424951508</v>
      </c>
      <c r="R40" s="398">
        <f>R39/R48-1</f>
        <v>9.1429040556072483E-2</v>
      </c>
    </row>
    <row r="41" spans="1:19" ht="13" customHeight="1">
      <c r="A41" s="390" t="s">
        <v>135</v>
      </c>
      <c r="B41" s="399">
        <f>B39/M48-1</f>
        <v>0.11594643944004868</v>
      </c>
      <c r="C41" s="399">
        <f t="shared" ref="C41:M41" si="16">C39/B39-1</f>
        <v>-8.4888386770033852E-2</v>
      </c>
      <c r="D41" s="399">
        <f t="shared" si="16"/>
        <v>6.5474670072371177E-2</v>
      </c>
      <c r="E41" s="399">
        <f t="shared" si="16"/>
        <v>4.0754355122263108E-2</v>
      </c>
      <c r="F41" s="399">
        <f t="shared" si="16"/>
        <v>-2.4723587223587251E-2</v>
      </c>
      <c r="G41" s="399">
        <f t="shared" si="16"/>
        <v>-3.9363879703984139E-3</v>
      </c>
      <c r="H41" s="399">
        <f t="shared" si="16"/>
        <v>0.18198703762251034</v>
      </c>
      <c r="I41" s="399">
        <f t="shared" si="16"/>
        <v>2.6747801665050641E-2</v>
      </c>
      <c r="J41" s="399">
        <f t="shared" si="16"/>
        <v>-0.10645087759288807</v>
      </c>
      <c r="K41" s="399">
        <f t="shared" si="16"/>
        <v>3.1122448979591821E-2</v>
      </c>
      <c r="L41" s="399">
        <f t="shared" si="16"/>
        <v>-8.6732169364529543E-2</v>
      </c>
      <c r="M41" s="399">
        <f t="shared" si="16"/>
        <v>-8.04953560371513E-3</v>
      </c>
      <c r="N41" s="400" t="s">
        <v>136</v>
      </c>
      <c r="O41" s="398"/>
      <c r="P41" s="398"/>
      <c r="Q41" s="398"/>
      <c r="R41" s="398"/>
    </row>
    <row r="42" spans="1:19">
      <c r="B42" s="402"/>
      <c r="C42" s="402"/>
      <c r="D42" s="402"/>
      <c r="E42" s="402"/>
      <c r="F42" s="402"/>
      <c r="G42" s="403"/>
      <c r="H42" s="402"/>
      <c r="I42" s="402"/>
      <c r="J42" s="403"/>
      <c r="K42" s="403"/>
      <c r="L42" s="403"/>
      <c r="M42" s="403"/>
      <c r="N42" s="404"/>
      <c r="O42" s="404"/>
      <c r="P42" s="404"/>
      <c r="Q42" s="404"/>
      <c r="R42" s="404"/>
    </row>
    <row r="43" spans="1:19">
      <c r="A43" s="390" t="s">
        <v>137</v>
      </c>
      <c r="B43" s="391">
        <v>23769</v>
      </c>
      <c r="C43" s="391">
        <v>21827</v>
      </c>
      <c r="D43" s="391">
        <v>23173</v>
      </c>
      <c r="E43" s="391">
        <v>24081</v>
      </c>
      <c r="F43" s="391">
        <v>23532</v>
      </c>
      <c r="G43" s="391">
        <v>23404</v>
      </c>
      <c r="H43" s="391">
        <v>27709</v>
      </c>
      <c r="I43" s="391">
        <v>28382</v>
      </c>
      <c r="J43" s="391">
        <v>25470</v>
      </c>
      <c r="K43" s="391">
        <v>26375</v>
      </c>
      <c r="L43" s="391">
        <v>24032</v>
      </c>
      <c r="M43" s="391">
        <v>23762</v>
      </c>
      <c r="N43" s="393">
        <f>SUM(B43:M43)</f>
        <v>295516</v>
      </c>
      <c r="O43" s="394">
        <f>SUM(B43:D43)</f>
        <v>68769</v>
      </c>
      <c r="P43" s="394">
        <f>SUM(E43:G43)</f>
        <v>71017</v>
      </c>
      <c r="Q43" s="394">
        <f>SUM(H43:J43)</f>
        <v>81561</v>
      </c>
      <c r="R43" s="395">
        <f>SUM(K43:M43)</f>
        <v>74169</v>
      </c>
      <c r="S43" s="387">
        <f>SUM(O43:R43)</f>
        <v>295516</v>
      </c>
    </row>
    <row r="44" spans="1:19">
      <c r="A44" s="390" t="s">
        <v>134</v>
      </c>
      <c r="B44" s="396">
        <f>B43/B52-1</f>
        <v>0.13423363237259012</v>
      </c>
      <c r="C44" s="396">
        <f>C43/C52-1</f>
        <v>9.1786714685874404E-2</v>
      </c>
      <c r="D44" s="401">
        <v>8.3000000000000004E-2</v>
      </c>
      <c r="E44" s="396">
        <f>E43/E52-1</f>
        <v>5.8412447257383926E-2</v>
      </c>
      <c r="F44" s="396">
        <f>F43/F52-1</f>
        <v>4.6564376250833872E-2</v>
      </c>
      <c r="G44" s="396">
        <f>G43/G52-1</f>
        <v>8.4020379805465506E-2</v>
      </c>
      <c r="H44" s="396">
        <f>H43/H52-1</f>
        <v>9.2195506503744529E-2</v>
      </c>
      <c r="I44" s="396">
        <f>I43/I52-1</f>
        <v>0.10932186828219659</v>
      </c>
      <c r="J44" s="396">
        <v>9.7000000000000003E-2</v>
      </c>
      <c r="K44" s="396">
        <v>7.3999999999999996E-2</v>
      </c>
      <c r="L44" s="396">
        <v>0.09</v>
      </c>
      <c r="M44" s="396">
        <f>M43/M52-1</f>
        <v>0.11815914545197881</v>
      </c>
      <c r="N44" s="397">
        <f>N43/N52-1</f>
        <v>9.1068857301089157E-2</v>
      </c>
      <c r="O44" s="398">
        <v>0.10299999999999999</v>
      </c>
      <c r="P44" s="398">
        <f>P43/P52-1</f>
        <v>6.2699208403788953E-2</v>
      </c>
      <c r="Q44" s="398">
        <f>Q43/Q52-1</f>
        <v>0.10033187631536356</v>
      </c>
      <c r="R44" s="398">
        <f>R43/R52-1</f>
        <v>9.516567243517815E-2</v>
      </c>
    </row>
    <row r="45" spans="1:19" ht="13" customHeight="1">
      <c r="A45" s="390" t="s">
        <v>135</v>
      </c>
      <c r="B45" s="399">
        <f>B43/M52-1</f>
        <v>0.11848854171568401</v>
      </c>
      <c r="C45" s="399">
        <f t="shared" ref="C45:M45" si="17">C43/B43-1</f>
        <v>-8.1703058605747003E-2</v>
      </c>
      <c r="D45" s="399">
        <f t="shared" si="17"/>
        <v>6.1666743024694215E-2</v>
      </c>
      <c r="E45" s="399">
        <f t="shared" si="17"/>
        <v>3.918353255944429E-2</v>
      </c>
      <c r="F45" s="399">
        <f t="shared" si="17"/>
        <v>-2.2798056559113045E-2</v>
      </c>
      <c r="G45" s="399">
        <f t="shared" si="17"/>
        <v>-5.439401665816801E-3</v>
      </c>
      <c r="H45" s="399">
        <f t="shared" si="17"/>
        <v>0.18394291574089894</v>
      </c>
      <c r="I45" s="399">
        <f t="shared" si="17"/>
        <v>2.4288137428272405E-2</v>
      </c>
      <c r="J45" s="399">
        <f t="shared" si="17"/>
        <v>-0.10260023958847153</v>
      </c>
      <c r="K45" s="399">
        <f t="shared" si="17"/>
        <v>3.5531998429525036E-2</v>
      </c>
      <c r="L45" s="399">
        <f t="shared" si="17"/>
        <v>-8.8834123222748862E-2</v>
      </c>
      <c r="M45" s="399">
        <f t="shared" si="17"/>
        <v>-1.1235019973368843E-2</v>
      </c>
      <c r="N45" s="400" t="s">
        <v>136</v>
      </c>
      <c r="O45" s="398"/>
      <c r="P45" s="398"/>
      <c r="Q45" s="398"/>
      <c r="R45" s="398"/>
    </row>
    <row r="46" spans="1:19">
      <c r="B46" s="402"/>
      <c r="C46" s="402"/>
      <c r="D46" s="403"/>
      <c r="E46" s="402"/>
      <c r="F46" s="402"/>
      <c r="G46" s="387"/>
      <c r="H46" s="402"/>
      <c r="I46" s="402"/>
      <c r="J46" s="403"/>
      <c r="K46" s="403"/>
      <c r="L46" s="403"/>
      <c r="M46" s="403"/>
      <c r="N46" s="404"/>
      <c r="O46" s="404"/>
      <c r="P46" s="404"/>
      <c r="Q46" s="404"/>
      <c r="R46" s="404"/>
    </row>
    <row r="47" spans="1:19" ht="13" customHeight="1">
      <c r="A47" s="388">
        <v>2011</v>
      </c>
      <c r="B47" s="187" t="s">
        <v>51</v>
      </c>
      <c r="C47" s="187" t="s">
        <v>52</v>
      </c>
      <c r="D47" s="187" t="s">
        <v>53</v>
      </c>
      <c r="E47" s="187" t="s">
        <v>54</v>
      </c>
      <c r="F47" s="187" t="s">
        <v>55</v>
      </c>
      <c r="G47" s="187" t="s">
        <v>77</v>
      </c>
      <c r="H47" s="187" t="s">
        <v>78</v>
      </c>
      <c r="I47" s="187" t="s">
        <v>79</v>
      </c>
      <c r="J47" s="187" t="s">
        <v>80</v>
      </c>
      <c r="K47" s="187" t="s">
        <v>81</v>
      </c>
      <c r="L47" s="187" t="s">
        <v>82</v>
      </c>
      <c r="M47" s="187" t="s">
        <v>44</v>
      </c>
      <c r="N47" s="389" t="s">
        <v>128</v>
      </c>
      <c r="O47" s="5" t="s">
        <v>129</v>
      </c>
      <c r="P47" s="5" t="s">
        <v>130</v>
      </c>
      <c r="Q47" s="5" t="s">
        <v>131</v>
      </c>
      <c r="R47" s="5" t="s">
        <v>132</v>
      </c>
    </row>
    <row r="48" spans="1:19">
      <c r="A48" s="390" t="s">
        <v>133</v>
      </c>
      <c r="B48" s="391">
        <v>22667</v>
      </c>
      <c r="C48" s="391">
        <v>21633</v>
      </c>
      <c r="D48" s="392">
        <v>22816</v>
      </c>
      <c r="E48" s="391">
        <v>24368</v>
      </c>
      <c r="F48" s="391">
        <v>24069</v>
      </c>
      <c r="G48" s="391">
        <v>23247</v>
      </c>
      <c r="H48" s="391">
        <v>27320</v>
      </c>
      <c r="I48" s="391">
        <v>27584</v>
      </c>
      <c r="J48" s="392">
        <v>25011</v>
      </c>
      <c r="K48" s="16">
        <v>26377</v>
      </c>
      <c r="L48" s="16">
        <v>23705</v>
      </c>
      <c r="M48" s="16">
        <v>23002</v>
      </c>
      <c r="N48" s="393">
        <f>SUM(B48:M48)</f>
        <v>291799</v>
      </c>
      <c r="O48" s="394">
        <f>SUM(B48:D48)</f>
        <v>67116</v>
      </c>
      <c r="P48" s="394">
        <f>SUM(E48:G48)</f>
        <v>71684</v>
      </c>
      <c r="Q48" s="394">
        <f>SUM(H48:J48)</f>
        <v>79915</v>
      </c>
      <c r="R48" s="395">
        <f>SUM(K48:M48)</f>
        <v>73084</v>
      </c>
      <c r="S48" s="387">
        <f>SUM(O48:R48)</f>
        <v>291799</v>
      </c>
    </row>
    <row r="49" spans="1:19">
      <c r="A49" s="390" t="s">
        <v>134</v>
      </c>
      <c r="B49" s="396">
        <f t="shared" ref="B49:G49" si="18">B48/B57-1</f>
        <v>0.16786027100829504</v>
      </c>
      <c r="C49" s="396">
        <f t="shared" si="18"/>
        <v>6.8408888126778367E-2</v>
      </c>
      <c r="D49" s="396">
        <f t="shared" si="18"/>
        <v>5.0170302862929228E-2</v>
      </c>
      <c r="E49" s="396">
        <f t="shared" si="18"/>
        <v>0.12992673652972275</v>
      </c>
      <c r="F49" s="396">
        <f t="shared" si="18"/>
        <v>0.1179907844375907</v>
      </c>
      <c r="G49" s="396">
        <f t="shared" si="18"/>
        <v>6.3984621721817847E-2</v>
      </c>
      <c r="H49" s="396">
        <v>7.0999999999999994E-2</v>
      </c>
      <c r="I49" s="396">
        <v>4.4999999999999998E-2</v>
      </c>
      <c r="J49" s="396">
        <v>9.7000000000000003E-2</v>
      </c>
      <c r="K49" s="396">
        <v>7.4999999999999997E-2</v>
      </c>
      <c r="L49" s="396">
        <v>0.13800000000000001</v>
      </c>
      <c r="M49" s="396">
        <v>9.1999999999999998E-2</v>
      </c>
      <c r="N49" s="397">
        <f>N48/N57-1</f>
        <v>9.2938824663343356E-2</v>
      </c>
      <c r="O49" s="398">
        <f>O48/O57-1</f>
        <v>9.3399581570531298E-2</v>
      </c>
      <c r="P49" s="409">
        <f>P48/P57-1</f>
        <v>0.10378511882581543</v>
      </c>
      <c r="Q49" s="409">
        <f>Q48/Q57-1</f>
        <v>7.4588532702237531E-2</v>
      </c>
      <c r="R49" s="409">
        <f>R48/R57-1</f>
        <v>0.10247243215519442</v>
      </c>
    </row>
    <row r="50" spans="1:19" ht="13" customHeight="1">
      <c r="A50" s="390" t="s">
        <v>135</v>
      </c>
      <c r="B50" s="399">
        <f>B48/M57-1</f>
        <v>7.7789929152203952E-2</v>
      </c>
      <c r="C50" s="399">
        <f t="shared" ref="C50:M50" si="19">C48/B48-1</f>
        <v>-4.5616976220937966E-2</v>
      </c>
      <c r="D50" s="399">
        <f t="shared" si="19"/>
        <v>5.4684972033467449E-2</v>
      </c>
      <c r="E50" s="399">
        <f t="shared" si="19"/>
        <v>6.8022440392706773E-2</v>
      </c>
      <c r="F50" s="399">
        <f t="shared" si="19"/>
        <v>-1.2270190413657289E-2</v>
      </c>
      <c r="G50" s="399">
        <f t="shared" si="19"/>
        <v>-3.4151813536083764E-2</v>
      </c>
      <c r="H50" s="399">
        <f t="shared" si="19"/>
        <v>0.17520540284767927</v>
      </c>
      <c r="I50" s="399">
        <f t="shared" si="19"/>
        <v>9.6632503660321056E-3</v>
      </c>
      <c r="J50" s="399">
        <f t="shared" si="19"/>
        <v>-9.3278712296983812E-2</v>
      </c>
      <c r="K50" s="399">
        <f t="shared" si="19"/>
        <v>5.4615968973651619E-2</v>
      </c>
      <c r="L50" s="399">
        <f t="shared" si="19"/>
        <v>-0.10130037532698943</v>
      </c>
      <c r="M50" s="399">
        <f t="shared" si="19"/>
        <v>-2.9656190677072369E-2</v>
      </c>
      <c r="N50" s="400" t="s">
        <v>136</v>
      </c>
      <c r="O50" s="398">
        <f>O48/R57-1</f>
        <v>1.2445128297958963E-2</v>
      </c>
      <c r="P50" s="398">
        <f>P48/O48-1</f>
        <v>6.8061267060015584E-2</v>
      </c>
      <c r="Q50" s="398">
        <f>Q48/P48-1</f>
        <v>0.11482339155181065</v>
      </c>
      <c r="R50" s="398">
        <f>R48/Q48-1</f>
        <v>-8.5478320715760447E-2</v>
      </c>
    </row>
    <row r="51" spans="1:19">
      <c r="B51" s="402"/>
      <c r="C51" s="402"/>
      <c r="D51" s="403"/>
      <c r="E51" s="402"/>
      <c r="F51" s="402"/>
      <c r="G51" s="403"/>
      <c r="H51" s="402"/>
      <c r="I51" s="402"/>
      <c r="J51" s="403"/>
      <c r="K51" s="403"/>
      <c r="L51" s="403"/>
      <c r="M51" s="403"/>
      <c r="N51" s="404"/>
      <c r="O51" s="404"/>
      <c r="P51" s="404"/>
      <c r="Q51" s="404"/>
      <c r="R51" s="404"/>
    </row>
    <row r="52" spans="1:19">
      <c r="A52" s="390" t="s">
        <v>137</v>
      </c>
      <c r="B52" s="391">
        <v>20956</v>
      </c>
      <c r="C52" s="391">
        <v>19992</v>
      </c>
      <c r="D52" s="391">
        <v>21227</v>
      </c>
      <c r="E52" s="391">
        <v>22752</v>
      </c>
      <c r="F52" s="391">
        <v>22485</v>
      </c>
      <c r="G52" s="391">
        <v>21590</v>
      </c>
      <c r="H52" s="391">
        <v>25370</v>
      </c>
      <c r="I52" s="391">
        <v>25585</v>
      </c>
      <c r="J52" s="391">
        <v>23169</v>
      </c>
      <c r="K52" s="391">
        <v>24456</v>
      </c>
      <c r="L52" s="391">
        <v>22017</v>
      </c>
      <c r="M52" s="391">
        <v>21251</v>
      </c>
      <c r="N52" s="393">
        <f>SUM(B52:M52)</f>
        <v>270850</v>
      </c>
      <c r="O52" s="394">
        <f>SUM(B52:D52)</f>
        <v>62175</v>
      </c>
      <c r="P52" s="394">
        <f>SUM(E52:G52)</f>
        <v>66827</v>
      </c>
      <c r="Q52" s="394">
        <f>SUM(H52:J52)</f>
        <v>74124</v>
      </c>
      <c r="R52" s="395">
        <f>SUM(K52:M52)</f>
        <v>67724</v>
      </c>
      <c r="S52" s="387">
        <f>SUM(O52:R52)</f>
        <v>270850</v>
      </c>
    </row>
    <row r="53" spans="1:19">
      <c r="A53" s="390" t="s">
        <v>134</v>
      </c>
      <c r="B53" s="396">
        <f t="shared" ref="B53:G53" si="20">B52/B61-1</f>
        <v>0.16131892490994737</v>
      </c>
      <c r="C53" s="396">
        <f t="shared" si="20"/>
        <v>6.5702204039753465E-2</v>
      </c>
      <c r="D53" s="396">
        <f t="shared" si="20"/>
        <v>5.1987312915056094E-2</v>
      </c>
      <c r="E53" s="396">
        <f t="shared" si="20"/>
        <v>0.13959429000751311</v>
      </c>
      <c r="F53" s="396">
        <f t="shared" si="20"/>
        <v>0.12626037476896257</v>
      </c>
      <c r="G53" s="396">
        <f t="shared" si="20"/>
        <v>6.4175867507886508E-2</v>
      </c>
      <c r="H53" s="396">
        <v>6.9000000000000006E-2</v>
      </c>
      <c r="I53" s="396">
        <v>4.5999999999999999E-2</v>
      </c>
      <c r="J53" s="396">
        <v>9.8000000000000004E-2</v>
      </c>
      <c r="K53" s="396">
        <v>7.2999999999999995E-2</v>
      </c>
      <c r="L53" s="396">
        <v>0.13900000000000001</v>
      </c>
      <c r="M53" s="396">
        <v>9.0999999999999998E-2</v>
      </c>
      <c r="N53" s="397">
        <f>N52/N61-1</f>
        <v>9.5911965539494437E-2</v>
      </c>
      <c r="O53" s="398">
        <f>O52/O61-1</f>
        <v>9.1125195678628312E-2</v>
      </c>
      <c r="P53" s="398">
        <f>P52/P61-1</f>
        <v>0.10976413754851166</v>
      </c>
      <c r="Q53" s="398">
        <f>Q52/Q61-1</f>
        <v>7.3794002607561859E-2</v>
      </c>
      <c r="R53" s="398">
        <f>R52/R61-1</f>
        <v>0.11176042052135982</v>
      </c>
    </row>
    <row r="54" spans="1:19">
      <c r="A54" s="390" t="s">
        <v>135</v>
      </c>
      <c r="B54" s="396">
        <f>B52/M61-1</f>
        <v>0.10972239888557511</v>
      </c>
      <c r="C54" s="399">
        <f t="shared" ref="C54:M54" si="21">C52/B52-1</f>
        <v>-4.6001145256728382E-2</v>
      </c>
      <c r="D54" s="399">
        <f t="shared" si="21"/>
        <v>6.1774709883953616E-2</v>
      </c>
      <c r="E54" s="399">
        <f t="shared" si="21"/>
        <v>7.1842464785414784E-2</v>
      </c>
      <c r="F54" s="399">
        <f t="shared" si="21"/>
        <v>-1.1735232067510593E-2</v>
      </c>
      <c r="G54" s="399">
        <f t="shared" si="21"/>
        <v>-3.9804313987102491E-2</v>
      </c>
      <c r="H54" s="399">
        <f t="shared" si="21"/>
        <v>0.17508105604446511</v>
      </c>
      <c r="I54" s="399">
        <f t="shared" si="21"/>
        <v>8.4745762711864181E-3</v>
      </c>
      <c r="J54" s="399">
        <f t="shared" si="21"/>
        <v>-9.4430330271643492E-2</v>
      </c>
      <c r="K54" s="399">
        <f t="shared" si="21"/>
        <v>5.5548362035478416E-2</v>
      </c>
      <c r="L54" s="399">
        <f t="shared" si="21"/>
        <v>-9.9730127576054928E-2</v>
      </c>
      <c r="M54" s="399">
        <f t="shared" si="21"/>
        <v>-3.4791297633646745E-2</v>
      </c>
      <c r="N54" s="11"/>
      <c r="O54" s="398">
        <f>O52/R61-1</f>
        <v>2.0667771335354468E-2</v>
      </c>
      <c r="P54" s="398">
        <f>P52/O52-1</f>
        <v>7.4821069561720854E-2</v>
      </c>
      <c r="Q54" s="398">
        <f>Q52/P52-1</f>
        <v>0.10919239229652677</v>
      </c>
      <c r="R54" s="398">
        <f>R52/Q52-1</f>
        <v>-8.6341805623010082E-2</v>
      </c>
    </row>
    <row r="55" spans="1:19">
      <c r="B55" s="402"/>
      <c r="C55" s="402"/>
      <c r="D55" s="403"/>
      <c r="E55" s="402"/>
      <c r="F55" s="402"/>
      <c r="G55" s="403"/>
      <c r="H55" s="402"/>
      <c r="I55" s="402"/>
      <c r="J55" s="403"/>
      <c r="K55" s="403"/>
      <c r="L55" s="403"/>
      <c r="M55" s="403"/>
      <c r="N55" s="404"/>
      <c r="O55" s="404"/>
      <c r="P55" s="404"/>
      <c r="Q55" s="404"/>
      <c r="R55" s="404"/>
    </row>
    <row r="56" spans="1:19" ht="13" customHeight="1">
      <c r="A56" s="388">
        <v>2010</v>
      </c>
      <c r="B56" s="187" t="s">
        <v>51</v>
      </c>
      <c r="C56" s="187" t="s">
        <v>52</v>
      </c>
      <c r="D56" s="187" t="s">
        <v>53</v>
      </c>
      <c r="E56" s="187" t="s">
        <v>54</v>
      </c>
      <c r="F56" s="187" t="s">
        <v>55</v>
      </c>
      <c r="G56" s="187" t="s">
        <v>77</v>
      </c>
      <c r="H56" s="187" t="s">
        <v>78</v>
      </c>
      <c r="I56" s="187" t="s">
        <v>79</v>
      </c>
      <c r="J56" s="187" t="s">
        <v>80</v>
      </c>
      <c r="K56" s="187" t="s">
        <v>81</v>
      </c>
      <c r="L56" s="187" t="s">
        <v>82</v>
      </c>
      <c r="M56" s="187" t="s">
        <v>44</v>
      </c>
      <c r="N56" s="389" t="s">
        <v>128</v>
      </c>
      <c r="O56" s="5" t="s">
        <v>129</v>
      </c>
      <c r="P56" s="5" t="s">
        <v>130</v>
      </c>
      <c r="Q56" s="5" t="s">
        <v>131</v>
      </c>
      <c r="R56" s="5" t="s">
        <v>132</v>
      </c>
    </row>
    <row r="57" spans="1:19">
      <c r="A57" s="390" t="s">
        <v>133</v>
      </c>
      <c r="B57" s="391">
        <v>19409</v>
      </c>
      <c r="C57" s="391">
        <v>20247.866000000002</v>
      </c>
      <c r="D57" s="391">
        <v>21726</v>
      </c>
      <c r="E57" s="391">
        <v>21566</v>
      </c>
      <c r="F57" s="391">
        <v>21528.799999999999</v>
      </c>
      <c r="G57" s="391">
        <v>21849</v>
      </c>
      <c r="H57" s="391">
        <v>25472</v>
      </c>
      <c r="I57" s="391">
        <v>26296</v>
      </c>
      <c r="J57" s="392">
        <v>22600</v>
      </c>
      <c r="K57" s="16">
        <v>24476</v>
      </c>
      <c r="L57" s="16">
        <v>20784</v>
      </c>
      <c r="M57" s="16">
        <v>21031</v>
      </c>
      <c r="N57" s="393">
        <f>SUM(B57:M57)</f>
        <v>266985.66600000003</v>
      </c>
      <c r="O57" s="394">
        <f>SUM(B57:D57)</f>
        <v>61382.866000000002</v>
      </c>
      <c r="P57" s="394">
        <f>SUM(E57:G57)</f>
        <v>64943.8</v>
      </c>
      <c r="Q57" s="394">
        <f>SUM(H57:J57)</f>
        <v>74368</v>
      </c>
      <c r="R57" s="395">
        <f>SUM(K57:M57)</f>
        <v>66291</v>
      </c>
      <c r="S57" s="387">
        <f>SUM(O57:R57)</f>
        <v>266985.66599999997</v>
      </c>
    </row>
    <row r="58" spans="1:19">
      <c r="A58" s="390" t="s">
        <v>134</v>
      </c>
      <c r="B58" s="396">
        <f t="shared" ref="B58:R58" si="22">B57/B66-1</f>
        <v>0.11060883497367824</v>
      </c>
      <c r="C58" s="396">
        <f t="shared" si="22"/>
        <v>0.18979116229874271</v>
      </c>
      <c r="D58" s="396">
        <f t="shared" si="22"/>
        <v>0.20405675016626024</v>
      </c>
      <c r="E58" s="396">
        <f t="shared" si="22"/>
        <v>0.14505681214824251</v>
      </c>
      <c r="F58" s="396">
        <f t="shared" si="22"/>
        <v>0.18740279080028666</v>
      </c>
      <c r="G58" s="396">
        <f t="shared" si="22"/>
        <v>0.23336155800169345</v>
      </c>
      <c r="H58" s="396">
        <f t="shared" si="22"/>
        <v>0.21133726459958146</v>
      </c>
      <c r="I58" s="396">
        <f t="shared" si="22"/>
        <v>0.161689344407139</v>
      </c>
      <c r="J58" s="396">
        <f t="shared" si="22"/>
        <v>0.17062053247695008</v>
      </c>
      <c r="K58" s="396">
        <f t="shared" si="22"/>
        <v>0.12756253743032198</v>
      </c>
      <c r="L58" s="396">
        <f t="shared" si="22"/>
        <v>6.1328703467293133E-2</v>
      </c>
      <c r="M58" s="396">
        <f t="shared" si="22"/>
        <v>0.12189267043635965</v>
      </c>
      <c r="N58" s="397">
        <f t="shared" si="22"/>
        <v>0.15967781812495674</v>
      </c>
      <c r="O58" s="398">
        <f t="shared" si="22"/>
        <v>0.16835178347101154</v>
      </c>
      <c r="P58" s="409">
        <f t="shared" si="22"/>
        <v>0.18770665691294819</v>
      </c>
      <c r="Q58" s="409">
        <f t="shared" si="22"/>
        <v>0.18100682864856288</v>
      </c>
      <c r="R58" s="409">
        <f t="shared" si="22"/>
        <v>0.10418748750749551</v>
      </c>
    </row>
    <row r="59" spans="1:19">
      <c r="A59" s="390" t="s">
        <v>135</v>
      </c>
      <c r="B59" s="399">
        <f>B57/M66-1</f>
        <v>3.5367545076282925E-2</v>
      </c>
      <c r="C59" s="399">
        <f t="shared" ref="C59:M59" si="23">C57/B57-1</f>
        <v>4.3220464732856012E-2</v>
      </c>
      <c r="D59" s="399">
        <f t="shared" si="23"/>
        <v>7.300196475026044E-2</v>
      </c>
      <c r="E59" s="399">
        <f t="shared" si="23"/>
        <v>-7.3644481266684769E-3</v>
      </c>
      <c r="F59" s="399">
        <f t="shared" si="23"/>
        <v>-1.7249374014652874E-3</v>
      </c>
      <c r="G59" s="399">
        <f t="shared" si="23"/>
        <v>1.4873100219241264E-2</v>
      </c>
      <c r="H59" s="399">
        <f t="shared" si="23"/>
        <v>0.16581994599295169</v>
      </c>
      <c r="I59" s="399">
        <f t="shared" si="23"/>
        <v>3.234924623115587E-2</v>
      </c>
      <c r="J59" s="399">
        <f t="shared" si="23"/>
        <v>-0.14055369637967752</v>
      </c>
      <c r="K59" s="399">
        <f t="shared" si="23"/>
        <v>8.300884955752208E-2</v>
      </c>
      <c r="L59" s="399">
        <f t="shared" si="23"/>
        <v>-0.15084164079097895</v>
      </c>
      <c r="M59" s="399">
        <f t="shared" si="23"/>
        <v>1.1884141647421131E-2</v>
      </c>
      <c r="N59" s="389"/>
      <c r="O59" s="398">
        <f>O57/R66-1</f>
        <v>2.2434306083016997E-2</v>
      </c>
      <c r="P59" s="398">
        <f>P57/O57-1</f>
        <v>5.8011856272726092E-2</v>
      </c>
      <c r="Q59" s="398">
        <f>Q57/P57-1</f>
        <v>0.14511315937780034</v>
      </c>
      <c r="R59" s="398">
        <f>R57/Q57-1</f>
        <v>-0.1086085413080895</v>
      </c>
    </row>
    <row r="60" spans="1:19">
      <c r="B60" s="402"/>
      <c r="C60" s="402"/>
      <c r="D60" s="403"/>
      <c r="E60" s="402"/>
      <c r="F60" s="402"/>
      <c r="G60" s="403"/>
      <c r="H60" s="402"/>
      <c r="I60" s="402"/>
      <c r="J60" s="403"/>
      <c r="K60" s="403"/>
      <c r="L60" s="403"/>
      <c r="M60" s="403"/>
      <c r="N60" s="404"/>
      <c r="O60" s="404"/>
      <c r="P60" s="404"/>
      <c r="Q60" s="404"/>
      <c r="R60" s="404"/>
    </row>
    <row r="61" spans="1:19">
      <c r="A61" s="390" t="s">
        <v>137</v>
      </c>
      <c r="B61" s="391">
        <v>18045</v>
      </c>
      <c r="C61" s="391">
        <v>18759.462</v>
      </c>
      <c r="D61" s="391">
        <v>20178</v>
      </c>
      <c r="E61" s="391">
        <v>19965</v>
      </c>
      <c r="F61" s="391">
        <v>19964.3</v>
      </c>
      <c r="G61" s="391">
        <v>20288</v>
      </c>
      <c r="H61" s="391">
        <v>23709</v>
      </c>
      <c r="I61" s="391">
        <v>24394</v>
      </c>
      <c r="J61" s="391">
        <v>20927</v>
      </c>
      <c r="K61" s="391">
        <v>22744</v>
      </c>
      <c r="L61" s="391">
        <v>19288</v>
      </c>
      <c r="M61" s="410">
        <f>M70*(1+M62)</f>
        <v>18884.002</v>
      </c>
      <c r="N61" s="393">
        <f>SUM(B61:M61)</f>
        <v>247145.764</v>
      </c>
      <c r="O61" s="394">
        <f>SUM(B61:D61)</f>
        <v>56982.462</v>
      </c>
      <c r="P61" s="394">
        <f>SUM(E61:G61)</f>
        <v>60217.3</v>
      </c>
      <c r="Q61" s="394">
        <f>SUM(H61:J61)</f>
        <v>69030</v>
      </c>
      <c r="R61" s="395">
        <f>SUM(K61:M61)</f>
        <v>60916.002</v>
      </c>
    </row>
    <row r="62" spans="1:19">
      <c r="A62" s="390" t="s">
        <v>134</v>
      </c>
      <c r="B62" s="396">
        <f t="shared" ref="B62:L62" si="24">B61/B70-1</f>
        <v>0.10909649661954512</v>
      </c>
      <c r="C62" s="396">
        <f t="shared" si="24"/>
        <v>0.17518398797218571</v>
      </c>
      <c r="D62" s="396">
        <f t="shared" si="24"/>
        <v>0.19573333333333331</v>
      </c>
      <c r="E62" s="396">
        <f t="shared" si="24"/>
        <v>0.1346328711070699</v>
      </c>
      <c r="F62" s="396">
        <f t="shared" si="24"/>
        <v>0.17195773407690051</v>
      </c>
      <c r="G62" s="396">
        <f t="shared" si="24"/>
        <v>0.21419594230654138</v>
      </c>
      <c r="H62" s="396">
        <f t="shared" si="24"/>
        <v>0.19712193890431706</v>
      </c>
      <c r="I62" s="396">
        <f t="shared" si="24"/>
        <v>0.15000942862530642</v>
      </c>
      <c r="J62" s="396">
        <f t="shared" si="24"/>
        <v>0.16041920816235988</v>
      </c>
      <c r="K62" s="396">
        <f t="shared" si="24"/>
        <v>0.11791594986483167</v>
      </c>
      <c r="L62" s="396">
        <f t="shared" si="24"/>
        <v>5.3355906285839083E-2</v>
      </c>
      <c r="M62" s="396">
        <v>0.11700000000000001</v>
      </c>
      <c r="N62" s="397">
        <f>N61/N70-1</f>
        <v>0.14918913238569531</v>
      </c>
      <c r="O62" s="398">
        <f>O61/O70-1</f>
        <v>0.1603498818929705</v>
      </c>
      <c r="P62" s="398">
        <f>P61/P70-1</f>
        <v>0.17291195948578109</v>
      </c>
      <c r="Q62" s="398">
        <f>Q61/Q70-1</f>
        <v>0.16898951753568947</v>
      </c>
      <c r="R62" s="398">
        <f>R61/R70-1</f>
        <v>9.6360858140455807E-2</v>
      </c>
    </row>
    <row r="63" spans="1:19">
      <c r="A63" s="390" t="s">
        <v>135</v>
      </c>
      <c r="B63" s="396">
        <f>B61/M70-1</f>
        <v>6.7372530462557645E-2</v>
      </c>
      <c r="C63" s="399">
        <f t="shared" ref="C63:M63" si="25">C61/B61-1</f>
        <v>3.9593349958437107E-2</v>
      </c>
      <c r="D63" s="399">
        <f t="shared" si="25"/>
        <v>7.5617200535921469E-2</v>
      </c>
      <c r="E63" s="399">
        <f t="shared" si="25"/>
        <v>-1.0556051144811174E-2</v>
      </c>
      <c r="F63" s="399">
        <f t="shared" si="25"/>
        <v>-3.5061357375409941E-5</v>
      </c>
      <c r="G63" s="399">
        <f t="shared" si="25"/>
        <v>1.6213941886267014E-2</v>
      </c>
      <c r="H63" s="399">
        <f t="shared" si="25"/>
        <v>0.16862184542586744</v>
      </c>
      <c r="I63" s="399">
        <f t="shared" si="25"/>
        <v>2.8891981947783529E-2</v>
      </c>
      <c r="J63" s="399">
        <f t="shared" si="25"/>
        <v>-0.14212511273263917</v>
      </c>
      <c r="K63" s="399">
        <f t="shared" si="25"/>
        <v>8.6825631958713734E-2</v>
      </c>
      <c r="L63" s="399">
        <f t="shared" si="25"/>
        <v>-0.15195216320787897</v>
      </c>
      <c r="M63" s="399">
        <f t="shared" si="25"/>
        <v>-2.0945562007465779E-2</v>
      </c>
      <c r="N63" s="11"/>
      <c r="O63" s="398">
        <f>O61/R70-1</f>
        <v>2.5565350419351374E-2</v>
      </c>
      <c r="P63" s="398">
        <f>P61/O61-1</f>
        <v>5.6769010787915741E-2</v>
      </c>
      <c r="Q63" s="398">
        <f>Q61/P61-1</f>
        <v>0.14634830854256164</v>
      </c>
      <c r="R63" s="398">
        <f>R61/Q61-1</f>
        <v>-0.11754306823120386</v>
      </c>
    </row>
    <row r="64" spans="1:19">
      <c r="B64" s="402"/>
      <c r="C64" s="402"/>
      <c r="D64" s="403"/>
      <c r="E64" s="402"/>
      <c r="F64" s="402"/>
      <c r="G64" s="403"/>
      <c r="H64" s="402"/>
      <c r="I64" s="402"/>
      <c r="J64" s="403"/>
      <c r="K64" s="403"/>
      <c r="L64" s="403"/>
      <c r="M64" s="403"/>
      <c r="N64" s="404"/>
      <c r="O64" s="404"/>
      <c r="P64" s="404"/>
      <c r="Q64" s="404"/>
      <c r="R64" s="404"/>
    </row>
    <row r="65" spans="1:18" ht="13" customHeight="1">
      <c r="A65" s="388">
        <v>2009</v>
      </c>
      <c r="B65" s="187" t="s">
        <v>51</v>
      </c>
      <c r="C65" s="187" t="s">
        <v>52</v>
      </c>
      <c r="D65" s="187" t="s">
        <v>53</v>
      </c>
      <c r="E65" s="187" t="s">
        <v>54</v>
      </c>
      <c r="F65" s="187" t="s">
        <v>55</v>
      </c>
      <c r="G65" s="187" t="s">
        <v>77</v>
      </c>
      <c r="H65" s="187" t="s">
        <v>78</v>
      </c>
      <c r="I65" s="187" t="s">
        <v>79</v>
      </c>
      <c r="J65" s="187" t="s">
        <v>80</v>
      </c>
      <c r="K65" s="187" t="s">
        <v>81</v>
      </c>
      <c r="L65" s="187" t="s">
        <v>82</v>
      </c>
      <c r="M65" s="187" t="s">
        <v>44</v>
      </c>
      <c r="N65" s="389" t="s">
        <v>128</v>
      </c>
      <c r="O65" s="5" t="s">
        <v>129</v>
      </c>
      <c r="P65" s="5" t="s">
        <v>130</v>
      </c>
      <c r="Q65" s="5" t="s">
        <v>131</v>
      </c>
      <c r="R65" s="5" t="s">
        <v>132</v>
      </c>
    </row>
    <row r="66" spans="1:18">
      <c r="A66" s="390" t="s">
        <v>133</v>
      </c>
      <c r="B66" s="391">
        <v>17476</v>
      </c>
      <c r="C66" s="391">
        <v>17018</v>
      </c>
      <c r="D66" s="391">
        <v>18044</v>
      </c>
      <c r="E66" s="391">
        <v>18834</v>
      </c>
      <c r="F66" s="391">
        <v>18131</v>
      </c>
      <c r="G66" s="391">
        <v>17715</v>
      </c>
      <c r="H66" s="391">
        <v>21028</v>
      </c>
      <c r="I66" s="391">
        <v>22636</v>
      </c>
      <c r="J66" s="391">
        <v>19306</v>
      </c>
      <c r="K66" s="16">
        <v>21707</v>
      </c>
      <c r="L66" s="16">
        <v>19583</v>
      </c>
      <c r="M66" s="16">
        <v>18746</v>
      </c>
      <c r="N66" s="393">
        <f>SUM(B66:M66)</f>
        <v>230224</v>
      </c>
      <c r="O66" s="394">
        <f>SUM(B66:D66)</f>
        <v>52538</v>
      </c>
      <c r="P66" s="394">
        <f>SUM(E66:G66)</f>
        <v>54680</v>
      </c>
      <c r="Q66" s="394">
        <f>SUM(H66:J66)</f>
        <v>62970</v>
      </c>
      <c r="R66" s="395">
        <f>SUM(K66:M66)</f>
        <v>60036</v>
      </c>
    </row>
    <row r="67" spans="1:18">
      <c r="A67" s="390" t="s">
        <v>134</v>
      </c>
      <c r="B67" s="396">
        <f>B66/B78-1</f>
        <v>0.17921727395411602</v>
      </c>
      <c r="C67" s="396">
        <f>C66/C78-1</f>
        <v>0.13264559068219639</v>
      </c>
      <c r="D67" s="396">
        <v>0.13300000000000001</v>
      </c>
      <c r="E67" s="396">
        <f t="shared" ref="E67:R67" si="26">E66/E78-1</f>
        <v>0.13001739965200687</v>
      </c>
      <c r="F67" s="396">
        <f t="shared" si="26"/>
        <v>0.17802611916054834</v>
      </c>
      <c r="G67" s="396">
        <f t="shared" si="26"/>
        <v>0.24604346908630514</v>
      </c>
      <c r="H67" s="396">
        <f t="shared" si="26"/>
        <v>0.22405262238779899</v>
      </c>
      <c r="I67" s="396">
        <f t="shared" si="26"/>
        <v>0.4185623864134862</v>
      </c>
      <c r="J67" s="396">
        <f t="shared" si="26"/>
        <v>0.17633438947111868</v>
      </c>
      <c r="K67" s="396">
        <f t="shared" si="26"/>
        <v>0.1833296990841693</v>
      </c>
      <c r="L67" s="396">
        <f t="shared" si="26"/>
        <v>0.18541162227602914</v>
      </c>
      <c r="M67" s="396">
        <f t="shared" si="26"/>
        <v>0.19614599285349676</v>
      </c>
      <c r="N67" s="397">
        <f t="shared" si="26"/>
        <v>0.19827287306762953</v>
      </c>
      <c r="O67" s="398">
        <f t="shared" si="26"/>
        <v>0.14784820236881657</v>
      </c>
      <c r="P67" s="398">
        <f t="shared" si="26"/>
        <v>0.18163155051323598</v>
      </c>
      <c r="Q67" s="398">
        <f t="shared" si="26"/>
        <v>0.27088883506902395</v>
      </c>
      <c r="R67" s="398">
        <f t="shared" si="26"/>
        <v>0.18798480291277508</v>
      </c>
    </row>
    <row r="68" spans="1:18">
      <c r="A68" s="390" t="s">
        <v>135</v>
      </c>
      <c r="B68" s="399">
        <f>B66/M78-1</f>
        <v>0.11510974987238387</v>
      </c>
      <c r="C68" s="399">
        <f t="shared" ref="C68:M68" si="27">C66/B66-1</f>
        <v>-2.6207370107576122E-2</v>
      </c>
      <c r="D68" s="399">
        <f t="shared" si="27"/>
        <v>6.0289105652838071E-2</v>
      </c>
      <c r="E68" s="399">
        <f t="shared" si="27"/>
        <v>4.3781866548437076E-2</v>
      </c>
      <c r="F68" s="399">
        <f t="shared" si="27"/>
        <v>-3.7326112350005269E-2</v>
      </c>
      <c r="G68" s="399">
        <f t="shared" si="27"/>
        <v>-2.2944128840108102E-2</v>
      </c>
      <c r="H68" s="399">
        <f t="shared" si="27"/>
        <v>0.18701665255433242</v>
      </c>
      <c r="I68" s="399">
        <f t="shared" si="27"/>
        <v>7.6469469279056401E-2</v>
      </c>
      <c r="J68" s="399">
        <f t="shared" si="27"/>
        <v>-0.1471107969605937</v>
      </c>
      <c r="K68" s="399">
        <f t="shared" si="27"/>
        <v>0.12436548223350252</v>
      </c>
      <c r="L68" s="399">
        <f t="shared" si="27"/>
        <v>-9.7848620260745367E-2</v>
      </c>
      <c r="M68" s="399">
        <f t="shared" si="27"/>
        <v>-4.2741153040902868E-2</v>
      </c>
      <c r="N68" s="389"/>
      <c r="O68" s="398">
        <f>O66/R79-1</f>
        <v>1175518.5245143406</v>
      </c>
      <c r="P68" s="398">
        <f>P66/O66-1</f>
        <v>4.0770489931097442E-2</v>
      </c>
      <c r="Q68" s="398">
        <f>Q66/P66-1</f>
        <v>0.15160936356986099</v>
      </c>
      <c r="R68" s="398">
        <f>R66/Q66-1</f>
        <v>-4.6593616007622685E-2</v>
      </c>
    </row>
    <row r="69" spans="1:18">
      <c r="B69" s="402"/>
      <c r="C69" s="402"/>
      <c r="D69" s="403"/>
      <c r="E69" s="402"/>
      <c r="F69" s="402"/>
      <c r="G69" s="403"/>
      <c r="H69" s="402"/>
      <c r="I69" s="402"/>
      <c r="J69" s="403"/>
      <c r="K69" s="403"/>
      <c r="L69" s="403"/>
      <c r="M69" s="403"/>
      <c r="N69" s="404"/>
      <c r="O69" s="404"/>
      <c r="P69" s="404"/>
      <c r="Q69" s="404"/>
      <c r="R69" s="404"/>
    </row>
    <row r="70" spans="1:18">
      <c r="A70" s="390" t="s">
        <v>137</v>
      </c>
      <c r="B70" s="391">
        <v>16270</v>
      </c>
      <c r="C70" s="391">
        <v>15963</v>
      </c>
      <c r="D70" s="391">
        <v>16875</v>
      </c>
      <c r="E70" s="391">
        <v>17596</v>
      </c>
      <c r="F70" s="391">
        <v>17035</v>
      </c>
      <c r="G70" s="391">
        <v>16709</v>
      </c>
      <c r="H70" s="391">
        <v>19805</v>
      </c>
      <c r="I70" s="391">
        <v>21212</v>
      </c>
      <c r="J70" s="391">
        <v>18034</v>
      </c>
      <c r="K70" s="391">
        <v>20345</v>
      </c>
      <c r="L70" s="391">
        <v>18311</v>
      </c>
      <c r="M70" s="391">
        <v>16906</v>
      </c>
      <c r="N70" s="393">
        <f>SUM(B70:M70)</f>
        <v>215061</v>
      </c>
      <c r="O70" s="394">
        <f>SUM(B70:D70)</f>
        <v>49108</v>
      </c>
      <c r="P70" s="411">
        <f>SUM(E70:G70)</f>
        <v>51340</v>
      </c>
      <c r="Q70" s="394">
        <f>SUM(H70:J70)</f>
        <v>59051</v>
      </c>
      <c r="R70" s="395">
        <f>SUM(K70:M70)</f>
        <v>55562</v>
      </c>
    </row>
    <row r="71" spans="1:18">
      <c r="A71" s="390" t="s">
        <v>134</v>
      </c>
      <c r="B71" s="396">
        <f t="shared" ref="B71:R71" si="28">B70/B82-1</f>
        <v>0.21508588498879755</v>
      </c>
      <c r="C71" s="396">
        <f t="shared" si="28"/>
        <v>0.17288758265980886</v>
      </c>
      <c r="D71" s="396">
        <f t="shared" si="28"/>
        <v>0.15836079077429988</v>
      </c>
      <c r="E71" s="396">
        <f t="shared" si="28"/>
        <v>0.15444167432095535</v>
      </c>
      <c r="F71" s="396">
        <f t="shared" si="28"/>
        <v>0.21116246000710981</v>
      </c>
      <c r="G71" s="396">
        <f t="shared" si="28"/>
        <v>0.2798927613941018</v>
      </c>
      <c r="H71" s="396">
        <f t="shared" si="28"/>
        <v>0.23557302389419177</v>
      </c>
      <c r="I71" s="396">
        <f t="shared" si="28"/>
        <v>0.4381016949152543</v>
      </c>
      <c r="J71" s="396">
        <f t="shared" si="28"/>
        <v>0.17838473601672766</v>
      </c>
      <c r="K71" s="396">
        <f t="shared" si="28"/>
        <v>0.1876130990601832</v>
      </c>
      <c r="L71" s="396">
        <f t="shared" si="28"/>
        <v>0.18586879088141961</v>
      </c>
      <c r="M71" s="396">
        <f t="shared" si="28"/>
        <v>0.15953360768175573</v>
      </c>
      <c r="N71" s="397">
        <f t="shared" si="28"/>
        <v>0.21390229447125564</v>
      </c>
      <c r="O71" s="398">
        <f t="shared" si="28"/>
        <v>0.18138953040800621</v>
      </c>
      <c r="P71" s="398">
        <f t="shared" si="28"/>
        <v>0.21193522496577111</v>
      </c>
      <c r="Q71" s="398">
        <f t="shared" si="28"/>
        <v>0.28140529045418039</v>
      </c>
      <c r="R71" s="398">
        <f t="shared" si="28"/>
        <v>0.17835934848998991</v>
      </c>
    </row>
    <row r="72" spans="1:18">
      <c r="A72" s="390" t="s">
        <v>135</v>
      </c>
      <c r="B72" s="396">
        <f>B70/M82-1</f>
        <v>0.115912208504801</v>
      </c>
      <c r="C72" s="399">
        <f t="shared" ref="C72:M72" si="29">C70/B70-1</f>
        <v>-1.886908420405653E-2</v>
      </c>
      <c r="D72" s="399">
        <f t="shared" si="29"/>
        <v>5.7132118022928058E-2</v>
      </c>
      <c r="E72" s="399">
        <f t="shared" si="29"/>
        <v>4.2725925925925834E-2</v>
      </c>
      <c r="F72" s="399">
        <f t="shared" si="29"/>
        <v>-3.1882245964992006E-2</v>
      </c>
      <c r="G72" s="399">
        <f t="shared" si="29"/>
        <v>-1.9137070736718553E-2</v>
      </c>
      <c r="H72" s="399">
        <f t="shared" si="29"/>
        <v>0.1852893650128673</v>
      </c>
      <c r="I72" s="399">
        <f t="shared" si="29"/>
        <v>7.1042665993436005E-2</v>
      </c>
      <c r="J72" s="399">
        <f t="shared" si="29"/>
        <v>-0.14982085611917784</v>
      </c>
      <c r="K72" s="399">
        <f t="shared" si="29"/>
        <v>0.12814683375845615</v>
      </c>
      <c r="L72" s="399">
        <f t="shared" si="29"/>
        <v>-9.997542393708525E-2</v>
      </c>
      <c r="M72" s="399">
        <f t="shared" si="29"/>
        <v>-7.6729834525694929E-2</v>
      </c>
      <c r="N72" s="11"/>
      <c r="O72" s="398">
        <f>O70/R83-1</f>
        <v>428125.21599340509</v>
      </c>
      <c r="P72" s="398">
        <f>P70/O70-1</f>
        <v>4.5450843039830602E-2</v>
      </c>
      <c r="Q72" s="398">
        <f>Q70/P70-1</f>
        <v>0.15019477989871444</v>
      </c>
      <c r="R72" s="398">
        <f>R70/Q70-1</f>
        <v>-5.9084520160539222E-2</v>
      </c>
    </row>
    <row r="73" spans="1:18">
      <c r="A73" s="404"/>
      <c r="B73" s="404"/>
      <c r="C73" s="404"/>
      <c r="D73" s="404"/>
      <c r="E73" s="404"/>
      <c r="F73" s="404"/>
      <c r="G73" s="404"/>
      <c r="H73" s="404"/>
      <c r="I73" s="404"/>
      <c r="J73" s="404"/>
      <c r="K73" s="404"/>
      <c r="L73" s="402"/>
      <c r="M73" s="404"/>
      <c r="N73" s="404"/>
    </row>
    <row r="74" spans="1:18">
      <c r="A74" s="390" t="s">
        <v>138</v>
      </c>
      <c r="B74" s="391"/>
      <c r="C74" s="391"/>
      <c r="D74" s="391"/>
      <c r="E74" s="391"/>
      <c r="F74" s="391"/>
      <c r="G74" s="391"/>
      <c r="H74" s="391"/>
      <c r="I74" s="391"/>
      <c r="J74" s="391"/>
      <c r="K74" s="391"/>
      <c r="L74" s="391"/>
      <c r="M74" s="391"/>
      <c r="N74" s="389"/>
      <c r="O74" s="412"/>
      <c r="P74" s="412"/>
      <c r="Q74" s="412"/>
      <c r="R74" s="412"/>
    </row>
    <row r="75" spans="1:18">
      <c r="A75" s="390" t="s">
        <v>139</v>
      </c>
      <c r="B75" s="390"/>
      <c r="C75" s="390"/>
      <c r="D75" s="390"/>
      <c r="E75" s="390"/>
      <c r="F75" s="390"/>
      <c r="G75" s="390"/>
      <c r="H75" s="390"/>
      <c r="I75" s="390"/>
      <c r="J75" s="390"/>
      <c r="K75" s="413"/>
      <c r="L75" s="390"/>
      <c r="M75" s="390"/>
      <c r="N75" s="389"/>
      <c r="O75" s="412"/>
      <c r="P75" s="412"/>
      <c r="Q75" s="8"/>
      <c r="R75" s="412"/>
    </row>
    <row r="76" spans="1:18">
      <c r="A76" s="390"/>
      <c r="B76" s="390"/>
      <c r="C76" s="390"/>
      <c r="D76" s="390"/>
      <c r="E76" s="390"/>
      <c r="F76" s="390"/>
      <c r="G76" s="390"/>
      <c r="H76" s="390"/>
      <c r="I76" s="390"/>
      <c r="J76" s="390"/>
      <c r="K76" s="390"/>
      <c r="L76" s="390"/>
      <c r="M76" s="390"/>
      <c r="N76" s="390"/>
      <c r="O76" s="390"/>
      <c r="P76" s="412"/>
      <c r="Q76" s="8"/>
      <c r="R76" s="412"/>
    </row>
    <row r="77" spans="1:18" ht="13" customHeight="1">
      <c r="A77" s="388">
        <v>2008</v>
      </c>
      <c r="B77" s="187" t="s">
        <v>51</v>
      </c>
      <c r="C77" s="187" t="s">
        <v>52</v>
      </c>
      <c r="D77" s="187" t="s">
        <v>53</v>
      </c>
      <c r="E77" s="187" t="s">
        <v>54</v>
      </c>
      <c r="F77" s="187" t="s">
        <v>55</v>
      </c>
      <c r="G77" s="187" t="s">
        <v>77</v>
      </c>
      <c r="H77" s="187" t="s">
        <v>78</v>
      </c>
      <c r="I77" s="187" t="s">
        <v>79</v>
      </c>
      <c r="J77" s="187" t="s">
        <v>80</v>
      </c>
      <c r="K77" s="187" t="s">
        <v>81</v>
      </c>
      <c r="L77" s="187" t="s">
        <v>82</v>
      </c>
      <c r="M77" s="187" t="s">
        <v>44</v>
      </c>
      <c r="N77" s="389" t="s">
        <v>128</v>
      </c>
      <c r="O77" s="5" t="s">
        <v>129</v>
      </c>
      <c r="P77" s="5" t="s">
        <v>130</v>
      </c>
      <c r="Q77" s="5" t="s">
        <v>131</v>
      </c>
      <c r="R77" s="5" t="s">
        <v>132</v>
      </c>
    </row>
    <row r="78" spans="1:18">
      <c r="A78" s="390" t="s">
        <v>133</v>
      </c>
      <c r="B78" s="391">
        <v>14820</v>
      </c>
      <c r="C78" s="391">
        <v>15025</v>
      </c>
      <c r="D78" s="391">
        <f>D66/(D67+1)</f>
        <v>15925.860547219771</v>
      </c>
      <c r="E78" s="391">
        <v>16667</v>
      </c>
      <c r="F78" s="391">
        <v>15391</v>
      </c>
      <c r="G78" s="391">
        <v>14217</v>
      </c>
      <c r="H78" s="391">
        <v>17179</v>
      </c>
      <c r="I78" s="391">
        <v>15957</v>
      </c>
      <c r="J78" s="391">
        <v>16412</v>
      </c>
      <c r="K78" s="414">
        <v>18344</v>
      </c>
      <c r="L78" s="414">
        <v>16520</v>
      </c>
      <c r="M78" s="414">
        <v>15672</v>
      </c>
      <c r="N78" s="393">
        <f>SUM(B78:M78)</f>
        <v>192129.86054721975</v>
      </c>
      <c r="O78" s="411">
        <f>SUM(B78:D78)</f>
        <v>45770.860547219767</v>
      </c>
      <c r="P78" s="411">
        <f>SUM(E78:G78)</f>
        <v>46275</v>
      </c>
      <c r="Q78" s="411">
        <f>SUM(H78:J78)</f>
        <v>49548</v>
      </c>
      <c r="R78" s="411">
        <f>SUM(K78:M78)</f>
        <v>50536</v>
      </c>
    </row>
    <row r="79" spans="1:18">
      <c r="A79" s="390" t="s">
        <v>134</v>
      </c>
      <c r="B79" s="399">
        <v>0.183</v>
      </c>
      <c r="C79" s="399">
        <v>9.8000000000000004E-2</v>
      </c>
      <c r="D79" s="399">
        <v>0.06</v>
      </c>
      <c r="E79" s="399">
        <v>5.8000000000000003E-2</v>
      </c>
      <c r="F79" s="399">
        <v>-1.0999999999999999E-2</v>
      </c>
      <c r="G79" s="399">
        <v>-3.7999999999999999E-2</v>
      </c>
      <c r="H79" s="399">
        <v>-1.6E-2</v>
      </c>
      <c r="I79" s="399">
        <v>-0.124</v>
      </c>
      <c r="J79" s="396">
        <f>J78/J90-1</f>
        <v>9.658566594893836E-3</v>
      </c>
      <c r="K79" s="415">
        <f>K78/K90-1</f>
        <v>-1.587982832618029E-2</v>
      </c>
      <c r="L79" s="415">
        <f>L66/L78-1</f>
        <v>0.18541162227602914</v>
      </c>
      <c r="M79" s="415">
        <f t="shared" ref="M79:R79" si="30">M78/M90-1</f>
        <v>8.637182864272841E-2</v>
      </c>
      <c r="N79" s="397">
        <f t="shared" si="30"/>
        <v>2.7509335176001182E-2</v>
      </c>
      <c r="O79" s="398">
        <f t="shared" si="30"/>
        <v>0.11947513934402409</v>
      </c>
      <c r="P79" s="398">
        <f t="shared" si="30"/>
        <v>1.0084473839303332E-2</v>
      </c>
      <c r="Q79" s="398">
        <f t="shared" si="30"/>
        <v>-4.5556989578718232E-2</v>
      </c>
      <c r="R79" s="398">
        <f t="shared" si="30"/>
        <v>4.4693430355149388E-2</v>
      </c>
    </row>
    <row r="80" spans="1:18">
      <c r="A80" s="390" t="s">
        <v>135</v>
      </c>
      <c r="B80" s="399">
        <f>B78/M90-1</f>
        <v>2.7311798142243271E-2</v>
      </c>
      <c r="C80" s="399">
        <f t="shared" ref="C80:M80" si="31">C78/B78-1</f>
        <v>1.3832658569500778E-2</v>
      </c>
      <c r="D80" s="399">
        <f t="shared" si="31"/>
        <v>5.9957440746740032E-2</v>
      </c>
      <c r="E80" s="399">
        <f t="shared" si="31"/>
        <v>4.6536854356018731E-2</v>
      </c>
      <c r="F80" s="399">
        <f t="shared" si="31"/>
        <v>-7.6558468830623339E-2</v>
      </c>
      <c r="G80" s="399">
        <f t="shared" si="31"/>
        <v>-7.6278344487037852E-2</v>
      </c>
      <c r="H80" s="399">
        <f t="shared" si="31"/>
        <v>0.20834212562425258</v>
      </c>
      <c r="I80" s="399">
        <f t="shared" si="31"/>
        <v>-7.1133360498282783E-2</v>
      </c>
      <c r="J80" s="399">
        <f t="shared" si="31"/>
        <v>2.8514131729021841E-2</v>
      </c>
      <c r="K80" s="416">
        <f t="shared" si="31"/>
        <v>0.11771874238362168</v>
      </c>
      <c r="L80" s="416">
        <f t="shared" si="31"/>
        <v>-9.9433057130396851E-2</v>
      </c>
      <c r="M80" s="416">
        <f t="shared" si="31"/>
        <v>-5.1331719128329345E-2</v>
      </c>
      <c r="N80" s="389"/>
      <c r="O80" s="398">
        <f>O78/R90-1</f>
        <v>-5.3812780683429762E-2</v>
      </c>
      <c r="P80" s="398">
        <f>P78/O78-1</f>
        <v>1.10144193653543E-2</v>
      </c>
      <c r="Q80" s="398">
        <f>Q78/P78-1</f>
        <v>7.0729335494327472E-2</v>
      </c>
      <c r="R80" s="398">
        <f>R78/Q78-1</f>
        <v>1.9940259949947636E-2</v>
      </c>
    </row>
    <row r="81" spans="1:18">
      <c r="B81" s="402"/>
      <c r="C81" s="402"/>
      <c r="D81" s="403"/>
      <c r="E81" s="402"/>
      <c r="F81" s="402"/>
      <c r="G81" s="403"/>
      <c r="H81" s="402"/>
      <c r="I81" s="402"/>
      <c r="J81" s="403"/>
      <c r="K81" s="403"/>
      <c r="L81" s="404"/>
      <c r="M81" s="404"/>
      <c r="N81" s="404"/>
      <c r="O81" s="404"/>
      <c r="P81" s="404"/>
      <c r="Q81" s="404"/>
      <c r="R81" s="404"/>
    </row>
    <row r="82" spans="1:18">
      <c r="A82" s="390" t="s">
        <v>137</v>
      </c>
      <c r="B82" s="391">
        <v>13390</v>
      </c>
      <c r="C82" s="391">
        <v>13610</v>
      </c>
      <c r="D82" s="391">
        <v>14568</v>
      </c>
      <c r="E82" s="391">
        <v>15242</v>
      </c>
      <c r="F82" s="391">
        <v>14065</v>
      </c>
      <c r="G82" s="391">
        <v>13055</v>
      </c>
      <c r="H82" s="391">
        <v>16029</v>
      </c>
      <c r="I82" s="391">
        <v>14750</v>
      </c>
      <c r="J82" s="391">
        <v>15304</v>
      </c>
      <c r="K82" s="414">
        <v>17131</v>
      </c>
      <c r="L82" s="414">
        <v>15441</v>
      </c>
      <c r="M82" s="414">
        <v>14580</v>
      </c>
      <c r="N82" s="393">
        <f>O82+P82+Q82+R82</f>
        <v>177165</v>
      </c>
      <c r="O82" s="411">
        <f>SUM(B82:D82)</f>
        <v>41568</v>
      </c>
      <c r="P82" s="411">
        <f>SUM(E82:G82)</f>
        <v>42362</v>
      </c>
      <c r="Q82" s="411">
        <f>SUM(H82:J82)</f>
        <v>46083</v>
      </c>
      <c r="R82" s="411">
        <f>SUM(K82:M82)</f>
        <v>47152</v>
      </c>
    </row>
    <row r="83" spans="1:18">
      <c r="A83" s="390" t="s">
        <v>134</v>
      </c>
      <c r="B83" s="396">
        <f t="shared" ref="B83:I83" si="32">B82/B94-1</f>
        <v>0.18181818181818188</v>
      </c>
      <c r="C83" s="396">
        <f t="shared" si="32"/>
        <v>9.5813204508856664E-2</v>
      </c>
      <c r="D83" s="396">
        <f t="shared" si="32"/>
        <v>7.4336283185840735E-2</v>
      </c>
      <c r="E83" s="396">
        <f t="shared" si="32"/>
        <v>6.8114926419061028E-2</v>
      </c>
      <c r="F83" s="396">
        <f t="shared" si="32"/>
        <v>-6.0070671378091856E-3</v>
      </c>
      <c r="G83" s="396">
        <f t="shared" si="32"/>
        <v>-2.2829341317365248E-2</v>
      </c>
      <c r="H83" s="396">
        <f t="shared" si="32"/>
        <v>4.9529780564263604E-3</v>
      </c>
      <c r="I83" s="396">
        <f t="shared" si="32"/>
        <v>-0.11037394451145954</v>
      </c>
      <c r="J83" s="396">
        <v>3.1E-2</v>
      </c>
      <c r="K83" s="396">
        <f t="shared" ref="K83:R83" si="33">K82/K94-1</f>
        <v>0.11602605863192172</v>
      </c>
      <c r="L83" s="396">
        <f t="shared" si="33"/>
        <v>0.10926724137931032</v>
      </c>
      <c r="M83" s="396">
        <f t="shared" si="33"/>
        <v>0.1189562547966232</v>
      </c>
      <c r="N83" s="397">
        <f t="shared" si="33"/>
        <v>4.9928884674647289E-2</v>
      </c>
      <c r="O83" s="417">
        <f t="shared" si="33"/>
        <v>0.11412489949075311</v>
      </c>
      <c r="P83" s="417">
        <f t="shared" si="33"/>
        <v>1.3930110100526472E-2</v>
      </c>
      <c r="Q83" s="417">
        <f t="shared" si="33"/>
        <v>-2.6758183738120334E-2</v>
      </c>
      <c r="R83" s="417">
        <f t="shared" si="33"/>
        <v>0.11470449172576824</v>
      </c>
    </row>
    <row r="84" spans="1:18">
      <c r="A84" s="390" t="s">
        <v>135</v>
      </c>
      <c r="B84" s="396">
        <f>B82/M94-1</f>
        <v>2.7628549501151234E-2</v>
      </c>
      <c r="C84" s="399">
        <f t="shared" ref="C84:M84" si="34">C82/B82-1</f>
        <v>1.643017176997752E-2</v>
      </c>
      <c r="D84" s="399">
        <f t="shared" si="34"/>
        <v>7.0389419544452547E-2</v>
      </c>
      <c r="E84" s="399">
        <f t="shared" si="34"/>
        <v>4.6265788028555743E-2</v>
      </c>
      <c r="F84" s="399">
        <f t="shared" si="34"/>
        <v>-7.7220837160477673E-2</v>
      </c>
      <c r="G84" s="399">
        <f t="shared" si="34"/>
        <v>-7.1809456096693869E-2</v>
      </c>
      <c r="H84" s="399">
        <f t="shared" si="34"/>
        <v>0.22780543852929913</v>
      </c>
      <c r="I84" s="399">
        <f t="shared" si="34"/>
        <v>-7.9792875413313369E-2</v>
      </c>
      <c r="J84" s="399">
        <f t="shared" si="34"/>
        <v>3.7559322033898335E-2</v>
      </c>
      <c r="K84" s="399">
        <f t="shared" si="34"/>
        <v>0.11938055410350246</v>
      </c>
      <c r="L84" s="399">
        <f t="shared" si="34"/>
        <v>-9.8651567334072765E-2</v>
      </c>
      <c r="M84" s="399">
        <f t="shared" si="34"/>
        <v>-5.5760637264425927E-2</v>
      </c>
      <c r="N84" s="11"/>
      <c r="O84" s="398">
        <f>O82/R94-1</f>
        <v>-1.7304964539007095E-2</v>
      </c>
      <c r="P84" s="398">
        <f>P82/O82-1</f>
        <v>1.9101231716705191E-2</v>
      </c>
      <c r="Q84" s="398">
        <f>Q82/P82-1</f>
        <v>8.7838156838676129E-2</v>
      </c>
      <c r="R84" s="398">
        <f>R82/Q82-1</f>
        <v>2.319727448299802E-2</v>
      </c>
    </row>
    <row r="85" spans="1:18">
      <c r="A85" s="404"/>
      <c r="B85" s="404"/>
      <c r="C85" s="404"/>
      <c r="D85" s="404"/>
      <c r="E85" s="404"/>
      <c r="F85" s="404"/>
      <c r="G85" s="404"/>
      <c r="H85" s="404"/>
      <c r="I85" s="404"/>
      <c r="J85" s="404"/>
      <c r="K85" s="404"/>
      <c r="L85" s="404"/>
      <c r="M85" s="404"/>
      <c r="N85" s="404"/>
    </row>
    <row r="86" spans="1:18">
      <c r="A86" s="390" t="s">
        <v>138</v>
      </c>
      <c r="B86" s="390"/>
      <c r="C86" s="390"/>
      <c r="D86" s="390"/>
      <c r="E86" s="390"/>
      <c r="F86" s="390"/>
      <c r="G86" s="390"/>
      <c r="H86" s="390"/>
      <c r="I86" s="390"/>
      <c r="J86" s="390"/>
      <c r="K86" s="390"/>
      <c r="L86" s="390"/>
      <c r="M86" s="390"/>
      <c r="N86" s="389"/>
      <c r="O86" s="412"/>
      <c r="P86" s="412"/>
      <c r="Q86" s="412">
        <v>400.4</v>
      </c>
      <c r="R86" s="412"/>
    </row>
    <row r="87" spans="1:18">
      <c r="A87" s="390" t="s">
        <v>139</v>
      </c>
      <c r="B87" s="390"/>
      <c r="C87" s="390"/>
      <c r="D87" s="390"/>
      <c r="E87" s="390"/>
      <c r="F87" s="390"/>
      <c r="G87" s="390"/>
      <c r="H87" s="390"/>
      <c r="I87" s="390"/>
      <c r="J87" s="390"/>
      <c r="K87" s="390"/>
      <c r="L87" s="390"/>
      <c r="M87" s="390"/>
      <c r="N87" s="389"/>
      <c r="O87" s="412"/>
      <c r="P87" s="412"/>
      <c r="Q87" s="8">
        <f>Q86/Q78</f>
        <v>8.0810527165576813E-3</v>
      </c>
      <c r="R87" s="412"/>
    </row>
    <row r="88" spans="1:18">
      <c r="A88" s="404"/>
      <c r="B88" s="404"/>
      <c r="C88" s="404"/>
      <c r="D88" s="404"/>
      <c r="E88" s="404"/>
      <c r="F88" s="404"/>
      <c r="G88" s="404"/>
      <c r="H88" s="404"/>
      <c r="I88" s="404"/>
      <c r="J88" s="404"/>
      <c r="K88" s="404"/>
      <c r="L88" s="404"/>
      <c r="M88" s="404"/>
      <c r="N88" s="404"/>
      <c r="O88" s="404"/>
      <c r="P88" s="404"/>
      <c r="Q88" s="404"/>
      <c r="R88" s="404"/>
    </row>
    <row r="89" spans="1:18" ht="13" customHeight="1">
      <c r="A89" s="388">
        <v>2007</v>
      </c>
      <c r="B89" s="187" t="s">
        <v>51</v>
      </c>
      <c r="C89" s="187" t="s">
        <v>52</v>
      </c>
      <c r="D89" s="187" t="s">
        <v>53</v>
      </c>
      <c r="E89" s="187" t="s">
        <v>54</v>
      </c>
      <c r="F89" s="187" t="s">
        <v>55</v>
      </c>
      <c r="G89" s="187" t="s">
        <v>77</v>
      </c>
      <c r="H89" s="187" t="s">
        <v>78</v>
      </c>
      <c r="I89" s="187" t="s">
        <v>79</v>
      </c>
      <c r="J89" s="187" t="s">
        <v>80</v>
      </c>
      <c r="K89" s="187" t="s">
        <v>81</v>
      </c>
      <c r="L89" s="187" t="s">
        <v>82</v>
      </c>
      <c r="M89" s="187" t="s">
        <v>44</v>
      </c>
      <c r="N89" s="12" t="s">
        <v>128</v>
      </c>
      <c r="O89" s="9" t="s">
        <v>129</v>
      </c>
      <c r="P89" s="9" t="s">
        <v>130</v>
      </c>
      <c r="Q89" s="9" t="s">
        <v>131</v>
      </c>
      <c r="R89" s="9" t="s">
        <v>132</v>
      </c>
    </row>
    <row r="90" spans="1:18">
      <c r="A90" s="390" t="s">
        <v>133</v>
      </c>
      <c r="B90" s="391">
        <v>12417</v>
      </c>
      <c r="C90" s="391">
        <v>13639</v>
      </c>
      <c r="D90" s="391">
        <v>14830</v>
      </c>
      <c r="E90" s="391">
        <v>15629</v>
      </c>
      <c r="F90" s="391">
        <v>15466</v>
      </c>
      <c r="G90" s="391">
        <v>14718</v>
      </c>
      <c r="H90" s="391">
        <v>17447</v>
      </c>
      <c r="I90" s="391">
        <v>18211</v>
      </c>
      <c r="J90" s="391">
        <v>16255</v>
      </c>
      <c r="K90" s="391">
        <v>18640</v>
      </c>
      <c r="L90" s="391">
        <v>15308</v>
      </c>
      <c r="M90" s="391">
        <v>14426</v>
      </c>
      <c r="N90" s="393">
        <f>SUM(B90:M90)</f>
        <v>186986</v>
      </c>
      <c r="O90" s="391">
        <f>SUM(B90:D90)</f>
        <v>40886</v>
      </c>
      <c r="P90" s="391">
        <f>SUM(E90:G90)</f>
        <v>45813</v>
      </c>
      <c r="Q90" s="391">
        <f>SUM(H90:J90)</f>
        <v>51913</v>
      </c>
      <c r="R90" s="391">
        <f>SUM(K90:M90)</f>
        <v>48374</v>
      </c>
    </row>
    <row r="91" spans="1:18">
      <c r="A91" s="390" t="s">
        <v>134</v>
      </c>
      <c r="B91" s="399">
        <v>8.5000000000000006E-2</v>
      </c>
      <c r="C91" s="399">
        <v>0.221</v>
      </c>
      <c r="D91" s="399">
        <v>0.18099999999999999</v>
      </c>
      <c r="E91" s="399">
        <v>0.151</v>
      </c>
      <c r="F91" s="399">
        <v>0.19400000000000001</v>
      </c>
      <c r="G91" s="399">
        <v>0.182</v>
      </c>
      <c r="H91" s="399">
        <v>0.155</v>
      </c>
      <c r="I91" s="399">
        <v>0.159</v>
      </c>
      <c r="J91" s="399">
        <v>0.14499999999999999</v>
      </c>
      <c r="K91" s="399">
        <v>0.152</v>
      </c>
      <c r="L91" s="399">
        <v>0.14599999999999999</v>
      </c>
      <c r="M91" s="399">
        <v>0.16300000000000001</v>
      </c>
      <c r="N91" s="389"/>
      <c r="O91" s="10"/>
      <c r="P91" s="10"/>
      <c r="Q91" s="10"/>
      <c r="R91" s="10"/>
    </row>
    <row r="92" spans="1:18">
      <c r="A92" s="390" t="s">
        <v>135</v>
      </c>
      <c r="B92" s="401" t="s">
        <v>140</v>
      </c>
      <c r="C92" s="399">
        <f t="shared" ref="C92:M92" si="35">C90/B90-1</f>
        <v>9.8413465410324585E-2</v>
      </c>
      <c r="D92" s="399">
        <f t="shared" si="35"/>
        <v>8.7323117530610839E-2</v>
      </c>
      <c r="E92" s="399">
        <f t="shared" si="35"/>
        <v>5.387727579231294E-2</v>
      </c>
      <c r="F92" s="399">
        <f t="shared" si="35"/>
        <v>-1.0429330091496603E-2</v>
      </c>
      <c r="G92" s="399">
        <f t="shared" si="35"/>
        <v>-4.8364153627311501E-2</v>
      </c>
      <c r="H92" s="399">
        <f t="shared" si="35"/>
        <v>0.18541921456719668</v>
      </c>
      <c r="I92" s="399">
        <f t="shared" si="35"/>
        <v>4.3789763283085925E-2</v>
      </c>
      <c r="J92" s="399">
        <f t="shared" si="35"/>
        <v>-0.10740761078469052</v>
      </c>
      <c r="K92" s="399">
        <f t="shared" si="35"/>
        <v>0.14672408489695488</v>
      </c>
      <c r="L92" s="399">
        <f t="shared" si="35"/>
        <v>-0.17875536480686693</v>
      </c>
      <c r="M92" s="399">
        <f t="shared" si="35"/>
        <v>-5.7616932322968384E-2</v>
      </c>
      <c r="N92" s="389"/>
      <c r="O92" s="10"/>
      <c r="P92" s="10"/>
      <c r="Q92" s="10"/>
      <c r="R92" s="10"/>
    </row>
    <row r="93" spans="1:18">
      <c r="B93" s="402"/>
      <c r="C93" s="402"/>
      <c r="D93" s="403"/>
      <c r="E93" s="402"/>
      <c r="F93" s="402"/>
      <c r="G93" s="403"/>
      <c r="H93" s="402"/>
      <c r="I93" s="402"/>
      <c r="J93" s="403"/>
      <c r="K93" s="403"/>
      <c r="L93" s="403"/>
      <c r="M93" s="404"/>
      <c r="N93" s="404"/>
      <c r="O93" s="418"/>
      <c r="P93" s="418"/>
      <c r="Q93" s="418"/>
      <c r="R93" s="418"/>
    </row>
    <row r="94" spans="1:18">
      <c r="A94" s="390" t="s">
        <v>137</v>
      </c>
      <c r="B94" s="391">
        <v>11330</v>
      </c>
      <c r="C94" s="391">
        <v>12420</v>
      </c>
      <c r="D94" s="391">
        <v>13560</v>
      </c>
      <c r="E94" s="391">
        <v>14270</v>
      </c>
      <c r="F94" s="391">
        <v>14150</v>
      </c>
      <c r="G94" s="391">
        <v>13360</v>
      </c>
      <c r="H94" s="391">
        <v>15950</v>
      </c>
      <c r="I94" s="391">
        <v>16580</v>
      </c>
      <c r="J94" s="391">
        <v>14820</v>
      </c>
      <c r="K94" s="391">
        <v>15350</v>
      </c>
      <c r="L94" s="391">
        <v>13920</v>
      </c>
      <c r="M94" s="391">
        <v>13030</v>
      </c>
      <c r="N94" s="393">
        <f>SUM(B94:M94)</f>
        <v>168740</v>
      </c>
      <c r="O94" s="391">
        <f>SUM(B94:D94)</f>
        <v>37310</v>
      </c>
      <c r="P94" s="391">
        <f>SUM(E94:G94)</f>
        <v>41780</v>
      </c>
      <c r="Q94" s="391">
        <f>SUM(H94:J94)</f>
        <v>47350</v>
      </c>
      <c r="R94" s="391">
        <f>SUM(K94:M94)</f>
        <v>42300</v>
      </c>
    </row>
    <row r="98" spans="11:18" ht="15" customHeight="1">
      <c r="Q98" s="386" t="s">
        <v>141</v>
      </c>
      <c r="R98" s="248"/>
    </row>
    <row r="101" spans="11:18" ht="15.5" customHeight="1">
      <c r="K101" s="419"/>
      <c r="N101" s="420"/>
    </row>
    <row r="102" spans="11:18" ht="15.5" customHeight="1">
      <c r="K102" s="421"/>
      <c r="N102" s="420"/>
    </row>
    <row r="103" spans="11:18" ht="15.5" customHeight="1">
      <c r="K103" s="421"/>
      <c r="N103" s="420"/>
    </row>
    <row r="105" spans="11:18">
      <c r="O105" s="13"/>
    </row>
  </sheetData>
  <phoneticPr fontId="3" type="noConversion"/>
  <pageMargins left="0.75" right="0.75" top="1" bottom="1" header="0.5" footer="0.5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T473"/>
  <sheetViews>
    <sheetView workbookViewId="0">
      <selection activeCell="P16" sqref="P16"/>
    </sheetView>
  </sheetViews>
  <sheetFormatPr defaultRowHeight="15"/>
  <cols>
    <col min="1" max="1" width="15.58203125" style="245" customWidth="1"/>
    <col min="2" max="4" width="10.83203125" style="245" bestFit="1" customWidth="1"/>
    <col min="5" max="6" width="7.75" style="245" bestFit="1" customWidth="1"/>
    <col min="7" max="7" width="8.58203125" style="251" customWidth="1"/>
    <col min="8" max="8" width="8.25" style="245" bestFit="1" customWidth="1"/>
    <col min="11" max="11" width="9.08203125" style="245" bestFit="1" customWidth="1"/>
    <col min="12" max="12" width="8.6640625" style="245" customWidth="1"/>
    <col min="13" max="13" width="8.5" style="245" customWidth="1"/>
    <col min="14" max="14" width="8.4140625" style="245" customWidth="1"/>
    <col min="15" max="15" width="9.75" style="245" bestFit="1" customWidth="1"/>
    <col min="16" max="16" width="10.83203125" style="245" bestFit="1" customWidth="1"/>
    <col min="17" max="18" width="8.1640625" style="245" bestFit="1" customWidth="1"/>
    <col min="19" max="19" width="8.75" style="245" customWidth="1"/>
  </cols>
  <sheetData>
    <row r="1" spans="1:18">
      <c r="A1" s="385" t="s">
        <v>127</v>
      </c>
    </row>
    <row r="2" spans="1:18" ht="15.5" customHeight="1">
      <c r="A2" s="422" t="s">
        <v>142</v>
      </c>
      <c r="B2" s="184" t="s">
        <v>51</v>
      </c>
      <c r="C2" s="184" t="s">
        <v>52</v>
      </c>
      <c r="D2" s="184" t="s">
        <v>53</v>
      </c>
      <c r="E2" s="184" t="s">
        <v>54</v>
      </c>
      <c r="F2" s="184" t="s">
        <v>55</v>
      </c>
      <c r="G2" s="184" t="s">
        <v>77</v>
      </c>
      <c r="H2" s="184" t="s">
        <v>78</v>
      </c>
      <c r="I2" s="184" t="s">
        <v>79</v>
      </c>
      <c r="J2" s="184" t="s">
        <v>80</v>
      </c>
      <c r="K2" s="184" t="s">
        <v>81</v>
      </c>
      <c r="L2" s="184" t="s">
        <v>82</v>
      </c>
      <c r="M2" s="184" t="s">
        <v>44</v>
      </c>
      <c r="N2" s="400" t="s">
        <v>128</v>
      </c>
      <c r="O2" s="55" t="s">
        <v>129</v>
      </c>
      <c r="P2" s="55" t="s">
        <v>130</v>
      </c>
      <c r="Q2" s="55" t="s">
        <v>131</v>
      </c>
      <c r="R2" s="55" t="s">
        <v>132</v>
      </c>
    </row>
    <row r="3" spans="1:18">
      <c r="A3" s="423" t="s">
        <v>133</v>
      </c>
      <c r="B3" s="424">
        <v>62992</v>
      </c>
      <c r="C3" s="424">
        <v>68305</v>
      </c>
      <c r="D3" s="424">
        <v>66632</v>
      </c>
      <c r="E3" s="424">
        <v>61199</v>
      </c>
      <c r="F3" s="424">
        <v>59126</v>
      </c>
      <c r="G3" s="424">
        <v>57270</v>
      </c>
      <c r="H3" s="424">
        <v>74629</v>
      </c>
      <c r="I3" s="424"/>
      <c r="J3" s="424"/>
      <c r="K3" s="424"/>
      <c r="L3" s="424"/>
      <c r="M3" s="425"/>
      <c r="N3" s="425">
        <f>SUM(B3:M3)</f>
        <v>450153</v>
      </c>
      <c r="O3" s="394">
        <f>SUM(B3:D3)</f>
        <v>197929</v>
      </c>
      <c r="P3" s="394">
        <f>SUM(E3:G3)</f>
        <v>177595</v>
      </c>
      <c r="Q3" s="394">
        <f>SUM(H3:J3)</f>
        <v>74629</v>
      </c>
      <c r="R3" s="394">
        <f>SUM(K3:M3)</f>
        <v>0</v>
      </c>
    </row>
    <row r="4" spans="1:18">
      <c r="A4" s="390" t="s">
        <v>143</v>
      </c>
      <c r="B4" s="396">
        <f t="shared" ref="B4:R4" si="0">B3/B29-1</f>
        <v>-2.9339250493096602E-2</v>
      </c>
      <c r="C4" s="396">
        <f t="shared" si="0"/>
        <v>0.11034348228944846</v>
      </c>
      <c r="D4" s="396">
        <f t="shared" si="0"/>
        <v>0.12088281801971545</v>
      </c>
      <c r="E4" s="396">
        <f t="shared" si="0"/>
        <v>4.4149023469555182E-3</v>
      </c>
      <c r="F4" s="396">
        <f t="shared" si="0"/>
        <v>-7.1382576055032954E-2</v>
      </c>
      <c r="G4" s="396">
        <f t="shared" si="0"/>
        <v>-6.4506117381858519E-2</v>
      </c>
      <c r="H4" s="396">
        <f t="shared" si="0"/>
        <v>3.9111668059036431E-2</v>
      </c>
      <c r="I4" s="396">
        <f t="shared" si="0"/>
        <v>-1</v>
      </c>
      <c r="J4" s="396">
        <f t="shared" si="0"/>
        <v>-1</v>
      </c>
      <c r="K4" s="396">
        <f t="shared" si="0"/>
        <v>-1</v>
      </c>
      <c r="L4" s="396">
        <f t="shared" si="0"/>
        <v>-1</v>
      </c>
      <c r="M4" s="396">
        <f t="shared" si="0"/>
        <v>-1</v>
      </c>
      <c r="N4" s="396">
        <f t="shared" si="0"/>
        <v>-0.41549122950532302</v>
      </c>
      <c r="O4" s="396">
        <f t="shared" si="0"/>
        <v>6.4941703119031136E-2</v>
      </c>
      <c r="P4" s="396">
        <f t="shared" si="0"/>
        <v>-4.426326552577764E-2</v>
      </c>
      <c r="Q4" s="396">
        <f t="shared" si="0"/>
        <v>-0.64437148262338517</v>
      </c>
      <c r="R4" s="396">
        <f t="shared" si="0"/>
        <v>-1</v>
      </c>
    </row>
    <row r="5" spans="1:18">
      <c r="A5" s="390" t="s">
        <v>144</v>
      </c>
      <c r="B5" s="396">
        <f t="shared" ref="B5:R5" si="1">B3/B$201-1</f>
        <v>0.17933836331979114</v>
      </c>
      <c r="C5" s="396">
        <f t="shared" si="1"/>
        <v>0.26899639579385437</v>
      </c>
      <c r="D5" s="396">
        <f t="shared" si="1"/>
        <v>0.24536483253588526</v>
      </c>
      <c r="E5" s="396">
        <f t="shared" si="1"/>
        <v>0.15213298693474897</v>
      </c>
      <c r="F5" s="396">
        <f t="shared" si="1"/>
        <v>8.4701608908620551E-2</v>
      </c>
      <c r="G5" s="396">
        <f t="shared" si="1"/>
        <v>7.2190811397760957E-2</v>
      </c>
      <c r="H5" s="396">
        <f t="shared" si="1"/>
        <v>0.25847793460481272</v>
      </c>
      <c r="I5" s="396">
        <f t="shared" si="1"/>
        <v>-1</v>
      </c>
      <c r="J5" s="396">
        <f t="shared" si="1"/>
        <v>-1</v>
      </c>
      <c r="K5" s="396">
        <f t="shared" si="1"/>
        <v>-1</v>
      </c>
      <c r="L5" s="396">
        <f t="shared" si="1"/>
        <v>-1</v>
      </c>
      <c r="M5" s="396">
        <f t="shared" si="1"/>
        <v>-1</v>
      </c>
      <c r="N5" s="396">
        <f t="shared" si="1"/>
        <v>-0.31782183319290291</v>
      </c>
      <c r="O5" s="396">
        <f t="shared" si="1"/>
        <v>0.23133822312635699</v>
      </c>
      <c r="P5" s="396">
        <f t="shared" si="1"/>
        <v>0.10279369849914</v>
      </c>
      <c r="Q5" s="396">
        <f t="shared" si="1"/>
        <v>-0.57425895077927114</v>
      </c>
      <c r="R5" s="396">
        <f t="shared" si="1"/>
        <v>-1</v>
      </c>
    </row>
    <row r="6" spans="1:18">
      <c r="A6" s="390"/>
      <c r="B6" s="426"/>
      <c r="C6" s="427"/>
      <c r="D6" s="427"/>
      <c r="E6" s="427"/>
      <c r="F6" s="427"/>
      <c r="G6" s="427"/>
      <c r="H6" s="427"/>
      <c r="I6" s="427"/>
      <c r="J6" s="427"/>
      <c r="K6" s="427"/>
    </row>
    <row r="7" spans="1:18">
      <c r="A7" s="428" t="s">
        <v>137</v>
      </c>
      <c r="B7" s="424">
        <f t="shared" ref="B7:H7" si="2">B11-B23</f>
        <v>55342</v>
      </c>
      <c r="C7" s="424">
        <f t="shared" si="2"/>
        <v>60571</v>
      </c>
      <c r="D7" s="424">
        <f t="shared" si="2"/>
        <v>58642</v>
      </c>
      <c r="E7" s="424">
        <f t="shared" si="2"/>
        <v>53577</v>
      </c>
      <c r="F7" s="424">
        <f t="shared" si="2"/>
        <v>51901</v>
      </c>
      <c r="G7" s="424">
        <f t="shared" si="2"/>
        <v>50197</v>
      </c>
      <c r="H7" s="424">
        <f t="shared" si="2"/>
        <v>66502</v>
      </c>
      <c r="I7" s="424"/>
      <c r="J7" s="424"/>
      <c r="K7" s="424"/>
      <c r="L7" s="424"/>
      <c r="M7" s="424"/>
      <c r="N7" s="391">
        <f>SUM(B7:M7)</f>
        <v>396732</v>
      </c>
      <c r="O7" s="394">
        <f>SUM(B7:D7)</f>
        <v>174555</v>
      </c>
      <c r="P7" s="394">
        <f>SUM(E7:G7)</f>
        <v>155675</v>
      </c>
      <c r="Q7" s="394">
        <f>SUM(H7:J7)</f>
        <v>66502</v>
      </c>
      <c r="R7" s="394">
        <f>SUM(K7:M7)</f>
        <v>0</v>
      </c>
    </row>
    <row r="8" spans="1:18">
      <c r="A8" s="390" t="s">
        <v>143</v>
      </c>
      <c r="B8" s="396">
        <f t="shared" ref="B8:R8" si="3">B7/B33-1</f>
        <v>-4.5712413567154608E-2</v>
      </c>
      <c r="C8" s="396">
        <f t="shared" si="3"/>
        <v>0.10351800907285602</v>
      </c>
      <c r="D8" s="396">
        <f t="shared" si="3"/>
        <v>0.11486692015209132</v>
      </c>
      <c r="E8" s="396">
        <f t="shared" si="3"/>
        <v>-2.3648145389543185E-3</v>
      </c>
      <c r="F8" s="396">
        <f t="shared" si="3"/>
        <v>-8.0633447292437932E-2</v>
      </c>
      <c r="G8" s="396">
        <f t="shared" si="3"/>
        <v>-7.0529200459208186E-2</v>
      </c>
      <c r="H8" s="396">
        <f t="shared" si="3"/>
        <v>4.089905930598392E-2</v>
      </c>
      <c r="I8" s="396">
        <f t="shared" si="3"/>
        <v>-1</v>
      </c>
      <c r="J8" s="396">
        <f t="shared" si="3"/>
        <v>-1</v>
      </c>
      <c r="K8" s="396">
        <f t="shared" si="3"/>
        <v>-1</v>
      </c>
      <c r="L8" s="396">
        <f t="shared" si="3"/>
        <v>-1</v>
      </c>
      <c r="M8" s="396">
        <f t="shared" si="3"/>
        <v>-1</v>
      </c>
      <c r="N8" s="396">
        <f t="shared" si="3"/>
        <v>-0.41793672498078038</v>
      </c>
      <c r="O8" s="396">
        <f t="shared" si="3"/>
        <v>5.4827715401070787E-2</v>
      </c>
      <c r="P8" s="396">
        <f t="shared" si="3"/>
        <v>-5.1704708125460686E-2</v>
      </c>
      <c r="Q8" s="396">
        <f t="shared" si="3"/>
        <v>-0.64315495194810079</v>
      </c>
      <c r="R8" s="396">
        <f t="shared" si="3"/>
        <v>-1</v>
      </c>
    </row>
    <row r="9" spans="1:18">
      <c r="A9" s="390" t="s">
        <v>144</v>
      </c>
      <c r="B9" s="396">
        <f t="shared" ref="B9:R9" si="4">B7/B$205-1</f>
        <v>0.19420827758836468</v>
      </c>
      <c r="C9" s="396">
        <f t="shared" si="4"/>
        <v>0.29320210085827747</v>
      </c>
      <c r="D9" s="396">
        <f t="shared" si="4"/>
        <v>0.2628836007322064</v>
      </c>
      <c r="E9" s="396">
        <f t="shared" si="4"/>
        <v>0.16497064579256371</v>
      </c>
      <c r="F9" s="396">
        <f t="shared" si="4"/>
        <v>9.4565240314655075E-2</v>
      </c>
      <c r="G9" s="396">
        <f t="shared" si="4"/>
        <v>8.4215300876927746E-2</v>
      </c>
      <c r="H9" s="396">
        <f t="shared" si="4"/>
        <v>0.28857369838594038</v>
      </c>
      <c r="I9" s="396">
        <f t="shared" si="4"/>
        <v>-1</v>
      </c>
      <c r="J9" s="396">
        <f t="shared" si="4"/>
        <v>-1</v>
      </c>
      <c r="K9" s="396">
        <f t="shared" si="4"/>
        <v>-1</v>
      </c>
      <c r="L9" s="396">
        <f t="shared" si="4"/>
        <v>-1</v>
      </c>
      <c r="M9" s="396">
        <f t="shared" si="4"/>
        <v>-1</v>
      </c>
      <c r="N9" s="396">
        <f t="shared" si="4"/>
        <v>-0.30953056390460565</v>
      </c>
      <c r="O9" s="396">
        <f t="shared" si="4"/>
        <v>0.25025964258854705</v>
      </c>
      <c r="P9" s="396">
        <f t="shared" si="4"/>
        <v>0.11431230091979527</v>
      </c>
      <c r="Q9" s="396">
        <f t="shared" si="4"/>
        <v>-0.56502230420051536</v>
      </c>
      <c r="R9" s="396">
        <f t="shared" si="4"/>
        <v>-1</v>
      </c>
    </row>
    <row r="10" spans="1:18">
      <c r="A10" s="390"/>
      <c r="B10" s="427"/>
      <c r="C10" s="427"/>
      <c r="D10" s="427"/>
      <c r="E10" s="427"/>
      <c r="F10" s="427"/>
      <c r="G10" s="427"/>
      <c r="H10" s="427"/>
      <c r="I10" s="427"/>
      <c r="J10" s="427"/>
      <c r="K10" s="427"/>
    </row>
    <row r="11" spans="1:18">
      <c r="A11" s="429" t="s">
        <v>145</v>
      </c>
      <c r="B11" s="424">
        <v>56157</v>
      </c>
      <c r="C11" s="424">
        <v>61442</v>
      </c>
      <c r="D11" s="424">
        <v>59511</v>
      </c>
      <c r="E11" s="424">
        <v>54411</v>
      </c>
      <c r="F11" s="424">
        <v>52700</v>
      </c>
      <c r="G11" s="424">
        <v>50988</v>
      </c>
      <c r="H11" s="424">
        <v>67369</v>
      </c>
      <c r="I11" s="424"/>
      <c r="J11" s="424"/>
      <c r="K11" s="424"/>
      <c r="L11" s="424"/>
      <c r="M11" s="391"/>
      <c r="N11" s="391">
        <f>SUM(B11:M11)</f>
        <v>402578</v>
      </c>
      <c r="O11" s="394">
        <f>SUM(B11:D11)</f>
        <v>177110</v>
      </c>
      <c r="P11" s="394">
        <f>SUM(E11:G11)</f>
        <v>158099</v>
      </c>
      <c r="Q11" s="394">
        <f>SUM(H11:J11)</f>
        <v>67369</v>
      </c>
      <c r="R11" s="394">
        <f>SUM(K11:M11)</f>
        <v>0</v>
      </c>
    </row>
    <row r="12" spans="1:18">
      <c r="A12" s="390" t="s">
        <v>143</v>
      </c>
      <c r="B12" s="396">
        <f t="shared" ref="B12:R12" si="5">B11/B37-1</f>
        <v>-4.5046423834302574E-2</v>
      </c>
      <c r="C12" s="396">
        <f t="shared" si="5"/>
        <v>0.10548948343798914</v>
      </c>
      <c r="D12" s="396">
        <f t="shared" si="5"/>
        <v>0.11525271265531001</v>
      </c>
      <c r="E12" s="396">
        <f t="shared" si="5"/>
        <v>-1.9260400616333273E-3</v>
      </c>
      <c r="F12" s="396">
        <f t="shared" si="5"/>
        <v>-7.9684962366624146E-2</v>
      </c>
      <c r="G12" s="396">
        <f t="shared" si="5"/>
        <v>-7.002024549948016E-2</v>
      </c>
      <c r="H12" s="396">
        <f t="shared" si="5"/>
        <v>4.0801507848226448E-2</v>
      </c>
      <c r="I12" s="396">
        <f t="shared" si="5"/>
        <v>-1</v>
      </c>
      <c r="J12" s="396">
        <f t="shared" si="5"/>
        <v>-1</v>
      </c>
      <c r="K12" s="396">
        <f t="shared" si="5"/>
        <v>-1</v>
      </c>
      <c r="L12" s="396">
        <f t="shared" si="5"/>
        <v>-1</v>
      </c>
      <c r="M12" s="396">
        <f t="shared" si="5"/>
        <v>-1</v>
      </c>
      <c r="N12" s="396">
        <f t="shared" si="5"/>
        <v>-0.41762131743976627</v>
      </c>
      <c r="O12" s="396">
        <f t="shared" si="5"/>
        <v>5.5822493531887396E-2</v>
      </c>
      <c r="P12" s="396">
        <f t="shared" si="5"/>
        <v>-5.106058605332342E-2</v>
      </c>
      <c r="Q12" s="396">
        <f t="shared" si="5"/>
        <v>-0.64324069563007047</v>
      </c>
      <c r="R12" s="396">
        <f t="shared" si="5"/>
        <v>-1</v>
      </c>
    </row>
    <row r="13" spans="1:18">
      <c r="A13" s="390"/>
    </row>
    <row r="14" spans="1:18">
      <c r="A14" s="430" t="s">
        <v>146</v>
      </c>
      <c r="B14" s="424">
        <f t="shared" ref="B14:H14" si="6">B19+B23</f>
        <v>7649</v>
      </c>
      <c r="C14" s="424">
        <f t="shared" si="6"/>
        <v>7734</v>
      </c>
      <c r="D14" s="424">
        <f t="shared" si="6"/>
        <v>7990</v>
      </c>
      <c r="E14" s="424">
        <f t="shared" si="6"/>
        <v>7622</v>
      </c>
      <c r="F14" s="424">
        <f t="shared" si="6"/>
        <v>7225</v>
      </c>
      <c r="G14" s="424">
        <f t="shared" si="6"/>
        <v>7072</v>
      </c>
      <c r="H14" s="424">
        <f t="shared" si="6"/>
        <v>8127</v>
      </c>
      <c r="I14" s="424"/>
      <c r="J14" s="424"/>
      <c r="K14" s="424"/>
      <c r="L14" s="424"/>
      <c r="M14" s="424"/>
      <c r="N14" s="391">
        <f>SUM(B14:M14)</f>
        <v>53419</v>
      </c>
      <c r="O14" s="394">
        <f>SUM(B14:D14)</f>
        <v>23373</v>
      </c>
      <c r="P14" s="394">
        <f>SUM(E14:G14)</f>
        <v>21919</v>
      </c>
      <c r="Q14" s="394">
        <f>SUM(H14:J14)</f>
        <v>8127</v>
      </c>
      <c r="R14" s="394">
        <f>SUM(K14:M14)</f>
        <v>0</v>
      </c>
    </row>
    <row r="15" spans="1:18">
      <c r="A15" s="390" t="s">
        <v>143</v>
      </c>
      <c r="B15" s="396">
        <f t="shared" ref="B15:R15" si="7">B14/B40-1</f>
        <v>-8.6832555728356686E-3</v>
      </c>
      <c r="C15" s="396">
        <f t="shared" si="7"/>
        <v>0.16704391127206875</v>
      </c>
      <c r="D15" s="396">
        <f t="shared" si="7"/>
        <v>0.16710487876132052</v>
      </c>
      <c r="E15" s="396">
        <f t="shared" si="7"/>
        <v>5.4802103515084521E-2</v>
      </c>
      <c r="F15" s="396">
        <f t="shared" si="7"/>
        <v>8.3114004709794465E-4</v>
      </c>
      <c r="G15" s="396">
        <f t="shared" si="7"/>
        <v>-1.9548038264245116E-2</v>
      </c>
      <c r="H15" s="396">
        <f t="shared" si="7"/>
        <v>2.458396369137672E-2</v>
      </c>
      <c r="I15" s="396">
        <f t="shared" si="7"/>
        <v>-1</v>
      </c>
      <c r="J15" s="396">
        <f t="shared" si="7"/>
        <v>-1</v>
      </c>
      <c r="K15" s="396">
        <f t="shared" si="7"/>
        <v>-1</v>
      </c>
      <c r="L15" s="396">
        <f t="shared" si="7"/>
        <v>-1</v>
      </c>
      <c r="M15" s="396">
        <f t="shared" si="7"/>
        <v>-1</v>
      </c>
      <c r="N15" s="396">
        <f t="shared" si="7"/>
        <v>-0.40219118601580162</v>
      </c>
      <c r="O15" s="396">
        <f t="shared" si="7"/>
        <v>0.10307234886025762</v>
      </c>
      <c r="P15" s="396">
        <f t="shared" si="7"/>
        <v>1.2050974235848111E-2</v>
      </c>
      <c r="Q15" s="396">
        <f t="shared" si="7"/>
        <v>-0.65403771657230436</v>
      </c>
      <c r="R15" s="396">
        <f t="shared" si="7"/>
        <v>-1</v>
      </c>
    </row>
    <row r="16" spans="1:18">
      <c r="A16" s="390" t="s">
        <v>144</v>
      </c>
      <c r="B16" s="396">
        <f t="shared" ref="B16:R16" si="8">B14/B$213-1</f>
        <v>8.1742327817847515E-2</v>
      </c>
      <c r="C16" s="396">
        <f t="shared" si="8"/>
        <v>0.1067544361763022</v>
      </c>
      <c r="D16" s="396">
        <f t="shared" si="8"/>
        <v>0.13028716933088136</v>
      </c>
      <c r="E16" s="396">
        <f t="shared" si="8"/>
        <v>6.9304152637486016E-2</v>
      </c>
      <c r="F16" s="396">
        <f t="shared" si="8"/>
        <v>1.8753525098702761E-2</v>
      </c>
      <c r="G16" s="396">
        <f t="shared" si="8"/>
        <v>-6.1832490163012954E-3</v>
      </c>
      <c r="H16" s="396">
        <f t="shared" si="8"/>
        <v>5.6552262090483696E-2</v>
      </c>
      <c r="I16" s="396">
        <f t="shared" si="8"/>
        <v>-1</v>
      </c>
      <c r="J16" s="396">
        <f t="shared" si="8"/>
        <v>-1</v>
      </c>
      <c r="K16" s="396">
        <f t="shared" si="8"/>
        <v>-1</v>
      </c>
      <c r="L16" s="396">
        <f t="shared" si="8"/>
        <v>-1</v>
      </c>
      <c r="M16" s="396">
        <f t="shared" si="8"/>
        <v>-1</v>
      </c>
      <c r="N16" s="396">
        <f t="shared" si="8"/>
        <v>-0.37369272616423577</v>
      </c>
      <c r="O16" s="396">
        <f t="shared" si="8"/>
        <v>0.10625709958349105</v>
      </c>
      <c r="P16" s="396">
        <f t="shared" si="8"/>
        <v>2.7324709411323589E-2</v>
      </c>
      <c r="Q16" s="396">
        <f t="shared" si="8"/>
        <v>-0.63728465589574224</v>
      </c>
      <c r="R16" s="396">
        <f t="shared" si="8"/>
        <v>-1</v>
      </c>
    </row>
    <row r="17" spans="1:18">
      <c r="A17" s="390" t="s">
        <v>135</v>
      </c>
    </row>
    <row r="18" spans="1:18">
      <c r="A18" s="390"/>
    </row>
    <row r="19" spans="1:18">
      <c r="A19" s="431" t="s">
        <v>147</v>
      </c>
      <c r="B19" s="424">
        <v>6834</v>
      </c>
      <c r="C19" s="424">
        <v>6863</v>
      </c>
      <c r="D19" s="424">
        <v>7121</v>
      </c>
      <c r="E19" s="424">
        <v>6788</v>
      </c>
      <c r="F19" s="424">
        <v>6426</v>
      </c>
      <c r="G19" s="424">
        <v>6281</v>
      </c>
      <c r="H19" s="424">
        <v>7260</v>
      </c>
      <c r="I19" s="424"/>
      <c r="J19" s="424"/>
      <c r="K19" s="424"/>
      <c r="L19" s="424"/>
      <c r="M19" s="391"/>
      <c r="N19" s="391">
        <f>SUM(B19:M19)</f>
        <v>47573</v>
      </c>
      <c r="O19" s="394">
        <f>SUM(B19:D19)</f>
        <v>20818</v>
      </c>
      <c r="P19" s="394">
        <f>SUM(E19:G19)</f>
        <v>19495</v>
      </c>
      <c r="Q19" s="394">
        <f>SUM(H19:J19)</f>
        <v>7260</v>
      </c>
      <c r="R19" s="394">
        <f>SUM(K19:M19)</f>
        <v>0</v>
      </c>
    </row>
    <row r="20" spans="1:18">
      <c r="A20" s="390" t="s">
        <v>143</v>
      </c>
      <c r="B20" s="396">
        <f t="shared" ref="B20:R20" si="9">B19/B45-1</f>
        <v>-9.9956540634507096E-3</v>
      </c>
      <c r="C20" s="396">
        <f t="shared" si="9"/>
        <v>0.15597102913929595</v>
      </c>
      <c r="D20" s="396">
        <f t="shared" si="9"/>
        <v>0.17025472473294978</v>
      </c>
      <c r="E20" s="396">
        <f t="shared" si="9"/>
        <v>5.8309946990957373E-2</v>
      </c>
      <c r="F20" s="396">
        <f t="shared" si="9"/>
        <v>2.6525198938991412E-3</v>
      </c>
      <c r="G20" s="396">
        <f t="shared" si="9"/>
        <v>-1.7365456821026304E-2</v>
      </c>
      <c r="H20" s="396">
        <f t="shared" si="9"/>
        <v>2.3544339489637744E-2</v>
      </c>
      <c r="I20" s="396">
        <f t="shared" si="9"/>
        <v>-1</v>
      </c>
      <c r="J20" s="396">
        <f t="shared" si="9"/>
        <v>-1</v>
      </c>
      <c r="K20" s="396">
        <f t="shared" si="9"/>
        <v>-1</v>
      </c>
      <c r="L20" s="396">
        <f t="shared" si="9"/>
        <v>-1</v>
      </c>
      <c r="M20" s="396">
        <f t="shared" si="9"/>
        <v>-1</v>
      </c>
      <c r="N20" s="396">
        <f t="shared" si="9"/>
        <v>-0.40301672752826612</v>
      </c>
      <c r="O20" s="396">
        <f t="shared" si="9"/>
        <v>0.10002642007926021</v>
      </c>
      <c r="P20" s="396">
        <f t="shared" si="9"/>
        <v>1.4571948998178597E-2</v>
      </c>
      <c r="Q20" s="396">
        <f t="shared" si="9"/>
        <v>-0.6545489151122954</v>
      </c>
      <c r="R20" s="396">
        <f t="shared" si="9"/>
        <v>-1</v>
      </c>
    </row>
    <row r="21" spans="1:18">
      <c r="A21" s="390" t="s">
        <v>144</v>
      </c>
      <c r="B21" s="396">
        <f t="shared" ref="B21:R21" si="10">B19/B$217-1</f>
        <v>0.12493827160493831</v>
      </c>
      <c r="C21" s="396">
        <f t="shared" si="10"/>
        <v>0.14900385066130917</v>
      </c>
      <c r="D21" s="396">
        <f t="shared" si="10"/>
        <v>0.17780350645054588</v>
      </c>
      <c r="E21" s="396">
        <f t="shared" si="10"/>
        <v>0.11644736842105252</v>
      </c>
      <c r="F21" s="396">
        <f t="shared" si="10"/>
        <v>6.5494942795556232E-2</v>
      </c>
      <c r="G21" s="396">
        <f t="shared" si="10"/>
        <v>3.2889327413254454E-2</v>
      </c>
      <c r="H21" s="396">
        <f t="shared" si="10"/>
        <v>0.1016691957511382</v>
      </c>
      <c r="I21" s="396">
        <f t="shared" si="10"/>
        <v>-1</v>
      </c>
      <c r="J21" s="396">
        <f t="shared" si="10"/>
        <v>-1</v>
      </c>
      <c r="K21" s="396">
        <f t="shared" si="10"/>
        <v>-1</v>
      </c>
      <c r="L21" s="396">
        <f t="shared" si="10"/>
        <v>-1</v>
      </c>
      <c r="M21" s="396">
        <f t="shared" si="10"/>
        <v>-1</v>
      </c>
      <c r="N21" s="396">
        <f t="shared" si="10"/>
        <v>-0.35900994367943084</v>
      </c>
      <c r="O21" s="396">
        <f t="shared" si="10"/>
        <v>0.1505471426992373</v>
      </c>
      <c r="P21" s="396">
        <f t="shared" si="10"/>
        <v>7.1624890061565472E-2</v>
      </c>
      <c r="Q21" s="396">
        <f t="shared" si="10"/>
        <v>-0.63072227873855546</v>
      </c>
      <c r="R21" s="396">
        <f t="shared" si="10"/>
        <v>-1</v>
      </c>
    </row>
    <row r="22" spans="1:18">
      <c r="A22" s="390"/>
      <c r="R22" s="432"/>
    </row>
    <row r="23" spans="1:18">
      <c r="A23" s="433" t="s">
        <v>148</v>
      </c>
      <c r="B23" s="424">
        <v>815</v>
      </c>
      <c r="C23" s="424">
        <v>871</v>
      </c>
      <c r="D23" s="424">
        <v>869</v>
      </c>
      <c r="E23" s="424">
        <v>834</v>
      </c>
      <c r="F23" s="424">
        <v>799</v>
      </c>
      <c r="G23" s="424">
        <v>791</v>
      </c>
      <c r="H23" s="424">
        <v>867</v>
      </c>
      <c r="I23" s="424"/>
      <c r="J23" s="424"/>
      <c r="K23" s="424"/>
      <c r="L23" s="424"/>
      <c r="M23" s="391">
        <v>828</v>
      </c>
      <c r="N23" s="391">
        <f>SUM(B23:M23)</f>
        <v>6674</v>
      </c>
      <c r="O23" s="394">
        <f>SUM(B23:D23)</f>
        <v>2555</v>
      </c>
      <c r="P23" s="394">
        <f>SUM(E23:G23)</f>
        <v>2424</v>
      </c>
      <c r="Q23" s="394">
        <f>SUM(H23:J23)</f>
        <v>867</v>
      </c>
      <c r="R23" s="394">
        <f>SUM(K23:M23)</f>
        <v>828</v>
      </c>
    </row>
    <row r="24" spans="1:18">
      <c r="A24" s="390" t="s">
        <v>143</v>
      </c>
      <c r="B24" s="396">
        <f t="shared" ref="B24:R24" si="11">B23/B49-1</f>
        <v>2.4600246002459691E-3</v>
      </c>
      <c r="C24" s="396">
        <f t="shared" si="11"/>
        <v>0.26231884057971011</v>
      </c>
      <c r="D24" s="396">
        <f t="shared" si="11"/>
        <v>0.14191852825229967</v>
      </c>
      <c r="E24" s="396">
        <f t="shared" si="11"/>
        <v>2.7093596059113212E-2</v>
      </c>
      <c r="F24" s="396">
        <f t="shared" si="11"/>
        <v>-1.3580246913580285E-2</v>
      </c>
      <c r="G24" s="396">
        <f t="shared" si="11"/>
        <v>-3.654080389768577E-2</v>
      </c>
      <c r="H24" s="396">
        <f t="shared" si="11"/>
        <v>3.3373063170440975E-2</v>
      </c>
      <c r="I24" s="396">
        <f t="shared" si="11"/>
        <v>-1</v>
      </c>
      <c r="J24" s="396">
        <f t="shared" si="11"/>
        <v>-1</v>
      </c>
      <c r="K24" s="396">
        <f t="shared" si="11"/>
        <v>-1</v>
      </c>
      <c r="L24" s="396">
        <f t="shared" si="11"/>
        <v>-1</v>
      </c>
      <c r="M24" s="396">
        <f t="shared" si="11"/>
        <v>0</v>
      </c>
      <c r="N24" s="396">
        <f t="shared" si="11"/>
        <v>-0.30975281828524148</v>
      </c>
      <c r="O24" s="396">
        <f t="shared" si="11"/>
        <v>0.12853356890459366</v>
      </c>
      <c r="P24" s="396">
        <f t="shared" si="11"/>
        <v>-7.7773229635693664E-3</v>
      </c>
      <c r="Q24" s="396">
        <f t="shared" si="11"/>
        <v>-0.64969696969696966</v>
      </c>
      <c r="R24" s="396">
        <f t="shared" si="11"/>
        <v>-0.6670687575392038</v>
      </c>
    </row>
    <row r="25" spans="1:18">
      <c r="A25" s="390" t="s">
        <v>144</v>
      </c>
      <c r="B25" s="396">
        <f t="shared" ref="B25:R25" si="12">B23/B$221-1</f>
        <v>-0.18172690763052213</v>
      </c>
      <c r="C25" s="396">
        <f t="shared" si="12"/>
        <v>-0.14187192118226599</v>
      </c>
      <c r="D25" s="396">
        <f t="shared" si="12"/>
        <v>-0.15053763440860213</v>
      </c>
      <c r="E25" s="396">
        <f t="shared" si="12"/>
        <v>-0.20419847328244278</v>
      </c>
      <c r="F25" s="396">
        <f t="shared" si="12"/>
        <v>-0.24693685202639015</v>
      </c>
      <c r="G25" s="396">
        <f t="shared" si="12"/>
        <v>-0.23574879227053136</v>
      </c>
      <c r="H25" s="396">
        <f t="shared" si="12"/>
        <v>-0.21324863883847545</v>
      </c>
      <c r="I25" s="396">
        <f t="shared" si="12"/>
        <v>-1</v>
      </c>
      <c r="J25" s="396">
        <f t="shared" si="12"/>
        <v>-1</v>
      </c>
      <c r="K25" s="396">
        <f t="shared" si="12"/>
        <v>-1</v>
      </c>
      <c r="L25" s="396">
        <f t="shared" si="12"/>
        <v>-1</v>
      </c>
      <c r="M25" s="396">
        <f t="shared" si="12"/>
        <v>0.18965517241379315</v>
      </c>
      <c r="N25" s="396">
        <f t="shared" si="12"/>
        <v>-0.39732707242188914</v>
      </c>
      <c r="O25" s="396">
        <f t="shared" si="12"/>
        <v>-0.15787738958470665</v>
      </c>
      <c r="P25" s="396">
        <f t="shared" si="12"/>
        <v>-0.22900763358778631</v>
      </c>
      <c r="Q25" s="396">
        <f t="shared" si="12"/>
        <v>-0.6842680262199563</v>
      </c>
      <c r="R25" s="396">
        <f t="shared" si="12"/>
        <v>-0.61488372093023258</v>
      </c>
    </row>
    <row r="26" spans="1:18">
      <c r="A26" s="385"/>
      <c r="B26" s="427"/>
      <c r="C26" s="427"/>
      <c r="D26" s="427"/>
      <c r="E26" s="427"/>
      <c r="F26" s="427"/>
      <c r="G26" s="427"/>
      <c r="H26" s="427"/>
      <c r="I26" s="427"/>
      <c r="J26" s="427"/>
      <c r="K26" s="427"/>
      <c r="L26" s="427"/>
      <c r="M26" s="427"/>
      <c r="N26" s="427"/>
      <c r="O26" s="427"/>
      <c r="P26" s="427"/>
      <c r="Q26" s="427"/>
      <c r="R26" s="427"/>
    </row>
    <row r="27" spans="1:18">
      <c r="A27" s="385" t="s">
        <v>127</v>
      </c>
    </row>
    <row r="28" spans="1:18" ht="15.5" customHeight="1">
      <c r="A28" s="422" t="s">
        <v>149</v>
      </c>
      <c r="B28" s="184" t="s">
        <v>51</v>
      </c>
      <c r="C28" s="184" t="s">
        <v>52</v>
      </c>
      <c r="D28" s="184" t="s">
        <v>53</v>
      </c>
      <c r="E28" s="184" t="s">
        <v>54</v>
      </c>
      <c r="F28" s="184" t="s">
        <v>55</v>
      </c>
      <c r="G28" s="184" t="s">
        <v>77</v>
      </c>
      <c r="H28" s="184" t="s">
        <v>78</v>
      </c>
      <c r="I28" s="184" t="s">
        <v>79</v>
      </c>
      <c r="J28" s="184" t="s">
        <v>80</v>
      </c>
      <c r="K28" s="184" t="s">
        <v>81</v>
      </c>
      <c r="L28" s="184" t="s">
        <v>82</v>
      </c>
      <c r="M28" s="184" t="s">
        <v>44</v>
      </c>
      <c r="N28" s="400" t="s">
        <v>128</v>
      </c>
      <c r="O28" s="55" t="s">
        <v>129</v>
      </c>
      <c r="P28" s="55" t="s">
        <v>130</v>
      </c>
      <c r="Q28" s="55" t="s">
        <v>131</v>
      </c>
      <c r="R28" s="55" t="s">
        <v>132</v>
      </c>
    </row>
    <row r="29" spans="1:18">
      <c r="A29" s="423" t="s">
        <v>133</v>
      </c>
      <c r="B29" s="424">
        <v>64896</v>
      </c>
      <c r="C29" s="424">
        <v>61517</v>
      </c>
      <c r="D29" s="424">
        <v>59446</v>
      </c>
      <c r="E29" s="424">
        <v>60930</v>
      </c>
      <c r="F29" s="424">
        <v>63671</v>
      </c>
      <c r="G29" s="424">
        <v>61219</v>
      </c>
      <c r="H29" s="424">
        <v>71820</v>
      </c>
      <c r="I29" s="424">
        <v>75364</v>
      </c>
      <c r="J29" s="424">
        <v>62667</v>
      </c>
      <c r="K29" s="424">
        <v>67835</v>
      </c>
      <c r="L29" s="424">
        <v>60172</v>
      </c>
      <c r="M29" s="425">
        <v>60602</v>
      </c>
      <c r="N29" s="425">
        <f>SUM(B29:M29)</f>
        <v>770139</v>
      </c>
      <c r="O29" s="394">
        <f>SUM(B29:D29)</f>
        <v>185859</v>
      </c>
      <c r="P29" s="394">
        <f>SUM(E29:G29)</f>
        <v>185820</v>
      </c>
      <c r="Q29" s="394">
        <f>SUM(H29:J29)</f>
        <v>209851</v>
      </c>
      <c r="R29" s="394">
        <f>SUM(K29:M29)</f>
        <v>188609</v>
      </c>
    </row>
    <row r="30" spans="1:18">
      <c r="A30" s="390" t="s">
        <v>150</v>
      </c>
      <c r="B30" s="396">
        <f t="shared" ref="B30:R30" si="13">B29/B55-1</f>
        <v>0.13220977703339276</v>
      </c>
      <c r="C30" s="396">
        <f t="shared" si="13"/>
        <v>-1.5412932138284208E-2</v>
      </c>
      <c r="D30" s="396">
        <f t="shared" si="13"/>
        <v>3.510360438795046E-2</v>
      </c>
      <c r="E30" s="396">
        <f t="shared" si="13"/>
        <v>8.9008042895442285E-2</v>
      </c>
      <c r="F30" s="396">
        <f t="shared" si="13"/>
        <v>8.153420189906746E-2</v>
      </c>
      <c r="G30" s="396">
        <f t="shared" si="13"/>
        <v>4.3535327708173588E-2</v>
      </c>
      <c r="H30" s="396">
        <f t="shared" si="13"/>
        <v>3.8822031937051582E-2</v>
      </c>
      <c r="I30" s="396">
        <f t="shared" si="13"/>
        <v>3.3416978622458071E-2</v>
      </c>
      <c r="J30" s="396">
        <f t="shared" si="13"/>
        <v>4.5861913583337577E-2</v>
      </c>
      <c r="K30" s="396">
        <f t="shared" si="13"/>
        <v>5.840042438993942E-2</v>
      </c>
      <c r="L30" s="396">
        <f t="shared" si="13"/>
        <v>6.6236665839741971E-2</v>
      </c>
      <c r="M30" s="396">
        <f t="shared" si="13"/>
        <v>6.3622163329062564E-2</v>
      </c>
      <c r="N30" s="396">
        <f t="shared" si="13"/>
        <v>5.4697418101093076E-2</v>
      </c>
      <c r="O30" s="396">
        <f t="shared" si="13"/>
        <v>4.8699979687182537E-2</v>
      </c>
      <c r="P30" s="396">
        <f t="shared" si="13"/>
        <v>7.1095073954094312E-2</v>
      </c>
      <c r="Q30" s="396">
        <f t="shared" si="13"/>
        <v>3.8958917131229454E-2</v>
      </c>
      <c r="R30" s="396">
        <f t="shared" si="13"/>
        <v>6.2567956597916696E-2</v>
      </c>
    </row>
    <row r="31" spans="1:18">
      <c r="A31" s="390" t="s">
        <v>144</v>
      </c>
      <c r="B31" s="396">
        <f t="shared" ref="B31:R31" si="14">B29/B201-1</f>
        <v>0.2149851159830003</v>
      </c>
      <c r="C31" s="396">
        <f t="shared" si="14"/>
        <v>0.14288633745773427</v>
      </c>
      <c r="D31" s="396">
        <f t="shared" si="14"/>
        <v>0.11105711722488043</v>
      </c>
      <c r="E31" s="396">
        <f t="shared" si="14"/>
        <v>0.14706879024059649</v>
      </c>
      <c r="F31" s="396">
        <f t="shared" si="14"/>
        <v>0.16808233502724312</v>
      </c>
      <c r="G31" s="396">
        <f t="shared" si="14"/>
        <v>0.14612273935672304</v>
      </c>
      <c r="H31" s="396">
        <f t="shared" si="14"/>
        <v>0.21110942479890737</v>
      </c>
      <c r="I31" s="396">
        <f t="shared" si="14"/>
        <v>0.2306737646559327</v>
      </c>
      <c r="J31" s="396">
        <f t="shared" si="14"/>
        <v>0.14454002520409848</v>
      </c>
      <c r="K31" s="396">
        <f t="shared" si="14"/>
        <v>0.19046365518935815</v>
      </c>
      <c r="L31" s="396">
        <f t="shared" si="14"/>
        <v>0.1340796863809417</v>
      </c>
      <c r="M31" s="396">
        <f t="shared" si="14"/>
        <v>0.14863532979529936</v>
      </c>
      <c r="N31" s="396">
        <f t="shared" si="14"/>
        <v>0.16709654541156227</v>
      </c>
      <c r="O31" s="396">
        <f t="shared" si="14"/>
        <v>0.15624941677087034</v>
      </c>
      <c r="P31" s="396">
        <f t="shared" si="14"/>
        <v>0.15386764861122315</v>
      </c>
      <c r="Q31" s="396">
        <f t="shared" si="14"/>
        <v>0.19715103940852985</v>
      </c>
      <c r="R31" s="396">
        <f t="shared" si="14"/>
        <v>0.15853194103194101</v>
      </c>
    </row>
    <row r="32" spans="1:18">
      <c r="A32" s="390"/>
      <c r="B32" s="396"/>
      <c r="C32" s="427"/>
      <c r="D32" s="427"/>
      <c r="E32" s="427"/>
      <c r="F32" s="427"/>
      <c r="G32" s="427"/>
      <c r="H32" s="427"/>
      <c r="I32" s="427"/>
      <c r="J32" s="427"/>
      <c r="K32" s="427"/>
    </row>
    <row r="33" spans="1:18">
      <c r="A33" s="428" t="s">
        <v>137</v>
      </c>
      <c r="B33" s="424">
        <v>57993</v>
      </c>
      <c r="C33" s="424">
        <f>C37-C49</f>
        <v>54889</v>
      </c>
      <c r="D33" s="424">
        <f>53361-761</f>
        <v>52600</v>
      </c>
      <c r="E33" s="424">
        <f>54516-812</f>
        <v>53704</v>
      </c>
      <c r="F33" s="424">
        <f>57263-810</f>
        <v>56453</v>
      </c>
      <c r="G33" s="424">
        <f>54827-821</f>
        <v>54006</v>
      </c>
      <c r="H33" s="424">
        <f>64728-839</f>
        <v>63889</v>
      </c>
      <c r="I33" s="424">
        <f>67899-910</f>
        <v>66989</v>
      </c>
      <c r="J33" s="424">
        <f>56209-726</f>
        <v>55483</v>
      </c>
      <c r="K33" s="424">
        <f>K37-K49</f>
        <v>60000</v>
      </c>
      <c r="L33" s="424">
        <f>L37-L49</f>
        <v>52651</v>
      </c>
      <c r="M33" s="424">
        <f>M37-M49</f>
        <v>52939</v>
      </c>
      <c r="N33" s="425">
        <f>SUM(B33:M33)</f>
        <v>681596</v>
      </c>
      <c r="O33" s="394">
        <f>SUM(B33:D33)</f>
        <v>165482</v>
      </c>
      <c r="P33" s="394">
        <f>SUM(E33:G33)</f>
        <v>164163</v>
      </c>
      <c r="Q33" s="394">
        <f>SUM(H33:J33)</f>
        <v>186361</v>
      </c>
      <c r="R33" s="394">
        <f>SUM(K33:M33)</f>
        <v>165590</v>
      </c>
    </row>
    <row r="34" spans="1:18">
      <c r="A34" s="390" t="s">
        <v>150</v>
      </c>
      <c r="B34" s="396">
        <f t="shared" ref="B34:R34" si="15">B33/B59-1</f>
        <v>0.11108343711083446</v>
      </c>
      <c r="C34" s="396">
        <f t="shared" si="15"/>
        <v>-3.3474203204789554E-2</v>
      </c>
      <c r="D34" s="396">
        <f t="shared" si="15"/>
        <v>1.5071691850479629E-2</v>
      </c>
      <c r="E34" s="396">
        <f t="shared" si="15"/>
        <v>7.2867659544714414E-2</v>
      </c>
      <c r="F34" s="396">
        <f t="shared" si="15"/>
        <v>6.5472595500528419E-2</v>
      </c>
      <c r="G34" s="396">
        <f t="shared" si="15"/>
        <v>2.8626935603679682E-2</v>
      </c>
      <c r="H34" s="396">
        <f t="shared" si="15"/>
        <v>2.8079943357363524E-2</v>
      </c>
      <c r="I34" s="396">
        <f t="shared" si="15"/>
        <v>2.2342617321633007E-2</v>
      </c>
      <c r="J34" s="396">
        <f t="shared" si="15"/>
        <v>3.6058410516880857E-2</v>
      </c>
      <c r="K34" s="396">
        <f t="shared" si="15"/>
        <v>4.3659766915985498E-2</v>
      </c>
      <c r="L34" s="396">
        <f t="shared" si="15"/>
        <v>5.1169940904008948E-2</v>
      </c>
      <c r="M34" s="396">
        <f t="shared" si="15"/>
        <v>6.0561743729465434E-2</v>
      </c>
      <c r="N34" s="396">
        <f t="shared" si="15"/>
        <v>4.0505295296250354E-2</v>
      </c>
      <c r="O34" s="396">
        <f t="shared" si="15"/>
        <v>2.909131613641458E-2</v>
      </c>
      <c r="P34" s="396">
        <f t="shared" si="15"/>
        <v>5.5415366119445642E-2</v>
      </c>
      <c r="Q34" s="396">
        <f t="shared" si="15"/>
        <v>2.8363158795062349E-2</v>
      </c>
      <c r="R34" s="396">
        <f t="shared" si="15"/>
        <v>5.1405132893951544E-2</v>
      </c>
    </row>
    <row r="35" spans="1:18">
      <c r="A35" s="390" t="s">
        <v>144</v>
      </c>
      <c r="B35" s="396">
        <f t="shared" ref="B35:R35" si="16">B33/B205-1</f>
        <v>0.25141340468689299</v>
      </c>
      <c r="C35" s="396">
        <f t="shared" si="16"/>
        <v>0.17189034544600545</v>
      </c>
      <c r="D35" s="396">
        <f t="shared" si="16"/>
        <v>0.13276623236782603</v>
      </c>
      <c r="E35" s="396">
        <f t="shared" si="16"/>
        <v>0.16773211567732105</v>
      </c>
      <c r="F35" s="396">
        <f t="shared" si="16"/>
        <v>0.19056456545120959</v>
      </c>
      <c r="G35" s="396">
        <f t="shared" si="16"/>
        <v>0.16648667329042288</v>
      </c>
      <c r="H35" s="396">
        <f t="shared" si="16"/>
        <v>0.23794299443895439</v>
      </c>
      <c r="I35" s="396">
        <f t="shared" si="16"/>
        <v>0.25704152671182756</v>
      </c>
      <c r="J35" s="396">
        <f t="shared" si="16"/>
        <v>0.15623306797816028</v>
      </c>
      <c r="K35" s="396">
        <f t="shared" si="16"/>
        <v>0.19552872257755993</v>
      </c>
      <c r="L35" s="396">
        <f t="shared" si="16"/>
        <v>0.13349838536060288</v>
      </c>
      <c r="M35" s="396">
        <f t="shared" si="16"/>
        <v>0.15738959335373859</v>
      </c>
      <c r="N35" s="396">
        <f t="shared" si="16"/>
        <v>0.18624463306432659</v>
      </c>
      <c r="O35" s="396">
        <f t="shared" si="16"/>
        <v>0.18527378863302646</v>
      </c>
      <c r="P35" s="396">
        <f t="shared" si="16"/>
        <v>0.17506889517196944</v>
      </c>
      <c r="Q35" s="396">
        <f t="shared" si="16"/>
        <v>0.2189539918632184</v>
      </c>
      <c r="R35" s="396">
        <f t="shared" si="16"/>
        <v>0.16303897399158562</v>
      </c>
    </row>
    <row r="36" spans="1:18">
      <c r="A36" s="390"/>
      <c r="B36" s="427"/>
      <c r="C36" s="427"/>
      <c r="D36" s="427"/>
      <c r="E36" s="427"/>
      <c r="F36" s="427"/>
      <c r="G36" s="427"/>
      <c r="H36" s="427"/>
      <c r="I36" s="427"/>
      <c r="J36" s="427"/>
      <c r="K36" s="427"/>
    </row>
    <row r="37" spans="1:18">
      <c r="A37" s="429" t="s">
        <v>145</v>
      </c>
      <c r="B37" s="424">
        <f>B33+B49</f>
        <v>58806</v>
      </c>
      <c r="C37" s="424">
        <v>55579</v>
      </c>
      <c r="D37" s="424">
        <v>53361</v>
      </c>
      <c r="E37" s="424">
        <v>54516</v>
      </c>
      <c r="F37" s="424">
        <v>57263</v>
      </c>
      <c r="G37" s="424">
        <v>54827</v>
      </c>
      <c r="H37" s="424">
        <v>64728</v>
      </c>
      <c r="I37" s="424">
        <v>67899</v>
      </c>
      <c r="J37" s="424">
        <v>56209</v>
      </c>
      <c r="K37" s="424">
        <v>60845</v>
      </c>
      <c r="L37" s="424">
        <v>53465</v>
      </c>
      <c r="M37" s="425">
        <v>53767</v>
      </c>
      <c r="N37" s="425">
        <f>SUM(B37:M37)</f>
        <v>691265</v>
      </c>
      <c r="O37" s="394">
        <f>SUM(B37:D37)</f>
        <v>167746</v>
      </c>
      <c r="P37" s="394">
        <f>SUM(E37:G37)</f>
        <v>166606</v>
      </c>
      <c r="Q37" s="394">
        <f>SUM(H37:J37)</f>
        <v>188836</v>
      </c>
      <c r="R37" s="394">
        <f>SUM(K37:M37)</f>
        <v>168077</v>
      </c>
    </row>
    <row r="38" spans="1:18">
      <c r="A38" s="390" t="s">
        <v>150</v>
      </c>
      <c r="B38" s="396">
        <f t="shared" ref="B38:R38" si="17">B37/B63-1</f>
        <v>0.11063685125028333</v>
      </c>
      <c r="C38" s="396">
        <f t="shared" si="17"/>
        <v>-3.4852221025943764E-2</v>
      </c>
      <c r="D38" s="396">
        <f t="shared" si="17"/>
        <v>1.4969376497888653E-2</v>
      </c>
      <c r="E38" s="396">
        <f t="shared" si="17"/>
        <v>7.2041689199154435E-2</v>
      </c>
      <c r="F38" s="396">
        <f t="shared" si="17"/>
        <v>6.4942069145078163E-2</v>
      </c>
      <c r="G38" s="396">
        <f t="shared" si="17"/>
        <v>2.8494785022885827E-2</v>
      </c>
      <c r="H38" s="396">
        <f t="shared" si="17"/>
        <v>2.7330730406627923E-2</v>
      </c>
      <c r="I38" s="396">
        <f t="shared" si="17"/>
        <v>2.1728989541795141E-2</v>
      </c>
      <c r="J38" s="396">
        <f t="shared" si="17"/>
        <v>3.52518648125979E-2</v>
      </c>
      <c r="K38" s="396">
        <f t="shared" si="17"/>
        <v>4.3850469213745358E-2</v>
      </c>
      <c r="L38" s="396">
        <f t="shared" si="17"/>
        <v>5.1136363636363535E-2</v>
      </c>
      <c r="M38" s="396">
        <f t="shared" si="17"/>
        <v>6.0597692080086807E-2</v>
      </c>
      <c r="N38" s="396">
        <f t="shared" si="17"/>
        <v>4.0053803279502365E-2</v>
      </c>
      <c r="O38" s="396">
        <f t="shared" si="17"/>
        <v>2.8435147264389338E-2</v>
      </c>
      <c r="P38" s="396">
        <f t="shared" si="17"/>
        <v>5.4925711463514215E-2</v>
      </c>
      <c r="Q38" s="396">
        <f t="shared" si="17"/>
        <v>2.7645355797905946E-2</v>
      </c>
      <c r="R38" s="396">
        <f t="shared" si="17"/>
        <v>5.1480156148340894E-2</v>
      </c>
    </row>
    <row r="39" spans="1:18">
      <c r="A39" s="390"/>
    </row>
    <row r="40" spans="1:18">
      <c r="A40" s="430" t="s">
        <v>146</v>
      </c>
      <c r="B40" s="424">
        <f t="shared" ref="B40:M40" si="18">B45+B49</f>
        <v>7716</v>
      </c>
      <c r="C40" s="424">
        <f t="shared" si="18"/>
        <v>6627</v>
      </c>
      <c r="D40" s="424">
        <f t="shared" si="18"/>
        <v>6846</v>
      </c>
      <c r="E40" s="424">
        <f t="shared" si="18"/>
        <v>7226</v>
      </c>
      <c r="F40" s="424">
        <f t="shared" si="18"/>
        <v>7219</v>
      </c>
      <c r="G40" s="424">
        <f t="shared" si="18"/>
        <v>7213</v>
      </c>
      <c r="H40" s="424">
        <f t="shared" si="18"/>
        <v>7932</v>
      </c>
      <c r="I40" s="424">
        <f t="shared" si="18"/>
        <v>8375</v>
      </c>
      <c r="J40" s="424">
        <f t="shared" si="18"/>
        <v>7184</v>
      </c>
      <c r="K40" s="424">
        <f t="shared" si="18"/>
        <v>7835</v>
      </c>
      <c r="L40" s="424">
        <f t="shared" si="18"/>
        <v>7521</v>
      </c>
      <c r="M40" s="424">
        <f t="shared" si="18"/>
        <v>7664</v>
      </c>
      <c r="N40" s="425">
        <f>SUM(B40:M40)</f>
        <v>89358</v>
      </c>
      <c r="O40" s="394">
        <f>SUM(B40:D40)</f>
        <v>21189</v>
      </c>
      <c r="P40" s="394">
        <f>SUM(E40:G40)</f>
        <v>21658</v>
      </c>
      <c r="Q40" s="394">
        <f>SUM(H40:J40)</f>
        <v>23491</v>
      </c>
      <c r="R40" s="394">
        <f>SUM(K40:M40)</f>
        <v>23020</v>
      </c>
    </row>
    <row r="41" spans="1:18">
      <c r="A41" s="390" t="s">
        <v>150</v>
      </c>
      <c r="B41" s="396">
        <f t="shared" ref="B41:R41" si="19">B40/B66-1</f>
        <v>0.50585480093676805</v>
      </c>
      <c r="C41" s="396">
        <f t="shared" si="19"/>
        <v>0.16487959219546489</v>
      </c>
      <c r="D41" s="396">
        <f t="shared" si="19"/>
        <v>0.22010336838353228</v>
      </c>
      <c r="E41" s="396">
        <f t="shared" si="19"/>
        <v>0.22640868974881201</v>
      </c>
      <c r="F41" s="396">
        <f t="shared" si="19"/>
        <v>0.22626125360964844</v>
      </c>
      <c r="G41" s="396">
        <f t="shared" si="19"/>
        <v>0.17056150600454401</v>
      </c>
      <c r="H41" s="396">
        <f t="shared" si="19"/>
        <v>0.13443935926773465</v>
      </c>
      <c r="I41" s="396">
        <f t="shared" si="19"/>
        <v>0.13145095920021621</v>
      </c>
      <c r="J41" s="396">
        <f t="shared" si="19"/>
        <v>0.12831788911575304</v>
      </c>
      <c r="K41" s="396">
        <f t="shared" si="19"/>
        <v>0.18676158739775817</v>
      </c>
      <c r="L41" s="396">
        <f t="shared" si="19"/>
        <v>0.18515600378190977</v>
      </c>
      <c r="M41" s="396">
        <f t="shared" si="19"/>
        <v>8.5398668743803974E-2</v>
      </c>
      <c r="N41" s="396">
        <f t="shared" si="19"/>
        <v>0.18929926132960673</v>
      </c>
      <c r="O41" s="396">
        <f t="shared" si="19"/>
        <v>0.29012420847540188</v>
      </c>
      <c r="P41" s="396">
        <f t="shared" si="19"/>
        <v>0.20717908700741328</v>
      </c>
      <c r="Q41" s="396">
        <f t="shared" si="19"/>
        <v>0.13149655604257982</v>
      </c>
      <c r="R41" s="396">
        <f t="shared" si="19"/>
        <v>0.1504822829726622</v>
      </c>
    </row>
    <row r="42" spans="1:18">
      <c r="A42" s="390" t="s">
        <v>144</v>
      </c>
      <c r="B42" s="396">
        <f t="shared" ref="B42:R42" si="20">B40/B213-1</f>
        <v>9.1217649554518498E-2</v>
      </c>
      <c r="C42" s="396">
        <f t="shared" si="20"/>
        <v>-5.1659988551803093E-2</v>
      </c>
      <c r="D42" s="396">
        <f t="shared" si="20"/>
        <v>-3.1546187579572837E-2</v>
      </c>
      <c r="E42" s="396">
        <f t="shared" si="20"/>
        <v>1.3748597081930436E-2</v>
      </c>
      <c r="F42" s="396">
        <f t="shared" si="20"/>
        <v>1.7907501410039384E-2</v>
      </c>
      <c r="G42" s="396">
        <f t="shared" si="20"/>
        <v>1.3631253513209707E-2</v>
      </c>
      <c r="H42" s="396">
        <f t="shared" si="20"/>
        <v>3.120124804992197E-2</v>
      </c>
      <c r="I42" s="396">
        <f t="shared" si="20"/>
        <v>5.3856801308669988E-2</v>
      </c>
      <c r="J42" s="396">
        <f t="shared" si="20"/>
        <v>6.1622580168464669E-2</v>
      </c>
      <c r="K42" s="396">
        <f t="shared" si="20"/>
        <v>0.1532234324403885</v>
      </c>
      <c r="L42" s="396">
        <f t="shared" si="20"/>
        <v>0.13816585956416461</v>
      </c>
      <c r="M42" s="396">
        <f t="shared" si="20"/>
        <v>9.1737891737891708E-2</v>
      </c>
      <c r="N42" s="396">
        <f t="shared" si="20"/>
        <v>4.7671528396567187E-2</v>
      </c>
      <c r="O42" s="243">
        <f t="shared" si="20"/>
        <v>2.8871639530481108E-3</v>
      </c>
      <c r="P42" s="243">
        <f t="shared" si="20"/>
        <v>1.5091863517060267E-2</v>
      </c>
      <c r="Q42" s="243">
        <f t="shared" si="20"/>
        <v>4.8424529143979322E-2</v>
      </c>
      <c r="R42" s="243">
        <f t="shared" si="20"/>
        <v>0.12721574772304378</v>
      </c>
    </row>
    <row r="43" spans="1:18">
      <c r="A43" s="390" t="s">
        <v>135</v>
      </c>
    </row>
    <row r="44" spans="1:18">
      <c r="A44" s="390"/>
    </row>
    <row r="45" spans="1:18">
      <c r="A45" s="431" t="s">
        <v>147</v>
      </c>
      <c r="B45" s="424">
        <v>6903</v>
      </c>
      <c r="C45" s="424">
        <v>5937</v>
      </c>
      <c r="D45" s="424">
        <v>6085</v>
      </c>
      <c r="E45" s="424">
        <f>6414</f>
        <v>6414</v>
      </c>
      <c r="F45" s="424">
        <v>6409</v>
      </c>
      <c r="G45" s="424">
        <v>6392</v>
      </c>
      <c r="H45" s="424">
        <v>7093</v>
      </c>
      <c r="I45" s="424">
        <v>7465</v>
      </c>
      <c r="J45" s="424">
        <v>6458</v>
      </c>
      <c r="K45" s="424">
        <v>6990</v>
      </c>
      <c r="L45" s="424">
        <v>6707</v>
      </c>
      <c r="M45" s="425">
        <v>6836</v>
      </c>
      <c r="N45" s="425">
        <f>SUM(B45:M45)</f>
        <v>79689</v>
      </c>
      <c r="O45" s="394">
        <f>SUM(B45:D45)</f>
        <v>18925</v>
      </c>
      <c r="P45" s="394">
        <f>SUM(E45:G45)</f>
        <v>19215</v>
      </c>
      <c r="Q45" s="394">
        <f>SUM(H45:J45)</f>
        <v>21016</v>
      </c>
      <c r="R45" s="394">
        <f>SUM(K45:M45)</f>
        <v>20533</v>
      </c>
    </row>
    <row r="46" spans="1:18">
      <c r="A46" s="390" t="s">
        <v>150</v>
      </c>
      <c r="B46" s="396">
        <f t="shared" ref="B46:R46" si="21">B45/B71-1</f>
        <v>0.57927247769389156</v>
      </c>
      <c r="C46" s="396">
        <f t="shared" si="21"/>
        <v>0.21336603310852231</v>
      </c>
      <c r="D46" s="396">
        <f t="shared" si="21"/>
        <v>0.25308896210873155</v>
      </c>
      <c r="E46" s="396">
        <f t="shared" si="21"/>
        <v>0.25863422291993721</v>
      </c>
      <c r="F46" s="396">
        <f t="shared" si="21"/>
        <v>0.2566666666666666</v>
      </c>
      <c r="G46" s="396">
        <f t="shared" si="21"/>
        <v>0.19320515213739031</v>
      </c>
      <c r="H46" s="396">
        <f t="shared" si="21"/>
        <v>0.1570962479608482</v>
      </c>
      <c r="I46" s="396">
        <f t="shared" si="21"/>
        <v>0.1534301606922126</v>
      </c>
      <c r="J46" s="396">
        <f t="shared" si="21"/>
        <v>0.14829302987197734</v>
      </c>
      <c r="K46" s="396">
        <f t="shared" si="21"/>
        <v>0.20454937101499215</v>
      </c>
      <c r="L46" s="396">
        <f t="shared" si="21"/>
        <v>0.20412926391382413</v>
      </c>
      <c r="M46" s="396">
        <f t="shared" si="21"/>
        <v>8.8188475007959344E-2</v>
      </c>
      <c r="N46" s="396">
        <f t="shared" si="21"/>
        <v>0.21562376056381005</v>
      </c>
      <c r="O46" s="396">
        <f t="shared" si="21"/>
        <v>0.3402974504249292</v>
      </c>
      <c r="P46" s="396">
        <f t="shared" si="21"/>
        <v>0.23545296727319487</v>
      </c>
      <c r="Q46" s="396">
        <f t="shared" si="21"/>
        <v>0.15307802041040275</v>
      </c>
      <c r="R46" s="396">
        <f t="shared" si="21"/>
        <v>0.16301331067686209</v>
      </c>
    </row>
    <row r="47" spans="1:18">
      <c r="A47" s="390" t="s">
        <v>144</v>
      </c>
      <c r="B47" s="396">
        <f t="shared" ref="B47:R47" si="22">B45/B217-1</f>
        <v>0.13629629629629636</v>
      </c>
      <c r="C47" s="396">
        <f t="shared" si="22"/>
        <v>-6.0271220492215116E-3</v>
      </c>
      <c r="D47" s="396">
        <f t="shared" si="22"/>
        <v>6.450545815415154E-3</v>
      </c>
      <c r="E47" s="396">
        <f t="shared" si="22"/>
        <v>5.4934210526315752E-2</v>
      </c>
      <c r="F47" s="396">
        <f t="shared" si="22"/>
        <v>6.2676173105620903E-2</v>
      </c>
      <c r="G47" s="396">
        <f t="shared" si="22"/>
        <v>5.1142904127610578E-2</v>
      </c>
      <c r="H47" s="396">
        <f t="shared" si="22"/>
        <v>7.6327769347496188E-2</v>
      </c>
      <c r="I47" s="396">
        <f t="shared" si="22"/>
        <v>6.4755384395949189E-2</v>
      </c>
      <c r="J47" s="396">
        <f t="shared" si="22"/>
        <v>6.5852450899488435E-2</v>
      </c>
      <c r="K47" s="396">
        <f t="shared" si="22"/>
        <v>0.15651886168100604</v>
      </c>
      <c r="L47" s="396">
        <f t="shared" si="22"/>
        <v>0.136009485094851</v>
      </c>
      <c r="M47" s="396">
        <f t="shared" si="22"/>
        <v>8.0961416824794519E-2</v>
      </c>
      <c r="N47" s="396">
        <f t="shared" si="22"/>
        <v>7.3715271228004031E-2</v>
      </c>
      <c r="O47" s="396">
        <f t="shared" si="22"/>
        <v>4.5926826572344481E-2</v>
      </c>
      <c r="P47" s="396">
        <f t="shared" si="22"/>
        <v>5.6233509234828505E-2</v>
      </c>
      <c r="Q47" s="396">
        <f t="shared" si="22"/>
        <v>6.8972533062054975E-2</v>
      </c>
      <c r="R47" s="396">
        <f t="shared" si="22"/>
        <v>0.12374124343257442</v>
      </c>
    </row>
    <row r="48" spans="1:18">
      <c r="A48" s="390"/>
      <c r="R48" s="394"/>
    </row>
    <row r="49" spans="1:18">
      <c r="A49" s="433" t="s">
        <v>148</v>
      </c>
      <c r="B49" s="424">
        <v>813</v>
      </c>
      <c r="C49" s="424">
        <v>690</v>
      </c>
      <c r="D49" s="424">
        <v>761</v>
      </c>
      <c r="E49" s="424">
        <v>812</v>
      </c>
      <c r="F49" s="424">
        <v>810</v>
      </c>
      <c r="G49" s="424">
        <v>821</v>
      </c>
      <c r="H49" s="424">
        <v>839</v>
      </c>
      <c r="I49" s="424">
        <v>910</v>
      </c>
      <c r="J49" s="424">
        <v>726</v>
      </c>
      <c r="K49" s="424">
        <v>845</v>
      </c>
      <c r="L49" s="424">
        <v>814</v>
      </c>
      <c r="M49" s="425">
        <v>828</v>
      </c>
      <c r="N49" s="425">
        <f>SUM(B49:M49)</f>
        <v>9669</v>
      </c>
      <c r="O49" s="394">
        <f>SUM(B49:D49)</f>
        <v>2264</v>
      </c>
      <c r="P49" s="394">
        <f>SUM(E49:G49)</f>
        <v>2443</v>
      </c>
      <c r="Q49" s="394">
        <f>SUM(H49:J49)</f>
        <v>2475</v>
      </c>
      <c r="R49" s="394">
        <f>SUM(K49:M49)</f>
        <v>2487</v>
      </c>
    </row>
    <row r="50" spans="1:18">
      <c r="A50" s="390" t="s">
        <v>150</v>
      </c>
      <c r="B50" s="396">
        <f t="shared" ref="B50:R50" si="23">B49/B75-1</f>
        <v>7.9681274900398336E-2</v>
      </c>
      <c r="C50" s="396">
        <f t="shared" si="23"/>
        <v>-0.13316582914572861</v>
      </c>
      <c r="D50" s="396">
        <f t="shared" si="23"/>
        <v>7.9470198675497539E-3</v>
      </c>
      <c r="E50" s="396">
        <f t="shared" si="23"/>
        <v>2.0100502512562901E-2</v>
      </c>
      <c r="F50" s="396">
        <f t="shared" si="23"/>
        <v>2.9224904701397714E-2</v>
      </c>
      <c r="G50" s="396">
        <f t="shared" si="23"/>
        <v>1.9875776397515477E-2</v>
      </c>
      <c r="H50" s="396">
        <f t="shared" si="23"/>
        <v>-2.6682134570765625E-2</v>
      </c>
      <c r="I50" s="396">
        <f t="shared" si="23"/>
        <v>-2.1505376344086002E-2</v>
      </c>
      <c r="J50" s="396">
        <f t="shared" si="23"/>
        <v>-2.2880215343203281E-2</v>
      </c>
      <c r="K50" s="396">
        <f t="shared" si="23"/>
        <v>5.757196495619521E-2</v>
      </c>
      <c r="L50" s="396">
        <f t="shared" si="23"/>
        <v>4.8969072164948502E-2</v>
      </c>
      <c r="M50" s="396">
        <f t="shared" si="23"/>
        <v>6.2901155327342639E-2</v>
      </c>
      <c r="N50" s="396">
        <f t="shared" si="23"/>
        <v>9.1848450057405717E-3</v>
      </c>
      <c r="O50" s="396">
        <f t="shared" si="23"/>
        <v>-1.736111111111116E-2</v>
      </c>
      <c r="P50" s="396">
        <f t="shared" si="23"/>
        <v>2.3031825795645E-2</v>
      </c>
      <c r="Q50" s="396">
        <f t="shared" si="23"/>
        <v>-2.3668639053254448E-2</v>
      </c>
      <c r="R50" s="396">
        <f t="shared" si="23"/>
        <v>5.6499575191163887E-2</v>
      </c>
    </row>
    <row r="51" spans="1:18">
      <c r="A51" s="390" t="s">
        <v>144</v>
      </c>
      <c r="B51" s="396">
        <f t="shared" ref="B51:R51" si="24">B49/B221-1</f>
        <v>-0.1837349397590361</v>
      </c>
      <c r="C51" s="396">
        <f t="shared" si="24"/>
        <v>-0.32019704433497542</v>
      </c>
      <c r="D51" s="396">
        <f t="shared" si="24"/>
        <v>-0.25610948191593352</v>
      </c>
      <c r="E51" s="396">
        <f t="shared" si="24"/>
        <v>-0.22519083969465647</v>
      </c>
      <c r="F51" s="396">
        <f t="shared" si="24"/>
        <v>-0.23656927426955698</v>
      </c>
      <c r="G51" s="396">
        <f t="shared" si="24"/>
        <v>-0.20676328502415464</v>
      </c>
      <c r="H51" s="396">
        <f t="shared" si="24"/>
        <v>-0.23865698729582574</v>
      </c>
      <c r="I51" s="396">
        <f t="shared" si="24"/>
        <v>-2.777777777777779E-2</v>
      </c>
      <c r="J51" s="396">
        <f t="shared" si="24"/>
        <v>2.5423728813559254E-2</v>
      </c>
      <c r="K51" s="396">
        <f t="shared" si="24"/>
        <v>0.12666666666666671</v>
      </c>
      <c r="L51" s="396">
        <f t="shared" si="24"/>
        <v>0.15625</v>
      </c>
      <c r="M51" s="396">
        <f t="shared" si="24"/>
        <v>0.18965517241379315</v>
      </c>
      <c r="N51" s="396">
        <f t="shared" si="24"/>
        <v>-0.12687375835289871</v>
      </c>
      <c r="O51" s="396">
        <f t="shared" si="24"/>
        <v>-0.25379037574159524</v>
      </c>
      <c r="P51" s="396">
        <f t="shared" si="24"/>
        <v>-0.22296437659033075</v>
      </c>
      <c r="Q51" s="396">
        <f t="shared" si="24"/>
        <v>-9.8689002184996322E-2</v>
      </c>
      <c r="R51" s="396">
        <f t="shared" si="24"/>
        <v>0.15674418604651152</v>
      </c>
    </row>
    <row r="52" spans="1:18">
      <c r="A52" s="385"/>
      <c r="B52" s="427"/>
      <c r="C52" s="427"/>
      <c r="D52" s="427"/>
      <c r="E52" s="427"/>
      <c r="F52" s="427"/>
      <c r="G52" s="427"/>
      <c r="H52" s="427"/>
      <c r="I52" s="427"/>
      <c r="J52" s="427"/>
      <c r="K52" s="427"/>
      <c r="L52" s="427"/>
      <c r="M52" s="427"/>
      <c r="N52" s="427"/>
      <c r="O52" s="427"/>
      <c r="P52" s="427"/>
      <c r="Q52" s="427"/>
      <c r="R52" s="427"/>
    </row>
    <row r="53" spans="1:18">
      <c r="A53" s="385" t="s">
        <v>127</v>
      </c>
    </row>
    <row r="54" spans="1:18" ht="15.5" customHeight="1">
      <c r="A54" s="422" t="s">
        <v>151</v>
      </c>
      <c r="B54" s="184" t="s">
        <v>51</v>
      </c>
      <c r="C54" s="184" t="s">
        <v>52</v>
      </c>
      <c r="D54" s="184" t="s">
        <v>53</v>
      </c>
      <c r="E54" s="184" t="s">
        <v>54</v>
      </c>
      <c r="F54" s="184" t="s">
        <v>55</v>
      </c>
      <c r="G54" s="184" t="s">
        <v>77</v>
      </c>
      <c r="H54" s="184" t="s">
        <v>78</v>
      </c>
      <c r="I54" s="184" t="s">
        <v>79</v>
      </c>
      <c r="J54" s="184" t="s">
        <v>80</v>
      </c>
      <c r="K54" s="184" t="s">
        <v>81</v>
      </c>
      <c r="L54" s="184" t="s">
        <v>82</v>
      </c>
      <c r="M54" s="184" t="s">
        <v>44</v>
      </c>
      <c r="N54" s="400" t="s">
        <v>128</v>
      </c>
      <c r="O54" s="55" t="s">
        <v>129</v>
      </c>
      <c r="P54" s="55" t="s">
        <v>130</v>
      </c>
      <c r="Q54" s="55" t="s">
        <v>131</v>
      </c>
      <c r="R54" s="55" t="s">
        <v>132</v>
      </c>
    </row>
    <row r="55" spans="1:18">
      <c r="A55" s="423" t="s">
        <v>133</v>
      </c>
      <c r="B55" s="391">
        <v>57318</v>
      </c>
      <c r="C55" s="391">
        <v>62480</v>
      </c>
      <c r="D55" s="391">
        <v>57430</v>
      </c>
      <c r="E55" s="391">
        <v>55950</v>
      </c>
      <c r="F55" s="391">
        <v>58871</v>
      </c>
      <c r="G55" s="391">
        <v>58665</v>
      </c>
      <c r="H55" s="391">
        <v>69136</v>
      </c>
      <c r="I55" s="391">
        <f>I63+I71</f>
        <v>72927</v>
      </c>
      <c r="J55" s="391">
        <v>59919</v>
      </c>
      <c r="K55" s="391">
        <v>64092</v>
      </c>
      <c r="L55" s="425">
        <v>56434</v>
      </c>
      <c r="M55" s="425">
        <v>56977</v>
      </c>
      <c r="N55" s="425">
        <f>SUM(B55:M55)</f>
        <v>730199</v>
      </c>
      <c r="O55" s="394">
        <f>SUM(B55:D55)</f>
        <v>177228</v>
      </c>
      <c r="P55" s="394">
        <f>SUM(E55:G55)</f>
        <v>173486</v>
      </c>
      <c r="Q55" s="394">
        <f>SUM(H55:J55)</f>
        <v>201982</v>
      </c>
      <c r="R55" s="394">
        <f>SUM(K55:M55)</f>
        <v>177503</v>
      </c>
    </row>
    <row r="56" spans="1:18">
      <c r="A56" s="390" t="s">
        <v>152</v>
      </c>
      <c r="B56" s="396">
        <f t="shared" ref="B56:R56" si="25">B55/B81-1</f>
        <v>0.44105593966059087</v>
      </c>
      <c r="C56" s="396">
        <f t="shared" si="25"/>
        <v>0.44629629629629619</v>
      </c>
      <c r="D56" s="396">
        <f t="shared" si="25"/>
        <v>0.25656397689480137</v>
      </c>
      <c r="E56" s="396">
        <f t="shared" si="25"/>
        <v>0.11287916459472891</v>
      </c>
      <c r="F56" s="396">
        <f t="shared" si="25"/>
        <v>0.13874811404696508</v>
      </c>
      <c r="G56" s="396">
        <f t="shared" si="25"/>
        <v>0.10446946306197757</v>
      </c>
      <c r="H56" s="396">
        <f t="shared" si="25"/>
        <v>0.10745178445569303</v>
      </c>
      <c r="I56" s="396">
        <f t="shared" si="25"/>
        <v>0.14012569570383349</v>
      </c>
      <c r="J56" s="396">
        <f t="shared" si="25"/>
        <v>0.12019068984856984</v>
      </c>
      <c r="K56" s="396">
        <f t="shared" si="25"/>
        <v>0.14343823592378513</v>
      </c>
      <c r="L56" s="396">
        <f t="shared" si="25"/>
        <v>0.15192586393419205</v>
      </c>
      <c r="M56" s="396">
        <f t="shared" si="25"/>
        <v>0.12620572422517395</v>
      </c>
      <c r="N56" s="396">
        <f t="shared" si="25"/>
        <v>0.17910009123424597</v>
      </c>
      <c r="O56" s="396">
        <f t="shared" si="25"/>
        <v>0.37728766931667179</v>
      </c>
      <c r="P56" s="396">
        <f t="shared" si="25"/>
        <v>0.11862221047269639</v>
      </c>
      <c r="Q56" s="396">
        <f t="shared" si="25"/>
        <v>0.12285831823084026</v>
      </c>
      <c r="R56" s="396">
        <f t="shared" si="25"/>
        <v>0.14050824043434962</v>
      </c>
    </row>
    <row r="57" spans="1:18">
      <c r="A57" s="390" t="s">
        <v>144</v>
      </c>
      <c r="B57" s="396">
        <f t="shared" ref="B57:R57" si="26">B55/B201-1</f>
        <v>7.3109542620710233E-2</v>
      </c>
      <c r="C57" s="396">
        <f t="shared" si="26"/>
        <v>0.16077731951101693</v>
      </c>
      <c r="D57" s="396">
        <f t="shared" si="26"/>
        <v>7.3377691387559896E-2</v>
      </c>
      <c r="E57" s="396">
        <f t="shared" si="26"/>
        <v>5.3315260363718586E-2</v>
      </c>
      <c r="F57" s="396">
        <f t="shared" si="26"/>
        <v>8.0023482360711107E-2</v>
      </c>
      <c r="G57" s="396">
        <f t="shared" si="26"/>
        <v>9.8307559815778545E-2</v>
      </c>
      <c r="H57" s="396">
        <f t="shared" si="26"/>
        <v>0.16584880524780354</v>
      </c>
      <c r="I57" s="396">
        <f t="shared" si="26"/>
        <v>0.19087821287435913</v>
      </c>
      <c r="J57" s="396">
        <f t="shared" si="26"/>
        <v>9.4350994466056548E-2</v>
      </c>
      <c r="K57" s="396">
        <f t="shared" si="26"/>
        <v>0.12477624513004115</v>
      </c>
      <c r="L57" s="396">
        <f t="shared" si="26"/>
        <v>6.3628482038523781E-2</v>
      </c>
      <c r="M57" s="396">
        <f t="shared" si="26"/>
        <v>7.9927975739196411E-2</v>
      </c>
      <c r="N57" s="396">
        <f t="shared" si="26"/>
        <v>0.10657002224660395</v>
      </c>
      <c r="O57" s="396">
        <f t="shared" si="26"/>
        <v>0.10255501017151603</v>
      </c>
      <c r="P57" s="396">
        <f t="shared" si="26"/>
        <v>7.7278457038890691E-2</v>
      </c>
      <c r="Q57" s="396">
        <f t="shared" si="26"/>
        <v>0.15226022864705757</v>
      </c>
      <c r="R57" s="396">
        <f t="shared" si="26"/>
        <v>9.0313267813267872E-2</v>
      </c>
    </row>
    <row r="58" spans="1:18">
      <c r="A58" s="390"/>
      <c r="B58" s="396"/>
      <c r="C58" s="427"/>
      <c r="D58" s="427"/>
      <c r="E58" s="427"/>
      <c r="F58" s="427"/>
      <c r="G58" s="427"/>
      <c r="H58" s="427"/>
      <c r="I58" s="427"/>
      <c r="J58" s="427"/>
      <c r="K58" s="427"/>
    </row>
    <row r="59" spans="1:18">
      <c r="A59" s="428" t="s">
        <v>137</v>
      </c>
      <c r="B59" s="424">
        <f t="shared" ref="B59:G59" si="27">B63-B75</f>
        <v>52195</v>
      </c>
      <c r="C59" s="424">
        <f t="shared" si="27"/>
        <v>56790</v>
      </c>
      <c r="D59" s="424">
        <f t="shared" si="27"/>
        <v>51819</v>
      </c>
      <c r="E59" s="424">
        <f t="shared" si="27"/>
        <v>50056.5</v>
      </c>
      <c r="F59" s="424">
        <f t="shared" si="27"/>
        <v>52984</v>
      </c>
      <c r="G59" s="424">
        <f t="shared" si="27"/>
        <v>52503</v>
      </c>
      <c r="H59" s="424">
        <f>63006-862</f>
        <v>62144</v>
      </c>
      <c r="I59" s="424">
        <f>66455-930</f>
        <v>65525</v>
      </c>
      <c r="J59" s="424">
        <f>54295-743</f>
        <v>53552</v>
      </c>
      <c r="K59" s="424">
        <f>58289-799</f>
        <v>57490</v>
      </c>
      <c r="L59" s="424">
        <f>50864-776</f>
        <v>50088</v>
      </c>
      <c r="M59" s="424">
        <f>M63-M75</f>
        <v>49916</v>
      </c>
      <c r="N59" s="425">
        <f>SUM(B59:M59)</f>
        <v>655062.5</v>
      </c>
      <c r="O59" s="394">
        <f>SUM(B59:D59)</f>
        <v>160804</v>
      </c>
      <c r="P59" s="394">
        <f>SUM(E59:G59)</f>
        <v>155543.5</v>
      </c>
      <c r="Q59" s="394">
        <f>SUM(H59:J59)</f>
        <v>181221</v>
      </c>
      <c r="R59" s="394">
        <f>SUM(K59:M59)</f>
        <v>157494</v>
      </c>
    </row>
    <row r="60" spans="1:18">
      <c r="A60" s="390" t="s">
        <v>152</v>
      </c>
      <c r="B60" s="396">
        <f t="shared" ref="B60:R60" si="28">B59/B86-1</f>
        <v>0.33385295545730997</v>
      </c>
      <c r="C60" s="396">
        <f t="shared" si="28"/>
        <v>0.34474675001775945</v>
      </c>
      <c r="D60" s="396">
        <f t="shared" si="28"/>
        <v>0.17234904187688072</v>
      </c>
      <c r="E60" s="396">
        <f t="shared" si="28"/>
        <v>3.9897374106697692E-2</v>
      </c>
      <c r="F60" s="396">
        <f t="shared" si="28"/>
        <v>7.7655290241223529E-2</v>
      </c>
      <c r="G60" s="396">
        <f t="shared" si="28"/>
        <v>5.0564270850008031E-2</v>
      </c>
      <c r="H60" s="396">
        <f t="shared" si="28"/>
        <v>6.4911919939680596E-2</v>
      </c>
      <c r="I60" s="396">
        <f t="shared" si="28"/>
        <v>0.10005875933853781</v>
      </c>
      <c r="J60" s="396">
        <f t="shared" si="28"/>
        <v>7.8394651523389536E-2</v>
      </c>
      <c r="K60" s="396">
        <f t="shared" si="28"/>
        <v>0.10383625820821019</v>
      </c>
      <c r="L60" s="396">
        <f t="shared" si="28"/>
        <v>0.10900033211557614</v>
      </c>
      <c r="M60" s="396">
        <f t="shared" si="28"/>
        <v>8.7968613775065485E-2</v>
      </c>
      <c r="N60" s="396">
        <f t="shared" si="28"/>
        <v>0.12255118687751487</v>
      </c>
      <c r="O60" s="396">
        <f t="shared" si="28"/>
        <v>0.28066388984015989</v>
      </c>
      <c r="P60" s="396">
        <f t="shared" si="28"/>
        <v>5.6121756134656975E-2</v>
      </c>
      <c r="Q60" s="396">
        <f t="shared" si="28"/>
        <v>8.1399928392409615E-2</v>
      </c>
      <c r="R60" s="396">
        <f t="shared" si="28"/>
        <v>0.10037938334486163</v>
      </c>
    </row>
    <row r="61" spans="1:18">
      <c r="A61" s="390" t="s">
        <v>144</v>
      </c>
      <c r="B61" s="396">
        <f t="shared" ref="B61:R61" si="29">B59/B205-1</f>
        <v>0.12630011652496664</v>
      </c>
      <c r="C61" s="396">
        <f t="shared" si="29"/>
        <v>0.21247704855032246</v>
      </c>
      <c r="D61" s="396">
        <f t="shared" si="29"/>
        <v>0.11594702271993107</v>
      </c>
      <c r="E61" s="396">
        <f t="shared" si="29"/>
        <v>8.8421395955642579E-2</v>
      </c>
      <c r="F61" s="396">
        <f t="shared" si="29"/>
        <v>0.11740515005166929</v>
      </c>
      <c r="G61" s="396">
        <f t="shared" si="29"/>
        <v>0.13402306795109942</v>
      </c>
      <c r="H61" s="396">
        <f t="shared" si="29"/>
        <v>0.20413106241159484</v>
      </c>
      <c r="I61" s="396">
        <f t="shared" si="29"/>
        <v>0.2295697209660168</v>
      </c>
      <c r="J61" s="396">
        <f t="shared" si="29"/>
        <v>0.1159921643812778</v>
      </c>
      <c r="K61" s="396">
        <f t="shared" si="29"/>
        <v>0.14551577101639857</v>
      </c>
      <c r="L61" s="396">
        <f t="shared" si="29"/>
        <v>7.8320775026910594E-2</v>
      </c>
      <c r="M61" s="396">
        <f t="shared" si="29"/>
        <v>9.1298644512461724E-2</v>
      </c>
      <c r="N61" s="396">
        <f t="shared" si="29"/>
        <v>0.14006592607160329</v>
      </c>
      <c r="O61" s="396">
        <f t="shared" si="29"/>
        <v>0.15176736024066173</v>
      </c>
      <c r="P61" s="396">
        <f t="shared" si="29"/>
        <v>0.11337103181704311</v>
      </c>
      <c r="Q61" s="396">
        <f t="shared" si="29"/>
        <v>0.18533417055845525</v>
      </c>
      <c r="R61" s="396">
        <f t="shared" si="29"/>
        <v>0.10617585705556376</v>
      </c>
    </row>
    <row r="62" spans="1:18">
      <c r="A62" s="390"/>
      <c r="B62" s="427"/>
      <c r="C62" s="427"/>
      <c r="D62" s="427"/>
      <c r="E62" s="427"/>
      <c r="F62" s="427"/>
      <c r="G62" s="427"/>
      <c r="H62" s="427"/>
      <c r="I62" s="427"/>
      <c r="J62" s="427"/>
      <c r="K62" s="427"/>
    </row>
    <row r="63" spans="1:18">
      <c r="A63" s="429" t="s">
        <v>145</v>
      </c>
      <c r="B63" s="391">
        <v>52948</v>
      </c>
      <c r="C63" s="391">
        <v>57586</v>
      </c>
      <c r="D63" s="391">
        <v>52574</v>
      </c>
      <c r="E63" s="391">
        <v>50852.5</v>
      </c>
      <c r="F63" s="391">
        <v>53771</v>
      </c>
      <c r="G63" s="391">
        <v>53308</v>
      </c>
      <c r="H63" s="391">
        <v>63006</v>
      </c>
      <c r="I63" s="391">
        <v>66455</v>
      </c>
      <c r="J63" s="391">
        <v>54295</v>
      </c>
      <c r="K63" s="391">
        <v>58289</v>
      </c>
      <c r="L63" s="391">
        <f>50864</f>
        <v>50864</v>
      </c>
      <c r="M63" s="425">
        <v>50695</v>
      </c>
      <c r="N63" s="425">
        <f>SUM(B63:M63)</f>
        <v>664643.5</v>
      </c>
      <c r="O63" s="394">
        <f>SUM(B63:D63)</f>
        <v>163108</v>
      </c>
      <c r="P63" s="394">
        <f>SUM(E63:G63)</f>
        <v>157931.5</v>
      </c>
      <c r="Q63" s="394">
        <f>SUM(H63:J63)</f>
        <v>183756</v>
      </c>
      <c r="R63" s="394">
        <f>SUM(K63:M63)</f>
        <v>159848</v>
      </c>
    </row>
    <row r="64" spans="1:18">
      <c r="A64" s="390" t="s">
        <v>152</v>
      </c>
      <c r="B64" s="396">
        <f t="shared" ref="B64:R64" si="30">B63/B91-1</f>
        <v>0.34618122648225369</v>
      </c>
      <c r="C64" s="396">
        <f t="shared" si="30"/>
        <v>0.35512413225085293</v>
      </c>
      <c r="D64" s="396">
        <f t="shared" si="30"/>
        <v>0.17849857658425061</v>
      </c>
      <c r="E64" s="396">
        <f t="shared" si="30"/>
        <v>4.520790084886861E-2</v>
      </c>
      <c r="F64" s="396">
        <f t="shared" si="30"/>
        <v>8.1411017034370481E-2</v>
      </c>
      <c r="G64" s="396">
        <f t="shared" si="30"/>
        <v>5.378852274299728E-2</v>
      </c>
      <c r="H64" s="396">
        <f t="shared" si="30"/>
        <v>6.6542530681337198E-2</v>
      </c>
      <c r="I64" s="396">
        <f t="shared" si="30"/>
        <v>0.10172582436711486</v>
      </c>
      <c r="J64" s="396">
        <f t="shared" si="30"/>
        <v>8.058352903713728E-2</v>
      </c>
      <c r="K64" s="396">
        <f t="shared" si="30"/>
        <v>0.10487906588824014</v>
      </c>
      <c r="L64" s="396">
        <f t="shared" si="30"/>
        <v>0.10979228486646875</v>
      </c>
      <c r="M64" s="396">
        <f t="shared" si="30"/>
        <v>8.7782164621062586E-2</v>
      </c>
      <c r="N64" s="396">
        <f t="shared" si="30"/>
        <v>0.12606970467595002</v>
      </c>
      <c r="O64" s="396">
        <f t="shared" si="30"/>
        <v>0.29002356886379088</v>
      </c>
      <c r="P64" s="396">
        <f t="shared" si="30"/>
        <v>6.0206225707054806E-2</v>
      </c>
      <c r="Q64" s="396">
        <f t="shared" si="30"/>
        <v>8.3211506720113126E-2</v>
      </c>
      <c r="R64" s="396">
        <f t="shared" si="30"/>
        <v>0.10094220067221338</v>
      </c>
    </row>
    <row r="65" spans="1:19">
      <c r="A65" s="390"/>
    </row>
    <row r="66" spans="1:19">
      <c r="A66" s="430" t="s">
        <v>146</v>
      </c>
      <c r="B66" s="424">
        <f t="shared" ref="B66:M66" si="31">B71+B75</f>
        <v>5124</v>
      </c>
      <c r="C66" s="424">
        <f t="shared" si="31"/>
        <v>5689</v>
      </c>
      <c r="D66" s="424">
        <f t="shared" si="31"/>
        <v>5611</v>
      </c>
      <c r="E66" s="424">
        <f t="shared" si="31"/>
        <v>5892</v>
      </c>
      <c r="F66" s="424">
        <f t="shared" si="31"/>
        <v>5887</v>
      </c>
      <c r="G66" s="424">
        <f t="shared" si="31"/>
        <v>6162</v>
      </c>
      <c r="H66" s="424">
        <f t="shared" si="31"/>
        <v>6992</v>
      </c>
      <c r="I66" s="424">
        <f t="shared" si="31"/>
        <v>7402</v>
      </c>
      <c r="J66" s="424">
        <f t="shared" si="31"/>
        <v>6367</v>
      </c>
      <c r="K66" s="424">
        <f t="shared" si="31"/>
        <v>6602</v>
      </c>
      <c r="L66" s="424">
        <f t="shared" si="31"/>
        <v>6346</v>
      </c>
      <c r="M66" s="424">
        <f t="shared" si="31"/>
        <v>7061</v>
      </c>
      <c r="N66" s="425">
        <f>SUM(B66:M66)</f>
        <v>75135</v>
      </c>
      <c r="O66" s="394">
        <f>SUM(B66:D66)</f>
        <v>16424</v>
      </c>
      <c r="P66" s="394">
        <f>SUM(E66:G66)</f>
        <v>17941</v>
      </c>
      <c r="Q66" s="394">
        <f>SUM(H66:J66)</f>
        <v>20761</v>
      </c>
      <c r="R66" s="394">
        <f>SUM(K66:M66)</f>
        <v>20009</v>
      </c>
    </row>
    <row r="67" spans="1:19">
      <c r="A67" s="390" t="s">
        <v>152</v>
      </c>
      <c r="B67" s="396">
        <f t="shared" ref="B67:R67" si="32">B66/B96-1</f>
        <v>6.9688958009331259</v>
      </c>
      <c r="C67" s="396">
        <f t="shared" si="32"/>
        <v>4.864948453608247</v>
      </c>
      <c r="D67" s="396">
        <f t="shared" si="32"/>
        <v>2.7307180851063828</v>
      </c>
      <c r="E67" s="396">
        <f t="shared" si="32"/>
        <v>1.7545582047685833</v>
      </c>
      <c r="F67" s="396">
        <f t="shared" si="32"/>
        <v>1.3241215949467033</v>
      </c>
      <c r="G67" s="396">
        <f t="shared" si="32"/>
        <v>0.96242038216560499</v>
      </c>
      <c r="H67" s="396">
        <f t="shared" si="32"/>
        <v>0.71709233791748517</v>
      </c>
      <c r="I67" s="396">
        <f t="shared" si="32"/>
        <v>0.6826551488974768</v>
      </c>
      <c r="J67" s="396">
        <f t="shared" si="32"/>
        <v>0.6624020887728459</v>
      </c>
      <c r="K67" s="396">
        <f t="shared" si="32"/>
        <v>0.66297229219143583</v>
      </c>
      <c r="L67" s="396">
        <f t="shared" si="32"/>
        <v>0.65865133298484047</v>
      </c>
      <c r="M67" s="396">
        <f t="shared" si="32"/>
        <v>0.49851443123938877</v>
      </c>
      <c r="N67" s="396">
        <f t="shared" si="32"/>
        <v>1.1023840170127035</v>
      </c>
      <c r="O67" s="396">
        <f t="shared" si="32"/>
        <v>4.2691690728264353</v>
      </c>
      <c r="P67" s="396">
        <f t="shared" si="32"/>
        <v>1.2965949820788532</v>
      </c>
      <c r="Q67" s="396">
        <f t="shared" si="32"/>
        <v>0.68774896349890247</v>
      </c>
      <c r="R67" s="396">
        <f t="shared" si="32"/>
        <v>0.59969619443556121</v>
      </c>
    </row>
    <row r="68" spans="1:19">
      <c r="A68" s="390" t="s">
        <v>144</v>
      </c>
      <c r="B68" s="396">
        <f t="shared" ref="B68:R68" si="33">B66/B213-1</f>
        <v>-0.2753500212134069</v>
      </c>
      <c r="C68" s="396">
        <f t="shared" si="33"/>
        <v>-0.18589009730967376</v>
      </c>
      <c r="D68" s="396">
        <f t="shared" si="33"/>
        <v>-0.2062526524260857</v>
      </c>
      <c r="E68" s="396">
        <f t="shared" si="33"/>
        <v>-0.17340067340067344</v>
      </c>
      <c r="F68" s="396">
        <f t="shared" si="33"/>
        <v>-0.16990975747320924</v>
      </c>
      <c r="G68" s="396">
        <f t="shared" si="33"/>
        <v>-0.13406408094435074</v>
      </c>
      <c r="H68" s="396">
        <f t="shared" si="33"/>
        <v>-9.1003640145605802E-2</v>
      </c>
      <c r="I68" s="396">
        <f t="shared" si="33"/>
        <v>-6.8579338115011934E-2</v>
      </c>
      <c r="J68" s="396">
        <f t="shared" si="33"/>
        <v>-5.9110388650805423E-2</v>
      </c>
      <c r="K68" s="396">
        <f t="shared" si="33"/>
        <v>-2.8260229614365584E-2</v>
      </c>
      <c r="L68" s="396">
        <f t="shared" si="33"/>
        <v>-3.9648910411622329E-2</v>
      </c>
      <c r="M68" s="396">
        <f t="shared" si="33"/>
        <v>5.8404558404558937E-3</v>
      </c>
      <c r="N68" s="396">
        <f t="shared" si="33"/>
        <v>-0.11908502555925526</v>
      </c>
      <c r="O68" s="396">
        <f t="shared" si="33"/>
        <v>-0.22264293828095416</v>
      </c>
      <c r="P68" s="396">
        <f t="shared" si="33"/>
        <v>-0.1591207349081365</v>
      </c>
      <c r="Q68" s="396">
        <f t="shared" si="33"/>
        <v>-7.3417834508613722E-2</v>
      </c>
      <c r="R68" s="396">
        <f t="shared" si="33"/>
        <v>-2.0223288610322188E-2</v>
      </c>
    </row>
    <row r="69" spans="1:19">
      <c r="A69" s="390" t="s">
        <v>135</v>
      </c>
    </row>
    <row r="70" spans="1:19">
      <c r="A70" s="390"/>
    </row>
    <row r="71" spans="1:19">
      <c r="A71" s="431" t="s">
        <v>147</v>
      </c>
      <c r="B71" s="391">
        <v>4371</v>
      </c>
      <c r="C71" s="391">
        <v>4893</v>
      </c>
      <c r="D71" s="391">
        <v>4856</v>
      </c>
      <c r="E71" s="391">
        <v>5096</v>
      </c>
      <c r="F71" s="391">
        <v>5100</v>
      </c>
      <c r="G71" s="391">
        <v>5357</v>
      </c>
      <c r="H71" s="391">
        <v>6130</v>
      </c>
      <c r="I71" s="391">
        <v>6472</v>
      </c>
      <c r="J71" s="391">
        <v>5624</v>
      </c>
      <c r="K71" s="391">
        <v>5803</v>
      </c>
      <c r="L71" s="391">
        <f>5570</f>
        <v>5570</v>
      </c>
      <c r="M71" s="425">
        <v>6282</v>
      </c>
      <c r="N71" s="425">
        <f>SUM(B71:M71)</f>
        <v>65554</v>
      </c>
      <c r="O71" s="394">
        <f>SUM(B71:D71)</f>
        <v>14120</v>
      </c>
      <c r="P71" s="394">
        <f>SUM(E71:G71)</f>
        <v>15553</v>
      </c>
      <c r="Q71" s="394">
        <f>SUM(H71:J71)</f>
        <v>18226</v>
      </c>
      <c r="R71" s="394">
        <f>SUM(K71:M71)</f>
        <v>17655</v>
      </c>
    </row>
    <row r="72" spans="1:19">
      <c r="A72" s="390" t="s">
        <v>152</v>
      </c>
      <c r="B72" s="396">
        <f t="shared" ref="B72:R72" si="34">B71/B101-1</f>
        <v>8.8891402714932131</v>
      </c>
      <c r="C72" s="396">
        <f t="shared" si="34"/>
        <v>5.930594900849858</v>
      </c>
      <c r="D72" s="396">
        <f t="shared" si="34"/>
        <v>3.4387568555758685</v>
      </c>
      <c r="E72" s="396">
        <f t="shared" si="34"/>
        <v>2.1418002466091246</v>
      </c>
      <c r="F72" s="396">
        <f t="shared" si="34"/>
        <v>1.5809716599190282</v>
      </c>
      <c r="G72" s="396">
        <f t="shared" si="34"/>
        <v>1.1182285488335308</v>
      </c>
      <c r="H72" s="396">
        <f t="shared" si="34"/>
        <v>0.82821354011333126</v>
      </c>
      <c r="I72" s="396">
        <f t="shared" si="34"/>
        <v>0.77558299039780532</v>
      </c>
      <c r="J72" s="396">
        <f t="shared" si="34"/>
        <v>0.7341967314215232</v>
      </c>
      <c r="K72" s="396">
        <f t="shared" si="34"/>
        <v>0.76061893203883502</v>
      </c>
      <c r="L72" s="396">
        <f t="shared" si="34"/>
        <v>0.76321620766065212</v>
      </c>
      <c r="M72" s="396">
        <f t="shared" si="34"/>
        <v>0.57522567703109329</v>
      </c>
      <c r="N72" s="396">
        <f t="shared" si="34"/>
        <v>1.2563590679103709</v>
      </c>
      <c r="O72" s="396">
        <f t="shared" si="34"/>
        <v>5.2979482604817125</v>
      </c>
      <c r="P72" s="396">
        <f t="shared" si="34"/>
        <v>1.5384364289211687</v>
      </c>
      <c r="Q72" s="396">
        <f t="shared" si="34"/>
        <v>0.77970901279171967</v>
      </c>
      <c r="R72" s="396">
        <f t="shared" si="34"/>
        <v>0.69060614765871886</v>
      </c>
    </row>
    <row r="73" spans="1:19">
      <c r="A73" s="390" t="s">
        <v>144</v>
      </c>
      <c r="B73" s="396">
        <f t="shared" ref="B73:R73" si="35">B71/B217-1</f>
        <v>-0.28049382716049387</v>
      </c>
      <c r="C73" s="396">
        <f t="shared" si="35"/>
        <v>-0.1808136614766449</v>
      </c>
      <c r="D73" s="396">
        <f t="shared" si="35"/>
        <v>-0.19682434667548787</v>
      </c>
      <c r="E73" s="396">
        <f t="shared" si="35"/>
        <v>-0.1618421052631579</v>
      </c>
      <c r="F73" s="396">
        <f t="shared" si="35"/>
        <v>-0.15436909301939972</v>
      </c>
      <c r="G73" s="396">
        <f t="shared" si="35"/>
        <v>-0.11905936523598093</v>
      </c>
      <c r="H73" s="396">
        <f t="shared" si="35"/>
        <v>-6.9802731411229169E-2</v>
      </c>
      <c r="I73" s="396">
        <f t="shared" si="35"/>
        <v>-7.6879189844530016E-2</v>
      </c>
      <c r="J73" s="396">
        <f t="shared" si="35"/>
        <v>-7.1794025416735407E-2</v>
      </c>
      <c r="K73" s="396">
        <f t="shared" si="35"/>
        <v>-3.9874255459960262E-2</v>
      </c>
      <c r="L73" s="396">
        <f t="shared" si="35"/>
        <v>-5.657181571815717E-2</v>
      </c>
      <c r="M73" s="396">
        <f t="shared" si="35"/>
        <v>-6.6413662239088733E-3</v>
      </c>
      <c r="N73" s="396">
        <f t="shared" si="35"/>
        <v>-0.11673717965992081</v>
      </c>
      <c r="O73" s="396">
        <f t="shared" si="35"/>
        <v>-0.21963081684536312</v>
      </c>
      <c r="P73" s="396">
        <f t="shared" si="35"/>
        <v>-0.14506376429199652</v>
      </c>
      <c r="Q73" s="396">
        <f t="shared" si="35"/>
        <v>-7.2939979654120024E-2</v>
      </c>
      <c r="R73" s="396">
        <f t="shared" si="35"/>
        <v>-3.3767513134851157E-2</v>
      </c>
    </row>
    <row r="74" spans="1:19">
      <c r="A74" s="390"/>
      <c r="R74" s="394"/>
    </row>
    <row r="75" spans="1:19">
      <c r="A75" s="433" t="s">
        <v>148</v>
      </c>
      <c r="B75" s="391">
        <v>753</v>
      </c>
      <c r="C75" s="391">
        <v>796</v>
      </c>
      <c r="D75" s="391">
        <v>755</v>
      </c>
      <c r="E75" s="391">
        <v>796</v>
      </c>
      <c r="F75" s="391">
        <v>787</v>
      </c>
      <c r="G75" s="391">
        <v>805</v>
      </c>
      <c r="H75" s="391">
        <v>862</v>
      </c>
      <c r="I75" s="391">
        <v>930</v>
      </c>
      <c r="J75" s="391">
        <v>743</v>
      </c>
      <c r="K75" s="391">
        <v>799</v>
      </c>
      <c r="L75" s="391">
        <f>776</f>
        <v>776</v>
      </c>
      <c r="M75" s="425">
        <v>779</v>
      </c>
      <c r="N75" s="425">
        <f>SUM(B75:M75)</f>
        <v>9581</v>
      </c>
      <c r="O75" s="394">
        <f>SUM(B75:D75)</f>
        <v>2304</v>
      </c>
      <c r="P75" s="394">
        <f>SUM(E75:G75)</f>
        <v>2388</v>
      </c>
      <c r="Q75" s="394">
        <f>SUM(H75:J75)</f>
        <v>2535</v>
      </c>
      <c r="R75" s="394">
        <f>SUM(K75:M75)</f>
        <v>2354</v>
      </c>
    </row>
    <row r="76" spans="1:19">
      <c r="A76" s="390" t="s">
        <v>152</v>
      </c>
      <c r="B76" s="396">
        <f t="shared" ref="B76:R76" si="36">B75/B106-1</f>
        <v>2.7462686567164178</v>
      </c>
      <c r="C76" s="396">
        <f t="shared" si="36"/>
        <v>2.0151515151515151</v>
      </c>
      <c r="D76" s="396">
        <f t="shared" si="36"/>
        <v>0.84146341463414642</v>
      </c>
      <c r="E76" s="396">
        <f t="shared" si="36"/>
        <v>0.53965183752417789</v>
      </c>
      <c r="F76" s="396">
        <f t="shared" si="36"/>
        <v>0.41292639138240572</v>
      </c>
      <c r="G76" s="396">
        <f t="shared" si="36"/>
        <v>0.31751227495908352</v>
      </c>
      <c r="H76" s="396">
        <f t="shared" si="36"/>
        <v>0.19888734353268434</v>
      </c>
      <c r="I76" s="396">
        <f t="shared" si="36"/>
        <v>0.23342175066312998</v>
      </c>
      <c r="J76" s="396">
        <f t="shared" si="36"/>
        <v>0.26575809199318567</v>
      </c>
      <c r="K76" s="396">
        <f t="shared" si="36"/>
        <v>0.18545994065281901</v>
      </c>
      <c r="L76" s="396">
        <f t="shared" si="36"/>
        <v>0.16341829085457271</v>
      </c>
      <c r="M76" s="396">
        <f t="shared" si="36"/>
        <v>7.5966850828729227E-2</v>
      </c>
      <c r="N76" s="396">
        <f t="shared" si="36"/>
        <v>0.43320867614061331</v>
      </c>
      <c r="O76" s="396">
        <f t="shared" si="36"/>
        <v>1.633142857142857</v>
      </c>
      <c r="P76" s="396">
        <f t="shared" si="36"/>
        <v>0.41721068249258164</v>
      </c>
      <c r="Q76" s="396">
        <f t="shared" si="36"/>
        <v>0.23058252427184467</v>
      </c>
      <c r="R76" s="396">
        <f t="shared" si="36"/>
        <v>0.13995157384987889</v>
      </c>
    </row>
    <row r="77" spans="1:19">
      <c r="A77" s="390" t="s">
        <v>144</v>
      </c>
      <c r="B77" s="396">
        <f t="shared" ref="B77:R77" si="37">B75/B221-1</f>
        <v>-0.24397590361445787</v>
      </c>
      <c r="C77" s="396">
        <f t="shared" si="37"/>
        <v>-0.21576354679802956</v>
      </c>
      <c r="D77" s="396">
        <f t="shared" si="37"/>
        <v>-0.26197458455522971</v>
      </c>
      <c r="E77" s="396">
        <f t="shared" si="37"/>
        <v>-0.24045801526717558</v>
      </c>
      <c r="F77" s="396">
        <f t="shared" si="37"/>
        <v>-0.25824693685202638</v>
      </c>
      <c r="G77" s="396">
        <f t="shared" si="37"/>
        <v>-0.22222222222222221</v>
      </c>
      <c r="H77" s="396">
        <f t="shared" si="37"/>
        <v>-0.21778584392014522</v>
      </c>
      <c r="I77" s="396">
        <f t="shared" si="37"/>
        <v>-6.4102564102563875E-3</v>
      </c>
      <c r="J77" s="396">
        <f t="shared" si="37"/>
        <v>4.9435028248587587E-2</v>
      </c>
      <c r="K77" s="396">
        <f t="shared" si="37"/>
        <v>6.5333333333333243E-2</v>
      </c>
      <c r="L77" s="396">
        <f t="shared" si="37"/>
        <v>0.10227272727272729</v>
      </c>
      <c r="M77" s="396">
        <f t="shared" si="37"/>
        <v>0.11925287356321834</v>
      </c>
      <c r="N77" s="396">
        <f t="shared" si="37"/>
        <v>-0.13482029980133647</v>
      </c>
      <c r="O77" s="396">
        <f t="shared" si="37"/>
        <v>-0.24060646011865527</v>
      </c>
      <c r="P77" s="396">
        <f t="shared" si="37"/>
        <v>-0.24045801526717558</v>
      </c>
      <c r="Q77" s="396">
        <f t="shared" si="37"/>
        <v>-7.683903860160235E-2</v>
      </c>
      <c r="R77" s="396">
        <f t="shared" si="37"/>
        <v>9.4883720930232451E-2</v>
      </c>
    </row>
    <row r="79" spans="1:19">
      <c r="A79" s="385" t="s">
        <v>127</v>
      </c>
      <c r="B79" s="385"/>
      <c r="C79" s="434"/>
      <c r="D79" s="385"/>
      <c r="E79" s="385"/>
      <c r="F79" s="385"/>
      <c r="G79" s="387"/>
      <c r="H79" s="385"/>
      <c r="I79" s="385"/>
      <c r="J79" s="385"/>
      <c r="K79" s="385"/>
      <c r="L79" s="385"/>
      <c r="M79" s="385"/>
      <c r="N79" s="385"/>
      <c r="O79" s="386"/>
      <c r="P79" s="386"/>
      <c r="Q79" s="386"/>
      <c r="R79" s="386"/>
      <c r="S79" s="385"/>
    </row>
    <row r="80" spans="1:19" ht="15.5" customHeight="1">
      <c r="A80" s="422" t="s">
        <v>153</v>
      </c>
      <c r="B80" s="184" t="s">
        <v>51</v>
      </c>
      <c r="C80" s="184" t="s">
        <v>52</v>
      </c>
      <c r="D80" s="184" t="s">
        <v>53</v>
      </c>
      <c r="E80" s="184" t="s">
        <v>54</v>
      </c>
      <c r="F80" s="184" t="s">
        <v>55</v>
      </c>
      <c r="G80" s="184" t="s">
        <v>77</v>
      </c>
      <c r="H80" s="184" t="s">
        <v>78</v>
      </c>
      <c r="I80" s="184" t="s">
        <v>79</v>
      </c>
      <c r="J80" s="184" t="s">
        <v>80</v>
      </c>
      <c r="K80" s="184" t="s">
        <v>81</v>
      </c>
      <c r="L80" s="184" t="s">
        <v>82</v>
      </c>
      <c r="M80" s="184" t="s">
        <v>44</v>
      </c>
      <c r="N80" s="400" t="s">
        <v>128</v>
      </c>
      <c r="O80" s="55" t="s">
        <v>129</v>
      </c>
      <c r="P80" s="55" t="s">
        <v>130</v>
      </c>
      <c r="Q80" s="55" t="s">
        <v>131</v>
      </c>
      <c r="R80" s="55" t="s">
        <v>132</v>
      </c>
      <c r="S80" s="385"/>
    </row>
    <row r="81" spans="1:19">
      <c r="A81" s="423" t="s">
        <v>133</v>
      </c>
      <c r="B81" s="391">
        <v>39775</v>
      </c>
      <c r="C81" s="391">
        <v>43200</v>
      </c>
      <c r="D81" s="391">
        <v>45704</v>
      </c>
      <c r="E81" s="391">
        <v>50275</v>
      </c>
      <c r="F81" s="391">
        <v>51698</v>
      </c>
      <c r="G81" s="391">
        <v>53116</v>
      </c>
      <c r="H81" s="391">
        <v>62428</v>
      </c>
      <c r="I81" s="391">
        <v>63964</v>
      </c>
      <c r="J81" s="391">
        <v>53490</v>
      </c>
      <c r="K81" s="391">
        <v>56052</v>
      </c>
      <c r="L81" s="391">
        <v>48991</v>
      </c>
      <c r="M81" s="391">
        <v>50592</v>
      </c>
      <c r="N81" s="393">
        <f>SUM(O81:R81)</f>
        <v>619285</v>
      </c>
      <c r="O81" s="394">
        <f>SUM(B81:D81)</f>
        <v>128679</v>
      </c>
      <c r="P81" s="394">
        <f>SUM(E81:G81)</f>
        <v>155089</v>
      </c>
      <c r="Q81" s="394">
        <f>SUM(H81:J81)</f>
        <v>179882</v>
      </c>
      <c r="R81" s="395">
        <f>SUM(K81:M81)</f>
        <v>155635</v>
      </c>
      <c r="S81" s="385"/>
    </row>
    <row r="82" spans="1:19">
      <c r="A82" s="390" t="s">
        <v>154</v>
      </c>
      <c r="B82" s="396">
        <f t="shared" ref="B82:R82" si="38">B81/B113-1</f>
        <v>0.34771117812489405</v>
      </c>
      <c r="C82" s="396">
        <f t="shared" si="38"/>
        <v>0.38045631750495312</v>
      </c>
      <c r="D82" s="396">
        <f t="shared" si="38"/>
        <v>1.9735849056603771</v>
      </c>
      <c r="E82" s="396">
        <f t="shared" si="38"/>
        <v>5.3800761421319798</v>
      </c>
      <c r="F82" s="396">
        <f t="shared" si="38"/>
        <v>3.2821171208481736</v>
      </c>
      <c r="G82" s="396">
        <f t="shared" si="38"/>
        <v>1.414034449847748</v>
      </c>
      <c r="H82" s="396">
        <f t="shared" si="38"/>
        <v>0.83633368631603711</v>
      </c>
      <c r="I82" s="396">
        <f t="shared" si="38"/>
        <v>0.98012568492090524</v>
      </c>
      <c r="J82" s="396">
        <f t="shared" si="38"/>
        <v>1.6613264341509528</v>
      </c>
      <c r="K82" s="396">
        <f t="shared" si="38"/>
        <v>2.5199698568198947</v>
      </c>
      <c r="L82" s="396">
        <f t="shared" si="38"/>
        <v>2.8971442208257101</v>
      </c>
      <c r="M82" s="396">
        <f t="shared" si="38"/>
        <v>1.7034305867265149</v>
      </c>
      <c r="N82" s="397">
        <f t="shared" si="38"/>
        <v>1.4603114695482895</v>
      </c>
      <c r="O82" s="183">
        <f t="shared" si="38"/>
        <v>0.68921065413445004</v>
      </c>
      <c r="P82" s="183">
        <f t="shared" si="38"/>
        <v>2.6964677280961005</v>
      </c>
      <c r="Q82" s="183">
        <f t="shared" si="38"/>
        <v>1.0820157874024861</v>
      </c>
      <c r="R82" s="183">
        <f t="shared" si="38"/>
        <v>2.2967230824630898</v>
      </c>
      <c r="S82" s="385"/>
    </row>
    <row r="83" spans="1:19">
      <c r="A83" s="390" t="s">
        <v>144</v>
      </c>
      <c r="B83" s="396">
        <f t="shared" ref="B83:R83" si="39">B81/B201-1</f>
        <v>-0.25533109917061392</v>
      </c>
      <c r="C83" s="396">
        <f t="shared" si="39"/>
        <v>-0.19741388919852865</v>
      </c>
      <c r="D83" s="396">
        <f t="shared" si="39"/>
        <v>-0.14578349282296654</v>
      </c>
      <c r="E83" s="396">
        <f t="shared" si="39"/>
        <v>-5.3522346473888316E-2</v>
      </c>
      <c r="F83" s="396">
        <f t="shared" si="39"/>
        <v>-5.1569465592837926E-2</v>
      </c>
      <c r="G83" s="396">
        <f t="shared" si="39"/>
        <v>-5.5790616692252826E-3</v>
      </c>
      <c r="H83" s="396">
        <f t="shared" si="39"/>
        <v>5.2730982614121125E-2</v>
      </c>
      <c r="I83" s="396">
        <f t="shared" si="39"/>
        <v>4.4514843724484887E-2</v>
      </c>
      <c r="J83" s="396">
        <f t="shared" si="39"/>
        <v>-2.3067229192920924E-2</v>
      </c>
      <c r="K83" s="396">
        <f t="shared" si="39"/>
        <v>-1.632094345582813E-2</v>
      </c>
      <c r="L83" s="396">
        <f t="shared" si="39"/>
        <v>-7.6651965773304687E-2</v>
      </c>
      <c r="M83" s="396">
        <f t="shared" si="39"/>
        <v>-4.1091736163760384E-2</v>
      </c>
      <c r="N83" s="397">
        <f t="shared" si="39"/>
        <v>-6.1513072152949988E-2</v>
      </c>
      <c r="O83" s="183">
        <f t="shared" si="39"/>
        <v>-0.1994736940333327</v>
      </c>
      <c r="P83" s="183">
        <f t="shared" si="39"/>
        <v>-3.6959532044634646E-2</v>
      </c>
      <c r="Q83" s="183">
        <f t="shared" si="39"/>
        <v>2.6184880085799778E-2</v>
      </c>
      <c r="R83" s="183">
        <f t="shared" si="39"/>
        <v>-4.4011056511056523E-2</v>
      </c>
      <c r="S83" s="385"/>
    </row>
    <row r="84" spans="1:19" ht="15.5" customHeight="1">
      <c r="A84" s="390" t="s">
        <v>135</v>
      </c>
      <c r="B84" s="435">
        <f>B81/M113-1</f>
        <v>1.1254141284599766</v>
      </c>
      <c r="C84" s="435">
        <f t="shared" ref="C84:M84" si="40">C81/B81-1</f>
        <v>8.6109365179132702E-2</v>
      </c>
      <c r="D84" s="435">
        <f t="shared" si="40"/>
        <v>5.7962962962962994E-2</v>
      </c>
      <c r="E84" s="435">
        <f t="shared" si="40"/>
        <v>0.10001312795378969</v>
      </c>
      <c r="F84" s="435">
        <f t="shared" si="40"/>
        <v>2.8304326205867758E-2</v>
      </c>
      <c r="G84" s="435">
        <f t="shared" si="40"/>
        <v>2.7428527215753062E-2</v>
      </c>
      <c r="H84" s="435">
        <f t="shared" si="40"/>
        <v>0.17531440620528649</v>
      </c>
      <c r="I84" s="435">
        <f t="shared" si="40"/>
        <v>2.460434420452362E-2</v>
      </c>
      <c r="J84" s="435">
        <f t="shared" si="40"/>
        <v>-0.16374835845162905</v>
      </c>
      <c r="K84" s="435">
        <f t="shared" si="40"/>
        <v>4.7896803140774047E-2</v>
      </c>
      <c r="L84" s="435">
        <f t="shared" si="40"/>
        <v>-0.12597231142510523</v>
      </c>
      <c r="M84" s="435">
        <f t="shared" si="40"/>
        <v>3.26794717397072E-2</v>
      </c>
      <c r="N84" s="152"/>
      <c r="O84" s="401"/>
      <c r="P84" s="398"/>
      <c r="Q84" s="398"/>
      <c r="R84" s="398"/>
      <c r="S84" s="385"/>
    </row>
    <row r="85" spans="1:19">
      <c r="A85" s="385"/>
      <c r="B85" s="402"/>
      <c r="C85" s="402"/>
      <c r="D85" s="402"/>
      <c r="E85" s="402"/>
      <c r="F85" s="402"/>
      <c r="G85" s="427"/>
      <c r="H85" s="402"/>
      <c r="I85" s="402"/>
      <c r="J85" s="403"/>
      <c r="K85" s="403"/>
      <c r="L85" s="403"/>
      <c r="M85" s="403"/>
      <c r="N85" s="404"/>
      <c r="O85" s="404"/>
      <c r="P85" s="404"/>
      <c r="Q85" s="404"/>
      <c r="R85" s="404"/>
      <c r="S85" s="385"/>
    </row>
    <row r="86" spans="1:19">
      <c r="A86" s="428" t="s">
        <v>137</v>
      </c>
      <c r="B86" s="424">
        <f t="shared" ref="B86:M86" si="41">B91-B106</f>
        <v>39131</v>
      </c>
      <c r="C86" s="424">
        <f t="shared" si="41"/>
        <v>42231</v>
      </c>
      <c r="D86" s="424">
        <f t="shared" si="41"/>
        <v>44201</v>
      </c>
      <c r="E86" s="424">
        <f t="shared" si="41"/>
        <v>48136</v>
      </c>
      <c r="F86" s="424">
        <f t="shared" si="41"/>
        <v>49166</v>
      </c>
      <c r="G86" s="424">
        <f t="shared" si="41"/>
        <v>49976</v>
      </c>
      <c r="H86" s="424">
        <f t="shared" si="41"/>
        <v>58356</v>
      </c>
      <c r="I86" s="424">
        <f t="shared" si="41"/>
        <v>59565</v>
      </c>
      <c r="J86" s="424">
        <f t="shared" si="41"/>
        <v>49659</v>
      </c>
      <c r="K86" s="424">
        <f t="shared" si="41"/>
        <v>52082</v>
      </c>
      <c r="L86" s="424">
        <f t="shared" si="41"/>
        <v>45165</v>
      </c>
      <c r="M86" s="424">
        <f t="shared" si="41"/>
        <v>45880</v>
      </c>
      <c r="N86" s="393">
        <f>SUM(O86:R86)</f>
        <v>583548</v>
      </c>
      <c r="O86" s="424">
        <f>SUM(B86:D86)</f>
        <v>125563</v>
      </c>
      <c r="P86" s="424">
        <f>SUM(E86:G86)</f>
        <v>147278</v>
      </c>
      <c r="Q86" s="424">
        <f>SUM(H86:J86)</f>
        <v>167580</v>
      </c>
      <c r="R86" s="424">
        <f>SUM(K86:M86)</f>
        <v>143127</v>
      </c>
      <c r="S86" s="385"/>
    </row>
    <row r="87" spans="1:19">
      <c r="A87" s="390" t="s">
        <v>154</v>
      </c>
      <c r="B87" s="396">
        <f t="shared" ref="B87:R87" si="42">B86/B118-1</f>
        <v>0.33293592669550698</v>
      </c>
      <c r="C87" s="396">
        <f t="shared" si="42"/>
        <v>0.35603506405933927</v>
      </c>
      <c r="D87" s="396">
        <f t="shared" si="42"/>
        <v>1.8989965239063422</v>
      </c>
      <c r="E87" s="396">
        <f t="shared" si="42"/>
        <v>5.1863513687186735</v>
      </c>
      <c r="F87" s="396">
        <f t="shared" si="42"/>
        <v>3.1084649452661486</v>
      </c>
      <c r="G87" s="396">
        <f t="shared" si="42"/>
        <v>1.2845127079904919</v>
      </c>
      <c r="H87" s="396">
        <f t="shared" si="42"/>
        <v>0.72507981553742451</v>
      </c>
      <c r="I87" s="396">
        <f t="shared" si="42"/>
        <v>0.85589655709612078</v>
      </c>
      <c r="J87" s="396">
        <f t="shared" si="42"/>
        <v>1.5023431594860166</v>
      </c>
      <c r="K87" s="396">
        <f t="shared" si="42"/>
        <v>2.322615629984051</v>
      </c>
      <c r="L87" s="396">
        <f t="shared" si="42"/>
        <v>2.6776321146486444</v>
      </c>
      <c r="M87" s="396">
        <f t="shared" si="42"/>
        <v>1.5051872884132358</v>
      </c>
      <c r="N87" s="397">
        <f t="shared" si="42"/>
        <v>1.3397231054212155</v>
      </c>
      <c r="O87" s="183">
        <f t="shared" si="42"/>
        <v>0.65766300975616199</v>
      </c>
      <c r="P87" s="183">
        <f t="shared" si="42"/>
        <v>2.5382952142994428</v>
      </c>
      <c r="Q87" s="183">
        <f t="shared" si="42"/>
        <v>0.95387557130864664</v>
      </c>
      <c r="R87" s="183">
        <f t="shared" si="42"/>
        <v>2.0933001945104821</v>
      </c>
      <c r="S87" s="385"/>
    </row>
    <row r="88" spans="1:19">
      <c r="A88" s="390" t="s">
        <v>144</v>
      </c>
      <c r="B88" s="396">
        <f t="shared" ref="B88:R88" si="43">B86/B205-1</f>
        <v>-0.15560398774329987</v>
      </c>
      <c r="C88" s="396">
        <f t="shared" si="43"/>
        <v>-9.8360305734659925E-2</v>
      </c>
      <c r="D88" s="396">
        <f t="shared" si="43"/>
        <v>-4.8110261656078346E-2</v>
      </c>
      <c r="E88" s="396">
        <f t="shared" si="43"/>
        <v>4.6662317895194594E-2</v>
      </c>
      <c r="F88" s="396">
        <f t="shared" si="43"/>
        <v>3.6885505198557489E-2</v>
      </c>
      <c r="G88" s="396">
        <f t="shared" si="43"/>
        <v>7.9441876538943301E-2</v>
      </c>
      <c r="H88" s="396">
        <f t="shared" si="43"/>
        <v>0.13073301168400864</v>
      </c>
      <c r="I88" s="396">
        <f t="shared" si="43"/>
        <v>0.11773094894072167</v>
      </c>
      <c r="J88" s="396">
        <f t="shared" si="43"/>
        <v>3.4864335431167515E-2</v>
      </c>
      <c r="K88" s="396">
        <f t="shared" si="43"/>
        <v>3.7758782154741377E-2</v>
      </c>
      <c r="L88" s="396">
        <f t="shared" si="43"/>
        <v>-2.7664155005382107E-2</v>
      </c>
      <c r="M88" s="396">
        <f t="shared" si="43"/>
        <v>3.0607783121994192E-3</v>
      </c>
      <c r="N88" s="397">
        <f t="shared" si="43"/>
        <v>1.5602619638938053E-2</v>
      </c>
      <c r="O88" s="183">
        <f t="shared" si="43"/>
        <v>-0.10064821115209688</v>
      </c>
      <c r="P88" s="183">
        <f t="shared" si="43"/>
        <v>5.4207079202605479E-2</v>
      </c>
      <c r="Q88" s="183">
        <f t="shared" si="43"/>
        <v>9.6110827675522925E-2</v>
      </c>
      <c r="R88" s="183">
        <f t="shared" si="43"/>
        <v>5.267704755683944E-3</v>
      </c>
      <c r="S88" s="385"/>
    </row>
    <row r="89" spans="1:19" ht="15.5" customHeight="1">
      <c r="A89" s="390" t="s">
        <v>135</v>
      </c>
      <c r="B89" s="435">
        <f>B86/M118-1</f>
        <v>1.1366713989297805</v>
      </c>
      <c r="C89" s="435">
        <f t="shared" ref="C89:M89" si="44">C86/B86-1</f>
        <v>7.9221077917763338E-2</v>
      </c>
      <c r="D89" s="435">
        <f t="shared" si="44"/>
        <v>4.664819682223964E-2</v>
      </c>
      <c r="E89" s="435">
        <f t="shared" si="44"/>
        <v>8.9025135177937198E-2</v>
      </c>
      <c r="F89" s="435">
        <f t="shared" si="44"/>
        <v>2.1397706498254898E-2</v>
      </c>
      <c r="G89" s="435">
        <f t="shared" si="44"/>
        <v>1.6474799658300343E-2</v>
      </c>
      <c r="H89" s="435">
        <f t="shared" si="44"/>
        <v>0.16768048663358415</v>
      </c>
      <c r="I89" s="435">
        <f t="shared" si="44"/>
        <v>2.0717663993419677E-2</v>
      </c>
      <c r="J89" s="435">
        <f t="shared" si="44"/>
        <v>-0.16630571644422065</v>
      </c>
      <c r="K89" s="435">
        <f t="shared" si="44"/>
        <v>4.8792766668680487E-2</v>
      </c>
      <c r="L89" s="435">
        <f t="shared" si="44"/>
        <v>-0.13280979993087827</v>
      </c>
      <c r="M89" s="435">
        <f t="shared" si="44"/>
        <v>1.5830842466511674E-2</v>
      </c>
      <c r="N89" s="400"/>
      <c r="O89" s="112"/>
      <c r="P89" s="398"/>
      <c r="Q89" s="398"/>
      <c r="R89" s="398"/>
      <c r="S89" s="385"/>
    </row>
    <row r="90" spans="1:19" ht="15.5" customHeight="1">
      <c r="A90" s="385"/>
      <c r="B90" s="186"/>
      <c r="C90" s="434"/>
      <c r="D90" s="434"/>
      <c r="E90" s="402"/>
      <c r="F90" s="434"/>
      <c r="G90" s="434"/>
      <c r="H90" s="434"/>
      <c r="I90" s="434"/>
      <c r="J90" s="434"/>
      <c r="K90" s="434"/>
      <c r="L90" s="434"/>
      <c r="M90" s="434"/>
      <c r="N90" s="436"/>
      <c r="O90" s="437"/>
      <c r="P90" s="438"/>
      <c r="Q90" s="438"/>
      <c r="R90" s="438"/>
      <c r="S90" s="385"/>
    </row>
    <row r="91" spans="1:19">
      <c r="A91" s="429" t="s">
        <v>145</v>
      </c>
      <c r="B91" s="439">
        <v>39332</v>
      </c>
      <c r="C91" s="439">
        <v>42495</v>
      </c>
      <c r="D91" s="439">
        <v>44611</v>
      </c>
      <c r="E91" s="439">
        <v>48653</v>
      </c>
      <c r="F91" s="439">
        <v>49723</v>
      </c>
      <c r="G91" s="439">
        <v>50587</v>
      </c>
      <c r="H91" s="439">
        <v>59075</v>
      </c>
      <c r="I91" s="439">
        <v>60319</v>
      </c>
      <c r="J91" s="439">
        <v>50246</v>
      </c>
      <c r="K91" s="439">
        <v>52756</v>
      </c>
      <c r="L91" s="439">
        <v>45832</v>
      </c>
      <c r="M91" s="439">
        <v>46604</v>
      </c>
      <c r="N91" s="393">
        <f>SUM(O91:R91)</f>
        <v>590233</v>
      </c>
      <c r="O91" s="439">
        <f>SUM(B91:D91)</f>
        <v>126438</v>
      </c>
      <c r="P91" s="440">
        <f>SUM(E91:G91)</f>
        <v>148963</v>
      </c>
      <c r="Q91" s="440">
        <f>SUM(H91:J91)</f>
        <v>169640</v>
      </c>
      <c r="R91" s="441">
        <f>SUM(K91:M91)</f>
        <v>145192</v>
      </c>
      <c r="S91" s="385"/>
    </row>
    <row r="92" spans="1:19">
      <c r="A92" s="390" t="s">
        <v>154</v>
      </c>
      <c r="B92" s="396">
        <f t="shared" ref="B92:R92" si="45">B91/B123-1</f>
        <v>0.33686822337785927</v>
      </c>
      <c r="C92" s="396">
        <f t="shared" si="45"/>
        <v>0.36149557862360626</v>
      </c>
      <c r="D92" s="396">
        <f t="shared" si="45"/>
        <v>1.9214800261951539</v>
      </c>
      <c r="E92" s="396">
        <f t="shared" si="45"/>
        <v>5.2479773982278157</v>
      </c>
      <c r="F92" s="396">
        <f t="shared" si="45"/>
        <v>3.152927420028397</v>
      </c>
      <c r="G92" s="396">
        <f t="shared" si="45"/>
        <v>1.3113862743306224</v>
      </c>
      <c r="H92" s="396">
        <f t="shared" si="45"/>
        <v>0.7452509675322756</v>
      </c>
      <c r="I92" s="396">
        <f t="shared" si="45"/>
        <v>0.87763424124513612</v>
      </c>
      <c r="J92" s="396">
        <f t="shared" si="45"/>
        <v>1.5265751495952129</v>
      </c>
      <c r="K92" s="396">
        <f t="shared" si="45"/>
        <v>2.3553393118361634</v>
      </c>
      <c r="L92" s="396">
        <f t="shared" si="45"/>
        <v>2.7141004862236628</v>
      </c>
      <c r="M92" s="396">
        <f t="shared" si="45"/>
        <v>1.532000434640878</v>
      </c>
      <c r="N92" s="397">
        <f t="shared" si="45"/>
        <v>1.3620752444182984</v>
      </c>
      <c r="O92" s="183">
        <f t="shared" si="45"/>
        <v>0.66578396110825655</v>
      </c>
      <c r="P92" s="183">
        <f t="shared" si="45"/>
        <v>2.5768861355232193</v>
      </c>
      <c r="Q92" s="183">
        <f t="shared" si="45"/>
        <v>0.9757515053400263</v>
      </c>
      <c r="R92" s="183">
        <f t="shared" si="45"/>
        <v>2.1244915965482365</v>
      </c>
      <c r="S92" s="385"/>
    </row>
    <row r="93" spans="1:19">
      <c r="A93" s="390" t="s">
        <v>144</v>
      </c>
      <c r="B93" s="396">
        <f t="shared" ref="B93:R93" si="46">B91/B209-1</f>
        <v>-0.16912417085639442</v>
      </c>
      <c r="C93" s="396">
        <f t="shared" si="46"/>
        <v>-0.1119679016989531</v>
      </c>
      <c r="D93" s="396">
        <f t="shared" si="46"/>
        <v>-5.9989885793754527E-2</v>
      </c>
      <c r="E93" s="396">
        <f t="shared" si="46"/>
        <v>3.4333942769675607E-2</v>
      </c>
      <c r="F93" s="396">
        <f t="shared" si="46"/>
        <v>2.5681752547547232E-2</v>
      </c>
      <c r="G93" s="396">
        <f t="shared" si="46"/>
        <v>6.8746963006781847E-2</v>
      </c>
      <c r="H93" s="396">
        <f t="shared" si="46"/>
        <v>0.12073381267667083</v>
      </c>
      <c r="I93" s="396">
        <f t="shared" si="46"/>
        <v>0.11234255997934617</v>
      </c>
      <c r="J93" s="396">
        <f t="shared" si="46"/>
        <v>3.1872509960159334E-2</v>
      </c>
      <c r="K93" s="396">
        <f t="shared" si="46"/>
        <v>3.5710779983116447E-2</v>
      </c>
      <c r="L93" s="396">
        <f t="shared" si="46"/>
        <v>-2.8035797599355261E-2</v>
      </c>
      <c r="M93" s="396">
        <f t="shared" si="46"/>
        <v>3.6178826772332862E-3</v>
      </c>
      <c r="N93" s="397">
        <f t="shared" si="46"/>
        <v>7.8134471200719258E-3</v>
      </c>
      <c r="O93" s="183">
        <f t="shared" si="46"/>
        <v>-0.11364257723503146</v>
      </c>
      <c r="P93" s="183">
        <f t="shared" si="46"/>
        <v>4.2800439625058528E-2</v>
      </c>
      <c r="Q93" s="183">
        <f t="shared" si="46"/>
        <v>9.0007196463452344E-2</v>
      </c>
      <c r="R93" s="183">
        <f t="shared" si="46"/>
        <v>4.6012163817141793E-3</v>
      </c>
      <c r="S93" s="385"/>
    </row>
    <row r="94" spans="1:19" ht="15.5" customHeight="1">
      <c r="A94" s="390" t="s">
        <v>135</v>
      </c>
      <c r="B94" s="435">
        <f>B91/M123-1</f>
        <v>1.1369118765619906</v>
      </c>
      <c r="C94" s="435">
        <f t="shared" ref="C94:M94" si="47">C91/B91-1</f>
        <v>8.0417980270517608E-2</v>
      </c>
      <c r="D94" s="435">
        <f t="shared" si="47"/>
        <v>4.9794093422755648E-2</v>
      </c>
      <c r="E94" s="435">
        <f t="shared" si="47"/>
        <v>9.0605456053439726E-2</v>
      </c>
      <c r="F94" s="435">
        <f t="shared" si="47"/>
        <v>2.1992477339526806E-2</v>
      </c>
      <c r="G94" s="435">
        <f t="shared" si="47"/>
        <v>1.7376264505359673E-2</v>
      </c>
      <c r="H94" s="435">
        <f t="shared" si="47"/>
        <v>0.16779014371281153</v>
      </c>
      <c r="I94" s="435">
        <f t="shared" si="47"/>
        <v>2.105797714769353E-2</v>
      </c>
      <c r="J94" s="435">
        <f t="shared" si="47"/>
        <v>-0.16699547406289894</v>
      </c>
      <c r="K94" s="435">
        <f t="shared" si="47"/>
        <v>4.9954225211957137E-2</v>
      </c>
      <c r="L94" s="435">
        <f t="shared" si="47"/>
        <v>-0.13124573508226556</v>
      </c>
      <c r="M94" s="435">
        <f t="shared" si="47"/>
        <v>1.6844126374585544E-2</v>
      </c>
      <c r="N94" s="152"/>
      <c r="O94" s="401"/>
      <c r="P94" s="398"/>
      <c r="Q94" s="398"/>
      <c r="R94" s="398"/>
      <c r="S94" s="385"/>
    </row>
    <row r="95" spans="1:19">
      <c r="A95" s="385"/>
      <c r="B95" s="402"/>
      <c r="C95" s="402"/>
      <c r="D95" s="402"/>
      <c r="E95" s="402"/>
      <c r="F95" s="402"/>
      <c r="G95" s="427"/>
      <c r="H95" s="402"/>
      <c r="I95" s="402"/>
      <c r="J95" s="403"/>
      <c r="K95" s="403"/>
      <c r="L95" s="403"/>
      <c r="M95" s="403"/>
      <c r="N95" s="404"/>
      <c r="O95" s="404"/>
      <c r="P95" s="404"/>
      <c r="Q95" s="404"/>
      <c r="R95" s="404"/>
      <c r="S95" s="385"/>
    </row>
    <row r="96" spans="1:19">
      <c r="A96" s="430" t="s">
        <v>146</v>
      </c>
      <c r="B96" s="424">
        <f t="shared" ref="B96:M96" si="48">B101+B106</f>
        <v>643</v>
      </c>
      <c r="C96" s="424">
        <f t="shared" si="48"/>
        <v>970</v>
      </c>
      <c r="D96" s="424">
        <f t="shared" si="48"/>
        <v>1504</v>
      </c>
      <c r="E96" s="424">
        <f t="shared" si="48"/>
        <v>2139</v>
      </c>
      <c r="F96" s="424">
        <f t="shared" si="48"/>
        <v>2533</v>
      </c>
      <c r="G96" s="424">
        <f t="shared" si="48"/>
        <v>3140</v>
      </c>
      <c r="H96" s="424">
        <f t="shared" si="48"/>
        <v>4072</v>
      </c>
      <c r="I96" s="424">
        <f t="shared" si="48"/>
        <v>4399</v>
      </c>
      <c r="J96" s="424">
        <f t="shared" si="48"/>
        <v>3830</v>
      </c>
      <c r="K96" s="424">
        <f t="shared" si="48"/>
        <v>3970</v>
      </c>
      <c r="L96" s="424">
        <f t="shared" si="48"/>
        <v>3826</v>
      </c>
      <c r="M96" s="424">
        <f t="shared" si="48"/>
        <v>4712</v>
      </c>
      <c r="N96" s="393">
        <f>SUM(O96:R96)</f>
        <v>35738</v>
      </c>
      <c r="O96" s="424">
        <f>SUM(B96:D96)</f>
        <v>3117</v>
      </c>
      <c r="P96" s="440">
        <f>SUM(E96:G96)</f>
        <v>7812</v>
      </c>
      <c r="Q96" s="442">
        <f>SUM(H96:J96)</f>
        <v>12301</v>
      </c>
      <c r="R96" s="441">
        <f>SUM(K96:M96)</f>
        <v>12508</v>
      </c>
      <c r="S96" s="385"/>
    </row>
    <row r="97" spans="1:19">
      <c r="A97" s="390" t="s">
        <v>154</v>
      </c>
      <c r="B97" s="396">
        <f t="shared" ref="B97:R97" si="49">B96/B128-1</f>
        <v>3.1217948717948714</v>
      </c>
      <c r="C97" s="396">
        <f t="shared" si="49"/>
        <v>5.4238410596026494</v>
      </c>
      <c r="D97" s="396">
        <f t="shared" si="49"/>
        <v>11.227642276422765</v>
      </c>
      <c r="E97" s="396">
        <f t="shared" si="49"/>
        <v>20.606060606060606</v>
      </c>
      <c r="F97" s="396">
        <f t="shared" si="49"/>
        <v>22.89622641509434</v>
      </c>
      <c r="G97" s="396">
        <f t="shared" si="49"/>
        <v>23.724409448818896</v>
      </c>
      <c r="H97" s="396">
        <f t="shared" si="49"/>
        <v>23.383233532934131</v>
      </c>
      <c r="I97" s="396">
        <f t="shared" si="49"/>
        <v>20.14903846153846</v>
      </c>
      <c r="J97" s="396">
        <f t="shared" si="49"/>
        <v>14.078740157480315</v>
      </c>
      <c r="K97" s="396">
        <f t="shared" si="49"/>
        <v>14.943775100401606</v>
      </c>
      <c r="L97" s="396">
        <f t="shared" si="49"/>
        <v>12.147766323024054</v>
      </c>
      <c r="M97" s="396">
        <f t="shared" si="49"/>
        <v>10.78</v>
      </c>
      <c r="N97" s="397">
        <f t="shared" si="49"/>
        <v>14.331617331617332</v>
      </c>
      <c r="O97" s="183">
        <f t="shared" si="49"/>
        <v>6.2488372093023257</v>
      </c>
      <c r="P97" s="183">
        <f t="shared" si="49"/>
        <v>22.53012048192771</v>
      </c>
      <c r="Q97" s="183">
        <f t="shared" si="49"/>
        <v>18.556438791732909</v>
      </c>
      <c r="R97" s="183">
        <f t="shared" si="49"/>
        <v>12.306382978723404</v>
      </c>
      <c r="S97" s="385"/>
    </row>
    <row r="98" spans="1:19">
      <c r="A98" s="390" t="s">
        <v>144</v>
      </c>
      <c r="B98" s="396">
        <f t="shared" ref="B98:R98" si="50">B96/B213-1</f>
        <v>-0.90906519587045675</v>
      </c>
      <c r="C98" s="396">
        <f t="shared" si="50"/>
        <v>-0.86119061247853468</v>
      </c>
      <c r="D98" s="396">
        <f t="shared" si="50"/>
        <v>-0.78724006224359877</v>
      </c>
      <c r="E98" s="396">
        <f t="shared" si="50"/>
        <v>-0.69991582491582494</v>
      </c>
      <c r="F98" s="396">
        <f t="shared" si="50"/>
        <v>-0.64283699943598416</v>
      </c>
      <c r="G98" s="396">
        <f t="shared" si="50"/>
        <v>-0.55874086565486225</v>
      </c>
      <c r="H98" s="396">
        <f t="shared" si="50"/>
        <v>-0.47061882475299011</v>
      </c>
      <c r="I98" s="396">
        <f t="shared" si="50"/>
        <v>-0.44645778281112369</v>
      </c>
      <c r="J98" s="396">
        <f t="shared" si="50"/>
        <v>-0.43401802866853845</v>
      </c>
      <c r="K98" s="396">
        <f t="shared" si="50"/>
        <v>-0.41566087724462764</v>
      </c>
      <c r="L98" s="396">
        <f t="shared" si="50"/>
        <v>-0.42100484261501214</v>
      </c>
      <c r="M98" s="396">
        <f t="shared" si="50"/>
        <v>-0.32877492877492875</v>
      </c>
      <c r="N98" s="397">
        <f t="shared" si="50"/>
        <v>-0.58099235567227869</v>
      </c>
      <c r="O98" s="183">
        <f t="shared" si="50"/>
        <v>-0.85247065505490349</v>
      </c>
      <c r="P98" s="183">
        <f t="shared" si="50"/>
        <v>-0.63385826771653542</v>
      </c>
      <c r="Q98" s="183">
        <f t="shared" si="50"/>
        <v>-0.45099526912434174</v>
      </c>
      <c r="R98" s="183">
        <f t="shared" si="50"/>
        <v>-0.38752325923024189</v>
      </c>
      <c r="S98" s="385"/>
    </row>
    <row r="99" spans="1:19" ht="15.5" customHeight="1">
      <c r="A99" s="390" t="s">
        <v>135</v>
      </c>
      <c r="B99" s="435">
        <f>B96/M128-1</f>
        <v>0.60749999999999993</v>
      </c>
      <c r="C99" s="435">
        <f t="shared" ref="C99:M99" si="51">C96/B96-1</f>
        <v>0.50855365474339043</v>
      </c>
      <c r="D99" s="435">
        <f t="shared" si="51"/>
        <v>0.55051546391752582</v>
      </c>
      <c r="E99" s="435">
        <f t="shared" si="51"/>
        <v>0.42220744680851063</v>
      </c>
      <c r="F99" s="435">
        <f t="shared" si="51"/>
        <v>0.18419822346891079</v>
      </c>
      <c r="G99" s="435">
        <f t="shared" si="51"/>
        <v>0.23963679431504148</v>
      </c>
      <c r="H99" s="435">
        <f t="shared" si="51"/>
        <v>0.29681528662420376</v>
      </c>
      <c r="I99" s="435">
        <f t="shared" si="51"/>
        <v>8.0304518664047198E-2</v>
      </c>
      <c r="J99" s="435">
        <f t="shared" si="51"/>
        <v>-0.1293475789952262</v>
      </c>
      <c r="K99" s="435">
        <f t="shared" si="51"/>
        <v>3.6553524804177506E-2</v>
      </c>
      <c r="L99" s="435">
        <f t="shared" si="51"/>
        <v>-3.627204030226705E-2</v>
      </c>
      <c r="M99" s="435">
        <f t="shared" si="51"/>
        <v>0.23157344485101938</v>
      </c>
      <c r="N99" s="152"/>
      <c r="O99" s="401"/>
      <c r="P99" s="401"/>
      <c r="Q99" s="401"/>
      <c r="R99" s="401"/>
      <c r="S99" s="385"/>
    </row>
    <row r="100" spans="1:19">
      <c r="A100" s="385"/>
      <c r="B100" s="402"/>
      <c r="D100" s="402"/>
      <c r="E100" s="402"/>
      <c r="F100" s="434"/>
      <c r="G100" s="427"/>
      <c r="H100" s="402"/>
      <c r="I100" s="402"/>
      <c r="J100" s="403"/>
      <c r="K100" s="403"/>
      <c r="L100" s="403"/>
      <c r="M100" s="403"/>
      <c r="N100" s="404"/>
      <c r="O100" s="404"/>
      <c r="P100" s="404"/>
      <c r="Q100" s="404"/>
      <c r="R100" s="404"/>
      <c r="S100" s="385"/>
    </row>
    <row r="101" spans="1:19">
      <c r="A101" s="431" t="s">
        <v>147</v>
      </c>
      <c r="B101" s="391">
        <v>442</v>
      </c>
      <c r="C101" s="391">
        <v>706</v>
      </c>
      <c r="D101" s="391">
        <v>1094</v>
      </c>
      <c r="E101" s="391">
        <v>1622</v>
      </c>
      <c r="F101" s="391">
        <v>1976</v>
      </c>
      <c r="G101" s="391">
        <v>2529</v>
      </c>
      <c r="H101" s="391">
        <v>3353</v>
      </c>
      <c r="I101" s="391">
        <v>3645</v>
      </c>
      <c r="J101" s="391">
        <v>3243</v>
      </c>
      <c r="K101" s="391">
        <v>3296</v>
      </c>
      <c r="L101" s="391">
        <v>3159</v>
      </c>
      <c r="M101" s="391">
        <v>3988</v>
      </c>
      <c r="N101" s="393">
        <f>SUM(O101:R101)</f>
        <v>29053</v>
      </c>
      <c r="O101" s="394">
        <f>SUM(B101:D101)</f>
        <v>2242</v>
      </c>
      <c r="P101" s="394">
        <f>SUM(E101:G101)</f>
        <v>6127</v>
      </c>
      <c r="Q101" s="394">
        <f>SUM(H101:J101)</f>
        <v>10241</v>
      </c>
      <c r="R101" s="441">
        <f>SUM(K101:M101)</f>
        <v>10443</v>
      </c>
      <c r="S101" s="385"/>
    </row>
    <row r="102" spans="1:19">
      <c r="A102" s="390" t="s">
        <v>154</v>
      </c>
      <c r="B102" s="396">
        <f t="shared" ref="B102:R102" si="52">B101/B133-1</f>
        <v>3.8043478260869561</v>
      </c>
      <c r="C102" s="396">
        <f t="shared" si="52"/>
        <v>7.6097560975609753</v>
      </c>
      <c r="D102" s="396">
        <f t="shared" si="52"/>
        <v>9.94</v>
      </c>
      <c r="E102" s="396">
        <f t="shared" si="52"/>
        <v>16.440860215053764</v>
      </c>
      <c r="F102" s="396">
        <f t="shared" si="52"/>
        <v>18.760000000000002</v>
      </c>
      <c r="G102" s="396">
        <f t="shared" si="52"/>
        <v>20.615384615384617</v>
      </c>
      <c r="H102" s="396">
        <f t="shared" si="52"/>
        <v>21.965753424657535</v>
      </c>
      <c r="I102" s="396">
        <f t="shared" si="52"/>
        <v>19.477528089887642</v>
      </c>
      <c r="J102" s="396">
        <f t="shared" si="52"/>
        <v>14.297169811320755</v>
      </c>
      <c r="K102" s="396">
        <f t="shared" si="52"/>
        <v>15.398009950248756</v>
      </c>
      <c r="L102" s="396">
        <f t="shared" si="52"/>
        <v>12.616379310344827</v>
      </c>
      <c r="M102" s="396">
        <f t="shared" si="52"/>
        <v>11.948051948051948</v>
      </c>
      <c r="N102" s="397">
        <f t="shared" si="52"/>
        <v>14.61149919398173</v>
      </c>
      <c r="O102" s="183">
        <f t="shared" si="52"/>
        <v>7.1824817518248167</v>
      </c>
      <c r="P102" s="183">
        <f t="shared" si="52"/>
        <v>18.764516129032259</v>
      </c>
      <c r="Q102" s="183">
        <f t="shared" si="52"/>
        <v>18.106343283582088</v>
      </c>
      <c r="R102" s="183">
        <f t="shared" si="52"/>
        <v>13.093117408906883</v>
      </c>
      <c r="S102" s="385"/>
    </row>
    <row r="103" spans="1:19">
      <c r="A103" s="390" t="s">
        <v>144</v>
      </c>
      <c r="B103" s="396">
        <f t="shared" ref="B103:R103" si="53">B101/B217-1</f>
        <v>-0.92724279835390944</v>
      </c>
      <c r="C103" s="396">
        <f t="shared" si="53"/>
        <v>-0.8818014398124896</v>
      </c>
      <c r="D103" s="396">
        <f t="shared" si="53"/>
        <v>-0.81905391994707244</v>
      </c>
      <c r="E103" s="396">
        <f t="shared" si="53"/>
        <v>-0.73322368421052631</v>
      </c>
      <c r="F103" s="396">
        <f t="shared" si="53"/>
        <v>-0.67235947604045765</v>
      </c>
      <c r="G103" s="396">
        <f t="shared" si="53"/>
        <v>-0.58411445485939817</v>
      </c>
      <c r="H103" s="396">
        <f t="shared" si="53"/>
        <v>-0.49119878603945377</v>
      </c>
      <c r="I103" s="396">
        <f t="shared" si="53"/>
        <v>-0.48010269576379971</v>
      </c>
      <c r="J103" s="396">
        <f t="shared" si="53"/>
        <v>-0.46476316223799308</v>
      </c>
      <c r="K103" s="396">
        <f t="shared" si="53"/>
        <v>-0.45466578424884185</v>
      </c>
      <c r="L103" s="396">
        <f t="shared" si="53"/>
        <v>-0.46493902439024393</v>
      </c>
      <c r="M103" s="396">
        <f t="shared" si="53"/>
        <v>-0.3693864642631246</v>
      </c>
      <c r="N103" s="397">
        <f t="shared" si="53"/>
        <v>-0.6085450968767685</v>
      </c>
      <c r="O103" s="183">
        <f t="shared" si="53"/>
        <v>-0.87609152205150875</v>
      </c>
      <c r="P103" s="183">
        <f t="shared" si="53"/>
        <v>-0.66320360598065076</v>
      </c>
      <c r="Q103" s="183">
        <f t="shared" si="53"/>
        <v>-0.47909460834181083</v>
      </c>
      <c r="R103" s="183">
        <f t="shared" si="53"/>
        <v>-0.42846978984238182</v>
      </c>
      <c r="S103" s="385"/>
    </row>
    <row r="104" spans="1:19" ht="15.5" customHeight="1">
      <c r="A104" s="390" t="s">
        <v>135</v>
      </c>
      <c r="B104" s="435">
        <f>B101/M133-1</f>
        <v>0.43506493506493515</v>
      </c>
      <c r="C104" s="435">
        <f t="shared" ref="C104:M104" si="54">C101/B101-1</f>
        <v>0.59728506787330327</v>
      </c>
      <c r="D104" s="435">
        <f t="shared" si="54"/>
        <v>0.54957507082152968</v>
      </c>
      <c r="E104" s="435">
        <f t="shared" si="54"/>
        <v>0.48263254113345511</v>
      </c>
      <c r="F104" s="435">
        <f t="shared" si="54"/>
        <v>0.21824907521578307</v>
      </c>
      <c r="G104" s="435">
        <f t="shared" si="54"/>
        <v>0.27985829959514175</v>
      </c>
      <c r="H104" s="435">
        <f t="shared" si="54"/>
        <v>0.32582048240411221</v>
      </c>
      <c r="I104" s="435">
        <f t="shared" si="54"/>
        <v>8.7086191470325147E-2</v>
      </c>
      <c r="J104" s="435">
        <f t="shared" si="54"/>
        <v>-0.11028806584362139</v>
      </c>
      <c r="K104" s="435">
        <f t="shared" si="54"/>
        <v>1.6342892383595542E-2</v>
      </c>
      <c r="L104" s="435">
        <f t="shared" si="54"/>
        <v>-4.1565533980582492E-2</v>
      </c>
      <c r="M104" s="435">
        <f t="shared" si="54"/>
        <v>0.26242481798037343</v>
      </c>
      <c r="N104" s="152"/>
      <c r="O104" s="401"/>
      <c r="P104" s="398"/>
      <c r="Q104" s="398"/>
      <c r="R104" s="398"/>
      <c r="S104" s="385"/>
    </row>
    <row r="105" spans="1:19">
      <c r="A105" s="385"/>
      <c r="B105" s="402"/>
      <c r="C105" s="402"/>
      <c r="D105" s="403"/>
      <c r="E105" s="402"/>
      <c r="F105" s="434"/>
      <c r="G105" s="387"/>
      <c r="H105" s="402"/>
      <c r="I105" s="402"/>
      <c r="J105" s="403"/>
      <c r="K105" s="403"/>
      <c r="L105" s="403"/>
      <c r="M105" s="403"/>
      <c r="N105" s="404"/>
      <c r="O105" s="404"/>
      <c r="P105" s="404"/>
      <c r="Q105" s="404"/>
      <c r="R105" s="404"/>
      <c r="S105" s="385"/>
    </row>
    <row r="106" spans="1:19">
      <c r="A106" s="433" t="s">
        <v>148</v>
      </c>
      <c r="B106" s="391">
        <v>201</v>
      </c>
      <c r="C106" s="391">
        <v>264</v>
      </c>
      <c r="D106" s="391">
        <v>410</v>
      </c>
      <c r="E106" s="391">
        <v>517</v>
      </c>
      <c r="F106" s="391">
        <v>557</v>
      </c>
      <c r="G106" s="391">
        <v>611</v>
      </c>
      <c r="H106" s="391">
        <v>719</v>
      </c>
      <c r="I106" s="391">
        <v>754</v>
      </c>
      <c r="J106" s="391">
        <v>587</v>
      </c>
      <c r="K106" s="391">
        <v>674</v>
      </c>
      <c r="L106" s="391">
        <v>667</v>
      </c>
      <c r="M106" s="391">
        <v>724</v>
      </c>
      <c r="N106" s="393">
        <f>SUM(O106:R106)</f>
        <v>6685</v>
      </c>
      <c r="O106" s="394">
        <f>SUM(B106:D106)</f>
        <v>875</v>
      </c>
      <c r="P106" s="394">
        <f>SUM(E106:G106)</f>
        <v>1685</v>
      </c>
      <c r="Q106" s="394">
        <f>SUM(H106:J106)</f>
        <v>2060</v>
      </c>
      <c r="R106" s="441">
        <f>SUM(K106:M106)</f>
        <v>2065</v>
      </c>
      <c r="S106" s="385"/>
    </row>
    <row r="107" spans="1:19">
      <c r="A107" s="390" t="s">
        <v>154</v>
      </c>
      <c r="B107" s="396">
        <f t="shared" ref="B107:R107" si="55">B106/B138-1</f>
        <v>2.140625</v>
      </c>
      <c r="C107" s="396">
        <f t="shared" si="55"/>
        <v>2.8260869565217392</v>
      </c>
      <c r="D107" s="396">
        <f t="shared" si="55"/>
        <v>16.826086956521738</v>
      </c>
      <c r="E107" s="396">
        <f t="shared" si="55"/>
        <v>85.166666666666671</v>
      </c>
      <c r="F107" s="396">
        <f t="shared" si="55"/>
        <v>91.833333333333329</v>
      </c>
      <c r="G107" s="396">
        <f t="shared" si="55"/>
        <v>60.1</v>
      </c>
      <c r="H107" s="396">
        <f t="shared" si="55"/>
        <v>33.238095238095241</v>
      </c>
      <c r="I107" s="396">
        <f t="shared" si="55"/>
        <v>24.133333333333333</v>
      </c>
      <c r="J107" s="396">
        <f t="shared" si="55"/>
        <v>12.976190476190476</v>
      </c>
      <c r="K107" s="396">
        <f t="shared" si="55"/>
        <v>13.041666666666666</v>
      </c>
      <c r="L107" s="396">
        <f t="shared" si="55"/>
        <v>10.305084745762711</v>
      </c>
      <c r="M107" s="396">
        <f t="shared" si="55"/>
        <v>6.8695652173913047</v>
      </c>
      <c r="N107" s="397">
        <f t="shared" si="55"/>
        <v>13.223404255319149</v>
      </c>
      <c r="O107" s="396">
        <f t="shared" si="55"/>
        <v>4.6089743589743586</v>
      </c>
      <c r="P107" s="396">
        <f t="shared" si="55"/>
        <v>75.590909090909093</v>
      </c>
      <c r="Q107" s="396">
        <f t="shared" si="55"/>
        <v>21.150537634408604</v>
      </c>
      <c r="R107" s="396">
        <f t="shared" si="55"/>
        <v>9.3768844221105532</v>
      </c>
      <c r="S107" s="385"/>
    </row>
    <row r="108" spans="1:19">
      <c r="A108" s="390" t="s">
        <v>144</v>
      </c>
      <c r="B108" s="396">
        <f t="shared" ref="B108:R108" si="56">B106/B221-1</f>
        <v>-0.79819277108433728</v>
      </c>
      <c r="C108" s="396">
        <f t="shared" si="56"/>
        <v>-0.73990147783251237</v>
      </c>
      <c r="D108" s="396">
        <f t="shared" si="56"/>
        <v>-0.59921798631476053</v>
      </c>
      <c r="E108" s="396">
        <f t="shared" si="56"/>
        <v>-0.50667938931297707</v>
      </c>
      <c r="F108" s="396">
        <f t="shared" si="56"/>
        <v>-0.47502356267672008</v>
      </c>
      <c r="G108" s="396">
        <f t="shared" si="56"/>
        <v>-0.40966183574879222</v>
      </c>
      <c r="H108" s="396">
        <f t="shared" si="56"/>
        <v>-0.34754990925589835</v>
      </c>
      <c r="I108" s="396">
        <f t="shared" si="56"/>
        <v>-0.19444444444444442</v>
      </c>
      <c r="J108" s="396">
        <f t="shared" si="56"/>
        <v>-0.17090395480225984</v>
      </c>
      <c r="K108" s="396">
        <f t="shared" si="56"/>
        <v>-0.10133333333333339</v>
      </c>
      <c r="L108" s="396">
        <f t="shared" si="56"/>
        <v>-5.2556818181818232E-2</v>
      </c>
      <c r="M108" s="396">
        <f t="shared" si="56"/>
        <v>4.022988505747116E-2</v>
      </c>
      <c r="N108" s="397">
        <f t="shared" si="56"/>
        <v>-0.39633375474083443</v>
      </c>
      <c r="O108" s="396">
        <f t="shared" si="56"/>
        <v>-0.71160184574818719</v>
      </c>
      <c r="P108" s="396">
        <f t="shared" si="56"/>
        <v>-0.46405852417302795</v>
      </c>
      <c r="Q108" s="396">
        <f t="shared" si="56"/>
        <v>-0.24981791697013833</v>
      </c>
      <c r="R108" s="396">
        <f t="shared" si="56"/>
        <v>-3.9534883720930281E-2</v>
      </c>
      <c r="S108" s="385"/>
    </row>
    <row r="109" spans="1:19" ht="15.5" customHeight="1">
      <c r="A109" s="390" t="s">
        <v>135</v>
      </c>
      <c r="B109" s="435">
        <f>B106/M138-1</f>
        <v>1.1847826086956523</v>
      </c>
      <c r="C109" s="435">
        <f t="shared" ref="C109:M109" si="57">C106/B106-1</f>
        <v>0.31343283582089554</v>
      </c>
      <c r="D109" s="435">
        <f t="shared" si="57"/>
        <v>0.55303030303030298</v>
      </c>
      <c r="E109" s="435">
        <f t="shared" si="57"/>
        <v>0.26097560975609757</v>
      </c>
      <c r="F109" s="435">
        <f t="shared" si="57"/>
        <v>7.7369439071566681E-2</v>
      </c>
      <c r="G109" s="435">
        <f t="shared" si="57"/>
        <v>9.6947935368043137E-2</v>
      </c>
      <c r="H109" s="435">
        <f t="shared" si="57"/>
        <v>0.17675941080196389</v>
      </c>
      <c r="I109" s="435">
        <f t="shared" si="57"/>
        <v>4.8678720445062496E-2</v>
      </c>
      <c r="J109" s="435">
        <f t="shared" si="57"/>
        <v>-0.22148541114058351</v>
      </c>
      <c r="K109" s="435">
        <f t="shared" si="57"/>
        <v>0.14821124361158433</v>
      </c>
      <c r="L109" s="435">
        <f t="shared" si="57"/>
        <v>-1.0385756676557834E-2</v>
      </c>
      <c r="M109" s="435">
        <f t="shared" si="57"/>
        <v>8.5457271364317799E-2</v>
      </c>
      <c r="N109" s="152"/>
      <c r="O109" s="401"/>
      <c r="P109" s="398"/>
      <c r="Q109" s="398"/>
      <c r="R109" s="398"/>
      <c r="S109" s="385"/>
    </row>
    <row r="110" spans="1:19">
      <c r="A110" s="385"/>
      <c r="B110" s="385"/>
      <c r="C110" s="434"/>
      <c r="D110" s="385"/>
      <c r="E110" s="385"/>
      <c r="F110" s="385"/>
      <c r="G110" s="387"/>
      <c r="H110" s="385"/>
      <c r="I110" s="385"/>
      <c r="J110" s="385"/>
      <c r="K110" s="385"/>
      <c r="L110" s="385"/>
      <c r="M110" s="385"/>
      <c r="N110" s="385"/>
      <c r="O110" s="386"/>
      <c r="P110" s="386"/>
      <c r="Q110" s="386"/>
      <c r="R110" s="386"/>
      <c r="S110" s="385"/>
    </row>
    <row r="111" spans="1:19">
      <c r="A111" s="385"/>
      <c r="B111" s="385"/>
      <c r="C111" s="443"/>
      <c r="D111" s="443"/>
      <c r="E111" s="443"/>
      <c r="F111" s="443"/>
      <c r="G111" s="443"/>
      <c r="H111" s="443"/>
      <c r="I111" s="443"/>
      <c r="J111" s="443"/>
      <c r="K111" s="443"/>
      <c r="L111" s="443"/>
      <c r="M111" s="443"/>
      <c r="N111" s="385"/>
      <c r="O111" s="386"/>
      <c r="P111" s="386"/>
      <c r="Q111" s="386"/>
      <c r="R111" s="386"/>
      <c r="S111" s="385"/>
    </row>
    <row r="112" spans="1:19" s="444" customFormat="1" ht="15.5" customHeight="1">
      <c r="A112" s="422" t="s">
        <v>155</v>
      </c>
      <c r="B112" s="184" t="s">
        <v>51</v>
      </c>
      <c r="C112" s="184" t="s">
        <v>52</v>
      </c>
      <c r="D112" s="184" t="s">
        <v>53</v>
      </c>
      <c r="E112" s="184" t="s">
        <v>54</v>
      </c>
      <c r="F112" s="184" t="s">
        <v>55</v>
      </c>
      <c r="G112" s="184" t="s">
        <v>77</v>
      </c>
      <c r="H112" s="184" t="s">
        <v>78</v>
      </c>
      <c r="I112" s="184" t="s">
        <v>79</v>
      </c>
      <c r="J112" s="184" t="s">
        <v>80</v>
      </c>
      <c r="K112" s="184" t="s">
        <v>81</v>
      </c>
      <c r="L112" s="184" t="s">
        <v>82</v>
      </c>
      <c r="M112" s="184" t="s">
        <v>44</v>
      </c>
      <c r="N112" s="400" t="s">
        <v>128</v>
      </c>
      <c r="O112" s="55" t="s">
        <v>129</v>
      </c>
      <c r="P112" s="55" t="s">
        <v>130</v>
      </c>
      <c r="Q112" s="55" t="s">
        <v>131</v>
      </c>
      <c r="R112" s="55" t="s">
        <v>132</v>
      </c>
      <c r="S112" s="445"/>
    </row>
    <row r="113" spans="1:20">
      <c r="A113" s="423" t="s">
        <v>133</v>
      </c>
      <c r="B113" s="391">
        <v>29513</v>
      </c>
      <c r="C113" s="391">
        <v>31294</v>
      </c>
      <c r="D113" s="391">
        <v>15370</v>
      </c>
      <c r="E113" s="391">
        <v>7880</v>
      </c>
      <c r="F113" s="391">
        <v>12073</v>
      </c>
      <c r="G113" s="391">
        <v>22003</v>
      </c>
      <c r="H113" s="391">
        <v>33996</v>
      </c>
      <c r="I113" s="391">
        <v>32303</v>
      </c>
      <c r="J113" s="391">
        <v>20099</v>
      </c>
      <c r="K113" s="391">
        <v>15924</v>
      </c>
      <c r="L113" s="391">
        <v>12571</v>
      </c>
      <c r="M113" s="391">
        <v>18714</v>
      </c>
      <c r="N113" s="393">
        <v>251710</v>
      </c>
      <c r="O113" s="394">
        <f>SUM(B113:D113)</f>
        <v>76177</v>
      </c>
      <c r="P113" s="394">
        <f>SUM(E113:G113)</f>
        <v>41956</v>
      </c>
      <c r="Q113" s="394">
        <f>SUM(H113:J113)</f>
        <v>86398</v>
      </c>
      <c r="R113" s="395">
        <f>SUM(K113:M113)</f>
        <v>47209</v>
      </c>
      <c r="S113" s="443"/>
      <c r="T113" s="446"/>
    </row>
    <row r="114" spans="1:20">
      <c r="A114" s="390" t="s">
        <v>156</v>
      </c>
      <c r="B114" s="396">
        <f t="shared" ref="B114:R114" si="58">B113/B144-1</f>
        <v>-2.2133130114972976E-2</v>
      </c>
      <c r="C114" s="396">
        <f t="shared" si="58"/>
        <v>0.3066933901206732</v>
      </c>
      <c r="D114" s="396">
        <f t="shared" si="58"/>
        <v>-0.67859980761992389</v>
      </c>
      <c r="E114" s="396">
        <f t="shared" si="58"/>
        <v>-0.84577445492621439</v>
      </c>
      <c r="F114" s="396">
        <f t="shared" si="58"/>
        <v>-0.76346466566093918</v>
      </c>
      <c r="G114" s="396">
        <f t="shared" si="58"/>
        <v>-0.46694284952879328</v>
      </c>
      <c r="H114" s="396">
        <f t="shared" si="58"/>
        <v>-0.30785675020868541</v>
      </c>
      <c r="I114" s="396">
        <f t="shared" si="58"/>
        <v>0.44164769937965809</v>
      </c>
      <c r="J114" s="396">
        <f t="shared" si="58"/>
        <v>-0.44350305950106594</v>
      </c>
      <c r="K114" s="396">
        <f t="shared" si="58"/>
        <v>-0.59023185198528094</v>
      </c>
      <c r="L114" s="396">
        <f t="shared" si="58"/>
        <v>-0.41592714770245787</v>
      </c>
      <c r="M114" s="396">
        <f t="shared" si="58"/>
        <v>-0.3093190625576675</v>
      </c>
      <c r="N114" s="397">
        <f t="shared" si="58"/>
        <v>-0.42856040173990428</v>
      </c>
      <c r="O114" s="396">
        <f t="shared" si="58"/>
        <v>-0.25281505021971129</v>
      </c>
      <c r="P114" s="396">
        <f t="shared" si="58"/>
        <v>-0.7074442863916548</v>
      </c>
      <c r="Q114" s="396">
        <f t="shared" si="58"/>
        <v>-0.19735045196532919</v>
      </c>
      <c r="R114" s="396">
        <f t="shared" si="58"/>
        <v>-0.46033905280124376</v>
      </c>
      <c r="S114" s="443"/>
      <c r="T114" s="446"/>
    </row>
    <row r="115" spans="1:20">
      <c r="A115" s="390" t="s">
        <v>144</v>
      </c>
      <c r="B115" s="396">
        <f t="shared" ref="B115:R115" si="59">B113/B201-1</f>
        <v>-0.44745661168629358</v>
      </c>
      <c r="C115" s="396">
        <f t="shared" si="59"/>
        <v>-0.41860810760598965</v>
      </c>
      <c r="D115" s="396">
        <f t="shared" si="59"/>
        <v>-0.71273175837320579</v>
      </c>
      <c r="E115" s="396">
        <f t="shared" si="59"/>
        <v>-0.85165104107835388</v>
      </c>
      <c r="F115" s="396">
        <f t="shared" si="59"/>
        <v>-0.77851363994936618</v>
      </c>
      <c r="G115" s="396">
        <f t="shared" si="59"/>
        <v>-0.58806679896656311</v>
      </c>
      <c r="H115" s="396">
        <f t="shared" si="59"/>
        <v>-0.42672130318207113</v>
      </c>
      <c r="I115" s="396">
        <f t="shared" si="59"/>
        <v>-0.47250073483784583</v>
      </c>
      <c r="J115" s="396">
        <f t="shared" si="59"/>
        <v>-0.63291509141051638</v>
      </c>
      <c r="K115" s="396">
        <f t="shared" si="59"/>
        <v>-0.72054332947246502</v>
      </c>
      <c r="L115" s="396">
        <f t="shared" si="59"/>
        <v>-0.76307060198273591</v>
      </c>
      <c r="M115" s="396">
        <f t="shared" si="59"/>
        <v>-0.64529946929492032</v>
      </c>
      <c r="N115" s="397">
        <f t="shared" si="59"/>
        <v>-0.6185495456722172</v>
      </c>
      <c r="O115" s="396">
        <f t="shared" si="59"/>
        <v>-0.52609444890290713</v>
      </c>
      <c r="P115" s="396">
        <f t="shared" si="59"/>
        <v>-0.73947007283859389</v>
      </c>
      <c r="Q115" s="396">
        <f t="shared" si="59"/>
        <v>-0.50711954909522394</v>
      </c>
      <c r="R115" s="396">
        <f t="shared" si="59"/>
        <v>-0.71001842751842759</v>
      </c>
      <c r="S115" s="186"/>
      <c r="T115" s="446"/>
    </row>
    <row r="116" spans="1:20" ht="15.5" customHeight="1">
      <c r="A116" s="390" t="s">
        <v>135</v>
      </c>
      <c r="B116" s="435">
        <f>B113/M144-1</f>
        <v>8.9241557482930389E-2</v>
      </c>
      <c r="C116" s="185">
        <f t="shared" ref="C116:M116" si="60">C113/B113-1</f>
        <v>6.0346288076440935E-2</v>
      </c>
      <c r="D116" s="185">
        <f t="shared" si="60"/>
        <v>-0.50885153703585351</v>
      </c>
      <c r="E116" s="185">
        <f t="shared" si="60"/>
        <v>-0.48731294729993491</v>
      </c>
      <c r="F116" s="185">
        <f t="shared" si="60"/>
        <v>0.53210659898477153</v>
      </c>
      <c r="G116" s="185">
        <f t="shared" si="60"/>
        <v>0.82249647974819839</v>
      </c>
      <c r="H116" s="185">
        <f t="shared" si="60"/>
        <v>0.54506203699495526</v>
      </c>
      <c r="I116" s="185">
        <f t="shared" si="60"/>
        <v>-4.9799976467819751E-2</v>
      </c>
      <c r="J116" s="185">
        <f t="shared" si="60"/>
        <v>-0.37779772776522302</v>
      </c>
      <c r="K116" s="185">
        <f t="shared" si="60"/>
        <v>-0.2077217772028459</v>
      </c>
      <c r="L116" s="185">
        <f t="shared" si="60"/>
        <v>-0.21056267269530271</v>
      </c>
      <c r="M116" s="185">
        <f t="shared" si="60"/>
        <v>0.48866438628589615</v>
      </c>
      <c r="N116" s="152"/>
      <c r="O116" s="401"/>
      <c r="P116" s="398"/>
      <c r="Q116" s="398"/>
      <c r="R116" s="398"/>
      <c r="S116" s="443"/>
      <c r="T116" s="446"/>
    </row>
    <row r="117" spans="1:20">
      <c r="A117" s="385"/>
      <c r="B117" s="447"/>
      <c r="C117" s="447"/>
      <c r="D117" s="447"/>
      <c r="E117" s="447"/>
      <c r="F117" s="447"/>
      <c r="G117" s="447"/>
      <c r="H117" s="447"/>
      <c r="I117" s="447"/>
      <c r="J117" s="447"/>
      <c r="K117" s="447"/>
      <c r="L117" s="447"/>
      <c r="M117" s="447"/>
      <c r="N117" s="447"/>
      <c r="O117" s="404"/>
      <c r="P117" s="404"/>
      <c r="Q117" s="404"/>
      <c r="R117" s="404"/>
      <c r="S117" s="443"/>
      <c r="T117" s="446"/>
    </row>
    <row r="118" spans="1:20" s="448" customFormat="1">
      <c r="A118" s="428" t="s">
        <v>137</v>
      </c>
      <c r="B118" s="424">
        <f t="shared" ref="B118:M118" si="61">B123-B138</f>
        <v>29357</v>
      </c>
      <c r="C118" s="424">
        <f t="shared" si="61"/>
        <v>31143</v>
      </c>
      <c r="D118" s="424">
        <f t="shared" si="61"/>
        <v>15247</v>
      </c>
      <c r="E118" s="424">
        <f t="shared" si="61"/>
        <v>7781</v>
      </c>
      <c r="F118" s="424">
        <f t="shared" si="61"/>
        <v>11967</v>
      </c>
      <c r="G118" s="424">
        <f t="shared" si="61"/>
        <v>21876</v>
      </c>
      <c r="H118" s="424">
        <f t="shared" si="61"/>
        <v>33828</v>
      </c>
      <c r="I118" s="424">
        <f t="shared" si="61"/>
        <v>32095</v>
      </c>
      <c r="J118" s="424">
        <f t="shared" si="61"/>
        <v>19845</v>
      </c>
      <c r="K118" s="424">
        <f t="shared" si="61"/>
        <v>15675</v>
      </c>
      <c r="L118" s="424">
        <f t="shared" si="61"/>
        <v>12281</v>
      </c>
      <c r="M118" s="424">
        <f t="shared" si="61"/>
        <v>18314</v>
      </c>
      <c r="N118" s="393">
        <f>SUM(B118:M118)</f>
        <v>249409</v>
      </c>
      <c r="O118" s="394">
        <f>SUM(B118:D118)</f>
        <v>75747</v>
      </c>
      <c r="P118" s="442">
        <f>SUM(E118:G118)</f>
        <v>41624</v>
      </c>
      <c r="Q118" s="442">
        <f>SUM(H118:J118)</f>
        <v>85768</v>
      </c>
      <c r="R118" s="441">
        <f>SUM(K118:M118)</f>
        <v>46270</v>
      </c>
      <c r="S118" s="449"/>
      <c r="T118" s="450"/>
    </row>
    <row r="119" spans="1:20">
      <c r="A119" s="390" t="s">
        <v>156</v>
      </c>
      <c r="B119" s="396">
        <f t="shared" ref="B119:R119" si="62">B118/B149-1</f>
        <v>-2.1531180215311752E-2</v>
      </c>
      <c r="C119" s="396">
        <f t="shared" si="62"/>
        <v>0.30682724182787124</v>
      </c>
      <c r="D119" s="396">
        <f t="shared" si="62"/>
        <v>-0.67994038372727661</v>
      </c>
      <c r="E119" s="396">
        <f t="shared" si="62"/>
        <v>-0.84715565333542864</v>
      </c>
      <c r="F119" s="396">
        <f t="shared" si="62"/>
        <v>-0.76456353656377263</v>
      </c>
      <c r="G119" s="396">
        <f t="shared" si="62"/>
        <v>-0.46742623429739993</v>
      </c>
      <c r="H119" s="396">
        <f t="shared" si="62"/>
        <v>-0.30827744151807623</v>
      </c>
      <c r="I119" s="396">
        <f t="shared" si="62"/>
        <v>0.44344501911400935</v>
      </c>
      <c r="J119" s="396">
        <f t="shared" si="62"/>
        <v>-0.44799866484937834</v>
      </c>
      <c r="K119" s="396">
        <f t="shared" si="62"/>
        <v>-0.59520181804095751</v>
      </c>
      <c r="L119" s="396">
        <f t="shared" si="62"/>
        <v>-0.42571896188917469</v>
      </c>
      <c r="M119" s="396">
        <f t="shared" si="62"/>
        <v>-0.31991533291247354</v>
      </c>
      <c r="N119" s="397">
        <f t="shared" si="62"/>
        <v>-0.43110818134540108</v>
      </c>
      <c r="O119" s="243">
        <f t="shared" si="62"/>
        <v>-0.25351821192052981</v>
      </c>
      <c r="P119" s="243">
        <f t="shared" si="62"/>
        <v>-0.70854193945929289</v>
      </c>
      <c r="Q119" s="243">
        <f t="shared" si="62"/>
        <v>-0.1991035577551592</v>
      </c>
      <c r="R119" s="243">
        <f t="shared" si="62"/>
        <v>-0.46838700782425868</v>
      </c>
      <c r="S119" s="443"/>
      <c r="T119" s="446"/>
    </row>
    <row r="120" spans="1:20">
      <c r="A120" s="390" t="s">
        <v>144</v>
      </c>
      <c r="B120" s="396">
        <f t="shared" ref="B120:R120" si="63">B118/B205-1</f>
        <v>-0.36651417720426394</v>
      </c>
      <c r="C120" s="396">
        <f t="shared" si="63"/>
        <v>-0.33509116529313809</v>
      </c>
      <c r="D120" s="396">
        <f t="shared" si="63"/>
        <v>-0.67164854097125015</v>
      </c>
      <c r="E120" s="396">
        <f t="shared" si="63"/>
        <v>-0.83081104587953902</v>
      </c>
      <c r="F120" s="396">
        <f t="shared" si="63"/>
        <v>-0.74762216082839483</v>
      </c>
      <c r="G120" s="396">
        <f t="shared" si="63"/>
        <v>-0.52749578815499587</v>
      </c>
      <c r="H120" s="396">
        <f t="shared" si="63"/>
        <v>-0.34453293030285415</v>
      </c>
      <c r="I120" s="396">
        <f t="shared" si="63"/>
        <v>-0.39774070668593198</v>
      </c>
      <c r="J120" s="396">
        <f t="shared" si="63"/>
        <v>-0.58644187888134036</v>
      </c>
      <c r="K120" s="396">
        <f t="shared" si="63"/>
        <v>-0.68766812122661247</v>
      </c>
      <c r="L120" s="396">
        <f t="shared" si="63"/>
        <v>-0.73560818083961244</v>
      </c>
      <c r="M120" s="396">
        <f t="shared" si="63"/>
        <v>-0.59960647135986012</v>
      </c>
      <c r="N120" s="397">
        <f t="shared" si="63"/>
        <v>-0.56593042258472659</v>
      </c>
      <c r="O120" s="243">
        <f t="shared" si="63"/>
        <v>-0.45745800952619708</v>
      </c>
      <c r="P120" s="243">
        <f t="shared" si="63"/>
        <v>-0.70205790773415411</v>
      </c>
      <c r="Q120" s="243">
        <f t="shared" si="63"/>
        <v>-0.43900684169904369</v>
      </c>
      <c r="R120" s="243">
        <f t="shared" si="63"/>
        <v>-0.67501773460601078</v>
      </c>
      <c r="S120" s="186"/>
      <c r="T120" s="446"/>
    </row>
    <row r="121" spans="1:20" ht="15.5" customHeight="1">
      <c r="A121" s="390" t="s">
        <v>135</v>
      </c>
      <c r="B121" s="435">
        <f>B118/M149-1</f>
        <v>9.0163021278175881E-2</v>
      </c>
      <c r="C121" s="435">
        <f t="shared" ref="C121:M121" si="64">C118/B118-1</f>
        <v>6.0837279013523204E-2</v>
      </c>
      <c r="D121" s="435">
        <f t="shared" si="64"/>
        <v>-0.51041967697395885</v>
      </c>
      <c r="E121" s="435">
        <f t="shared" si="64"/>
        <v>-0.48967009903587588</v>
      </c>
      <c r="F121" s="435">
        <f t="shared" si="64"/>
        <v>0.53797712376301243</v>
      </c>
      <c r="G121" s="435">
        <f t="shared" si="64"/>
        <v>0.82802707445475066</v>
      </c>
      <c r="H121" s="435">
        <f t="shared" si="64"/>
        <v>0.54635216675809106</v>
      </c>
      <c r="I121" s="435">
        <f t="shared" si="64"/>
        <v>-5.1229750502542304E-2</v>
      </c>
      <c r="J121" s="435">
        <f t="shared" si="64"/>
        <v>-0.38167938931297707</v>
      </c>
      <c r="K121" s="435">
        <f t="shared" si="64"/>
        <v>-0.21012849584278159</v>
      </c>
      <c r="L121" s="435">
        <f t="shared" si="64"/>
        <v>-0.21652312599681023</v>
      </c>
      <c r="M121" s="435">
        <f t="shared" si="64"/>
        <v>0.49124664115300054</v>
      </c>
      <c r="N121" s="400"/>
      <c r="O121" s="112"/>
      <c r="P121" s="398"/>
      <c r="Q121" s="398"/>
      <c r="R121" s="398"/>
      <c r="S121" s="385"/>
    </row>
    <row r="122" spans="1:20" ht="15.5" customHeight="1">
      <c r="A122" s="385"/>
      <c r="B122" s="186"/>
      <c r="C122" s="434"/>
      <c r="D122" s="434"/>
      <c r="E122" s="402"/>
      <c r="F122" s="434"/>
      <c r="G122" s="434"/>
      <c r="H122" s="434"/>
      <c r="I122" s="434"/>
      <c r="J122" s="434"/>
      <c r="K122" s="434"/>
      <c r="L122" s="443"/>
      <c r="M122" s="434"/>
      <c r="N122" s="436"/>
      <c r="O122" s="437"/>
      <c r="P122" s="438"/>
      <c r="Q122" s="438"/>
      <c r="R122" s="438"/>
      <c r="S122" s="385"/>
    </row>
    <row r="123" spans="1:20" s="250" customFormat="1">
      <c r="A123" s="429" t="s">
        <v>145</v>
      </c>
      <c r="B123" s="439">
        <v>29421</v>
      </c>
      <c r="C123" s="439">
        <v>31212</v>
      </c>
      <c r="D123" s="439">
        <v>15270</v>
      </c>
      <c r="E123" s="439">
        <v>7787</v>
      </c>
      <c r="F123" s="439">
        <v>11973</v>
      </c>
      <c r="G123" s="439">
        <v>21886</v>
      </c>
      <c r="H123" s="439">
        <v>33849</v>
      </c>
      <c r="I123" s="439">
        <v>32125</v>
      </c>
      <c r="J123" s="439">
        <v>19887</v>
      </c>
      <c r="K123" s="439">
        <v>15723</v>
      </c>
      <c r="L123" s="439">
        <v>12340</v>
      </c>
      <c r="M123" s="439">
        <v>18406</v>
      </c>
      <c r="N123" s="393">
        <f>SUM(B123:M123)</f>
        <v>249879</v>
      </c>
      <c r="O123" s="394">
        <f>SUM(B123:D123)</f>
        <v>75903</v>
      </c>
      <c r="P123" s="440">
        <f>SUM(E123:G123)</f>
        <v>41646</v>
      </c>
      <c r="Q123" s="440">
        <f>SUM(H123:J123)</f>
        <v>85861</v>
      </c>
      <c r="R123" s="441">
        <f>SUM(K123:M123)</f>
        <v>46469</v>
      </c>
      <c r="S123" s="385"/>
    </row>
    <row r="124" spans="1:20">
      <c r="A124" s="390" t="s">
        <v>156</v>
      </c>
      <c r="B124" s="396">
        <f t="shared" ref="B124:R124" si="65">B123/B154-1</f>
        <v>-2.0573254768800564E-2</v>
      </c>
      <c r="C124" s="396">
        <f t="shared" si="65"/>
        <v>0.30824042249979033</v>
      </c>
      <c r="D124" s="396">
        <f t="shared" si="65"/>
        <v>-0.6797667980874087</v>
      </c>
      <c r="E124" s="396">
        <f t="shared" si="65"/>
        <v>-0.84719087894189449</v>
      </c>
      <c r="F124" s="396">
        <f t="shared" si="65"/>
        <v>-0.76482027106658812</v>
      </c>
      <c r="G124" s="396">
        <f t="shared" si="65"/>
        <v>-0.46820556432997207</v>
      </c>
      <c r="H124" s="396">
        <f t="shared" si="65"/>
        <v>-0.30899254873941007</v>
      </c>
      <c r="I124" s="396">
        <f t="shared" si="65"/>
        <v>0.44265313454284172</v>
      </c>
      <c r="J124" s="396">
        <f t="shared" si="65"/>
        <v>-0.44747589809129551</v>
      </c>
      <c r="K124" s="396">
        <f t="shared" si="65"/>
        <v>-0.59427657213635077</v>
      </c>
      <c r="L124" s="396">
        <f t="shared" si="65"/>
        <v>-0.42387599794574915</v>
      </c>
      <c r="M124" s="396">
        <f t="shared" si="65"/>
        <v>-0.31779095626389919</v>
      </c>
      <c r="N124" s="397">
        <f t="shared" si="65"/>
        <v>-0.43080343414509692</v>
      </c>
      <c r="O124" s="396">
        <f t="shared" si="65"/>
        <v>-0.25278349297604863</v>
      </c>
      <c r="P124" s="396">
        <f t="shared" si="65"/>
        <v>-0.70881810045866422</v>
      </c>
      <c r="Q124" s="396">
        <f t="shared" si="65"/>
        <v>-0.19940137627510579</v>
      </c>
      <c r="R124" s="396">
        <f t="shared" si="65"/>
        <v>-0.46680512208555169</v>
      </c>
      <c r="S124" s="385"/>
    </row>
    <row r="125" spans="1:20">
      <c r="A125" s="390" t="s">
        <v>144</v>
      </c>
      <c r="B125" s="396">
        <f t="shared" ref="B125:R125" si="66">B123/B209-1</f>
        <v>-0.37849085301449148</v>
      </c>
      <c r="C125" s="396">
        <f t="shared" si="66"/>
        <v>-0.34775249200677072</v>
      </c>
      <c r="D125" s="396">
        <f t="shared" si="66"/>
        <v>-0.67824181381432003</v>
      </c>
      <c r="E125" s="396">
        <f t="shared" si="66"/>
        <v>-0.8344529954504869</v>
      </c>
      <c r="F125" s="396">
        <f t="shared" si="66"/>
        <v>-0.75302198935599651</v>
      </c>
      <c r="G125" s="396">
        <f t="shared" si="66"/>
        <v>-0.53761646208776126</v>
      </c>
      <c r="H125" s="396">
        <f t="shared" si="66"/>
        <v>-0.35783802242416196</v>
      </c>
      <c r="I125" s="396">
        <f t="shared" si="66"/>
        <v>-0.40758293838862558</v>
      </c>
      <c r="J125" s="396">
        <f t="shared" si="66"/>
        <v>-0.59159239331334457</v>
      </c>
      <c r="K125" s="396">
        <f t="shared" si="66"/>
        <v>-0.69132457741916487</v>
      </c>
      <c r="L125" s="396">
        <f t="shared" si="66"/>
        <v>-0.73830427959452005</v>
      </c>
      <c r="M125" s="396">
        <f t="shared" si="66"/>
        <v>-0.60362649668360757</v>
      </c>
      <c r="N125" s="397">
        <f t="shared" si="66"/>
        <v>-0.57333558721231026</v>
      </c>
      <c r="O125" s="396">
        <f t="shared" si="66"/>
        <v>-0.4679037357429775</v>
      </c>
      <c r="P125" s="396">
        <f t="shared" si="66"/>
        <v>-0.70846138229879108</v>
      </c>
      <c r="Q125" s="396">
        <f t="shared" si="66"/>
        <v>-0.44830754600596279</v>
      </c>
      <c r="R125" s="396">
        <f t="shared" si="66"/>
        <v>-0.67847530219266994</v>
      </c>
      <c r="S125" s="385"/>
    </row>
    <row r="126" spans="1:20" ht="15.5" customHeight="1">
      <c r="A126" s="390" t="s">
        <v>135</v>
      </c>
      <c r="B126" s="435">
        <f>B123/M154-1</f>
        <v>9.0474425500370659E-2</v>
      </c>
      <c r="C126" s="435">
        <f t="shared" ref="C126:M126" si="67">C123/B123-1</f>
        <v>6.0874885286020142E-2</v>
      </c>
      <c r="D126" s="435">
        <f t="shared" si="67"/>
        <v>-0.5107650903498655</v>
      </c>
      <c r="E126" s="435">
        <f t="shared" si="67"/>
        <v>-0.49004584151931896</v>
      </c>
      <c r="F126" s="435">
        <f t="shared" si="67"/>
        <v>0.53756260434056768</v>
      </c>
      <c r="G126" s="435">
        <f t="shared" si="67"/>
        <v>0.82794621231103305</v>
      </c>
      <c r="H126" s="435">
        <f t="shared" si="67"/>
        <v>0.54660513570318936</v>
      </c>
      <c r="I126" s="435">
        <f t="shared" si="67"/>
        <v>-5.0932080711394767E-2</v>
      </c>
      <c r="J126" s="435">
        <f t="shared" si="67"/>
        <v>-0.38094941634241242</v>
      </c>
      <c r="K126" s="435">
        <f t="shared" si="67"/>
        <v>-0.2093830140292654</v>
      </c>
      <c r="L126" s="435">
        <f t="shared" si="67"/>
        <v>-0.21516250079501364</v>
      </c>
      <c r="M126" s="435">
        <f t="shared" si="67"/>
        <v>0.49157212317666121</v>
      </c>
      <c r="N126" s="152"/>
      <c r="O126" s="401"/>
      <c r="P126" s="398"/>
      <c r="Q126" s="398"/>
      <c r="R126" s="398"/>
      <c r="S126" s="385"/>
    </row>
    <row r="127" spans="1:20">
      <c r="A127" s="385"/>
      <c r="B127" s="402"/>
      <c r="C127" s="402"/>
      <c r="D127" s="402"/>
      <c r="E127" s="402"/>
      <c r="F127" s="402"/>
      <c r="G127" s="427"/>
      <c r="H127" s="402"/>
      <c r="I127" s="402"/>
      <c r="J127" s="403"/>
      <c r="K127" s="403"/>
      <c r="L127" s="403"/>
      <c r="M127" s="403"/>
      <c r="N127" s="404"/>
      <c r="O127" s="404"/>
      <c r="P127" s="404"/>
      <c r="Q127" s="404"/>
      <c r="R127" s="404"/>
      <c r="S127" s="385"/>
    </row>
    <row r="128" spans="1:20" s="448" customFormat="1">
      <c r="A128" s="430" t="s">
        <v>146</v>
      </c>
      <c r="B128" s="424">
        <f t="shared" ref="B128:M128" si="68">B133+B138</f>
        <v>156</v>
      </c>
      <c r="C128" s="424">
        <f t="shared" si="68"/>
        <v>151</v>
      </c>
      <c r="D128" s="424">
        <f t="shared" si="68"/>
        <v>123</v>
      </c>
      <c r="E128" s="424">
        <f t="shared" si="68"/>
        <v>99</v>
      </c>
      <c r="F128" s="424">
        <f t="shared" si="68"/>
        <v>106</v>
      </c>
      <c r="G128" s="424">
        <f t="shared" si="68"/>
        <v>127</v>
      </c>
      <c r="H128" s="424">
        <f t="shared" si="68"/>
        <v>167</v>
      </c>
      <c r="I128" s="424">
        <f t="shared" si="68"/>
        <v>208</v>
      </c>
      <c r="J128" s="424">
        <f t="shared" si="68"/>
        <v>254</v>
      </c>
      <c r="K128" s="424">
        <f t="shared" si="68"/>
        <v>249</v>
      </c>
      <c r="L128" s="424">
        <f t="shared" si="68"/>
        <v>291</v>
      </c>
      <c r="M128" s="424">
        <f t="shared" si="68"/>
        <v>400</v>
      </c>
      <c r="N128" s="393">
        <f>SUM(B128:M128)</f>
        <v>2331</v>
      </c>
      <c r="O128" s="394">
        <f>SUM(B128:D128)</f>
        <v>430</v>
      </c>
      <c r="P128" s="440">
        <f>SUM(E128:G128)</f>
        <v>332</v>
      </c>
      <c r="Q128" s="442">
        <f>SUM(H128:J128)</f>
        <v>629</v>
      </c>
      <c r="R128" s="441">
        <f>SUM(K128:M128)</f>
        <v>940</v>
      </c>
      <c r="S128" s="451"/>
    </row>
    <row r="129" spans="1:20">
      <c r="A129" s="390" t="s">
        <v>156</v>
      </c>
      <c r="B129" s="396">
        <f t="shared" ref="B129:R129" si="69">B128/B159-1</f>
        <v>-0.1235955056179775</v>
      </c>
      <c r="C129" s="396">
        <f t="shared" si="69"/>
        <v>0.27966101694915246</v>
      </c>
      <c r="D129" s="396">
        <f t="shared" si="69"/>
        <v>-0.33152173913043481</v>
      </c>
      <c r="E129" s="396">
        <f t="shared" si="69"/>
        <v>-0.47058823529411764</v>
      </c>
      <c r="F129" s="396">
        <f t="shared" si="69"/>
        <v>-0.49763033175355453</v>
      </c>
      <c r="G129" s="396">
        <f t="shared" si="69"/>
        <v>-0.36499999999999999</v>
      </c>
      <c r="H129" s="396">
        <f t="shared" si="69"/>
        <v>-0.215962441314554</v>
      </c>
      <c r="I129" s="396">
        <f t="shared" si="69"/>
        <v>0.21637426900584789</v>
      </c>
      <c r="J129" s="396">
        <f t="shared" si="69"/>
        <v>0.53939393939393931</v>
      </c>
      <c r="K129" s="396">
        <f t="shared" si="69"/>
        <v>0.80434782608695654</v>
      </c>
      <c r="L129" s="396">
        <f t="shared" si="69"/>
        <v>1.1086956521739131</v>
      </c>
      <c r="M129" s="396">
        <f t="shared" si="69"/>
        <v>1.4096385542168677</v>
      </c>
      <c r="N129" s="397">
        <f t="shared" si="69"/>
        <v>0.12663122281295314</v>
      </c>
      <c r="O129" s="401">
        <f t="shared" si="69"/>
        <v>-0.10416666666666663</v>
      </c>
      <c r="P129" s="401">
        <f t="shared" si="69"/>
        <v>-0.44481605351170572</v>
      </c>
      <c r="Q129" s="401">
        <f t="shared" si="69"/>
        <v>0.14571948998178508</v>
      </c>
      <c r="R129" s="401">
        <f t="shared" si="69"/>
        <v>1.1266968325791855</v>
      </c>
      <c r="S129" s="385"/>
    </row>
    <row r="130" spans="1:20">
      <c r="A130" s="390" t="s">
        <v>144</v>
      </c>
      <c r="B130" s="396">
        <f t="shared" ref="B130:R130" si="70">B128/B213-1</f>
        <v>-0.97793805685193047</v>
      </c>
      <c r="C130" s="396">
        <f t="shared" si="70"/>
        <v>-0.97839152833428733</v>
      </c>
      <c r="D130" s="396">
        <f t="shared" si="70"/>
        <v>-0.98260008487763473</v>
      </c>
      <c r="E130" s="396">
        <f t="shared" si="70"/>
        <v>-0.98611111111111116</v>
      </c>
      <c r="F130" s="396">
        <f t="shared" si="70"/>
        <v>-0.98505358150028199</v>
      </c>
      <c r="G130" s="396">
        <f t="shared" si="70"/>
        <v>-0.98215289488476676</v>
      </c>
      <c r="H130" s="396">
        <f t="shared" si="70"/>
        <v>-0.97828913156526265</v>
      </c>
      <c r="I130" s="396">
        <f t="shared" si="70"/>
        <v>-0.97382660123316978</v>
      </c>
      <c r="J130" s="396">
        <f t="shared" si="70"/>
        <v>-0.96246490320673861</v>
      </c>
      <c r="K130" s="396">
        <f t="shared" si="70"/>
        <v>-0.96335001471886961</v>
      </c>
      <c r="L130" s="396">
        <f t="shared" si="70"/>
        <v>-0.95596246973365617</v>
      </c>
      <c r="M130" s="396">
        <f t="shared" si="70"/>
        <v>-0.94301994301994307</v>
      </c>
      <c r="N130" s="397">
        <f t="shared" si="70"/>
        <v>-0.97267035595366502</v>
      </c>
      <c r="O130" s="401">
        <f t="shared" si="70"/>
        <v>-0.97964786065884135</v>
      </c>
      <c r="P130" s="401">
        <f t="shared" si="70"/>
        <v>-0.98443944506936631</v>
      </c>
      <c r="Q130" s="401">
        <f t="shared" si="70"/>
        <v>-0.9719271623672231</v>
      </c>
      <c r="R130" s="401">
        <f t="shared" si="70"/>
        <v>-0.9539712075213006</v>
      </c>
      <c r="S130" s="385"/>
    </row>
    <row r="131" spans="1:20" ht="15.5" customHeight="1">
      <c r="A131" s="390" t="s">
        <v>135</v>
      </c>
      <c r="B131" s="185">
        <f>B128/M159-1</f>
        <v>-6.0240963855421659E-2</v>
      </c>
      <c r="C131" s="435">
        <f t="shared" ref="C131:M131" si="71">C128/B128-1</f>
        <v>-3.2051282051282048E-2</v>
      </c>
      <c r="D131" s="435">
        <f t="shared" si="71"/>
        <v>-0.18543046357615889</v>
      </c>
      <c r="E131" s="435">
        <f t="shared" si="71"/>
        <v>-0.19512195121951215</v>
      </c>
      <c r="F131" s="435">
        <f t="shared" si="71"/>
        <v>7.0707070707070718E-2</v>
      </c>
      <c r="G131" s="435">
        <f t="shared" si="71"/>
        <v>0.19811320754716988</v>
      </c>
      <c r="H131" s="435">
        <f t="shared" si="71"/>
        <v>0.31496062992125995</v>
      </c>
      <c r="I131" s="435">
        <f t="shared" si="71"/>
        <v>0.24550898203592819</v>
      </c>
      <c r="J131" s="435">
        <f t="shared" si="71"/>
        <v>0.22115384615384626</v>
      </c>
      <c r="K131" s="435">
        <f t="shared" si="71"/>
        <v>-1.9685039370078705E-2</v>
      </c>
      <c r="L131" s="435">
        <f t="shared" si="71"/>
        <v>0.16867469879518082</v>
      </c>
      <c r="M131" s="435">
        <f t="shared" si="71"/>
        <v>0.37457044673539519</v>
      </c>
      <c r="N131" s="152"/>
      <c r="O131" s="401"/>
      <c r="P131" s="401"/>
      <c r="Q131" s="401"/>
      <c r="R131" s="401"/>
      <c r="S131" s="385"/>
    </row>
    <row r="132" spans="1:20">
      <c r="A132" s="385"/>
      <c r="B132" s="402"/>
      <c r="D132" s="402"/>
      <c r="E132" s="402"/>
      <c r="F132" s="434"/>
      <c r="G132" s="427"/>
      <c r="H132" s="402"/>
      <c r="I132" s="402"/>
      <c r="J132" s="403"/>
      <c r="K132" s="403"/>
      <c r="L132" s="403"/>
      <c r="M132" s="403"/>
      <c r="N132" s="404"/>
      <c r="O132" s="404"/>
      <c r="P132" s="404"/>
      <c r="Q132" s="404"/>
      <c r="R132" s="404"/>
      <c r="S132" s="385"/>
    </row>
    <row r="133" spans="1:20">
      <c r="A133" s="431" t="s">
        <v>147</v>
      </c>
      <c r="B133" s="391">
        <v>92</v>
      </c>
      <c r="C133" s="391">
        <v>82</v>
      </c>
      <c r="D133" s="391">
        <v>100</v>
      </c>
      <c r="E133" s="391">
        <v>93</v>
      </c>
      <c r="F133" s="391">
        <v>100</v>
      </c>
      <c r="G133" s="391">
        <v>117</v>
      </c>
      <c r="H133" s="391">
        <v>146</v>
      </c>
      <c r="I133" s="391">
        <v>178</v>
      </c>
      <c r="J133" s="391">
        <v>212</v>
      </c>
      <c r="K133" s="391">
        <v>201</v>
      </c>
      <c r="L133" s="391">
        <v>232</v>
      </c>
      <c r="M133" s="391">
        <v>308</v>
      </c>
      <c r="N133" s="393">
        <f>SUM(B133:M133)</f>
        <v>1861</v>
      </c>
      <c r="O133" s="394">
        <f>SUM(B133:D133)</f>
        <v>274</v>
      </c>
      <c r="P133" s="394">
        <f>SUM(E133:G133)</f>
        <v>310</v>
      </c>
      <c r="Q133" s="394">
        <f>SUM(H133:J133)</f>
        <v>536</v>
      </c>
      <c r="R133" s="441">
        <f>SUM(K133:M133)</f>
        <v>741</v>
      </c>
      <c r="S133" s="385"/>
    </row>
    <row r="134" spans="1:20">
      <c r="A134" s="390" t="s">
        <v>156</v>
      </c>
      <c r="B134" s="396">
        <f t="shared" ref="B134:R134" si="72">B133/B164-1</f>
        <v>-0.352112676056338</v>
      </c>
      <c r="C134" s="396">
        <f t="shared" si="72"/>
        <v>-9.8901098901098883E-2</v>
      </c>
      <c r="D134" s="396">
        <f t="shared" si="72"/>
        <v>-0.27536231884057971</v>
      </c>
      <c r="E134" s="396">
        <f t="shared" si="72"/>
        <v>-0.31617647058823528</v>
      </c>
      <c r="F134" s="396">
        <f t="shared" si="72"/>
        <v>-0.23076923076923073</v>
      </c>
      <c r="G134" s="396">
        <f t="shared" si="72"/>
        <v>-3.3057851239669422E-2</v>
      </c>
      <c r="H134" s="396">
        <f t="shared" si="72"/>
        <v>0.10606060606060597</v>
      </c>
      <c r="I134" s="396">
        <f t="shared" si="72"/>
        <v>0.28985507246376807</v>
      </c>
      <c r="J134" s="396">
        <f t="shared" si="72"/>
        <v>0.72357723577235777</v>
      </c>
      <c r="K134" s="396">
        <f t="shared" si="72"/>
        <v>0.86111111111111116</v>
      </c>
      <c r="L134" s="396">
        <f t="shared" si="72"/>
        <v>1.2307692307692308</v>
      </c>
      <c r="M134" s="396">
        <f t="shared" si="72"/>
        <v>1.6782608695652175</v>
      </c>
      <c r="N134" s="397">
        <f t="shared" si="72"/>
        <v>0.25913396481732076</v>
      </c>
      <c r="O134" s="401">
        <f t="shared" si="72"/>
        <v>-0.26145552560646901</v>
      </c>
      <c r="P134" s="401">
        <f t="shared" si="72"/>
        <v>-0.1989664082687338</v>
      </c>
      <c r="Q134" s="401">
        <f t="shared" si="72"/>
        <v>0.36386768447837148</v>
      </c>
      <c r="R134" s="401">
        <f t="shared" si="72"/>
        <v>1.2660550458715596</v>
      </c>
      <c r="S134" s="385"/>
    </row>
    <row r="135" spans="1:20">
      <c r="A135" s="390" t="s">
        <v>144</v>
      </c>
      <c r="B135" s="396">
        <f t="shared" ref="B135:R135" si="73">B133/B217-1</f>
        <v>-0.98485596707818934</v>
      </c>
      <c r="C135" s="396">
        <f t="shared" si="73"/>
        <v>-0.9862715553323288</v>
      </c>
      <c r="D135" s="396">
        <f t="shared" si="73"/>
        <v>-0.98346013893483297</v>
      </c>
      <c r="E135" s="396">
        <f t="shared" si="73"/>
        <v>-0.98470394736842104</v>
      </c>
      <c r="F135" s="396">
        <f t="shared" si="73"/>
        <v>-0.98341900182390984</v>
      </c>
      <c r="G135" s="396">
        <f t="shared" si="73"/>
        <v>-0.98075974346324613</v>
      </c>
      <c r="H135" s="396">
        <f t="shared" si="73"/>
        <v>-0.97784522003034902</v>
      </c>
      <c r="I135" s="396">
        <f t="shared" si="73"/>
        <v>-0.97461132506061898</v>
      </c>
      <c r="J135" s="396">
        <f t="shared" si="73"/>
        <v>-0.96501072784287834</v>
      </c>
      <c r="K135" s="396">
        <f t="shared" si="73"/>
        <v>-0.96674387822634023</v>
      </c>
      <c r="L135" s="396">
        <f t="shared" si="73"/>
        <v>-0.96070460704607041</v>
      </c>
      <c r="M135" s="396">
        <f t="shared" si="73"/>
        <v>-0.9512966476913346</v>
      </c>
      <c r="N135" s="397">
        <f t="shared" si="73"/>
        <v>-0.97492522029696305</v>
      </c>
      <c r="O135" s="401">
        <f t="shared" si="73"/>
        <v>-0.98485685862716921</v>
      </c>
      <c r="P135" s="401">
        <f t="shared" si="73"/>
        <v>-0.98295954265611263</v>
      </c>
      <c r="Q135" s="401">
        <f t="shared" si="73"/>
        <v>-0.972736520854527</v>
      </c>
      <c r="R135" s="401">
        <f t="shared" si="73"/>
        <v>-0.95944614711033271</v>
      </c>
      <c r="S135" s="385"/>
    </row>
    <row r="136" spans="1:20" ht="15.5" customHeight="1">
      <c r="A136" s="390" t="s">
        <v>135</v>
      </c>
      <c r="B136" s="185">
        <f>B133/M164-1</f>
        <v>-0.19999999999999996</v>
      </c>
      <c r="C136" s="435">
        <f t="shared" ref="C136:M136" si="74">C133/B133-1</f>
        <v>-0.10869565217391308</v>
      </c>
      <c r="D136" s="435">
        <f t="shared" si="74"/>
        <v>0.21951219512195119</v>
      </c>
      <c r="E136" s="435">
        <f t="shared" si="74"/>
        <v>-6.9999999999999951E-2</v>
      </c>
      <c r="F136" s="435">
        <f t="shared" si="74"/>
        <v>7.5268817204301008E-2</v>
      </c>
      <c r="G136" s="435">
        <f t="shared" si="74"/>
        <v>0.16999999999999993</v>
      </c>
      <c r="H136" s="435">
        <f t="shared" si="74"/>
        <v>0.24786324786324787</v>
      </c>
      <c r="I136" s="435">
        <f t="shared" si="74"/>
        <v>0.21917808219178081</v>
      </c>
      <c r="J136" s="435">
        <f t="shared" si="74"/>
        <v>0.1910112359550562</v>
      </c>
      <c r="K136" s="435">
        <f t="shared" si="74"/>
        <v>-5.1886792452830233E-2</v>
      </c>
      <c r="L136" s="435">
        <f t="shared" si="74"/>
        <v>0.15422885572139311</v>
      </c>
      <c r="M136" s="435">
        <f t="shared" si="74"/>
        <v>0.32758620689655182</v>
      </c>
      <c r="N136" s="152"/>
      <c r="O136" s="401"/>
      <c r="P136" s="398"/>
      <c r="Q136" s="398"/>
      <c r="R136" s="398"/>
      <c r="S136" s="385"/>
    </row>
    <row r="137" spans="1:20">
      <c r="A137" s="385"/>
      <c r="B137" s="402"/>
      <c r="C137" s="402"/>
      <c r="D137" s="403"/>
      <c r="E137" s="402"/>
      <c r="F137" s="434"/>
      <c r="G137" s="387"/>
      <c r="H137" s="402"/>
      <c r="I137" s="402"/>
      <c r="J137" s="403"/>
      <c r="K137" s="403"/>
      <c r="L137" s="403"/>
      <c r="M137" s="403"/>
      <c r="N137" s="404"/>
      <c r="O137" s="404"/>
      <c r="P137" s="404"/>
      <c r="Q137" s="404"/>
      <c r="R137" s="404"/>
      <c r="S137" s="385"/>
    </row>
    <row r="138" spans="1:20">
      <c r="A138" s="433" t="s">
        <v>148</v>
      </c>
      <c r="B138" s="391">
        <v>64</v>
      </c>
      <c r="C138" s="391">
        <v>69</v>
      </c>
      <c r="D138" s="391">
        <v>23</v>
      </c>
      <c r="E138" s="391">
        <v>6</v>
      </c>
      <c r="F138" s="391">
        <v>6</v>
      </c>
      <c r="G138" s="391">
        <v>10</v>
      </c>
      <c r="H138" s="391">
        <v>21</v>
      </c>
      <c r="I138" s="391">
        <v>30</v>
      </c>
      <c r="J138" s="391">
        <v>42</v>
      </c>
      <c r="K138" s="391">
        <v>48</v>
      </c>
      <c r="L138" s="391">
        <v>59</v>
      </c>
      <c r="M138" s="391">
        <v>92</v>
      </c>
      <c r="N138" s="393">
        <f>SUM(B138:M138)</f>
        <v>470</v>
      </c>
      <c r="O138" s="394">
        <f>SUM(B138:D138)</f>
        <v>156</v>
      </c>
      <c r="P138" s="394">
        <f>SUM(E138:G138)</f>
        <v>22</v>
      </c>
      <c r="Q138" s="394">
        <f>SUM(H138:J138)</f>
        <v>93</v>
      </c>
      <c r="R138" s="441">
        <f>SUM(K138:M138)</f>
        <v>199</v>
      </c>
      <c r="S138" s="385"/>
    </row>
    <row r="139" spans="1:20">
      <c r="A139" s="390" t="s">
        <v>156</v>
      </c>
      <c r="B139" s="396">
        <f t="shared" ref="B139:R139" si="75">B138/B169-1</f>
        <v>0.77777777777777768</v>
      </c>
      <c r="C139" s="396">
        <f t="shared" si="75"/>
        <v>1.5555555555555554</v>
      </c>
      <c r="D139" s="396">
        <f t="shared" si="75"/>
        <v>-0.5</v>
      </c>
      <c r="E139" s="396">
        <f t="shared" si="75"/>
        <v>-0.88235294117647056</v>
      </c>
      <c r="F139" s="396">
        <f t="shared" si="75"/>
        <v>-0.92592592592592593</v>
      </c>
      <c r="G139" s="396">
        <f t="shared" si="75"/>
        <v>-0.87341772151898733</v>
      </c>
      <c r="H139" s="396">
        <f t="shared" si="75"/>
        <v>-0.7407407407407407</v>
      </c>
      <c r="I139" s="396">
        <f t="shared" si="75"/>
        <v>-9.0909090909090939E-2</v>
      </c>
      <c r="J139" s="396">
        <f t="shared" si="75"/>
        <v>0</v>
      </c>
      <c r="K139" s="396">
        <f t="shared" si="75"/>
        <v>0.60000000000000009</v>
      </c>
      <c r="L139" s="396">
        <f t="shared" si="75"/>
        <v>0.73529411764705888</v>
      </c>
      <c r="M139" s="396">
        <f t="shared" si="75"/>
        <v>0.80392156862745101</v>
      </c>
      <c r="N139" s="397">
        <f t="shared" si="75"/>
        <v>-0.2047377326565144</v>
      </c>
      <c r="O139" s="396">
        <f t="shared" si="75"/>
        <v>0.4311926605504588</v>
      </c>
      <c r="P139" s="396">
        <f t="shared" si="75"/>
        <v>-0.89573459715639814</v>
      </c>
      <c r="Q139" s="396">
        <f t="shared" si="75"/>
        <v>-0.40384615384615385</v>
      </c>
      <c r="R139" s="396">
        <f t="shared" si="75"/>
        <v>0.73043478260869565</v>
      </c>
      <c r="S139" s="385"/>
    </row>
    <row r="140" spans="1:20">
      <c r="A140" s="390" t="s">
        <v>144</v>
      </c>
      <c r="B140" s="396">
        <f t="shared" ref="B140:R140" si="76">B138/B221-1</f>
        <v>-0.93574297188755018</v>
      </c>
      <c r="C140" s="396">
        <f t="shared" si="76"/>
        <v>-0.93201970443349758</v>
      </c>
      <c r="D140" s="396">
        <f t="shared" si="76"/>
        <v>-0.97751710654936463</v>
      </c>
      <c r="E140" s="396">
        <f t="shared" si="76"/>
        <v>-0.99427480916030531</v>
      </c>
      <c r="F140" s="396">
        <f t="shared" si="76"/>
        <v>-0.99434495758718189</v>
      </c>
      <c r="G140" s="396">
        <f t="shared" si="76"/>
        <v>-0.99033816425120769</v>
      </c>
      <c r="H140" s="396">
        <f t="shared" si="76"/>
        <v>-0.98094373865698725</v>
      </c>
      <c r="I140" s="396">
        <f t="shared" si="76"/>
        <v>-0.96794871794871795</v>
      </c>
      <c r="J140" s="396">
        <f t="shared" si="76"/>
        <v>-0.94067796610169496</v>
      </c>
      <c r="K140" s="396">
        <f t="shared" si="76"/>
        <v>-0.93599999999999994</v>
      </c>
      <c r="L140" s="396">
        <f t="shared" si="76"/>
        <v>-0.91619318181818188</v>
      </c>
      <c r="M140" s="396">
        <f t="shared" si="76"/>
        <v>-0.86781609195402298</v>
      </c>
      <c r="N140" s="397">
        <f t="shared" si="76"/>
        <v>-0.95755824453675276</v>
      </c>
      <c r="O140" s="396">
        <f t="shared" si="76"/>
        <v>-0.94858272907053398</v>
      </c>
      <c r="P140" s="396">
        <f t="shared" si="76"/>
        <v>-0.99300254452926207</v>
      </c>
      <c r="Q140" s="396">
        <f t="shared" si="76"/>
        <v>-0.96613255644573925</v>
      </c>
      <c r="R140" s="396">
        <f t="shared" si="76"/>
        <v>-0.90744186046511632</v>
      </c>
      <c r="S140" s="385"/>
    </row>
    <row r="141" spans="1:20" ht="15.5" customHeight="1">
      <c r="A141" s="390" t="s">
        <v>135</v>
      </c>
      <c r="B141" s="185">
        <f>B138/M169-1</f>
        <v>0.25490196078431371</v>
      </c>
      <c r="C141" s="435">
        <f t="shared" ref="C141:M141" si="77">C138/B138-1</f>
        <v>7.8125E-2</v>
      </c>
      <c r="D141" s="435">
        <f t="shared" si="77"/>
        <v>-0.66666666666666674</v>
      </c>
      <c r="E141" s="435">
        <f t="shared" si="77"/>
        <v>-0.73913043478260865</v>
      </c>
      <c r="F141" s="435">
        <f t="shared" si="77"/>
        <v>0</v>
      </c>
      <c r="G141" s="435">
        <f t="shared" si="77"/>
        <v>0.66666666666666674</v>
      </c>
      <c r="H141" s="435">
        <f t="shared" si="77"/>
        <v>1.1000000000000001</v>
      </c>
      <c r="I141" s="435">
        <f t="shared" si="77"/>
        <v>0.4285714285714286</v>
      </c>
      <c r="J141" s="435">
        <f t="shared" si="77"/>
        <v>0.39999999999999991</v>
      </c>
      <c r="K141" s="435">
        <f t="shared" si="77"/>
        <v>0.14285714285714279</v>
      </c>
      <c r="L141" s="435">
        <f t="shared" si="77"/>
        <v>0.22916666666666674</v>
      </c>
      <c r="M141" s="435">
        <f t="shared" si="77"/>
        <v>0.55932203389830515</v>
      </c>
      <c r="N141" s="152"/>
      <c r="O141" s="401"/>
      <c r="P141" s="398"/>
      <c r="Q141" s="398"/>
      <c r="R141" s="398"/>
      <c r="S141" s="385"/>
    </row>
    <row r="142" spans="1:20">
      <c r="A142" s="385"/>
      <c r="B142" s="385"/>
      <c r="C142" s="434"/>
      <c r="D142" s="385"/>
      <c r="E142" s="385"/>
      <c r="F142" s="385"/>
      <c r="G142" s="387"/>
      <c r="H142" s="385"/>
      <c r="I142" s="385"/>
      <c r="J142" s="385"/>
      <c r="K142" s="385"/>
      <c r="L142" s="385"/>
      <c r="M142" s="385"/>
      <c r="N142" s="385"/>
      <c r="O142" s="386"/>
      <c r="P142" s="386"/>
      <c r="Q142" s="386"/>
      <c r="R142" s="386"/>
      <c r="S142" s="385"/>
    </row>
    <row r="143" spans="1:20" s="444" customFormat="1" ht="15.5" customHeight="1">
      <c r="A143" s="422" t="s">
        <v>157</v>
      </c>
      <c r="B143" s="184" t="s">
        <v>51</v>
      </c>
      <c r="C143" s="184" t="s">
        <v>52</v>
      </c>
      <c r="D143" s="184" t="s">
        <v>53</v>
      </c>
      <c r="E143" s="184" t="s">
        <v>54</v>
      </c>
      <c r="F143" s="184" t="s">
        <v>55</v>
      </c>
      <c r="G143" s="184" t="s">
        <v>77</v>
      </c>
      <c r="H143" s="184" t="s">
        <v>78</v>
      </c>
      <c r="I143" s="184" t="s">
        <v>79</v>
      </c>
      <c r="J143" s="184" t="s">
        <v>80</v>
      </c>
      <c r="K143" s="184" t="s">
        <v>81</v>
      </c>
      <c r="L143" s="184" t="s">
        <v>82</v>
      </c>
      <c r="M143" s="184" t="s">
        <v>44</v>
      </c>
      <c r="N143" s="400" t="s">
        <v>128</v>
      </c>
      <c r="O143" s="55" t="s">
        <v>129</v>
      </c>
      <c r="P143" s="55" t="s">
        <v>130</v>
      </c>
      <c r="Q143" s="55" t="s">
        <v>131</v>
      </c>
      <c r="R143" s="55" t="s">
        <v>132</v>
      </c>
      <c r="S143" s="445"/>
    </row>
    <row r="144" spans="1:20">
      <c r="A144" s="423" t="s">
        <v>133</v>
      </c>
      <c r="B144" s="391">
        <v>30181</v>
      </c>
      <c r="C144" s="391">
        <v>23949</v>
      </c>
      <c r="D144" s="391">
        <v>47822</v>
      </c>
      <c r="E144" s="391">
        <v>51094</v>
      </c>
      <c r="F144" s="391">
        <v>51041</v>
      </c>
      <c r="G144" s="391">
        <v>41277</v>
      </c>
      <c r="H144" s="391">
        <v>49117</v>
      </c>
      <c r="I144" s="391">
        <v>22407</v>
      </c>
      <c r="J144" s="391">
        <v>36117</v>
      </c>
      <c r="K144" s="391">
        <v>38861</v>
      </c>
      <c r="L144" s="391">
        <v>21523</v>
      </c>
      <c r="M144" s="391">
        <v>27095</v>
      </c>
      <c r="N144" s="393">
        <f>SUM(B144:M144)</f>
        <v>440484</v>
      </c>
      <c r="O144" s="394">
        <f>SUM(B144:D144)</f>
        <v>101952</v>
      </c>
      <c r="P144" s="394">
        <f>SUM(E144:G144)</f>
        <v>143412</v>
      </c>
      <c r="Q144" s="394">
        <f>SUM(H144:J144)</f>
        <v>107641</v>
      </c>
      <c r="R144" s="395">
        <f>SUM(K144:M144)</f>
        <v>87479</v>
      </c>
      <c r="S144" s="443"/>
      <c r="T144" s="446"/>
    </row>
    <row r="145" spans="1:20">
      <c r="A145" s="390" t="s">
        <v>158</v>
      </c>
      <c r="B145" s="396">
        <f t="shared" ref="B145:R145" si="78">B144/B175-1</f>
        <v>-0.40356112406624245</v>
      </c>
      <c r="C145" s="396">
        <f t="shared" si="78"/>
        <v>1.8715827338129496</v>
      </c>
      <c r="D145" s="396">
        <f t="shared" si="78"/>
        <v>2.1574012940710419</v>
      </c>
      <c r="E145" s="396">
        <f t="shared" si="78"/>
        <v>2.0567753514807059</v>
      </c>
      <c r="F145" s="396">
        <f t="shared" si="78"/>
        <v>0.97595911888815756</v>
      </c>
      <c r="G145" s="396">
        <f t="shared" si="78"/>
        <v>0.34282182244054793</v>
      </c>
      <c r="H145" s="396">
        <f t="shared" si="78"/>
        <v>0.25618925831202044</v>
      </c>
      <c r="I145" s="396">
        <f t="shared" si="78"/>
        <v>-0.5146322971948446</v>
      </c>
      <c r="J145" s="396">
        <f t="shared" si="78"/>
        <v>-0.24662077596996246</v>
      </c>
      <c r="K145" s="396">
        <f t="shared" si="78"/>
        <v>-0.22776861474872323</v>
      </c>
      <c r="L145" s="396">
        <f t="shared" si="78"/>
        <v>-0.51537872647032335</v>
      </c>
      <c r="M145" s="396">
        <f t="shared" si="78"/>
        <v>-0.35980436169458685</v>
      </c>
      <c r="N145" s="397">
        <f t="shared" si="78"/>
        <v>5.4707927477516405E-2</v>
      </c>
      <c r="O145" s="396">
        <f t="shared" si="78"/>
        <v>0.37609329446064144</v>
      </c>
      <c r="P145" s="396">
        <f t="shared" si="78"/>
        <v>0.95690796206590711</v>
      </c>
      <c r="Q145" s="396">
        <f t="shared" si="78"/>
        <v>-0.19191471791599413</v>
      </c>
      <c r="R145" s="396">
        <f t="shared" si="78"/>
        <v>-0.36173736666228895</v>
      </c>
      <c r="S145" s="443"/>
      <c r="T145" s="446"/>
    </row>
    <row r="146" spans="1:20">
      <c r="A146" s="390" t="s">
        <v>144</v>
      </c>
      <c r="B146" s="396">
        <f t="shared" ref="B146:R146" si="79">B144/B201-1</f>
        <v>-0.43495029299983146</v>
      </c>
      <c r="C146" s="396">
        <f t="shared" si="79"/>
        <v>-0.5550663248244343</v>
      </c>
      <c r="D146" s="396">
        <f t="shared" si="79"/>
        <v>-0.10619766746411485</v>
      </c>
      <c r="E146" s="396">
        <f t="shared" si="79"/>
        <v>-3.8103844271245135E-2</v>
      </c>
      <c r="F146" s="396">
        <f t="shared" si="79"/>
        <v>-6.3622521051569514E-2</v>
      </c>
      <c r="G146" s="396">
        <f t="shared" si="79"/>
        <v>-0.2272250720784813</v>
      </c>
      <c r="H146" s="396">
        <f t="shared" si="79"/>
        <v>-0.17173403483921013</v>
      </c>
      <c r="I146" s="396">
        <f t="shared" si="79"/>
        <v>-0.63409974199026742</v>
      </c>
      <c r="J146" s="396">
        <f t="shared" si="79"/>
        <v>-0.34036491151169801</v>
      </c>
      <c r="K146" s="396">
        <f t="shared" si="79"/>
        <v>-0.31801270576673335</v>
      </c>
      <c r="L146" s="396">
        <f t="shared" si="79"/>
        <v>-0.59434957970522828</v>
      </c>
      <c r="M146" s="396">
        <f t="shared" si="79"/>
        <v>-0.48644806671720997</v>
      </c>
      <c r="N146" s="397">
        <f t="shared" si="79"/>
        <v>-0.33247458613436465</v>
      </c>
      <c r="O146" s="396">
        <f t="shared" si="79"/>
        <v>-0.36574532016946304</v>
      </c>
      <c r="P146" s="396">
        <f t="shared" si="79"/>
        <v>-0.10946901720679825</v>
      </c>
      <c r="Q146" s="396">
        <f t="shared" si="79"/>
        <v>-0.38593318577002944</v>
      </c>
      <c r="R146" s="396">
        <f t="shared" si="79"/>
        <v>-0.46265970515970511</v>
      </c>
      <c r="S146" s="186"/>
      <c r="T146" s="446"/>
    </row>
    <row r="147" spans="1:20" ht="15.5" customHeight="1">
      <c r="A147" s="390" t="s">
        <v>135</v>
      </c>
      <c r="B147" s="185">
        <f>B144/M175-1</f>
        <v>-0.28688892564326729</v>
      </c>
      <c r="C147" s="185">
        <f t="shared" ref="C147:M147" si="80">C144/B144-1</f>
        <v>-0.20648752526423908</v>
      </c>
      <c r="D147" s="185">
        <f t="shared" si="80"/>
        <v>0.99682658983673633</v>
      </c>
      <c r="E147" s="185">
        <f t="shared" si="80"/>
        <v>6.8420392288068177E-2</v>
      </c>
      <c r="F147" s="435">
        <f t="shared" si="80"/>
        <v>-1.0373037930089257E-3</v>
      </c>
      <c r="G147" s="435">
        <f t="shared" si="80"/>
        <v>-0.19129719245312593</v>
      </c>
      <c r="H147" s="435">
        <f t="shared" si="80"/>
        <v>0.18993628412917607</v>
      </c>
      <c r="I147" s="435">
        <f t="shared" si="80"/>
        <v>-0.54380357106500798</v>
      </c>
      <c r="J147" s="435">
        <f t="shared" si="80"/>
        <v>0.61186236443968411</v>
      </c>
      <c r="K147" s="435">
        <f t="shared" si="80"/>
        <v>7.5975302489132535E-2</v>
      </c>
      <c r="L147" s="435">
        <f t="shared" si="80"/>
        <v>-0.44615424204215026</v>
      </c>
      <c r="M147" s="435">
        <f t="shared" si="80"/>
        <v>0.25888584305161921</v>
      </c>
      <c r="N147" s="400"/>
      <c r="O147" s="401">
        <f>O144/R175-1</f>
        <v>-0.25613973646193577</v>
      </c>
      <c r="P147" s="398">
        <f>P144/O144-1</f>
        <v>0.40666195856873832</v>
      </c>
      <c r="Q147" s="398">
        <f>Q144/P144-1</f>
        <v>-0.24942822079044991</v>
      </c>
      <c r="R147" s="398">
        <f>R144/Q144-1</f>
        <v>-0.18730781022101239</v>
      </c>
      <c r="S147" s="443"/>
      <c r="T147" s="446"/>
    </row>
    <row r="148" spans="1:20">
      <c r="A148" s="385"/>
      <c r="B148" s="402"/>
      <c r="C148" s="402"/>
      <c r="D148" s="402"/>
      <c r="E148" s="402"/>
      <c r="F148" s="402"/>
      <c r="G148" s="427"/>
      <c r="H148" s="402"/>
      <c r="I148" s="402"/>
      <c r="J148" s="403"/>
      <c r="K148" s="403"/>
      <c r="L148" s="403"/>
      <c r="M148" s="403"/>
      <c r="N148" s="404"/>
      <c r="O148" s="404"/>
      <c r="P148" s="404"/>
      <c r="Q148" s="404"/>
      <c r="R148" s="404"/>
      <c r="S148" s="443"/>
      <c r="T148" s="446"/>
    </row>
    <row r="149" spans="1:20" s="448" customFormat="1">
      <c r="A149" s="428" t="s">
        <v>137</v>
      </c>
      <c r="B149" s="424">
        <f t="shared" ref="B149:M149" si="81">B154-B169</f>
        <v>30003</v>
      </c>
      <c r="C149" s="424">
        <f t="shared" si="81"/>
        <v>23831</v>
      </c>
      <c r="D149" s="424">
        <f t="shared" si="81"/>
        <v>47638</v>
      </c>
      <c r="E149" s="424">
        <f t="shared" si="81"/>
        <v>50908</v>
      </c>
      <c r="F149" s="424">
        <f t="shared" si="81"/>
        <v>50829</v>
      </c>
      <c r="G149" s="424">
        <f t="shared" si="81"/>
        <v>41076</v>
      </c>
      <c r="H149" s="424">
        <f t="shared" si="81"/>
        <v>48904</v>
      </c>
      <c r="I149" s="424">
        <f t="shared" si="81"/>
        <v>22235</v>
      </c>
      <c r="J149" s="424">
        <f t="shared" si="81"/>
        <v>35951</v>
      </c>
      <c r="K149" s="424">
        <f t="shared" si="81"/>
        <v>38723</v>
      </c>
      <c r="L149" s="424">
        <f t="shared" si="81"/>
        <v>21385</v>
      </c>
      <c r="M149" s="424">
        <f t="shared" si="81"/>
        <v>26929</v>
      </c>
      <c r="N149" s="452">
        <f>SUM(B149:M149)</f>
        <v>438412</v>
      </c>
      <c r="O149" s="442">
        <f>SUM(B149:D149)</f>
        <v>101472</v>
      </c>
      <c r="P149" s="442">
        <f>SUM(E149:G149)</f>
        <v>142813</v>
      </c>
      <c r="Q149" s="442">
        <f>SUM(H149:J149)</f>
        <v>107090</v>
      </c>
      <c r="R149" s="441">
        <f>SUM(K149:M149)</f>
        <v>87037</v>
      </c>
      <c r="S149" s="449"/>
      <c r="T149" s="450"/>
    </row>
    <row r="150" spans="1:20">
      <c r="A150" s="390" t="s">
        <v>158</v>
      </c>
      <c r="B150" s="396">
        <f t="shared" ref="B150:R150" si="82">B149/B179-1</f>
        <v>-0.30764970578054696</v>
      </c>
      <c r="C150" s="396">
        <f t="shared" si="82"/>
        <v>2.3034377599112834</v>
      </c>
      <c r="D150" s="396">
        <f t="shared" si="82"/>
        <v>2.2707174733951252</v>
      </c>
      <c r="E150" s="396">
        <f t="shared" si="82"/>
        <v>2.0608465608465609</v>
      </c>
      <c r="F150" s="396">
        <f t="shared" si="82"/>
        <v>0.97647470544775827</v>
      </c>
      <c r="G150" s="396">
        <f t="shared" si="82"/>
        <v>0.34301128003923487</v>
      </c>
      <c r="H150" s="396">
        <f t="shared" si="82"/>
        <v>0.25649392358880818</v>
      </c>
      <c r="I150" s="396">
        <f t="shared" si="82"/>
        <v>-0.51616763861084514</v>
      </c>
      <c r="J150" s="396">
        <f t="shared" si="82"/>
        <v>-0.24672086493735068</v>
      </c>
      <c r="K150" s="396">
        <f t="shared" si="82"/>
        <v>-0.22714753313108738</v>
      </c>
      <c r="L150" s="396">
        <f t="shared" si="82"/>
        <v>-0.51641716792546699</v>
      </c>
      <c r="M150" s="396">
        <f t="shared" si="82"/>
        <v>-0.36078142802886437</v>
      </c>
      <c r="N150" s="397">
        <f t="shared" si="82"/>
        <v>7.6901536458653164E-2</v>
      </c>
      <c r="O150" s="243">
        <f t="shared" si="82"/>
        <v>0.5583745431090088</v>
      </c>
      <c r="P150" s="243">
        <f t="shared" si="82"/>
        <v>0.95811281432528039</v>
      </c>
      <c r="Q150" s="243">
        <f t="shared" si="82"/>
        <v>-0.19240137855101314</v>
      </c>
      <c r="R150" s="243">
        <f t="shared" si="82"/>
        <v>-0.36215134770691959</v>
      </c>
      <c r="S150" s="443"/>
      <c r="T150" s="446"/>
    </row>
    <row r="151" spans="1:20">
      <c r="A151" s="390" t="s">
        <v>144</v>
      </c>
      <c r="B151" s="396">
        <f t="shared" ref="B151:R151" si="83">B149/B205-1</f>
        <v>-0.35257433861292131</v>
      </c>
      <c r="C151" s="396">
        <f t="shared" si="83"/>
        <v>-0.49120372347239416</v>
      </c>
      <c r="D151" s="396">
        <f t="shared" si="83"/>
        <v>2.5907182082480995E-2</v>
      </c>
      <c r="E151" s="396">
        <f t="shared" si="83"/>
        <v>0.10693629049793429</v>
      </c>
      <c r="F151" s="396">
        <f t="shared" si="83"/>
        <v>7.1957314887065804E-2</v>
      </c>
      <c r="G151" s="396">
        <f t="shared" si="83"/>
        <v>-0.1127910492893861</v>
      </c>
      <c r="H151" s="396">
        <f t="shared" si="83"/>
        <v>-5.2413338758743655E-2</v>
      </c>
      <c r="I151" s="396">
        <f t="shared" si="83"/>
        <v>-0.58276256778818181</v>
      </c>
      <c r="J151" s="396">
        <f t="shared" si="83"/>
        <v>-0.2508023173425582</v>
      </c>
      <c r="K151" s="396">
        <f t="shared" si="83"/>
        <v>-0.22842568792715245</v>
      </c>
      <c r="L151" s="396">
        <f t="shared" si="83"/>
        <v>-0.53961248654467164</v>
      </c>
      <c r="M151" s="396">
        <f t="shared" si="83"/>
        <v>-0.41125929164844777</v>
      </c>
      <c r="N151" s="397">
        <f t="shared" si="83"/>
        <v>-0.23699100042987697</v>
      </c>
      <c r="O151" s="243">
        <f t="shared" si="83"/>
        <v>-0.27320130358485839</v>
      </c>
      <c r="P151" s="243">
        <f t="shared" si="83"/>
        <v>2.2246877348699012E-2</v>
      </c>
      <c r="Q151" s="243">
        <f t="shared" si="83"/>
        <v>-0.29954345067566679</v>
      </c>
      <c r="R151" s="243">
        <f t="shared" si="83"/>
        <v>-0.38868637490605928</v>
      </c>
      <c r="S151" s="186"/>
      <c r="T151" s="446"/>
    </row>
    <row r="152" spans="1:20" ht="15.5" customHeight="1">
      <c r="A152" s="390" t="s">
        <v>135</v>
      </c>
      <c r="B152" s="185">
        <f>B149/M179-1</f>
        <v>-0.28781333080136728</v>
      </c>
      <c r="C152" s="185">
        <f t="shared" ref="C152:M152" si="84">C149/B149-1</f>
        <v>-0.20571276205712763</v>
      </c>
      <c r="D152" s="185">
        <f t="shared" si="84"/>
        <v>0.99899290839662624</v>
      </c>
      <c r="E152" s="185">
        <f t="shared" si="84"/>
        <v>6.8642680213275131E-2</v>
      </c>
      <c r="F152" s="185">
        <f t="shared" si="84"/>
        <v>-1.551818967549301E-3</v>
      </c>
      <c r="G152" s="185">
        <f t="shared" si="84"/>
        <v>-0.19187865195065812</v>
      </c>
      <c r="H152" s="185">
        <f t="shared" si="84"/>
        <v>0.19057357094166916</v>
      </c>
      <c r="I152" s="185">
        <f t="shared" si="84"/>
        <v>-0.54533371503353512</v>
      </c>
      <c r="J152" s="185">
        <f t="shared" si="84"/>
        <v>0.61686530245109061</v>
      </c>
      <c r="K152" s="185">
        <f t="shared" si="84"/>
        <v>7.7104948401991669E-2</v>
      </c>
      <c r="L152" s="185">
        <f t="shared" si="84"/>
        <v>-0.44774423469255997</v>
      </c>
      <c r="M152" s="185">
        <f t="shared" si="84"/>
        <v>0.25924713584288051</v>
      </c>
      <c r="N152" s="400"/>
      <c r="O152" s="112">
        <f>O149/R179-1</f>
        <v>-0.2563647822709485</v>
      </c>
      <c r="P152" s="398">
        <f>P149/O149-1</f>
        <v>0.40741288237149154</v>
      </c>
      <c r="Q152" s="398">
        <f>Q149/P149-1</f>
        <v>-0.25013829273245436</v>
      </c>
      <c r="R152" s="398">
        <f>R149/Q149-1</f>
        <v>-0.18725371183117001</v>
      </c>
      <c r="S152" s="385"/>
    </row>
    <row r="153" spans="1:20" ht="15.5" customHeight="1">
      <c r="A153" s="385"/>
      <c r="B153" s="186"/>
      <c r="C153" s="434"/>
      <c r="D153" s="434"/>
      <c r="E153" s="402"/>
      <c r="F153" s="434"/>
      <c r="G153" s="434"/>
      <c r="H153" s="434"/>
      <c r="I153" s="434"/>
      <c r="J153" s="434"/>
      <c r="K153" s="434"/>
      <c r="L153" s="434"/>
      <c r="M153" s="434"/>
      <c r="N153" s="436"/>
      <c r="O153" s="437"/>
      <c r="P153" s="438"/>
      <c r="Q153" s="438"/>
      <c r="R153" s="438"/>
      <c r="S153" s="385"/>
    </row>
    <row r="154" spans="1:20" s="250" customFormat="1">
      <c r="A154" s="429" t="s">
        <v>145</v>
      </c>
      <c r="B154" s="439">
        <v>30039</v>
      </c>
      <c r="C154" s="439">
        <v>23858</v>
      </c>
      <c r="D154" s="439">
        <v>47684</v>
      </c>
      <c r="E154" s="439">
        <v>50959</v>
      </c>
      <c r="F154" s="439">
        <v>50910</v>
      </c>
      <c r="G154" s="439">
        <v>41155</v>
      </c>
      <c r="H154" s="439">
        <v>48985</v>
      </c>
      <c r="I154" s="439">
        <v>22268</v>
      </c>
      <c r="J154" s="439">
        <v>35993</v>
      </c>
      <c r="K154" s="439">
        <v>38753</v>
      </c>
      <c r="L154" s="439">
        <v>21419</v>
      </c>
      <c r="M154" s="439">
        <v>26980</v>
      </c>
      <c r="N154" s="393">
        <f>SUM(B154:M154)</f>
        <v>439003</v>
      </c>
      <c r="O154" s="440">
        <f>SUM(B154:D154)</f>
        <v>101581</v>
      </c>
      <c r="P154" s="440">
        <f>SUM(E154:G154)</f>
        <v>143024</v>
      </c>
      <c r="Q154" s="440">
        <f>SUM(H154:J154)</f>
        <v>107246</v>
      </c>
      <c r="R154" s="453">
        <f>SUM(K154:M154)</f>
        <v>87152</v>
      </c>
      <c r="S154" s="385"/>
    </row>
    <row r="155" spans="1:20">
      <c r="A155" s="390" t="s">
        <v>158</v>
      </c>
      <c r="B155" s="396">
        <f t="shared" ref="B155:R155" si="85">B154/B183-1</f>
        <v>-0.31746608802344867</v>
      </c>
      <c r="C155" s="396">
        <f t="shared" si="85"/>
        <v>2.2736004390779363</v>
      </c>
      <c r="D155" s="396">
        <f t="shared" si="85"/>
        <v>2.2673701521173086</v>
      </c>
      <c r="E155" s="396">
        <f t="shared" si="85"/>
        <v>2.0628080298112752</v>
      </c>
      <c r="F155" s="396">
        <f t="shared" si="85"/>
        <v>0.97893181994869005</v>
      </c>
      <c r="G155" s="396">
        <f t="shared" si="85"/>
        <v>0.34497859407170162</v>
      </c>
      <c r="H155" s="396">
        <f t="shared" si="85"/>
        <v>0.25792866130813286</v>
      </c>
      <c r="I155" s="396">
        <f t="shared" si="85"/>
        <v>-0.51566034452757958</v>
      </c>
      <c r="J155" s="396">
        <f t="shared" si="85"/>
        <v>-0.24621989528795807</v>
      </c>
      <c r="K155" s="396">
        <f t="shared" si="85"/>
        <v>-0.22702702702702704</v>
      </c>
      <c r="L155" s="396">
        <f t="shared" si="85"/>
        <v>-0.51593292352196707</v>
      </c>
      <c r="M155" s="396">
        <f t="shared" si="85"/>
        <v>-0.36005692599620498</v>
      </c>
      <c r="N155" s="397">
        <f t="shared" si="85"/>
        <v>7.5813716408620113E-2</v>
      </c>
      <c r="O155" s="396">
        <f t="shared" si="85"/>
        <v>0.54160532985294352</v>
      </c>
      <c r="P155" s="396">
        <f t="shared" si="85"/>
        <v>0.96022641612872284</v>
      </c>
      <c r="Q155" s="396">
        <f t="shared" si="85"/>
        <v>-0.19161509644448127</v>
      </c>
      <c r="R155" s="396">
        <f t="shared" si="85"/>
        <v>-0.36172487787729868</v>
      </c>
      <c r="S155" s="385"/>
    </row>
    <row r="156" spans="1:20">
      <c r="A156" s="390" t="s">
        <v>144</v>
      </c>
      <c r="B156" s="396">
        <f t="shared" ref="B156:R156" si="86">B154/B209-1</f>
        <v>-0.36543580210401794</v>
      </c>
      <c r="C156" s="396">
        <f t="shared" si="86"/>
        <v>-0.50143146720163834</v>
      </c>
      <c r="D156" s="396">
        <f t="shared" si="86"/>
        <v>4.7621054406001839E-3</v>
      </c>
      <c r="E156" s="396">
        <f t="shared" si="86"/>
        <v>8.3358135975168945E-2</v>
      </c>
      <c r="F156" s="396">
        <f t="shared" si="86"/>
        <v>5.0167086100911806E-2</v>
      </c>
      <c r="G156" s="396">
        <f t="shared" si="86"/>
        <v>-0.13052204592990091</v>
      </c>
      <c r="H156" s="396">
        <f t="shared" si="86"/>
        <v>-7.0687332814782455E-2</v>
      </c>
      <c r="I156" s="396">
        <f t="shared" si="86"/>
        <v>-0.58935585593892337</v>
      </c>
      <c r="J156" s="396">
        <f t="shared" si="86"/>
        <v>-0.26083295683246399</v>
      </c>
      <c r="K156" s="396">
        <f t="shared" si="86"/>
        <v>-0.23919743997487097</v>
      </c>
      <c r="L156" s="396">
        <f t="shared" si="86"/>
        <v>-0.5457649404080247</v>
      </c>
      <c r="M156" s="396">
        <f t="shared" si="86"/>
        <v>-0.4189852700490998</v>
      </c>
      <c r="N156" s="397">
        <f t="shared" si="86"/>
        <v>-0.25040936930660784</v>
      </c>
      <c r="O156" s="396">
        <f t="shared" si="86"/>
        <v>-0.28789546369059715</v>
      </c>
      <c r="P156" s="396">
        <f t="shared" si="86"/>
        <v>1.2250698289801853E-3</v>
      </c>
      <c r="Q156" s="396">
        <f t="shared" si="86"/>
        <v>-0.31090007196463454</v>
      </c>
      <c r="R156" s="396">
        <f t="shared" si="86"/>
        <v>-0.39698464646744203</v>
      </c>
      <c r="S156" s="385"/>
    </row>
    <row r="157" spans="1:20" ht="15.5" customHeight="1">
      <c r="A157" s="390" t="s">
        <v>135</v>
      </c>
      <c r="B157" s="185">
        <f>B154/M183-1</f>
        <v>-0.28749999999999998</v>
      </c>
      <c r="C157" s="185">
        <f t="shared" ref="C157:M157" si="87">C154/B154-1</f>
        <v>-0.20576583774426582</v>
      </c>
      <c r="D157" s="185">
        <f t="shared" si="87"/>
        <v>0.99865873082404222</v>
      </c>
      <c r="E157" s="185">
        <f t="shared" si="87"/>
        <v>6.8681318681318659E-2</v>
      </c>
      <c r="F157" s="185">
        <f t="shared" si="87"/>
        <v>-9.6155733040281799E-4</v>
      </c>
      <c r="G157" s="185">
        <f t="shared" si="87"/>
        <v>-0.19161264977411119</v>
      </c>
      <c r="H157" s="185">
        <f t="shared" si="87"/>
        <v>0.19025634795286117</v>
      </c>
      <c r="I157" s="185">
        <f t="shared" si="87"/>
        <v>-0.54541186077370618</v>
      </c>
      <c r="J157" s="185">
        <f t="shared" si="87"/>
        <v>0.61635530806538541</v>
      </c>
      <c r="K157" s="185">
        <f t="shared" si="87"/>
        <v>7.6681576973300469E-2</v>
      </c>
      <c r="L157" s="185">
        <f t="shared" si="87"/>
        <v>-0.44729440301396017</v>
      </c>
      <c r="M157" s="185">
        <f t="shared" si="87"/>
        <v>0.25962930108781923</v>
      </c>
      <c r="N157" s="400"/>
      <c r="O157" s="401">
        <f>O154/R183-1</f>
        <v>-0.25605120731198228</v>
      </c>
      <c r="P157" s="398">
        <f>P154/O154-1</f>
        <v>0.40797983874937249</v>
      </c>
      <c r="Q157" s="398">
        <f>Q154/P154-1</f>
        <v>-0.25015382033784539</v>
      </c>
      <c r="R157" s="398">
        <f>R154/Q154-1</f>
        <v>-0.18736363127762345</v>
      </c>
      <c r="S157" s="385"/>
    </row>
    <row r="158" spans="1:20">
      <c r="A158" s="385"/>
      <c r="B158" s="402"/>
      <c r="C158" s="402"/>
      <c r="D158" s="402"/>
      <c r="E158" s="402"/>
      <c r="F158" s="402"/>
      <c r="G158" s="427"/>
      <c r="H158" s="402"/>
      <c r="I158" s="402"/>
      <c r="J158" s="403"/>
      <c r="K158" s="403"/>
      <c r="L158" s="403"/>
      <c r="M158" s="403"/>
      <c r="N158" s="404"/>
      <c r="O158" s="404"/>
      <c r="P158" s="404"/>
      <c r="Q158" s="404"/>
      <c r="R158" s="404"/>
      <c r="S158" s="385"/>
    </row>
    <row r="159" spans="1:20" s="448" customFormat="1">
      <c r="A159" s="430" t="s">
        <v>146</v>
      </c>
      <c r="B159" s="424">
        <f t="shared" ref="B159:M159" si="88">B164+B169</f>
        <v>178</v>
      </c>
      <c r="C159" s="424">
        <f t="shared" si="88"/>
        <v>118</v>
      </c>
      <c r="D159" s="424">
        <f t="shared" si="88"/>
        <v>184</v>
      </c>
      <c r="E159" s="424">
        <f t="shared" si="88"/>
        <v>187</v>
      </c>
      <c r="F159" s="424">
        <f t="shared" si="88"/>
        <v>211</v>
      </c>
      <c r="G159" s="424">
        <f t="shared" si="88"/>
        <v>200</v>
      </c>
      <c r="H159" s="424">
        <f t="shared" si="88"/>
        <v>213</v>
      </c>
      <c r="I159" s="424">
        <f t="shared" si="88"/>
        <v>171</v>
      </c>
      <c r="J159" s="424">
        <f t="shared" si="88"/>
        <v>165</v>
      </c>
      <c r="K159" s="424">
        <f t="shared" si="88"/>
        <v>138</v>
      </c>
      <c r="L159" s="424">
        <f t="shared" si="88"/>
        <v>138</v>
      </c>
      <c r="M159" s="424">
        <f t="shared" si="88"/>
        <v>166</v>
      </c>
      <c r="N159" s="452">
        <f>SUM(B159:M159)</f>
        <v>2069</v>
      </c>
      <c r="O159" s="442">
        <f>SUM(B159:D159)</f>
        <v>480</v>
      </c>
      <c r="P159" s="442">
        <f>SUM(E159:G159)</f>
        <v>598</v>
      </c>
      <c r="Q159" s="442">
        <f>SUM(H159:J159)</f>
        <v>549</v>
      </c>
      <c r="R159" s="441">
        <f>SUM(K159:M159)</f>
        <v>442</v>
      </c>
      <c r="S159" s="451"/>
    </row>
    <row r="160" spans="1:20">
      <c r="A160" s="390" t="s">
        <v>158</v>
      </c>
      <c r="B160" s="396">
        <f t="shared" ref="B160:R160" si="89">B159/B187-1</f>
        <v>-0.9755090809025867</v>
      </c>
      <c r="C160" s="396">
        <f t="shared" si="89"/>
        <v>-0.89520426287744226</v>
      </c>
      <c r="D160" s="396">
        <f t="shared" si="89"/>
        <v>-0.68330464716006878</v>
      </c>
      <c r="E160" s="396">
        <f t="shared" si="89"/>
        <v>1.2530120481927711</v>
      </c>
      <c r="F160" s="396">
        <f t="shared" si="89"/>
        <v>0.85087719298245612</v>
      </c>
      <c r="G160" s="396">
        <f t="shared" si="89"/>
        <v>0.29032258064516125</v>
      </c>
      <c r="H160" s="396">
        <f t="shared" si="89"/>
        <v>0.1899441340782122</v>
      </c>
      <c r="I160" s="396">
        <f t="shared" si="89"/>
        <v>-0.12307692307692308</v>
      </c>
      <c r="J160" s="396">
        <f t="shared" si="89"/>
        <v>-0.22535211267605637</v>
      </c>
      <c r="K160" s="396">
        <f t="shared" si="89"/>
        <v>-0.36986301369863017</v>
      </c>
      <c r="L160" s="396">
        <f t="shared" si="89"/>
        <v>-0.26984126984126988</v>
      </c>
      <c r="M160" s="396">
        <f t="shared" si="89"/>
        <v>-0.14871794871794874</v>
      </c>
      <c r="N160" s="397">
        <f t="shared" si="89"/>
        <v>-0.80327089474184654</v>
      </c>
      <c r="O160" s="401">
        <f t="shared" si="89"/>
        <v>-0.94651810584958218</v>
      </c>
      <c r="P160" s="401">
        <f t="shared" si="89"/>
        <v>0.69886363636363646</v>
      </c>
      <c r="Q160" s="401">
        <f t="shared" si="89"/>
        <v>-6.4735945485519641E-2</v>
      </c>
      <c r="R160" s="401">
        <f t="shared" si="89"/>
        <v>-0.2669983416252073</v>
      </c>
      <c r="S160" s="385"/>
    </row>
    <row r="161" spans="1:19">
      <c r="A161" s="390" t="s">
        <v>144</v>
      </c>
      <c r="B161" s="396">
        <f t="shared" ref="B161:R161" si="90">B159/B213-1</f>
        <v>-0.97482675717720269</v>
      </c>
      <c r="C161" s="396">
        <f t="shared" si="90"/>
        <v>-0.98311390955924438</v>
      </c>
      <c r="D161" s="396">
        <f t="shared" si="90"/>
        <v>-0.97397085867873812</v>
      </c>
      <c r="E161" s="396">
        <f t="shared" si="90"/>
        <v>-0.97376543209876543</v>
      </c>
      <c r="F161" s="396">
        <f t="shared" si="90"/>
        <v>-0.97024816694867455</v>
      </c>
      <c r="G161" s="396">
        <f t="shared" si="90"/>
        <v>-0.97189432265317599</v>
      </c>
      <c r="H161" s="396">
        <f t="shared" si="90"/>
        <v>-0.97230889235569418</v>
      </c>
      <c r="I161" s="396">
        <f t="shared" si="90"/>
        <v>-0.97848244620611546</v>
      </c>
      <c r="J161" s="396">
        <f t="shared" si="90"/>
        <v>-0.9756169646815428</v>
      </c>
      <c r="K161" s="396">
        <f t="shared" si="90"/>
        <v>-0.97968795996467473</v>
      </c>
      <c r="L161" s="396">
        <f t="shared" si="90"/>
        <v>-0.97911622276029053</v>
      </c>
      <c r="M161" s="396">
        <f t="shared" si="90"/>
        <v>-0.9763532763532764</v>
      </c>
      <c r="N161" s="397">
        <f t="shared" si="90"/>
        <v>-0.97574215635698547</v>
      </c>
      <c r="O161" s="401">
        <f t="shared" si="90"/>
        <v>-0.97728133282847407</v>
      </c>
      <c r="P161" s="401">
        <f t="shared" si="90"/>
        <v>-0.9719722534683165</v>
      </c>
      <c r="Q161" s="401">
        <f t="shared" si="90"/>
        <v>-0.97549763456217087</v>
      </c>
      <c r="R161" s="401">
        <f t="shared" si="90"/>
        <v>-0.97835667417490946</v>
      </c>
      <c r="S161" s="385"/>
    </row>
    <row r="162" spans="1:19" ht="15.5" customHeight="1">
      <c r="A162" s="390" t="s">
        <v>135</v>
      </c>
      <c r="B162" s="185">
        <f>B159/M213-1</f>
        <v>-0.9746438746438747</v>
      </c>
      <c r="C162" s="185">
        <f t="shared" ref="C162:M162" si="91">C159/B159-1</f>
        <v>-0.3370786516853933</v>
      </c>
      <c r="D162" s="185">
        <f t="shared" si="91"/>
        <v>0.55932203389830515</v>
      </c>
      <c r="E162" s="185">
        <f t="shared" si="91"/>
        <v>1.6304347826086918E-2</v>
      </c>
      <c r="F162" s="185">
        <f t="shared" si="91"/>
        <v>0.12834224598930488</v>
      </c>
      <c r="G162" s="185">
        <f t="shared" si="91"/>
        <v>-5.2132701421800931E-2</v>
      </c>
      <c r="H162" s="185">
        <f t="shared" si="91"/>
        <v>6.4999999999999947E-2</v>
      </c>
      <c r="I162" s="185">
        <f t="shared" si="91"/>
        <v>-0.19718309859154926</v>
      </c>
      <c r="J162" s="185">
        <f t="shared" si="91"/>
        <v>-3.5087719298245612E-2</v>
      </c>
      <c r="K162" s="185">
        <f t="shared" si="91"/>
        <v>-0.16363636363636369</v>
      </c>
      <c r="L162" s="185">
        <f t="shared" si="91"/>
        <v>0</v>
      </c>
      <c r="M162" s="185">
        <f t="shared" si="91"/>
        <v>0.20289855072463769</v>
      </c>
      <c r="N162" s="400"/>
      <c r="O162" s="401">
        <f>O159/R187-1</f>
        <v>-0.20398009950248752</v>
      </c>
      <c r="P162" s="401">
        <f>P159/O159-1</f>
        <v>0.24583333333333335</v>
      </c>
      <c r="Q162" s="401">
        <f>Q159/P159-1</f>
        <v>-8.1939799331103624E-2</v>
      </c>
      <c r="R162" s="401">
        <f>R159/Q159-1</f>
        <v>-0.19489981785063748</v>
      </c>
      <c r="S162" s="385"/>
    </row>
    <row r="163" spans="1:19">
      <c r="A163" s="385"/>
      <c r="B163" s="402"/>
      <c r="D163" s="402"/>
      <c r="E163" s="402"/>
      <c r="F163" s="434"/>
      <c r="G163" s="427"/>
      <c r="H163" s="402"/>
      <c r="I163" s="402"/>
      <c r="J163" s="403"/>
      <c r="K163" s="403"/>
      <c r="L163" s="403"/>
      <c r="M163" s="403"/>
      <c r="N163" s="404"/>
      <c r="O163" s="404"/>
      <c r="P163" s="404"/>
      <c r="Q163" s="404"/>
      <c r="R163" s="404"/>
      <c r="S163" s="385"/>
    </row>
    <row r="164" spans="1:19">
      <c r="A164" s="431" t="s">
        <v>147</v>
      </c>
      <c r="B164" s="391">
        <v>142</v>
      </c>
      <c r="C164" s="391">
        <v>91</v>
      </c>
      <c r="D164" s="391">
        <v>138</v>
      </c>
      <c r="E164" s="391">
        <v>136</v>
      </c>
      <c r="F164" s="391">
        <v>130</v>
      </c>
      <c r="G164" s="391">
        <v>121</v>
      </c>
      <c r="H164" s="391">
        <v>132</v>
      </c>
      <c r="I164" s="391">
        <v>138</v>
      </c>
      <c r="J164" s="391">
        <v>123</v>
      </c>
      <c r="K164" s="454">
        <v>108</v>
      </c>
      <c r="L164" s="391">
        <v>104</v>
      </c>
      <c r="M164" s="391">
        <v>115</v>
      </c>
      <c r="N164" s="393">
        <f>SUM(B164:M164)</f>
        <v>1478</v>
      </c>
      <c r="O164" s="394">
        <f>SUM(B164:D164)</f>
        <v>371</v>
      </c>
      <c r="P164" s="394">
        <f>SUM(E164:G164)</f>
        <v>387</v>
      </c>
      <c r="Q164" s="394">
        <f>SUM(H164:J164)</f>
        <v>393</v>
      </c>
      <c r="R164" s="395">
        <f>SUM(K164:M164)</f>
        <v>327</v>
      </c>
      <c r="S164" s="385"/>
    </row>
    <row r="165" spans="1:19">
      <c r="A165" s="390" t="s">
        <v>158</v>
      </c>
      <c r="B165" s="396">
        <f t="shared" ref="B165:R165" si="92">B164/B191-1</f>
        <v>-0.97845873786407767</v>
      </c>
      <c r="C165" s="396">
        <f t="shared" si="92"/>
        <v>-0.91349809885931554</v>
      </c>
      <c r="D165" s="396">
        <f t="shared" si="92"/>
        <v>-0.75</v>
      </c>
      <c r="E165" s="396">
        <f t="shared" si="92"/>
        <v>0.76623376623376616</v>
      </c>
      <c r="F165" s="396">
        <f t="shared" si="92"/>
        <v>0.23809523809523814</v>
      </c>
      <c r="G165" s="396">
        <f t="shared" si="92"/>
        <v>-0.14184397163120566</v>
      </c>
      <c r="H165" s="396">
        <f t="shared" si="92"/>
        <v>-0.16981132075471694</v>
      </c>
      <c r="I165" s="396">
        <f t="shared" si="92"/>
        <v>-0.21142857142857141</v>
      </c>
      <c r="J165" s="396">
        <f t="shared" si="92"/>
        <v>-0.34920634920634919</v>
      </c>
      <c r="K165" s="396">
        <f t="shared" si="92"/>
        <v>-0.42553191489361697</v>
      </c>
      <c r="L165" s="396">
        <f t="shared" si="92"/>
        <v>-0.3619631901840491</v>
      </c>
      <c r="M165" s="396">
        <f t="shared" si="92"/>
        <v>-0.29447852760736193</v>
      </c>
      <c r="N165" s="397">
        <f t="shared" si="92"/>
        <v>-0.84533277521975725</v>
      </c>
      <c r="O165" s="401">
        <f t="shared" si="92"/>
        <v>-0.95473401659346024</v>
      </c>
      <c r="P165" s="401">
        <f t="shared" si="92"/>
        <v>0.19814241486068118</v>
      </c>
      <c r="Q165" s="401">
        <f t="shared" si="92"/>
        <v>-0.24856596558317401</v>
      </c>
      <c r="R165" s="401">
        <f t="shared" si="92"/>
        <v>-0.36381322957198448</v>
      </c>
      <c r="S165" s="385"/>
    </row>
    <row r="166" spans="1:19">
      <c r="A166" s="390" t="s">
        <v>144</v>
      </c>
      <c r="B166" s="396">
        <f t="shared" ref="B166:R166" si="93">B164/B217-1</f>
        <v>-0.97662551440329215</v>
      </c>
      <c r="C166" s="396">
        <f t="shared" si="93"/>
        <v>-0.98476477482002345</v>
      </c>
      <c r="D166" s="396">
        <f t="shared" si="93"/>
        <v>-0.9771749917300695</v>
      </c>
      <c r="E166" s="396">
        <f t="shared" si="93"/>
        <v>-0.97763157894736841</v>
      </c>
      <c r="F166" s="396">
        <f t="shared" si="93"/>
        <v>-0.97844470237108272</v>
      </c>
      <c r="G166" s="396">
        <f t="shared" si="93"/>
        <v>-0.98010195691498114</v>
      </c>
      <c r="H166" s="396">
        <f t="shared" si="93"/>
        <v>-0.97996965098634292</v>
      </c>
      <c r="I166" s="396">
        <f t="shared" si="93"/>
        <v>-0.98031664527171591</v>
      </c>
      <c r="J166" s="396">
        <f t="shared" si="93"/>
        <v>-0.97969962039940583</v>
      </c>
      <c r="K166" s="396">
        <f t="shared" si="93"/>
        <v>-0.98213103904698873</v>
      </c>
      <c r="L166" s="396">
        <f t="shared" si="93"/>
        <v>-0.98238482384823844</v>
      </c>
      <c r="M166" s="396">
        <f t="shared" si="93"/>
        <v>-0.98181530676786843</v>
      </c>
      <c r="N166" s="397">
        <f t="shared" si="93"/>
        <v>-0.98008569349753427</v>
      </c>
      <c r="O166" s="401">
        <f t="shared" si="93"/>
        <v>-0.97949596551342988</v>
      </c>
      <c r="P166" s="401">
        <f t="shared" si="93"/>
        <v>-0.97872691292875991</v>
      </c>
      <c r="Q166" s="401">
        <f t="shared" si="93"/>
        <v>-0.98001017293997961</v>
      </c>
      <c r="R166" s="401">
        <f t="shared" si="93"/>
        <v>-0.98210376532399302</v>
      </c>
      <c r="S166" s="385"/>
    </row>
    <row r="167" spans="1:19" ht="15.5" customHeight="1">
      <c r="A167" s="390" t="s">
        <v>135</v>
      </c>
      <c r="B167" s="185">
        <f>B164/M191-1</f>
        <v>-0.12883435582822089</v>
      </c>
      <c r="C167" s="185">
        <f t="shared" ref="C167:M167" si="94">C164/B164-1</f>
        <v>-0.35915492957746475</v>
      </c>
      <c r="D167" s="185">
        <f t="shared" si="94"/>
        <v>0.51648351648351642</v>
      </c>
      <c r="E167" s="185">
        <f t="shared" si="94"/>
        <v>-1.4492753623188359E-2</v>
      </c>
      <c r="F167" s="185">
        <f t="shared" si="94"/>
        <v>-4.4117647058823484E-2</v>
      </c>
      <c r="G167" s="185">
        <f t="shared" si="94"/>
        <v>-6.9230769230769207E-2</v>
      </c>
      <c r="H167" s="185">
        <f t="shared" si="94"/>
        <v>9.0909090909090828E-2</v>
      </c>
      <c r="I167" s="185">
        <f t="shared" si="94"/>
        <v>4.5454545454545414E-2</v>
      </c>
      <c r="J167" s="185">
        <f t="shared" si="94"/>
        <v>-0.10869565217391308</v>
      </c>
      <c r="K167" s="185">
        <f t="shared" si="94"/>
        <v>-0.12195121951219512</v>
      </c>
      <c r="L167" s="185">
        <f t="shared" si="94"/>
        <v>-3.703703703703709E-2</v>
      </c>
      <c r="M167" s="185">
        <f t="shared" si="94"/>
        <v>0.10576923076923084</v>
      </c>
      <c r="N167" s="400"/>
      <c r="O167" s="401">
        <f>O164/R191</f>
        <v>0.72178988326848248</v>
      </c>
      <c r="P167" s="398">
        <f>P164/O164-1</f>
        <v>4.3126684636118684E-2</v>
      </c>
      <c r="Q167" s="398">
        <f>Q164/P164-1</f>
        <v>1.5503875968992276E-2</v>
      </c>
      <c r="R167" s="398">
        <f>R164/Q164-1</f>
        <v>-0.16793893129770987</v>
      </c>
      <c r="S167" s="385"/>
    </row>
    <row r="168" spans="1:19">
      <c r="A168" s="385"/>
      <c r="B168" s="402"/>
      <c r="C168" s="402"/>
      <c r="D168" s="403"/>
      <c r="E168" s="402"/>
      <c r="F168" s="434"/>
      <c r="G168" s="387"/>
      <c r="H168" s="402"/>
      <c r="I168" s="402"/>
      <c r="J168" s="403"/>
      <c r="K168" s="403"/>
      <c r="L168" s="403"/>
      <c r="M168" s="403"/>
      <c r="N168" s="404"/>
      <c r="O168" s="404"/>
      <c r="P168" s="404"/>
      <c r="Q168" s="404"/>
      <c r="R168" s="404"/>
      <c r="S168" s="385"/>
    </row>
    <row r="169" spans="1:19">
      <c r="A169" s="433" t="s">
        <v>148</v>
      </c>
      <c r="B169" s="391">
        <v>36</v>
      </c>
      <c r="C169" s="391">
        <v>27</v>
      </c>
      <c r="D169" s="391">
        <v>46</v>
      </c>
      <c r="E169" s="391">
        <v>51</v>
      </c>
      <c r="F169" s="391">
        <v>81</v>
      </c>
      <c r="G169" s="391">
        <v>79</v>
      </c>
      <c r="H169" s="391">
        <v>81</v>
      </c>
      <c r="I169" s="391">
        <v>33</v>
      </c>
      <c r="J169" s="391">
        <v>42</v>
      </c>
      <c r="K169" s="391">
        <v>30</v>
      </c>
      <c r="L169" s="391">
        <v>34</v>
      </c>
      <c r="M169" s="391">
        <v>51</v>
      </c>
      <c r="N169" s="393">
        <f>SUM(B169:M169)</f>
        <v>591</v>
      </c>
      <c r="O169" s="394">
        <f>SUM(B169:D169)</f>
        <v>109</v>
      </c>
      <c r="P169" s="394">
        <f>SUM(E169:G169)</f>
        <v>211</v>
      </c>
      <c r="Q169" s="394">
        <f>SUM(H169:J169)</f>
        <v>156</v>
      </c>
      <c r="R169" s="395">
        <f>SUM(K169:M169)</f>
        <v>115</v>
      </c>
      <c r="S169" s="385"/>
    </row>
    <row r="170" spans="1:19">
      <c r="A170" s="390" t="s">
        <v>158</v>
      </c>
      <c r="B170" s="396">
        <f t="shared" ref="B170:R170" si="95">B169/B195-1</f>
        <v>-0.94674556213017746</v>
      </c>
      <c r="C170" s="396">
        <f t="shared" si="95"/>
        <v>-0.63513513513513509</v>
      </c>
      <c r="D170" s="396">
        <f t="shared" si="95"/>
        <v>0.5862068965517242</v>
      </c>
      <c r="E170" s="396">
        <f t="shared" si="95"/>
        <v>7.5</v>
      </c>
      <c r="F170" s="396">
        <f t="shared" si="95"/>
        <v>8</v>
      </c>
      <c r="G170" s="396">
        <f t="shared" si="95"/>
        <v>4.6428571428571432</v>
      </c>
      <c r="H170" s="396">
        <f t="shared" si="95"/>
        <v>3.05</v>
      </c>
      <c r="I170" s="396">
        <f t="shared" si="95"/>
        <v>0.64999999999999991</v>
      </c>
      <c r="J170" s="396">
        <f t="shared" si="95"/>
        <v>0.75</v>
      </c>
      <c r="K170" s="396">
        <f t="shared" si="95"/>
        <v>-3.2258064516129004E-2</v>
      </c>
      <c r="L170" s="396">
        <f t="shared" si="95"/>
        <v>0.30769230769230771</v>
      </c>
      <c r="M170" s="396">
        <f t="shared" si="95"/>
        <v>0.59375</v>
      </c>
      <c r="N170" s="397">
        <f t="shared" si="95"/>
        <v>-0.38501560874089491</v>
      </c>
      <c r="O170" s="396">
        <f t="shared" si="95"/>
        <v>-0.86007702182284984</v>
      </c>
      <c r="P170" s="396">
        <f t="shared" si="95"/>
        <v>6.2758620689655169</v>
      </c>
      <c r="Q170" s="396">
        <f t="shared" si="95"/>
        <v>1.4375</v>
      </c>
      <c r="R170" s="396">
        <f t="shared" si="95"/>
        <v>0.2921348314606742</v>
      </c>
      <c r="S170" s="385"/>
    </row>
    <row r="171" spans="1:19">
      <c r="A171" s="390" t="s">
        <v>144</v>
      </c>
      <c r="B171" s="396">
        <f t="shared" ref="B171:R171" si="96">B169/B221-1</f>
        <v>-0.96385542168674698</v>
      </c>
      <c r="C171" s="396">
        <f t="shared" si="96"/>
        <v>-0.97339901477832513</v>
      </c>
      <c r="D171" s="396">
        <f t="shared" si="96"/>
        <v>-0.95503421309872927</v>
      </c>
      <c r="E171" s="396">
        <f t="shared" si="96"/>
        <v>-0.95133587786259544</v>
      </c>
      <c r="F171" s="396">
        <f t="shared" si="96"/>
        <v>-0.92365692742695571</v>
      </c>
      <c r="G171" s="396">
        <f t="shared" si="96"/>
        <v>-0.92367149758454103</v>
      </c>
      <c r="H171" s="396">
        <f t="shared" si="96"/>
        <v>-0.926497277676951</v>
      </c>
      <c r="I171" s="396">
        <f t="shared" si="96"/>
        <v>-0.96474358974358976</v>
      </c>
      <c r="J171" s="396">
        <f t="shared" si="96"/>
        <v>-0.94067796610169496</v>
      </c>
      <c r="K171" s="396">
        <f t="shared" si="96"/>
        <v>-0.96</v>
      </c>
      <c r="L171" s="396">
        <f t="shared" si="96"/>
        <v>-0.95170454545454541</v>
      </c>
      <c r="M171" s="396">
        <f t="shared" si="96"/>
        <v>-0.92672413793103448</v>
      </c>
      <c r="N171" s="397">
        <f t="shared" si="96"/>
        <v>-0.94663175004515077</v>
      </c>
      <c r="O171" s="396">
        <f t="shared" si="96"/>
        <v>-0.96407382992748847</v>
      </c>
      <c r="P171" s="396">
        <f t="shared" si="96"/>
        <v>-0.93288804071246823</v>
      </c>
      <c r="Q171" s="396">
        <f t="shared" si="96"/>
        <v>-0.9431900946831755</v>
      </c>
      <c r="R171" s="396">
        <f t="shared" si="96"/>
        <v>-0.94651162790697674</v>
      </c>
      <c r="S171" s="385"/>
    </row>
    <row r="172" spans="1:19" ht="15.5" customHeight="1">
      <c r="A172" s="390" t="s">
        <v>135</v>
      </c>
      <c r="B172" s="185">
        <f>B169/M195-1</f>
        <v>0.125</v>
      </c>
      <c r="C172" s="185">
        <f t="shared" ref="C172:M172" si="97">C169/B169-1</f>
        <v>-0.25</v>
      </c>
      <c r="D172" s="185">
        <f t="shared" si="97"/>
        <v>0.70370370370370372</v>
      </c>
      <c r="E172" s="185">
        <f t="shared" si="97"/>
        <v>0.10869565217391308</v>
      </c>
      <c r="F172" s="185">
        <f t="shared" si="97"/>
        <v>0.58823529411764697</v>
      </c>
      <c r="G172" s="185">
        <f t="shared" si="97"/>
        <v>-2.4691358024691357E-2</v>
      </c>
      <c r="H172" s="185">
        <f t="shared" si="97"/>
        <v>2.5316455696202445E-2</v>
      </c>
      <c r="I172" s="185">
        <f t="shared" si="97"/>
        <v>-0.59259259259259256</v>
      </c>
      <c r="J172" s="185">
        <f t="shared" si="97"/>
        <v>0.27272727272727271</v>
      </c>
      <c r="K172" s="185">
        <f t="shared" si="97"/>
        <v>-0.2857142857142857</v>
      </c>
      <c r="L172" s="185">
        <f t="shared" si="97"/>
        <v>0.1333333333333333</v>
      </c>
      <c r="M172" s="185">
        <f t="shared" si="97"/>
        <v>0.5</v>
      </c>
      <c r="N172" s="400"/>
      <c r="O172" s="401">
        <f>O169/R195-1</f>
        <v>0.22471910112359561</v>
      </c>
      <c r="P172" s="398">
        <f>P169/O169-1</f>
        <v>0.93577981651376141</v>
      </c>
      <c r="Q172" s="398">
        <f>Q169/P169-1</f>
        <v>-0.26066350710900477</v>
      </c>
      <c r="R172" s="398">
        <f>R169/Q169-1</f>
        <v>-0.26282051282051277</v>
      </c>
      <c r="S172" s="385"/>
    </row>
    <row r="173" spans="1:19">
      <c r="A173" s="385"/>
      <c r="B173" s="385"/>
      <c r="C173" s="434"/>
      <c r="D173" s="385"/>
      <c r="E173" s="385"/>
      <c r="F173" s="385"/>
      <c r="G173" s="387"/>
      <c r="H173" s="385"/>
      <c r="I173" s="385"/>
      <c r="J173" s="385"/>
      <c r="K173" s="385"/>
      <c r="L173" s="385"/>
      <c r="M173" s="385"/>
      <c r="N173" s="385"/>
      <c r="O173" s="386"/>
      <c r="P173" s="386"/>
      <c r="Q173" s="386"/>
      <c r="R173" s="386"/>
      <c r="S173" s="385"/>
    </row>
    <row r="174" spans="1:19" s="444" customFormat="1" ht="15.5" customHeight="1">
      <c r="A174" s="422" t="s">
        <v>159</v>
      </c>
      <c r="B174" s="184" t="s">
        <v>51</v>
      </c>
      <c r="C174" s="184" t="s">
        <v>52</v>
      </c>
      <c r="D174" s="184" t="s">
        <v>53</v>
      </c>
      <c r="E174" s="184" t="s">
        <v>54</v>
      </c>
      <c r="F174" s="184" t="s">
        <v>55</v>
      </c>
      <c r="G174" s="184" t="s">
        <v>77</v>
      </c>
      <c r="H174" s="184" t="s">
        <v>78</v>
      </c>
      <c r="I174" s="184" t="s">
        <v>79</v>
      </c>
      <c r="J174" s="184" t="s">
        <v>80</v>
      </c>
      <c r="K174" s="184" t="s">
        <v>81</v>
      </c>
      <c r="L174" s="184" t="s">
        <v>82</v>
      </c>
      <c r="M174" s="184" t="s">
        <v>44</v>
      </c>
      <c r="N174" s="400" t="s">
        <v>128</v>
      </c>
      <c r="O174" s="55" t="s">
        <v>129</v>
      </c>
      <c r="P174" s="55" t="s">
        <v>130</v>
      </c>
      <c r="Q174" s="55" t="s">
        <v>131</v>
      </c>
      <c r="R174" s="55" t="s">
        <v>132</v>
      </c>
      <c r="S174" s="445"/>
    </row>
    <row r="175" spans="1:19">
      <c r="A175" s="423" t="s">
        <v>133</v>
      </c>
      <c r="B175" s="391">
        <v>50602</v>
      </c>
      <c r="C175" s="391">
        <v>8340</v>
      </c>
      <c r="D175" s="391">
        <v>15146</v>
      </c>
      <c r="E175" s="391">
        <v>16715</v>
      </c>
      <c r="F175" s="391">
        <v>25831</v>
      </c>
      <c r="G175" s="391">
        <v>30739</v>
      </c>
      <c r="H175" s="391">
        <v>39100</v>
      </c>
      <c r="I175" s="391">
        <v>46165</v>
      </c>
      <c r="J175" s="391">
        <v>47940</v>
      </c>
      <c r="K175" s="391">
        <v>50323</v>
      </c>
      <c r="L175" s="391">
        <v>44412</v>
      </c>
      <c r="M175" s="391">
        <v>42323</v>
      </c>
      <c r="N175" s="393">
        <f>SUM(B175:M175)</f>
        <v>417636</v>
      </c>
      <c r="O175" s="394">
        <f>SUM(B175:D175)</f>
        <v>74088</v>
      </c>
      <c r="P175" s="394">
        <f>SUM(E175:G175)</f>
        <v>73285</v>
      </c>
      <c r="Q175" s="394">
        <f>SUM(H175:J175)</f>
        <v>133205</v>
      </c>
      <c r="R175" s="395">
        <f>SUM(K175:M175)</f>
        <v>137058</v>
      </c>
      <c r="S175" s="385"/>
    </row>
    <row r="176" spans="1:19">
      <c r="A176" s="390" t="s">
        <v>134</v>
      </c>
      <c r="B176" s="396">
        <f t="shared" ref="B176:R176" si="98">B175/B201-1</f>
        <v>-5.2627637466534316E-2</v>
      </c>
      <c r="C176" s="396">
        <f t="shared" si="98"/>
        <v>-0.84505629249804926</v>
      </c>
      <c r="D176" s="396">
        <f t="shared" si="98"/>
        <v>-0.71691836124401909</v>
      </c>
      <c r="E176" s="396">
        <f t="shared" si="98"/>
        <v>-0.68532324259196509</v>
      </c>
      <c r="F176" s="396">
        <f t="shared" si="98"/>
        <v>-0.52611495349391846</v>
      </c>
      <c r="G176" s="396">
        <f t="shared" si="98"/>
        <v>-0.42451417231437449</v>
      </c>
      <c r="H176" s="396">
        <f t="shared" si="98"/>
        <v>-0.34065192829800506</v>
      </c>
      <c r="I176" s="396">
        <f t="shared" si="98"/>
        <v>-0.2461380188771678</v>
      </c>
      <c r="J176" s="396">
        <f t="shared" si="98"/>
        <v>-0.12443153799791795</v>
      </c>
      <c r="K176" s="396">
        <f t="shared" si="98"/>
        <v>-0.11686146502404271</v>
      </c>
      <c r="L176" s="396">
        <f t="shared" si="98"/>
        <v>-0.16295374872780732</v>
      </c>
      <c r="M176" s="396">
        <f t="shared" si="98"/>
        <v>-0.19782031842304781</v>
      </c>
      <c r="N176" s="397">
        <f t="shared" si="98"/>
        <v>-0.36709927319678237</v>
      </c>
      <c r="O176" s="396">
        <f t="shared" si="98"/>
        <v>-0.53909034919094456</v>
      </c>
      <c r="P176" s="396">
        <f t="shared" si="98"/>
        <v>-0.54492955210163874</v>
      </c>
      <c r="Q176" s="396">
        <f t="shared" si="98"/>
        <v>-0.24009652465600251</v>
      </c>
      <c r="R176" s="396">
        <f t="shared" si="98"/>
        <v>-0.15812039312039317</v>
      </c>
      <c r="S176" s="385"/>
    </row>
    <row r="177" spans="1:19" ht="15.5" customHeight="1">
      <c r="A177" s="390" t="s">
        <v>135</v>
      </c>
      <c r="B177" s="185">
        <f>B175/M201</f>
        <v>0.95909780136467015</v>
      </c>
      <c r="C177" s="185">
        <f t="shared" ref="C177:M177" si="99">C175/B175-1</f>
        <v>-0.83518438006402906</v>
      </c>
      <c r="D177" s="185">
        <f t="shared" si="99"/>
        <v>0.81606714628297361</v>
      </c>
      <c r="E177" s="185">
        <f t="shared" si="99"/>
        <v>0.10359170738148693</v>
      </c>
      <c r="F177" s="185">
        <f t="shared" si="99"/>
        <v>0.54537840263236603</v>
      </c>
      <c r="G177" s="185">
        <f t="shared" si="99"/>
        <v>0.19000425844915014</v>
      </c>
      <c r="H177" s="185">
        <f t="shared" si="99"/>
        <v>0.27199973974429881</v>
      </c>
      <c r="I177" s="185">
        <f t="shared" si="99"/>
        <v>0.18069053708439897</v>
      </c>
      <c r="J177" s="185">
        <f t="shared" si="99"/>
        <v>3.8449041481641855E-2</v>
      </c>
      <c r="K177" s="185">
        <f t="shared" si="99"/>
        <v>4.97079682937005E-2</v>
      </c>
      <c r="L177" s="185">
        <f t="shared" si="99"/>
        <v>-0.1174612006438408</v>
      </c>
      <c r="M177" s="185">
        <f t="shared" si="99"/>
        <v>-4.7036836890930411E-2</v>
      </c>
      <c r="N177" s="400"/>
      <c r="O177" s="401">
        <f>O175/R201-1</f>
        <v>-0.54491400491400488</v>
      </c>
      <c r="P177" s="398">
        <f>P175/O175-1</f>
        <v>-1.0838462369074597E-2</v>
      </c>
      <c r="Q177" s="398">
        <f>Q175/P175-1</f>
        <v>0.81762980146005315</v>
      </c>
      <c r="R177" s="398">
        <f>R175/Q175-1</f>
        <v>2.8925340640366448E-2</v>
      </c>
      <c r="S177" s="385"/>
    </row>
    <row r="178" spans="1:19">
      <c r="A178" s="385"/>
      <c r="B178" s="402"/>
      <c r="C178" s="402"/>
      <c r="D178" s="402"/>
      <c r="E178" s="402"/>
      <c r="F178" s="402"/>
      <c r="G178" s="427"/>
      <c r="H178" s="402"/>
      <c r="I178" s="402"/>
      <c r="J178" s="403"/>
      <c r="K178" s="403"/>
      <c r="L178" s="403"/>
      <c r="M178" s="403"/>
      <c r="N178" s="404"/>
      <c r="O178" s="404"/>
      <c r="P178" s="404"/>
      <c r="Q178" s="404"/>
      <c r="R178" s="404"/>
      <c r="S178" s="385"/>
    </row>
    <row r="179" spans="1:19" s="448" customFormat="1">
      <c r="A179" s="428" t="s">
        <v>137</v>
      </c>
      <c r="B179" s="424">
        <f t="shared" ref="B179:M179" si="100">B183-B195</f>
        <v>43335</v>
      </c>
      <c r="C179" s="424">
        <f t="shared" si="100"/>
        <v>7214</v>
      </c>
      <c r="D179" s="424">
        <f t="shared" si="100"/>
        <v>14565</v>
      </c>
      <c r="E179" s="424">
        <f t="shared" si="100"/>
        <v>16632</v>
      </c>
      <c r="F179" s="424">
        <f t="shared" si="100"/>
        <v>25717</v>
      </c>
      <c r="G179" s="424">
        <f t="shared" si="100"/>
        <v>30585</v>
      </c>
      <c r="H179" s="424">
        <f t="shared" si="100"/>
        <v>38921</v>
      </c>
      <c r="I179" s="424">
        <f t="shared" si="100"/>
        <v>45956</v>
      </c>
      <c r="J179" s="424">
        <f t="shared" si="100"/>
        <v>47726</v>
      </c>
      <c r="K179" s="424">
        <f t="shared" si="100"/>
        <v>50104</v>
      </c>
      <c r="L179" s="424">
        <f t="shared" si="100"/>
        <v>44222</v>
      </c>
      <c r="M179" s="424">
        <f t="shared" si="100"/>
        <v>42128</v>
      </c>
      <c r="N179" s="452">
        <f>SUM(B179:M179)</f>
        <v>407105</v>
      </c>
      <c r="O179" s="442">
        <f>SUM(B179:D179)</f>
        <v>65114</v>
      </c>
      <c r="P179" s="442">
        <f>SUM(E179:G179)</f>
        <v>72934</v>
      </c>
      <c r="Q179" s="442">
        <f>SUM(H179:J179)</f>
        <v>132603</v>
      </c>
      <c r="R179" s="441">
        <f>SUM(K179:M179)</f>
        <v>136454</v>
      </c>
      <c r="S179" s="451"/>
    </row>
    <row r="180" spans="1:19">
      <c r="A180" s="390" t="s">
        <v>134</v>
      </c>
      <c r="B180" s="396">
        <f t="shared" ref="B180:R180" si="101">B179/B205-1</f>
        <v>-6.4887143412023618E-2</v>
      </c>
      <c r="C180" s="396">
        <f t="shared" si="101"/>
        <v>-0.84597976002391218</v>
      </c>
      <c r="D180" s="396">
        <f t="shared" si="101"/>
        <v>-0.68633573812856685</v>
      </c>
      <c r="E180" s="396">
        <f t="shared" si="101"/>
        <v>-0.63835616438356158</v>
      </c>
      <c r="F180" s="396">
        <f t="shared" si="101"/>
        <v>-0.45764177404728257</v>
      </c>
      <c r="G180" s="396">
        <f t="shared" si="101"/>
        <v>-0.33938831051017326</v>
      </c>
      <c r="H180" s="396">
        <f t="shared" si="101"/>
        <v>-0.24584859229979272</v>
      </c>
      <c r="I180" s="396">
        <f t="shared" si="101"/>
        <v>-0.13764050214858048</v>
      </c>
      <c r="J180" s="396">
        <f t="shared" si="101"/>
        <v>-5.4182469887050777E-3</v>
      </c>
      <c r="K180" s="396">
        <f t="shared" si="101"/>
        <v>-1.6538147328989394E-3</v>
      </c>
      <c r="L180" s="396">
        <f t="shared" si="101"/>
        <v>-4.7965554359526319E-2</v>
      </c>
      <c r="M180" s="396">
        <f t="shared" si="101"/>
        <v>-7.8968080454744238E-2</v>
      </c>
      <c r="N180" s="397">
        <f t="shared" si="101"/>
        <v>-0.29147747148801828</v>
      </c>
      <c r="O180" s="396">
        <f t="shared" si="101"/>
        <v>-0.53361744798195043</v>
      </c>
      <c r="P180" s="396">
        <f t="shared" si="101"/>
        <v>-0.47794280805984035</v>
      </c>
      <c r="Q180" s="396">
        <f t="shared" si="101"/>
        <v>-0.13266747772850362</v>
      </c>
      <c r="R180" s="396">
        <f t="shared" si="101"/>
        <v>-4.1600820357220569E-2</v>
      </c>
      <c r="S180" s="385"/>
    </row>
    <row r="181" spans="1:19" ht="15.5" customHeight="1">
      <c r="A181" s="390" t="s">
        <v>135</v>
      </c>
      <c r="B181" s="185">
        <f>B179/M205-1</f>
        <v>-5.257979886313946E-2</v>
      </c>
      <c r="C181" s="185">
        <f t="shared" ref="C181:M181" si="102">C179/B179-1</f>
        <v>-0.8335294796353987</v>
      </c>
      <c r="D181" s="185">
        <f t="shared" si="102"/>
        <v>1.0189908511228167</v>
      </c>
      <c r="E181" s="185">
        <f t="shared" si="102"/>
        <v>0.14191555097837272</v>
      </c>
      <c r="F181" s="185">
        <f t="shared" si="102"/>
        <v>0.54623617123617119</v>
      </c>
      <c r="G181" s="185">
        <f t="shared" si="102"/>
        <v>0.18929113038068213</v>
      </c>
      <c r="H181" s="185">
        <f t="shared" si="102"/>
        <v>0.27255190452836353</v>
      </c>
      <c r="I181" s="185">
        <f t="shared" si="102"/>
        <v>0.18075075152231435</v>
      </c>
      <c r="J181" s="185">
        <f t="shared" si="102"/>
        <v>3.8515101401340512E-2</v>
      </c>
      <c r="K181" s="185">
        <f t="shared" si="102"/>
        <v>4.9826090600511241E-2</v>
      </c>
      <c r="L181" s="185">
        <f t="shared" si="102"/>
        <v>-0.11739581670126142</v>
      </c>
      <c r="M181" s="185">
        <f t="shared" si="102"/>
        <v>-4.7351996743702274E-2</v>
      </c>
      <c r="N181" s="400"/>
      <c r="O181" s="401">
        <f>O179/R205-1</f>
        <v>-0.54266489671786877</v>
      </c>
      <c r="P181" s="398">
        <f>P179/O179-1</f>
        <v>0.12009706053997604</v>
      </c>
      <c r="Q181" s="398">
        <f>Q179/P179-1</f>
        <v>0.81812323470534998</v>
      </c>
      <c r="R181" s="398">
        <f>R179/Q179-1</f>
        <v>2.9041575228313077E-2</v>
      </c>
      <c r="S181" s="385"/>
    </row>
    <row r="182" spans="1:19" ht="15.5" customHeight="1">
      <c r="A182" s="385"/>
      <c r="B182" s="186"/>
      <c r="C182" s="434"/>
      <c r="D182" s="434"/>
      <c r="E182" s="402"/>
      <c r="F182" s="434"/>
      <c r="G182" s="434"/>
      <c r="H182" s="434"/>
      <c r="I182" s="434"/>
      <c r="J182" s="434"/>
      <c r="K182" s="434"/>
      <c r="L182" s="434"/>
      <c r="M182" s="434"/>
      <c r="N182" s="436"/>
      <c r="O182" s="437"/>
      <c r="P182" s="438"/>
      <c r="Q182" s="438"/>
      <c r="R182" s="438"/>
      <c r="S182" s="385"/>
    </row>
    <row r="183" spans="1:19" s="250" customFormat="1">
      <c r="A183" s="429" t="s">
        <v>145</v>
      </c>
      <c r="B183" s="439">
        <v>44011</v>
      </c>
      <c r="C183" s="439">
        <v>7288</v>
      </c>
      <c r="D183" s="439">
        <v>14594</v>
      </c>
      <c r="E183" s="439">
        <v>16638</v>
      </c>
      <c r="F183" s="439">
        <v>25726</v>
      </c>
      <c r="G183" s="439">
        <v>30599</v>
      </c>
      <c r="H183" s="439">
        <v>38941</v>
      </c>
      <c r="I183" s="439">
        <v>45976</v>
      </c>
      <c r="J183" s="439">
        <v>47750</v>
      </c>
      <c r="K183" s="439">
        <v>50135</v>
      </c>
      <c r="L183" s="439">
        <v>44248</v>
      </c>
      <c r="M183" s="439">
        <v>42160</v>
      </c>
      <c r="N183" s="393">
        <f>SUM(B183:M183)</f>
        <v>408066</v>
      </c>
      <c r="O183" s="440">
        <f>SUM(B183:D183)</f>
        <v>65893</v>
      </c>
      <c r="P183" s="440">
        <f>SUM(E183:G183)</f>
        <v>72963</v>
      </c>
      <c r="Q183" s="440">
        <f>SUM(H183:J183)</f>
        <v>132667</v>
      </c>
      <c r="R183" s="453">
        <f>SUM(K183:M183)</f>
        <v>136543</v>
      </c>
      <c r="S183" s="385"/>
    </row>
    <row r="184" spans="1:19">
      <c r="A184" s="390" t="s">
        <v>134</v>
      </c>
      <c r="B184" s="396">
        <f t="shared" ref="B184:M184" si="103">B183/B209-1</f>
        <v>-7.0281803202501214E-2</v>
      </c>
      <c r="C184" s="396">
        <f t="shared" si="103"/>
        <v>-0.84770024867824378</v>
      </c>
      <c r="D184" s="396">
        <f t="shared" si="103"/>
        <v>-0.69248598761009728</v>
      </c>
      <c r="E184" s="396">
        <f t="shared" si="103"/>
        <v>-0.64628598154683448</v>
      </c>
      <c r="F184" s="396">
        <f t="shared" si="103"/>
        <v>-0.46932629233879286</v>
      </c>
      <c r="G184" s="396">
        <f t="shared" si="103"/>
        <v>-0.35353770096972514</v>
      </c>
      <c r="H184" s="396">
        <f t="shared" si="103"/>
        <v>-0.26123579518506579</v>
      </c>
      <c r="I184" s="396">
        <f t="shared" si="103"/>
        <v>-0.15215667471923577</v>
      </c>
      <c r="J184" s="396">
        <f t="shared" si="103"/>
        <v>-1.9386372037622723E-2</v>
      </c>
      <c r="K184" s="396">
        <f t="shared" si="103"/>
        <v>-1.5744939827630255E-2</v>
      </c>
      <c r="L184" s="396">
        <f t="shared" si="103"/>
        <v>-6.162785765788692E-2</v>
      </c>
      <c r="M184" s="396">
        <f t="shared" si="103"/>
        <v>-9.2083728141958865E-2</v>
      </c>
      <c r="N184" s="397">
        <f>N183/N201-1</f>
        <v>-0.38160199795113026</v>
      </c>
      <c r="O184" s="396">
        <f>O183/O209-1</f>
        <v>-0.53807597669804907</v>
      </c>
      <c r="P184" s="396">
        <f>P183/P209-1</f>
        <v>-0.48922988610350793</v>
      </c>
      <c r="Q184" s="396">
        <f>Q183/Q201-1</f>
        <v>-0.2431656892499372</v>
      </c>
      <c r="R184" s="396">
        <f>R183/R201-1</f>
        <v>-0.16128378378378383</v>
      </c>
      <c r="S184" s="385"/>
    </row>
    <row r="185" spans="1:19" ht="15.5" customHeight="1">
      <c r="A185" s="390" t="s">
        <v>135</v>
      </c>
      <c r="B185" s="185">
        <f>B183/M209-1</f>
        <v>-5.222241364458613E-2</v>
      </c>
      <c r="C185" s="185">
        <f t="shared" ref="C185:M185" si="104">C183/B183-1</f>
        <v>-0.83440503510486019</v>
      </c>
      <c r="D185" s="185">
        <f t="shared" si="104"/>
        <v>1.002469813391877</v>
      </c>
      <c r="E185" s="185">
        <f t="shared" si="104"/>
        <v>0.140057557900507</v>
      </c>
      <c r="F185" s="185">
        <f t="shared" si="104"/>
        <v>0.54621949753576149</v>
      </c>
      <c r="G185" s="185">
        <f t="shared" si="104"/>
        <v>0.18941926455725722</v>
      </c>
      <c r="H185" s="185">
        <f t="shared" si="104"/>
        <v>0.2726232883427564</v>
      </c>
      <c r="I185" s="185">
        <f t="shared" si="104"/>
        <v>0.18065791838935819</v>
      </c>
      <c r="J185" s="185">
        <f t="shared" si="104"/>
        <v>3.8585348877675285E-2</v>
      </c>
      <c r="K185" s="185">
        <f t="shared" si="104"/>
        <v>4.9947643979057599E-2</v>
      </c>
      <c r="L185" s="185">
        <f t="shared" si="104"/>
        <v>-0.11742295801336389</v>
      </c>
      <c r="M185" s="185">
        <f t="shared" si="104"/>
        <v>-4.7188573494847175E-2</v>
      </c>
      <c r="N185" s="400"/>
      <c r="O185" s="401">
        <f>O183/R201-1</f>
        <v>-0.59525184275184273</v>
      </c>
      <c r="P185" s="398">
        <f>P183/O183-1</f>
        <v>0.10729516033569575</v>
      </c>
      <c r="Q185" s="398">
        <f>Q183/P183-1</f>
        <v>0.81827775721941265</v>
      </c>
      <c r="R185" s="398">
        <f>R183/Q183-1</f>
        <v>2.9216006994957189E-2</v>
      </c>
      <c r="S185" s="385"/>
    </row>
    <row r="186" spans="1:19">
      <c r="A186" s="385"/>
      <c r="B186" s="402"/>
      <c r="C186" s="402"/>
      <c r="D186" s="402"/>
      <c r="E186" s="402"/>
      <c r="F186" s="402"/>
      <c r="G186" s="427"/>
      <c r="H186" s="402"/>
      <c r="I186" s="402"/>
      <c r="J186" s="403"/>
      <c r="K186" s="403"/>
      <c r="L186" s="403"/>
      <c r="M186" s="403"/>
      <c r="N186" s="404"/>
      <c r="O186" s="404"/>
      <c r="P186" s="404"/>
      <c r="Q186" s="404"/>
      <c r="R186" s="404"/>
      <c r="S186" s="385"/>
    </row>
    <row r="187" spans="1:19" s="448" customFormat="1">
      <c r="A187" s="430" t="s">
        <v>146</v>
      </c>
      <c r="B187" s="424">
        <f t="shared" ref="B187:M187" si="105">B191+B195</f>
        <v>7268</v>
      </c>
      <c r="C187" s="424">
        <f t="shared" si="105"/>
        <v>1126</v>
      </c>
      <c r="D187" s="424">
        <f t="shared" si="105"/>
        <v>581</v>
      </c>
      <c r="E187" s="424">
        <f t="shared" si="105"/>
        <v>83</v>
      </c>
      <c r="F187" s="424">
        <f t="shared" si="105"/>
        <v>114</v>
      </c>
      <c r="G187" s="424">
        <f t="shared" si="105"/>
        <v>155</v>
      </c>
      <c r="H187" s="424">
        <f t="shared" si="105"/>
        <v>179</v>
      </c>
      <c r="I187" s="424">
        <f t="shared" si="105"/>
        <v>195</v>
      </c>
      <c r="J187" s="424">
        <f t="shared" si="105"/>
        <v>213</v>
      </c>
      <c r="K187" s="424">
        <f t="shared" si="105"/>
        <v>219</v>
      </c>
      <c r="L187" s="424">
        <f t="shared" si="105"/>
        <v>189</v>
      </c>
      <c r="M187" s="424">
        <f t="shared" si="105"/>
        <v>195</v>
      </c>
      <c r="N187" s="452">
        <f>SUM(B187:M187)</f>
        <v>10517</v>
      </c>
      <c r="O187" s="442">
        <f>SUM(B187:D187)</f>
        <v>8975</v>
      </c>
      <c r="P187" s="442">
        <f>SUM(E187:G187)</f>
        <v>352</v>
      </c>
      <c r="Q187" s="442">
        <f>SUM(H187:J187)</f>
        <v>587</v>
      </c>
      <c r="R187" s="441">
        <f>SUM(K187:M187)</f>
        <v>603</v>
      </c>
      <c r="S187" s="451"/>
    </row>
    <row r="188" spans="1:19">
      <c r="A188" s="390" t="s">
        <v>134</v>
      </c>
      <c r="B188" s="396">
        <f t="shared" ref="B188:P188" si="106">B187/B213-1</f>
        <v>2.786027436006222E-2</v>
      </c>
      <c r="C188" s="396">
        <f t="shared" si="106"/>
        <v>-0.83886662850601024</v>
      </c>
      <c r="D188" s="396">
        <f t="shared" si="106"/>
        <v>-0.91781015702362423</v>
      </c>
      <c r="E188" s="396">
        <f t="shared" si="106"/>
        <v>-0.98835578002244673</v>
      </c>
      <c r="F188" s="396">
        <f t="shared" si="106"/>
        <v>-0.9839255499153976</v>
      </c>
      <c r="G188" s="396">
        <f t="shared" si="106"/>
        <v>-0.97821810005621135</v>
      </c>
      <c r="H188" s="396">
        <f t="shared" si="106"/>
        <v>-0.97672906916276647</v>
      </c>
      <c r="I188" s="396">
        <f t="shared" si="106"/>
        <v>-0.97546243865609661</v>
      </c>
      <c r="J188" s="396">
        <f t="shared" si="106"/>
        <v>-0.96852371804344617</v>
      </c>
      <c r="K188" s="396">
        <f t="shared" si="106"/>
        <v>-0.96776567559611426</v>
      </c>
      <c r="L188" s="396">
        <f t="shared" si="106"/>
        <v>-0.97139830508474578</v>
      </c>
      <c r="M188" s="396">
        <f t="shared" si="106"/>
        <v>-0.97222222222222221</v>
      </c>
      <c r="N188" s="397">
        <f t="shared" si="106"/>
        <v>-0.87669417999343435</v>
      </c>
      <c r="O188" s="398">
        <f t="shared" si="106"/>
        <v>-0.57520825444907231</v>
      </c>
      <c r="P188" s="398">
        <f t="shared" si="106"/>
        <v>-0.9835020622422197</v>
      </c>
      <c r="Q188" s="398">
        <f>Q187/Q205-1</f>
        <v>-0.99616053791714088</v>
      </c>
      <c r="R188" s="398">
        <f>R187/R205-1</f>
        <v>-0.99576476537643022</v>
      </c>
      <c r="S188" s="385"/>
    </row>
    <row r="189" spans="1:19" ht="15.5" customHeight="1">
      <c r="A189" s="390" t="s">
        <v>135</v>
      </c>
      <c r="B189" s="185">
        <f>B187/M213-1</f>
        <v>3.5327635327635276E-2</v>
      </c>
      <c r="C189" s="185">
        <f t="shared" ref="C189:M189" si="107">C187/B187-1</f>
        <v>-0.84507429829389102</v>
      </c>
      <c r="D189" s="185">
        <f t="shared" si="107"/>
        <v>-0.48401420959147423</v>
      </c>
      <c r="E189" s="185">
        <f t="shared" si="107"/>
        <v>-0.85714285714285721</v>
      </c>
      <c r="F189" s="185">
        <f t="shared" si="107"/>
        <v>0.37349397590361444</v>
      </c>
      <c r="G189" s="185">
        <f t="shared" si="107"/>
        <v>0.35964912280701755</v>
      </c>
      <c r="H189" s="185">
        <f t="shared" si="107"/>
        <v>0.15483870967741931</v>
      </c>
      <c r="I189" s="185">
        <f t="shared" si="107"/>
        <v>8.9385474860335101E-2</v>
      </c>
      <c r="J189" s="185">
        <f t="shared" si="107"/>
        <v>9.2307692307692202E-2</v>
      </c>
      <c r="K189" s="185">
        <f t="shared" si="107"/>
        <v>2.8169014084507005E-2</v>
      </c>
      <c r="L189" s="185">
        <f t="shared" si="107"/>
        <v>-0.13698630136986301</v>
      </c>
      <c r="M189" s="185">
        <f t="shared" si="107"/>
        <v>3.1746031746031855E-2</v>
      </c>
      <c r="N189" s="400"/>
      <c r="O189" s="401">
        <f>O187/R205-1</f>
        <v>-0.93696313309031654</v>
      </c>
      <c r="P189" s="398">
        <f>P187/O187-1</f>
        <v>-0.9607799442896936</v>
      </c>
      <c r="Q189" s="398">
        <f>Q187/P187-1</f>
        <v>0.66761363636363646</v>
      </c>
      <c r="R189" s="398">
        <f>R187/Q187-1</f>
        <v>2.7257240204429323E-2</v>
      </c>
      <c r="S189" s="385"/>
    </row>
    <row r="190" spans="1:19">
      <c r="A190" s="385"/>
      <c r="B190" s="402"/>
      <c r="D190" s="402"/>
      <c r="E190" s="402"/>
      <c r="F190" s="434">
        <f>SUM(B191:F191)/SUM(B209:F209)-1</f>
        <v>-0.96482270694686456</v>
      </c>
      <c r="G190" s="427"/>
      <c r="H190" s="402"/>
      <c r="I190" s="402"/>
      <c r="J190" s="403"/>
      <c r="K190" s="403"/>
      <c r="L190" s="403"/>
      <c r="M190" s="403"/>
      <c r="N190" s="404"/>
      <c r="O190" s="404"/>
      <c r="P190" s="404"/>
      <c r="Q190" s="404"/>
      <c r="R190" s="404"/>
      <c r="S190" s="385"/>
    </row>
    <row r="191" spans="1:19">
      <c r="A191" s="431" t="s">
        <v>147</v>
      </c>
      <c r="B191" s="391">
        <v>6592</v>
      </c>
      <c r="C191" s="391">
        <v>1052</v>
      </c>
      <c r="D191" s="391">
        <v>552</v>
      </c>
      <c r="E191" s="391">
        <v>77</v>
      </c>
      <c r="F191" s="391">
        <v>105</v>
      </c>
      <c r="G191" s="391">
        <v>141</v>
      </c>
      <c r="H191" s="391">
        <v>159</v>
      </c>
      <c r="I191" s="391">
        <v>175</v>
      </c>
      <c r="J191" s="391">
        <v>189</v>
      </c>
      <c r="K191" s="454">
        <v>188</v>
      </c>
      <c r="L191" s="391">
        <v>163</v>
      </c>
      <c r="M191" s="391">
        <v>163</v>
      </c>
      <c r="N191" s="393">
        <f>SUM(B191:M191)</f>
        <v>9556</v>
      </c>
      <c r="O191" s="394">
        <f>SUM(B191:D191)</f>
        <v>8196</v>
      </c>
      <c r="P191" s="394">
        <f>SUM(E191:G191)</f>
        <v>323</v>
      </c>
      <c r="Q191" s="394">
        <f>SUM(H191:J191)</f>
        <v>523</v>
      </c>
      <c r="R191" s="395">
        <f>SUM(K191:M191)</f>
        <v>514</v>
      </c>
      <c r="S191" s="385"/>
    </row>
    <row r="192" spans="1:19">
      <c r="A192" s="390" t="s">
        <v>134</v>
      </c>
      <c r="B192" s="396">
        <f t="shared" ref="B192:P192" si="108">B191/B217-1</f>
        <v>8.5102880658436186E-2</v>
      </c>
      <c r="C192" s="396">
        <f t="shared" si="108"/>
        <v>-0.82387410011719409</v>
      </c>
      <c r="D192" s="396">
        <f t="shared" si="108"/>
        <v>-0.90869996692027788</v>
      </c>
      <c r="E192" s="396">
        <f t="shared" si="108"/>
        <v>-0.98733552631578947</v>
      </c>
      <c r="F192" s="396">
        <f t="shared" si="108"/>
        <v>-0.98258995191510534</v>
      </c>
      <c r="G192" s="396">
        <f t="shared" si="108"/>
        <v>-0.97681302417365568</v>
      </c>
      <c r="H192" s="396">
        <f t="shared" si="108"/>
        <v>-0.97587253414264041</v>
      </c>
      <c r="I192" s="396">
        <f t="shared" si="108"/>
        <v>-0.97503922407645127</v>
      </c>
      <c r="J192" s="396">
        <f t="shared" si="108"/>
        <v>-0.96880673378445292</v>
      </c>
      <c r="K192" s="396">
        <f t="shared" si="108"/>
        <v>-0.96889477167438787</v>
      </c>
      <c r="L192" s="396">
        <f t="shared" si="108"/>
        <v>-0.97239159891598914</v>
      </c>
      <c r="M192" s="396">
        <f t="shared" si="108"/>
        <v>-0.97422517394054398</v>
      </c>
      <c r="N192" s="397">
        <f t="shared" si="108"/>
        <v>-0.87124417257269127</v>
      </c>
      <c r="O192" s="398">
        <f t="shared" si="108"/>
        <v>-0.54703216535868249</v>
      </c>
      <c r="P192" s="398">
        <f t="shared" si="108"/>
        <v>-0.98224494283201402</v>
      </c>
      <c r="Q192" s="398">
        <f>Q191/Q209-1</f>
        <v>-0.9966395085843528</v>
      </c>
      <c r="R192" s="398">
        <f>R191/R209-1</f>
        <v>-0.99644357109744197</v>
      </c>
      <c r="S192" s="385"/>
    </row>
    <row r="193" spans="1:19" ht="15.5" customHeight="1">
      <c r="A193" s="390" t="s">
        <v>135</v>
      </c>
      <c r="B193" s="185">
        <f>B191/M217-1</f>
        <v>4.2378241619228429E-2</v>
      </c>
      <c r="C193" s="185">
        <f t="shared" ref="C193:M193" si="109">C191/B191-1</f>
        <v>-0.84041262135922334</v>
      </c>
      <c r="D193" s="185">
        <f t="shared" si="109"/>
        <v>-0.47528517110266155</v>
      </c>
      <c r="E193" s="185">
        <f t="shared" si="109"/>
        <v>-0.86050724637681153</v>
      </c>
      <c r="F193" s="185">
        <f t="shared" si="109"/>
        <v>0.36363636363636354</v>
      </c>
      <c r="G193" s="185">
        <f t="shared" si="109"/>
        <v>0.34285714285714275</v>
      </c>
      <c r="H193" s="185">
        <f t="shared" si="109"/>
        <v>0.12765957446808507</v>
      </c>
      <c r="I193" s="185">
        <f t="shared" si="109"/>
        <v>0.10062893081761004</v>
      </c>
      <c r="J193" s="185">
        <f t="shared" si="109"/>
        <v>8.0000000000000071E-2</v>
      </c>
      <c r="K193" s="185">
        <f t="shared" si="109"/>
        <v>-5.2910052910053462E-3</v>
      </c>
      <c r="L193" s="185">
        <f t="shared" si="109"/>
        <v>-0.13297872340425532</v>
      </c>
      <c r="M193" s="185">
        <f t="shared" si="109"/>
        <v>0</v>
      </c>
      <c r="N193" s="400"/>
      <c r="O193" s="401">
        <f>O191/R209-1</f>
        <v>-0.94329087298567049</v>
      </c>
      <c r="P193" s="398">
        <f>P191/O191-1</f>
        <v>-0.9605905319668131</v>
      </c>
      <c r="Q193" s="398">
        <f>Q191/P191-1</f>
        <v>0.61919504643962853</v>
      </c>
      <c r="R193" s="398">
        <f>R191/Q191-1</f>
        <v>-1.7208413001912004E-2</v>
      </c>
      <c r="S193" s="385"/>
    </row>
    <row r="194" spans="1:19">
      <c r="A194" s="385"/>
      <c r="B194" s="402"/>
      <c r="C194" s="402"/>
      <c r="D194" s="403"/>
      <c r="E194" s="402"/>
      <c r="F194" s="434">
        <f>SUM(B195:E195)/SUM(B213:E213)-1</f>
        <v>-0.97221828992072479</v>
      </c>
      <c r="G194" s="387"/>
      <c r="H194" s="402"/>
      <c r="I194" s="402"/>
      <c r="J194" s="403"/>
      <c r="K194" s="403"/>
      <c r="L194" s="403"/>
      <c r="M194" s="403"/>
      <c r="N194" s="404"/>
      <c r="O194" s="404"/>
      <c r="P194" s="404"/>
      <c r="Q194" s="404"/>
      <c r="R194" s="404"/>
      <c r="S194" s="385"/>
    </row>
    <row r="195" spans="1:19">
      <c r="A195" s="433" t="s">
        <v>148</v>
      </c>
      <c r="B195" s="391">
        <v>676</v>
      </c>
      <c r="C195" s="391">
        <v>74</v>
      </c>
      <c r="D195" s="391">
        <v>29</v>
      </c>
      <c r="E195" s="391">
        <v>6</v>
      </c>
      <c r="F195" s="391">
        <v>9</v>
      </c>
      <c r="G195" s="391">
        <v>14</v>
      </c>
      <c r="H195" s="391">
        <v>20</v>
      </c>
      <c r="I195" s="391">
        <v>20</v>
      </c>
      <c r="J195" s="391">
        <v>24</v>
      </c>
      <c r="K195" s="391">
        <v>31</v>
      </c>
      <c r="L195" s="391">
        <v>26</v>
      </c>
      <c r="M195" s="391">
        <v>32</v>
      </c>
      <c r="N195" s="393">
        <f>SUM(B195:M195)</f>
        <v>961</v>
      </c>
      <c r="O195" s="394">
        <f>SUM(B195:D195)</f>
        <v>779</v>
      </c>
      <c r="P195" s="394">
        <f>SUM(E195:G195)</f>
        <v>29</v>
      </c>
      <c r="Q195" s="394">
        <f>SUM(H195:J195)</f>
        <v>64</v>
      </c>
      <c r="R195" s="395">
        <f>SUM(K195:M195)</f>
        <v>89</v>
      </c>
      <c r="S195" s="385"/>
    </row>
    <row r="196" spans="1:19">
      <c r="A196" s="390" t="s">
        <v>134</v>
      </c>
      <c r="B196" s="396">
        <f t="shared" ref="B196:P196" si="110">B195/B221-1</f>
        <v>-0.32128514056224899</v>
      </c>
      <c r="C196" s="396">
        <f t="shared" si="110"/>
        <v>-0.92709359605911335</v>
      </c>
      <c r="D196" s="396">
        <f t="shared" si="110"/>
        <v>-0.97165200391006845</v>
      </c>
      <c r="E196" s="396">
        <f t="shared" si="110"/>
        <v>-0.99427480916030531</v>
      </c>
      <c r="F196" s="396">
        <f t="shared" si="110"/>
        <v>-0.99151743638077283</v>
      </c>
      <c r="G196" s="396">
        <f t="shared" si="110"/>
        <v>-0.98647342995169085</v>
      </c>
      <c r="H196" s="396">
        <f t="shared" si="110"/>
        <v>-0.98185117967332125</v>
      </c>
      <c r="I196" s="396">
        <f t="shared" si="110"/>
        <v>-0.9786324786324786</v>
      </c>
      <c r="J196" s="396">
        <f t="shared" si="110"/>
        <v>-0.96610169491525422</v>
      </c>
      <c r="K196" s="396">
        <f t="shared" si="110"/>
        <v>-0.95866666666666667</v>
      </c>
      <c r="L196" s="396">
        <f t="shared" si="110"/>
        <v>-0.96306818181818177</v>
      </c>
      <c r="M196" s="396">
        <f t="shared" si="110"/>
        <v>-0.95402298850574718</v>
      </c>
      <c r="N196" s="397">
        <f t="shared" si="110"/>
        <v>-0.91322015531876466</v>
      </c>
      <c r="O196" s="396">
        <f t="shared" si="110"/>
        <v>-0.7432432432432432</v>
      </c>
      <c r="P196" s="396">
        <f t="shared" si="110"/>
        <v>-0.99077608142493634</v>
      </c>
      <c r="Q196" s="396">
        <f>Q195/Q213-1</f>
        <v>-0.99714362224404174</v>
      </c>
      <c r="R196" s="396">
        <f>R195/R213-1</f>
        <v>-0.99564195475467632</v>
      </c>
      <c r="S196" s="385"/>
    </row>
    <row r="197" spans="1:19" ht="15.5" customHeight="1">
      <c r="A197" s="390" t="s">
        <v>135</v>
      </c>
      <c r="B197" s="185">
        <f>B195/M221-1</f>
        <v>-2.8735632183908066E-2</v>
      </c>
      <c r="C197" s="185">
        <f t="shared" ref="C197:M197" si="111">C195/B195-1</f>
        <v>-0.89053254437869822</v>
      </c>
      <c r="D197" s="185">
        <f t="shared" si="111"/>
        <v>-0.60810810810810811</v>
      </c>
      <c r="E197" s="185">
        <f t="shared" si="111"/>
        <v>-0.7931034482758621</v>
      </c>
      <c r="F197" s="185">
        <f t="shared" si="111"/>
        <v>0.5</v>
      </c>
      <c r="G197" s="185">
        <f t="shared" si="111"/>
        <v>0.55555555555555558</v>
      </c>
      <c r="H197" s="185">
        <f t="shared" si="111"/>
        <v>0.4285714285714286</v>
      </c>
      <c r="I197" s="185">
        <f t="shared" si="111"/>
        <v>0</v>
      </c>
      <c r="J197" s="185">
        <f t="shared" si="111"/>
        <v>0.19999999999999996</v>
      </c>
      <c r="K197" s="185">
        <f t="shared" si="111"/>
        <v>0.29166666666666674</v>
      </c>
      <c r="L197" s="185">
        <f t="shared" si="111"/>
        <v>-0.16129032258064513</v>
      </c>
      <c r="M197" s="185">
        <f t="shared" si="111"/>
        <v>0.23076923076923084</v>
      </c>
      <c r="N197" s="400"/>
      <c r="O197" s="401">
        <f>O195/R213-1</f>
        <v>-0.96185486240329054</v>
      </c>
      <c r="P197" s="398">
        <f>P195/O195-1</f>
        <v>-0.96277278562259305</v>
      </c>
      <c r="Q197" s="398">
        <f>Q195/P195-1</f>
        <v>1.2068965517241379</v>
      </c>
      <c r="R197" s="398">
        <f>R195/Q195-1</f>
        <v>0.390625</v>
      </c>
      <c r="S197" s="385"/>
    </row>
    <row r="199" spans="1:19">
      <c r="A199" s="385" t="s">
        <v>127</v>
      </c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443"/>
      <c r="O199" s="13"/>
      <c r="P199" s="386"/>
      <c r="Q199" s="386"/>
      <c r="R199" s="386"/>
      <c r="S199" s="385"/>
    </row>
    <row r="200" spans="1:19" s="444" customFormat="1" ht="15.5" customHeight="1">
      <c r="A200" s="422" t="s">
        <v>160</v>
      </c>
      <c r="B200" s="184" t="s">
        <v>51</v>
      </c>
      <c r="C200" s="184" t="s">
        <v>52</v>
      </c>
      <c r="D200" s="184" t="s">
        <v>53</v>
      </c>
      <c r="E200" s="184" t="s">
        <v>54</v>
      </c>
      <c r="F200" s="184" t="s">
        <v>55</v>
      </c>
      <c r="G200" s="184" t="s">
        <v>77</v>
      </c>
      <c r="H200" s="184" t="s">
        <v>78</v>
      </c>
      <c r="I200" s="184" t="s">
        <v>79</v>
      </c>
      <c r="J200" s="184" t="s">
        <v>80</v>
      </c>
      <c r="K200" s="184" t="s">
        <v>81</v>
      </c>
      <c r="L200" s="184" t="s">
        <v>82</v>
      </c>
      <c r="M200" s="184" t="s">
        <v>44</v>
      </c>
      <c r="N200" s="400" t="s">
        <v>128</v>
      </c>
      <c r="O200" s="55" t="s">
        <v>129</v>
      </c>
      <c r="P200" s="55" t="s">
        <v>130</v>
      </c>
      <c r="Q200" s="55" t="s">
        <v>131</v>
      </c>
      <c r="R200" s="55" t="s">
        <v>132</v>
      </c>
      <c r="S200" s="445"/>
    </row>
    <row r="201" spans="1:19">
      <c r="A201" s="423" t="s">
        <v>133</v>
      </c>
      <c r="B201" s="391">
        <v>53413</v>
      </c>
      <c r="C201" s="391">
        <v>53826</v>
      </c>
      <c r="D201" s="391">
        <v>53504</v>
      </c>
      <c r="E201" s="391">
        <v>53118</v>
      </c>
      <c r="F201" s="391">
        <v>54509</v>
      </c>
      <c r="G201" s="391">
        <v>53414</v>
      </c>
      <c r="H201" s="391">
        <v>59301</v>
      </c>
      <c r="I201" s="391">
        <v>61238</v>
      </c>
      <c r="J201" s="391">
        <v>54753</v>
      </c>
      <c r="K201" s="391">
        <v>56982</v>
      </c>
      <c r="L201" s="391">
        <v>53058</v>
      </c>
      <c r="M201" s="391">
        <v>52760</v>
      </c>
      <c r="N201" s="393">
        <f>SUM(B201:M201)</f>
        <v>659876</v>
      </c>
      <c r="O201" s="394">
        <f>SUM(B201:D201)</f>
        <v>160743</v>
      </c>
      <c r="P201" s="394">
        <f>SUM(E201:G201)</f>
        <v>161041</v>
      </c>
      <c r="Q201" s="394">
        <f>SUM(H201:J201)</f>
        <v>175292</v>
      </c>
      <c r="R201" s="395">
        <f>SUM(K201:M201)</f>
        <v>162800</v>
      </c>
      <c r="S201" s="385"/>
    </row>
    <row r="202" spans="1:19">
      <c r="A202" s="390" t="s">
        <v>134</v>
      </c>
      <c r="B202" s="396">
        <f t="shared" ref="B202:R202" si="112">B201/B226-1</f>
        <v>0.14940822035721979</v>
      </c>
      <c r="C202" s="396">
        <f t="shared" si="112"/>
        <v>0.11151034568207163</v>
      </c>
      <c r="D202" s="396">
        <f t="shared" si="112"/>
        <v>4.089335045328979E-2</v>
      </c>
      <c r="E202" s="396">
        <f t="shared" si="112"/>
        <v>4.6825115289109709E-2</v>
      </c>
      <c r="F202" s="396">
        <f t="shared" si="112"/>
        <v>8.7396265560165887E-2</v>
      </c>
      <c r="G202" s="396">
        <f t="shared" si="112"/>
        <v>8.1714899046153144E-2</v>
      </c>
      <c r="H202" s="396">
        <f t="shared" si="112"/>
        <v>0.10267948455716924</v>
      </c>
      <c r="I202" s="396">
        <f t="shared" si="112"/>
        <v>8.2555508414651424E-2</v>
      </c>
      <c r="J202" s="396">
        <f t="shared" si="112"/>
        <v>8.8766927161009423E-2</v>
      </c>
      <c r="K202" s="396">
        <f t="shared" si="112"/>
        <v>5.3563834704631663E-2</v>
      </c>
      <c r="L202" s="396">
        <f t="shared" si="112"/>
        <v>5.9972830429918522E-2</v>
      </c>
      <c r="M202" s="396">
        <f t="shared" si="112"/>
        <v>5.1498724489795977E-2</v>
      </c>
      <c r="N202" s="397">
        <f t="shared" si="112"/>
        <v>7.9110384300899339E-2</v>
      </c>
      <c r="O202" s="396">
        <f t="shared" si="112"/>
        <v>9.8736824836976655E-2</v>
      </c>
      <c r="P202" s="396">
        <f t="shared" si="112"/>
        <v>7.18274331276747E-2</v>
      </c>
      <c r="Q202" s="396">
        <f t="shared" si="112"/>
        <v>9.1237331606862648E-2</v>
      </c>
      <c r="R202" s="396">
        <f t="shared" si="112"/>
        <v>5.4971260457370219E-2</v>
      </c>
      <c r="S202" s="385"/>
    </row>
    <row r="203" spans="1:19" ht="15.5" customHeight="1">
      <c r="A203" s="390" t="s">
        <v>135</v>
      </c>
      <c r="B203" s="185">
        <f>B201/M226-1</f>
        <v>6.4512914540816313E-2</v>
      </c>
      <c r="C203" s="185">
        <f t="shared" ref="C203:M203" si="113">C201/B201-1</f>
        <v>7.7322000262107782E-3</v>
      </c>
      <c r="D203" s="185">
        <f t="shared" si="113"/>
        <v>-5.982239066622097E-3</v>
      </c>
      <c r="E203" s="185">
        <f t="shared" si="113"/>
        <v>-7.2144138755980691E-3</v>
      </c>
      <c r="F203" s="185">
        <f t="shared" si="113"/>
        <v>2.6186979931473342E-2</v>
      </c>
      <c r="G203" s="185">
        <f t="shared" si="113"/>
        <v>-2.0088425764552609E-2</v>
      </c>
      <c r="H203" s="185">
        <f t="shared" si="113"/>
        <v>0.11021455049238038</v>
      </c>
      <c r="I203" s="185">
        <f t="shared" si="113"/>
        <v>3.2663867388408319E-2</v>
      </c>
      <c r="J203" s="185">
        <f t="shared" si="113"/>
        <v>-0.10589829844214371</v>
      </c>
      <c r="K203" s="185">
        <f t="shared" si="113"/>
        <v>4.0710098076817802E-2</v>
      </c>
      <c r="L203" s="185">
        <f t="shared" si="113"/>
        <v>-6.8863851742655524E-2</v>
      </c>
      <c r="M203" s="185">
        <f t="shared" si="113"/>
        <v>-5.6164951562440724E-3</v>
      </c>
      <c r="N203" s="400"/>
      <c r="O203" s="401">
        <f>O201/R226-1</f>
        <v>4.1641556017807391E-2</v>
      </c>
      <c r="P203" s="398">
        <f>P201/O201-1</f>
        <v>1.8538909936980374E-3</v>
      </c>
      <c r="Q203" s="398">
        <f>Q201/P201-1</f>
        <v>8.8492992467756659E-2</v>
      </c>
      <c r="R203" s="398">
        <f>R201/Q201-1</f>
        <v>-7.1263948155078416E-2</v>
      </c>
      <c r="S203" s="385"/>
    </row>
    <row r="204" spans="1:19">
      <c r="A204" s="385"/>
      <c r="B204" s="402"/>
      <c r="C204" s="402"/>
      <c r="D204" s="402"/>
      <c r="E204" s="402"/>
      <c r="F204" s="402"/>
      <c r="G204" s="427"/>
      <c r="H204" s="402"/>
      <c r="I204" s="402"/>
      <c r="J204" s="403"/>
      <c r="K204" s="403"/>
      <c r="L204" s="403"/>
      <c r="M204" s="403"/>
      <c r="N204" s="404"/>
      <c r="O204" s="404"/>
      <c r="P204" s="404"/>
      <c r="Q204" s="404"/>
      <c r="R204" s="404"/>
      <c r="S204" s="385"/>
    </row>
    <row r="205" spans="1:19" s="448" customFormat="1">
      <c r="A205" s="428" t="s">
        <v>137</v>
      </c>
      <c r="B205" s="424">
        <f t="shared" ref="B205:M205" si="114">B209-B221</f>
        <v>46342</v>
      </c>
      <c r="C205" s="424">
        <f t="shared" si="114"/>
        <v>46838</v>
      </c>
      <c r="D205" s="424">
        <f t="shared" si="114"/>
        <v>46435</v>
      </c>
      <c r="E205" s="424">
        <f t="shared" si="114"/>
        <v>45990</v>
      </c>
      <c r="F205" s="424">
        <f t="shared" si="114"/>
        <v>47417</v>
      </c>
      <c r="G205" s="424">
        <f t="shared" si="114"/>
        <v>46298</v>
      </c>
      <c r="H205" s="424">
        <f t="shared" si="114"/>
        <v>51609</v>
      </c>
      <c r="I205" s="424">
        <f t="shared" si="114"/>
        <v>53291</v>
      </c>
      <c r="J205" s="424">
        <f t="shared" si="114"/>
        <v>47986</v>
      </c>
      <c r="K205" s="424">
        <f t="shared" si="114"/>
        <v>50187</v>
      </c>
      <c r="L205" s="424">
        <f t="shared" si="114"/>
        <v>46450</v>
      </c>
      <c r="M205" s="424">
        <f t="shared" si="114"/>
        <v>45740</v>
      </c>
      <c r="N205" s="452">
        <f>SUM(B205:M205)</f>
        <v>574583</v>
      </c>
      <c r="O205" s="442">
        <f>SUM(B205:D205)</f>
        <v>139615</v>
      </c>
      <c r="P205" s="442">
        <f>SUM(E205:G205)</f>
        <v>139705</v>
      </c>
      <c r="Q205" s="442">
        <f>SUM(H205:J205)</f>
        <v>152886</v>
      </c>
      <c r="R205" s="441">
        <f>SUM(K205:M205)</f>
        <v>142377</v>
      </c>
      <c r="S205" s="451"/>
    </row>
    <row r="206" spans="1:19">
      <c r="A206" s="390" t="s">
        <v>134</v>
      </c>
      <c r="B206" s="396">
        <f t="shared" ref="B206:R206" si="115">B205/B230-1</f>
        <v>0.13887591850777814</v>
      </c>
      <c r="C206" s="396">
        <f t="shared" si="115"/>
        <v>0.10882791600577635</v>
      </c>
      <c r="D206" s="396">
        <f t="shared" si="115"/>
        <v>2.6982196173836126E-2</v>
      </c>
      <c r="E206" s="396">
        <f t="shared" si="115"/>
        <v>3.4250118065082047E-2</v>
      </c>
      <c r="F206" s="396">
        <f t="shared" si="115"/>
        <v>5.2588350204226586E-2</v>
      </c>
      <c r="G206" s="396">
        <f t="shared" si="115"/>
        <v>4.8438596888516594E-2</v>
      </c>
      <c r="H206" s="396">
        <f t="shared" si="115"/>
        <v>9.5267402376910004E-2</v>
      </c>
      <c r="I206" s="396">
        <f t="shared" si="115"/>
        <v>7.4848729326341346E-2</v>
      </c>
      <c r="J206" s="396">
        <f t="shared" si="115"/>
        <v>8.1789079760133498E-2</v>
      </c>
      <c r="K206" s="396">
        <f t="shared" si="115"/>
        <v>4.816106597606562E-2</v>
      </c>
      <c r="L206" s="396">
        <f t="shared" si="115"/>
        <v>5.3789786519657934E-2</v>
      </c>
      <c r="M206" s="396">
        <f t="shared" si="115"/>
        <v>4.8817958771869563E-2</v>
      </c>
      <c r="N206" s="397">
        <f t="shared" si="115"/>
        <v>6.7105580833874967E-2</v>
      </c>
      <c r="O206" s="396">
        <f t="shared" si="115"/>
        <v>8.9490975208159407E-2</v>
      </c>
      <c r="P206" s="396">
        <f t="shared" si="115"/>
        <v>4.5117225488875867E-2</v>
      </c>
      <c r="Q206" s="396">
        <f t="shared" si="115"/>
        <v>8.385203249727069E-2</v>
      </c>
      <c r="R206" s="396">
        <f t="shared" si="115"/>
        <v>5.020247693090707E-2</v>
      </c>
      <c r="S206" s="385"/>
    </row>
    <row r="207" spans="1:19" ht="15.5" customHeight="1">
      <c r="A207" s="390" t="s">
        <v>135</v>
      </c>
      <c r="B207" s="185">
        <f>B205/M230-1</f>
        <v>6.2621815596982433E-2</v>
      </c>
      <c r="C207" s="185">
        <f t="shared" ref="C207:M207" si="116">C205/B205-1</f>
        <v>1.0703033964869935E-2</v>
      </c>
      <c r="D207" s="185">
        <f t="shared" si="116"/>
        <v>-8.6041248558862415E-3</v>
      </c>
      <c r="E207" s="185">
        <f t="shared" si="116"/>
        <v>-9.5832884677505836E-3</v>
      </c>
      <c r="F207" s="185">
        <f t="shared" si="116"/>
        <v>3.102848445314188E-2</v>
      </c>
      <c r="G207" s="185">
        <f t="shared" si="116"/>
        <v>-2.3599131113313798E-2</v>
      </c>
      <c r="H207" s="185">
        <f t="shared" si="116"/>
        <v>0.1147133785476695</v>
      </c>
      <c r="I207" s="185">
        <f t="shared" si="116"/>
        <v>3.2591214710612437E-2</v>
      </c>
      <c r="J207" s="185">
        <f t="shared" si="116"/>
        <v>-9.9547766039293717E-2</v>
      </c>
      <c r="K207" s="185">
        <f t="shared" si="116"/>
        <v>4.5867544700537666E-2</v>
      </c>
      <c r="L207" s="185">
        <f t="shared" si="116"/>
        <v>-7.446151393787237E-2</v>
      </c>
      <c r="M207" s="185">
        <f t="shared" si="116"/>
        <v>-1.5285252960172246E-2</v>
      </c>
      <c r="N207" s="400"/>
      <c r="O207" s="401">
        <f>O205/R230-1</f>
        <v>2.982938829100612E-2</v>
      </c>
      <c r="P207" s="398">
        <f>P205/O205-1</f>
        <v>6.4462987501334723E-4</v>
      </c>
      <c r="Q207" s="398">
        <f>Q205/P205-1</f>
        <v>9.4348806413514286E-2</v>
      </c>
      <c r="R207" s="398">
        <f>R205/Q205-1</f>
        <v>-6.873749067932966E-2</v>
      </c>
      <c r="S207" s="385"/>
    </row>
    <row r="208" spans="1:19" ht="15.5" customHeight="1">
      <c r="A208" s="385"/>
      <c r="B208" s="186"/>
      <c r="C208" s="434">
        <f>SUM(B209:C209)/SUM(B234:C234)-1</f>
        <v>0.12384741620523965</v>
      </c>
      <c r="D208" s="434"/>
      <c r="E208" s="402"/>
      <c r="F208" s="434"/>
      <c r="G208" s="434"/>
      <c r="H208" s="434"/>
      <c r="I208" s="434"/>
      <c r="J208" s="434"/>
      <c r="K208" s="434"/>
      <c r="L208" s="434"/>
      <c r="M208" s="434"/>
      <c r="N208" s="436"/>
      <c r="O208" s="437"/>
      <c r="P208" s="438"/>
      <c r="Q208" s="438"/>
      <c r="R208" s="438"/>
      <c r="S208" s="385"/>
    </row>
    <row r="209" spans="1:19" s="250" customFormat="1">
      <c r="A209" s="429" t="s">
        <v>145</v>
      </c>
      <c r="B209" s="439">
        <v>47338</v>
      </c>
      <c r="C209" s="439">
        <v>47853</v>
      </c>
      <c r="D209" s="439">
        <v>47458</v>
      </c>
      <c r="E209" s="439">
        <v>47038</v>
      </c>
      <c r="F209" s="439">
        <v>48478</v>
      </c>
      <c r="G209" s="439">
        <v>47333</v>
      </c>
      <c r="H209" s="439">
        <v>52711</v>
      </c>
      <c r="I209" s="439">
        <v>54227</v>
      </c>
      <c r="J209" s="439">
        <v>48694</v>
      </c>
      <c r="K209" s="439">
        <v>50937</v>
      </c>
      <c r="L209" s="439">
        <v>47154</v>
      </c>
      <c r="M209" s="439">
        <v>46436</v>
      </c>
      <c r="N209" s="393">
        <f>SUM(B209:M209)</f>
        <v>585657</v>
      </c>
      <c r="O209" s="440">
        <f>SUM(B209:D209)</f>
        <v>142649</v>
      </c>
      <c r="P209" s="440">
        <f>SUM(E209:G209)</f>
        <v>142849</v>
      </c>
      <c r="Q209" s="440">
        <f>SUM(H209:J209)</f>
        <v>155632</v>
      </c>
      <c r="R209" s="453">
        <f>SUM(K209:M209)</f>
        <v>144527</v>
      </c>
      <c r="S209" s="385"/>
    </row>
    <row r="210" spans="1:19">
      <c r="A210" s="390" t="s">
        <v>134</v>
      </c>
      <c r="B210" s="396">
        <f t="shared" ref="B210:R210" si="117">B209/B234-1</f>
        <v>0.13979582009053271</v>
      </c>
      <c r="C210" s="396">
        <f t="shared" si="117"/>
        <v>0.10850378744006117</v>
      </c>
      <c r="D210" s="396">
        <f t="shared" si="117"/>
        <v>2.9234439384081545E-2</v>
      </c>
      <c r="E210" s="396">
        <f t="shared" si="117"/>
        <v>3.5965202070256552E-2</v>
      </c>
      <c r="F210" s="396">
        <f t="shared" si="117"/>
        <v>7.6141005150062169E-2</v>
      </c>
      <c r="G210" s="396">
        <f t="shared" si="117"/>
        <v>7.1876627641024537E-2</v>
      </c>
      <c r="H210" s="396">
        <f t="shared" si="117"/>
        <v>9.5475611530228432E-2</v>
      </c>
      <c r="I210" s="396">
        <f t="shared" si="117"/>
        <v>7.1108301894246218E-2</v>
      </c>
      <c r="J210" s="396">
        <f t="shared" si="117"/>
        <v>7.5848964892512249E-2</v>
      </c>
      <c r="K210" s="396">
        <f t="shared" si="117"/>
        <v>4.3085618331865749E-2</v>
      </c>
      <c r="L210" s="396">
        <f t="shared" si="117"/>
        <v>4.7331363969526752E-2</v>
      </c>
      <c r="M210" s="396">
        <f t="shared" si="117"/>
        <v>4.1562927573290276E-2</v>
      </c>
      <c r="N210" s="397">
        <f t="shared" si="117"/>
        <v>6.8976594684476256E-2</v>
      </c>
      <c r="O210" s="396">
        <f t="shared" si="117"/>
        <v>9.0496976553959607E-2</v>
      </c>
      <c r="P210" s="396">
        <f t="shared" si="117"/>
        <v>6.1190681365702826E-2</v>
      </c>
      <c r="Q210" s="396">
        <f t="shared" si="117"/>
        <v>8.0740252074580798E-2</v>
      </c>
      <c r="R210" s="396">
        <f t="shared" si="117"/>
        <v>4.3976047212129554E-2</v>
      </c>
      <c r="S210" s="385"/>
    </row>
    <row r="211" spans="1:19" ht="15.5" customHeight="1">
      <c r="A211" s="390" t="s">
        <v>135</v>
      </c>
      <c r="B211" s="185">
        <f>B209/M234-1</f>
        <v>6.1794854540968558E-2</v>
      </c>
      <c r="C211" s="185">
        <f t="shared" ref="C211:M211" si="118">C209/B209-1</f>
        <v>1.0879209092061304E-2</v>
      </c>
      <c r="D211" s="185">
        <f t="shared" si="118"/>
        <v>-8.254445907257657E-3</v>
      </c>
      <c r="E211" s="185">
        <f t="shared" si="118"/>
        <v>-8.8499304648320676E-3</v>
      </c>
      <c r="F211" s="185">
        <f t="shared" si="118"/>
        <v>3.0613546494323796E-2</v>
      </c>
      <c r="G211" s="185">
        <f t="shared" si="118"/>
        <v>-2.3618961178266451E-2</v>
      </c>
      <c r="H211" s="185">
        <f t="shared" si="118"/>
        <v>0.11362051845435528</v>
      </c>
      <c r="I211" s="185">
        <f t="shared" si="118"/>
        <v>2.8760600254216451E-2</v>
      </c>
      <c r="J211" s="185">
        <f t="shared" si="118"/>
        <v>-0.10203404208235745</v>
      </c>
      <c r="K211" s="185">
        <f t="shared" si="118"/>
        <v>4.6063170000410825E-2</v>
      </c>
      <c r="L211" s="185">
        <f t="shared" si="118"/>
        <v>-7.426821367571701E-2</v>
      </c>
      <c r="M211" s="185">
        <f t="shared" si="118"/>
        <v>-1.522670399117787E-2</v>
      </c>
      <c r="N211" s="400"/>
      <c r="O211" s="401">
        <f>O209/R234-1</f>
        <v>3.041050571009607E-2</v>
      </c>
      <c r="P211" s="398">
        <f>P209/O209-1</f>
        <v>1.402042776325052E-3</v>
      </c>
      <c r="Q211" s="398">
        <f>Q209/P209-1</f>
        <v>8.9486100707740324E-2</v>
      </c>
      <c r="R211" s="398">
        <f>R209/Q209-1</f>
        <v>-7.1354220211781616E-2</v>
      </c>
      <c r="S211" s="385"/>
    </row>
    <row r="212" spans="1:19">
      <c r="A212" s="385"/>
      <c r="B212" s="402"/>
      <c r="C212" s="402"/>
      <c r="D212" s="402"/>
      <c r="E212" s="402"/>
      <c r="F212" s="402"/>
      <c r="G212" s="427"/>
      <c r="H212" s="402"/>
      <c r="I212" s="402"/>
      <c r="J212" s="403"/>
      <c r="K212" s="403"/>
      <c r="L212" s="403"/>
      <c r="M212" s="403"/>
      <c r="N212" s="404"/>
      <c r="O212" s="404"/>
      <c r="P212" s="404"/>
      <c r="Q212" s="404"/>
      <c r="R212" s="404"/>
      <c r="S212" s="385"/>
    </row>
    <row r="213" spans="1:19" s="448" customFormat="1">
      <c r="A213" s="430" t="s">
        <v>146</v>
      </c>
      <c r="B213" s="424">
        <f t="shared" ref="B213:M213" si="119">B217+B221</f>
        <v>7071</v>
      </c>
      <c r="C213" s="424">
        <f t="shared" si="119"/>
        <v>6988</v>
      </c>
      <c r="D213" s="424">
        <f t="shared" si="119"/>
        <v>7069</v>
      </c>
      <c r="E213" s="424">
        <f t="shared" si="119"/>
        <v>7128</v>
      </c>
      <c r="F213" s="424">
        <f t="shared" si="119"/>
        <v>7092</v>
      </c>
      <c r="G213" s="424">
        <f t="shared" si="119"/>
        <v>7116</v>
      </c>
      <c r="H213" s="424">
        <f t="shared" si="119"/>
        <v>7692</v>
      </c>
      <c r="I213" s="424">
        <f t="shared" si="119"/>
        <v>7947</v>
      </c>
      <c r="J213" s="424">
        <f t="shared" si="119"/>
        <v>6767</v>
      </c>
      <c r="K213" s="424">
        <f t="shared" si="119"/>
        <v>6794</v>
      </c>
      <c r="L213" s="424">
        <f t="shared" si="119"/>
        <v>6608</v>
      </c>
      <c r="M213" s="424">
        <f t="shared" si="119"/>
        <v>7020</v>
      </c>
      <c r="N213" s="452">
        <f>SUM(B213:M213)</f>
        <v>85292</v>
      </c>
      <c r="O213" s="442">
        <f>SUM(B213:D213)</f>
        <v>21128</v>
      </c>
      <c r="P213" s="442">
        <f>SUM(E213:G213)</f>
        <v>21336</v>
      </c>
      <c r="Q213" s="442">
        <f>SUM(H213:J213)</f>
        <v>22406</v>
      </c>
      <c r="R213" s="441">
        <f>SUM(K213:M213)</f>
        <v>20422</v>
      </c>
      <c r="S213" s="451"/>
    </row>
    <row r="214" spans="1:19">
      <c r="A214" s="390" t="s">
        <v>134</v>
      </c>
      <c r="B214" s="396">
        <f t="shared" ref="B214:R214" si="120">B213/B238-1</f>
        <v>0.22377985462097616</v>
      </c>
      <c r="C214" s="396">
        <f t="shared" si="120"/>
        <v>0.12964759133527326</v>
      </c>
      <c r="D214" s="396">
        <f t="shared" si="120"/>
        <v>0.1425569743009536</v>
      </c>
      <c r="E214" s="396">
        <f t="shared" si="120"/>
        <v>0.13593625498007977</v>
      </c>
      <c r="F214" s="396">
        <f t="shared" si="120"/>
        <v>0.1808191808191808</v>
      </c>
      <c r="G214" s="396">
        <f t="shared" si="120"/>
        <v>0.1576378721327476</v>
      </c>
      <c r="H214" s="396">
        <f t="shared" si="120"/>
        <v>0.15512839765730591</v>
      </c>
      <c r="I214" s="396">
        <f t="shared" si="120"/>
        <v>0.13723526044647971</v>
      </c>
      <c r="J214" s="396">
        <f t="shared" si="120"/>
        <v>0.14095430787388308</v>
      </c>
      <c r="K214" s="396">
        <f t="shared" si="120"/>
        <v>9.5276479123004965E-2</v>
      </c>
      <c r="L214" s="396">
        <f t="shared" si="120"/>
        <v>0.1055713568679939</v>
      </c>
      <c r="M214" s="396">
        <f t="shared" si="120"/>
        <v>6.9306930693069368E-2</v>
      </c>
      <c r="N214" s="397">
        <f t="shared" si="120"/>
        <v>0.13871458706042561</v>
      </c>
      <c r="O214" s="398">
        <f t="shared" si="120"/>
        <v>0.16401300203845515</v>
      </c>
      <c r="P214" s="398">
        <f t="shared" si="120"/>
        <v>0.15780334273930974</v>
      </c>
      <c r="Q214" s="398">
        <f t="shared" si="120"/>
        <v>0.14444784962713242</v>
      </c>
      <c r="R214" s="46">
        <f t="shared" si="120"/>
        <v>8.9463857028540872E-2</v>
      </c>
      <c r="S214" s="385"/>
    </row>
    <row r="215" spans="1:19" ht="15.5" customHeight="1">
      <c r="A215" s="390" t="s">
        <v>135</v>
      </c>
      <c r="B215" s="185">
        <f>B213/M238-1</f>
        <v>7.7075399847676973E-2</v>
      </c>
      <c r="C215" s="185">
        <f t="shared" ref="C215:M215" si="121">C213/B213-1</f>
        <v>-1.1738085136472898E-2</v>
      </c>
      <c r="D215" s="185">
        <f t="shared" si="121"/>
        <v>1.1591299370349084E-2</v>
      </c>
      <c r="E215" s="185">
        <f t="shared" si="121"/>
        <v>8.3463007497524E-3</v>
      </c>
      <c r="F215" s="185">
        <f t="shared" si="121"/>
        <v>-5.050505050505083E-3</v>
      </c>
      <c r="G215" s="185">
        <f t="shared" si="121"/>
        <v>3.3840947546530664E-3</v>
      </c>
      <c r="H215" s="185">
        <f t="shared" si="121"/>
        <v>8.0944350758853201E-2</v>
      </c>
      <c r="I215" s="185">
        <f t="shared" si="121"/>
        <v>3.3151326053042052E-2</v>
      </c>
      <c r="J215" s="185">
        <f t="shared" si="121"/>
        <v>-0.14848370454259474</v>
      </c>
      <c r="K215" s="185">
        <f t="shared" si="121"/>
        <v>3.989951233929423E-3</v>
      </c>
      <c r="L215" s="185">
        <f t="shared" si="121"/>
        <v>-2.7377097438916698E-2</v>
      </c>
      <c r="M215" s="185">
        <f t="shared" si="121"/>
        <v>6.23486682808716E-2</v>
      </c>
      <c r="N215" s="400"/>
      <c r="O215" s="401">
        <f>O213/R238-1</f>
        <v>0.12712723392904768</v>
      </c>
      <c r="P215" s="398">
        <f>P213/O213-1</f>
        <v>9.8447557743279734E-3</v>
      </c>
      <c r="Q215" s="398">
        <f>Q213/P213-1</f>
        <v>5.0149981252343379E-2</v>
      </c>
      <c r="R215" s="398">
        <f>R213/Q213-1</f>
        <v>-8.8547710434704996E-2</v>
      </c>
      <c r="S215" s="385"/>
    </row>
    <row r="216" spans="1:19">
      <c r="A216" s="385"/>
      <c r="B216" s="402"/>
      <c r="D216" s="402"/>
      <c r="E216" s="402"/>
      <c r="F216" s="434">
        <f>SUM(B217:F217)/SUM(B242:F242)-1</f>
        <v>0.16603613341568879</v>
      </c>
      <c r="G216" s="427"/>
      <c r="H216" s="402"/>
      <c r="I216" s="402"/>
      <c r="J216" s="403"/>
      <c r="K216" s="403"/>
      <c r="L216" s="403"/>
      <c r="M216" s="403"/>
      <c r="N216" s="404"/>
      <c r="O216" s="404"/>
      <c r="P216" s="404"/>
      <c r="Q216" s="404"/>
      <c r="R216" s="404"/>
      <c r="S216" s="385"/>
    </row>
    <row r="217" spans="1:19">
      <c r="A217" s="431" t="s">
        <v>147</v>
      </c>
      <c r="B217" s="391">
        <v>6075</v>
      </c>
      <c r="C217" s="391">
        <v>5973</v>
      </c>
      <c r="D217" s="391">
        <v>6046</v>
      </c>
      <c r="E217" s="391">
        <v>6080</v>
      </c>
      <c r="F217" s="391">
        <v>6031</v>
      </c>
      <c r="G217" s="391">
        <v>6081</v>
      </c>
      <c r="H217" s="391">
        <v>6590</v>
      </c>
      <c r="I217" s="391">
        <v>7011</v>
      </c>
      <c r="J217" s="391">
        <v>6059</v>
      </c>
      <c r="K217" s="454">
        <v>6044</v>
      </c>
      <c r="L217" s="391">
        <v>5904</v>
      </c>
      <c r="M217" s="391">
        <v>6324</v>
      </c>
      <c r="N217" s="393">
        <f>SUM(B217:M217)</f>
        <v>74218</v>
      </c>
      <c r="O217" s="394">
        <f>SUM(B217:D217)</f>
        <v>18094</v>
      </c>
      <c r="P217" s="394">
        <f>SUM(E217:G217)</f>
        <v>18192</v>
      </c>
      <c r="Q217" s="394">
        <f>SUM(H217:J217)</f>
        <v>19660</v>
      </c>
      <c r="R217" s="395">
        <f>SUM(K217:M217)</f>
        <v>18272</v>
      </c>
      <c r="S217" s="385"/>
    </row>
    <row r="218" spans="1:19">
      <c r="A218" s="390" t="s">
        <v>134</v>
      </c>
      <c r="B218" s="396">
        <f t="shared" ref="B218:R218" si="122">B217/B242-1</f>
        <v>0.23050435487137944</v>
      </c>
      <c r="C218" s="396">
        <f t="shared" si="122"/>
        <v>0.13598326359832646</v>
      </c>
      <c r="D218" s="396">
        <f t="shared" si="122"/>
        <v>0.14247921390778528</v>
      </c>
      <c r="E218" s="396">
        <f t="shared" si="122"/>
        <v>0.13921678845793517</v>
      </c>
      <c r="F218" s="396">
        <f t="shared" si="122"/>
        <v>0.1872047244094488</v>
      </c>
      <c r="G218" s="396">
        <f t="shared" si="122"/>
        <v>0.16494252873563209</v>
      </c>
      <c r="H218" s="396">
        <f t="shared" si="122"/>
        <v>0.16389968209113381</v>
      </c>
      <c r="I218" s="396">
        <f t="shared" si="122"/>
        <v>0.18010435953543169</v>
      </c>
      <c r="J218" s="396">
        <f t="shared" si="122"/>
        <v>0.20505171042163872</v>
      </c>
      <c r="K218" s="396">
        <f t="shared" si="122"/>
        <v>0.15101885355170452</v>
      </c>
      <c r="L218" s="396">
        <f t="shared" si="122"/>
        <v>0.17305781839856937</v>
      </c>
      <c r="M218" s="396">
        <f t="shared" si="122"/>
        <v>0.1306990881458967</v>
      </c>
      <c r="N218" s="397">
        <f t="shared" si="122"/>
        <v>0.16636283630877546</v>
      </c>
      <c r="O218" s="398">
        <f t="shared" si="122"/>
        <v>0.16833473235616969</v>
      </c>
      <c r="P218" s="398">
        <f t="shared" si="122"/>
        <v>0.16339451301400532</v>
      </c>
      <c r="Q218" s="398">
        <f t="shared" si="122"/>
        <v>0.18212975768143824</v>
      </c>
      <c r="R218" s="398">
        <f t="shared" si="122"/>
        <v>0.15084713736852051</v>
      </c>
      <c r="S218" s="385"/>
    </row>
    <row r="219" spans="1:19" ht="15.5" customHeight="1">
      <c r="A219" s="390" t="s">
        <v>135</v>
      </c>
      <c r="B219" s="185">
        <f>B217/M242-1</f>
        <v>8.6179152512068757E-2</v>
      </c>
      <c r="C219" s="185">
        <f t="shared" ref="C219:M219" si="123">C217/B217-1</f>
        <v>-1.6790123456790096E-2</v>
      </c>
      <c r="D219" s="185">
        <f t="shared" si="123"/>
        <v>1.2221664155365852E-2</v>
      </c>
      <c r="E219" s="185">
        <f t="shared" si="123"/>
        <v>5.6235527621568693E-3</v>
      </c>
      <c r="F219" s="185">
        <f t="shared" si="123"/>
        <v>-8.0592105263157521E-3</v>
      </c>
      <c r="G219" s="185">
        <f t="shared" si="123"/>
        <v>8.2904990880450224E-3</v>
      </c>
      <c r="H219" s="185">
        <f t="shared" si="123"/>
        <v>8.3703338266732485E-2</v>
      </c>
      <c r="I219" s="185">
        <f t="shared" si="123"/>
        <v>6.3884673748103138E-2</v>
      </c>
      <c r="J219" s="185">
        <f t="shared" si="123"/>
        <v>-0.13578662102410499</v>
      </c>
      <c r="K219" s="185">
        <f t="shared" si="123"/>
        <v>-2.4756560488529145E-3</v>
      </c>
      <c r="L219" s="185">
        <f t="shared" si="123"/>
        <v>-2.3163467902051593E-2</v>
      </c>
      <c r="M219" s="185">
        <f t="shared" si="123"/>
        <v>7.1138211382113736E-2</v>
      </c>
      <c r="N219" s="400"/>
      <c r="O219" s="401">
        <f>O217/R242-1</f>
        <v>0.13963595137620466</v>
      </c>
      <c r="P219" s="398">
        <f>P217/O217-1</f>
        <v>5.4161600530562293E-3</v>
      </c>
      <c r="Q219" s="398">
        <f>Q217/P217-1</f>
        <v>8.06948109058927E-2</v>
      </c>
      <c r="R219" s="398">
        <f>R217/Q217-1</f>
        <v>-7.0600203458799582E-2</v>
      </c>
      <c r="S219" s="385"/>
    </row>
    <row r="220" spans="1:19">
      <c r="A220" s="385"/>
      <c r="B220" s="402"/>
      <c r="C220" s="402"/>
      <c r="D220" s="403"/>
      <c r="E220" s="402"/>
      <c r="F220" s="434">
        <f>SUM(B221:E221)/SUM(B246:E246)-1</f>
        <v>0.13325930038867306</v>
      </c>
      <c r="G220" s="387"/>
      <c r="H220" s="402"/>
      <c r="I220" s="402"/>
      <c r="J220" s="403"/>
      <c r="K220" s="403"/>
      <c r="L220" s="403"/>
      <c r="M220" s="403"/>
      <c r="N220" s="404"/>
      <c r="O220" s="404"/>
      <c r="P220" s="404"/>
      <c r="Q220" s="404"/>
      <c r="R220" s="404"/>
      <c r="S220" s="385"/>
    </row>
    <row r="221" spans="1:19">
      <c r="A221" s="433" t="s">
        <v>148</v>
      </c>
      <c r="B221" s="391">
        <v>996</v>
      </c>
      <c r="C221" s="391">
        <v>1015</v>
      </c>
      <c r="D221" s="391">
        <v>1023</v>
      </c>
      <c r="E221" s="391">
        <v>1048</v>
      </c>
      <c r="F221" s="391">
        <v>1061</v>
      </c>
      <c r="G221" s="391">
        <v>1035</v>
      </c>
      <c r="H221" s="391">
        <v>1102</v>
      </c>
      <c r="I221" s="391">
        <v>936</v>
      </c>
      <c r="J221" s="391">
        <v>708</v>
      </c>
      <c r="K221" s="391">
        <v>750</v>
      </c>
      <c r="L221" s="391">
        <v>704</v>
      </c>
      <c r="M221" s="391">
        <v>696</v>
      </c>
      <c r="N221" s="393">
        <f>SUM(B221:M221)</f>
        <v>11074</v>
      </c>
      <c r="O221" s="394">
        <f>SUM(B221:D221)</f>
        <v>3034</v>
      </c>
      <c r="P221" s="394">
        <f>SUM(E221:G221)</f>
        <v>3144</v>
      </c>
      <c r="Q221" s="394">
        <f>SUM(H221:J221)</f>
        <v>2746</v>
      </c>
      <c r="R221" s="395">
        <f>SUM(K221:M221)</f>
        <v>2150</v>
      </c>
      <c r="S221" s="385"/>
    </row>
    <row r="222" spans="1:19">
      <c r="A222" s="390" t="s">
        <v>134</v>
      </c>
      <c r="B222" s="396">
        <f t="shared" ref="B222:R222" si="124">B221/B246-1</f>
        <v>0.18430439952437583</v>
      </c>
      <c r="C222" s="396">
        <f t="shared" si="124"/>
        <v>9.375E-2</v>
      </c>
      <c r="D222" s="396">
        <f t="shared" si="124"/>
        <v>0.14301675977653638</v>
      </c>
      <c r="E222" s="396">
        <f t="shared" si="124"/>
        <v>0.11727078891257992</v>
      </c>
      <c r="F222" s="396">
        <f t="shared" si="124"/>
        <v>0.14578833693304527</v>
      </c>
      <c r="G222" s="396">
        <f t="shared" si="124"/>
        <v>0.11650485436893199</v>
      </c>
      <c r="H222" s="396">
        <f t="shared" si="124"/>
        <v>0.1053159478435306</v>
      </c>
      <c r="I222" s="396">
        <f t="shared" si="124"/>
        <v>-0.10601719197707737</v>
      </c>
      <c r="J222" s="396">
        <f t="shared" si="124"/>
        <v>-0.21594684385382057</v>
      </c>
      <c r="K222" s="396">
        <f t="shared" si="124"/>
        <v>-0.21218487394957986</v>
      </c>
      <c r="L222" s="396">
        <f t="shared" si="124"/>
        <v>-0.25423728813559321</v>
      </c>
      <c r="M222" s="396">
        <f t="shared" si="124"/>
        <v>-0.28395061728395066</v>
      </c>
      <c r="N222" s="397">
        <f t="shared" si="124"/>
        <v>-1.7391304347826098E-2</v>
      </c>
      <c r="O222" s="396">
        <f t="shared" si="124"/>
        <v>0.13888888888888884</v>
      </c>
      <c r="P222" s="396">
        <f t="shared" si="124"/>
        <v>0.12647796488713725</v>
      </c>
      <c r="Q222" s="396">
        <f t="shared" si="124"/>
        <v>-6.8204954190702383E-2</v>
      </c>
      <c r="R222" s="396">
        <f t="shared" si="124"/>
        <v>-0.25034867503486746</v>
      </c>
      <c r="S222" s="385"/>
    </row>
    <row r="223" spans="1:19" ht="15.5" customHeight="1">
      <c r="A223" s="390" t="s">
        <v>135</v>
      </c>
      <c r="B223" s="185">
        <f>B221/M246-1</f>
        <v>2.4691358024691468E-2</v>
      </c>
      <c r="C223" s="185">
        <f t="shared" ref="C223:M223" si="125">C221/B221-1</f>
        <v>1.9076305220883549E-2</v>
      </c>
      <c r="D223" s="185">
        <f t="shared" si="125"/>
        <v>7.8817733990148575E-3</v>
      </c>
      <c r="E223" s="185">
        <f t="shared" si="125"/>
        <v>2.4437927663734094E-2</v>
      </c>
      <c r="F223" s="185">
        <f t="shared" si="125"/>
        <v>1.2404580152671763E-2</v>
      </c>
      <c r="G223" s="185">
        <f t="shared" si="125"/>
        <v>-2.4505183788878449E-2</v>
      </c>
      <c r="H223" s="185">
        <f t="shared" si="125"/>
        <v>6.4734299516908234E-2</v>
      </c>
      <c r="I223" s="185">
        <f t="shared" si="125"/>
        <v>-0.15063520871143377</v>
      </c>
      <c r="J223" s="185">
        <f t="shared" si="125"/>
        <v>-0.24358974358974361</v>
      </c>
      <c r="K223" s="185">
        <f t="shared" si="125"/>
        <v>5.9322033898305149E-2</v>
      </c>
      <c r="L223" s="185">
        <f t="shared" si="125"/>
        <v>-6.1333333333333351E-2</v>
      </c>
      <c r="M223" s="185">
        <f t="shared" si="125"/>
        <v>-1.1363636363636354E-2</v>
      </c>
      <c r="N223" s="400"/>
      <c r="O223" s="401">
        <f>O221/R246-1</f>
        <v>5.788005578800548E-2</v>
      </c>
      <c r="P223" s="398">
        <f>P221/O221-1</f>
        <v>3.625576796308505E-2</v>
      </c>
      <c r="Q223" s="398">
        <f>Q221/P221-1</f>
        <v>-0.12659033078880411</v>
      </c>
      <c r="R223" s="398">
        <f>R221/Q221-1</f>
        <v>-0.21704297159504737</v>
      </c>
      <c r="S223" s="385"/>
    </row>
    <row r="224" spans="1:19">
      <c r="A224" s="385"/>
      <c r="B224" s="385"/>
      <c r="C224" s="385"/>
      <c r="D224" s="385"/>
      <c r="E224" s="385"/>
      <c r="F224" s="385"/>
      <c r="G224" s="387"/>
      <c r="H224" s="385"/>
      <c r="I224" s="385"/>
      <c r="J224" s="385"/>
      <c r="K224" s="385"/>
      <c r="L224" s="385"/>
      <c r="M224" s="385"/>
      <c r="N224" s="385"/>
      <c r="O224" s="386"/>
      <c r="P224" s="386"/>
      <c r="Q224" s="386"/>
      <c r="R224" s="386"/>
      <c r="S224" s="385"/>
    </row>
    <row r="225" spans="1:19" s="444" customFormat="1" ht="15.5" customHeight="1">
      <c r="A225" s="422" t="s">
        <v>161</v>
      </c>
      <c r="B225" s="184" t="s">
        <v>51</v>
      </c>
      <c r="C225" s="184" t="s">
        <v>52</v>
      </c>
      <c r="D225" s="184" t="s">
        <v>53</v>
      </c>
      <c r="E225" s="184" t="s">
        <v>54</v>
      </c>
      <c r="F225" s="184" t="s">
        <v>55</v>
      </c>
      <c r="G225" s="184" t="s">
        <v>77</v>
      </c>
      <c r="H225" s="184" t="s">
        <v>78</v>
      </c>
      <c r="I225" s="184" t="s">
        <v>79</v>
      </c>
      <c r="J225" s="184" t="s">
        <v>80</v>
      </c>
      <c r="K225" s="184" t="s">
        <v>81</v>
      </c>
      <c r="L225" s="184" t="s">
        <v>82</v>
      </c>
      <c r="M225" s="184" t="s">
        <v>44</v>
      </c>
      <c r="N225" s="400" t="s">
        <v>128</v>
      </c>
      <c r="O225" s="55" t="s">
        <v>129</v>
      </c>
      <c r="P225" s="55" t="s">
        <v>130</v>
      </c>
      <c r="Q225" s="55" t="s">
        <v>131</v>
      </c>
      <c r="R225" s="55" t="s">
        <v>132</v>
      </c>
      <c r="S225" s="445"/>
    </row>
    <row r="226" spans="1:19">
      <c r="A226" s="423" t="s">
        <v>133</v>
      </c>
      <c r="B226" s="391">
        <v>46470</v>
      </c>
      <c r="C226" s="391">
        <v>48426</v>
      </c>
      <c r="D226" s="391">
        <v>51402</v>
      </c>
      <c r="E226" s="391">
        <v>50742</v>
      </c>
      <c r="F226" s="391">
        <v>50128</v>
      </c>
      <c r="G226" s="391">
        <v>49379</v>
      </c>
      <c r="H226" s="391">
        <v>53779</v>
      </c>
      <c r="I226" s="391">
        <v>56568</v>
      </c>
      <c r="J226" s="391">
        <f>J234+J242</f>
        <v>50289</v>
      </c>
      <c r="K226" s="391">
        <v>54085</v>
      </c>
      <c r="L226" s="391">
        <v>50056</v>
      </c>
      <c r="M226" s="391">
        <v>50176</v>
      </c>
      <c r="N226" s="393">
        <f>SUM(B226:M226)</f>
        <v>611500</v>
      </c>
      <c r="O226" s="394">
        <f>SUM(B226:D226)</f>
        <v>146298</v>
      </c>
      <c r="P226" s="394">
        <f>SUM(E226:G226)</f>
        <v>150249</v>
      </c>
      <c r="Q226" s="394">
        <f>SUM(H226:J226)</f>
        <v>160636</v>
      </c>
      <c r="R226" s="395">
        <f>SUM(K226:M226)</f>
        <v>154317</v>
      </c>
      <c r="S226" s="385"/>
    </row>
    <row r="227" spans="1:19">
      <c r="A227" s="390" t="s">
        <v>134</v>
      </c>
      <c r="B227" s="396">
        <f t="shared" ref="B227:J227" si="126">B226/B251-1</f>
        <v>5.7795178803123015E-2</v>
      </c>
      <c r="C227" s="396">
        <f t="shared" si="126"/>
        <v>0.13173946575054329</v>
      </c>
      <c r="D227" s="396">
        <f t="shared" si="126"/>
        <v>0.16018508069066706</v>
      </c>
      <c r="E227" s="396">
        <f t="shared" si="126"/>
        <v>0.15262476432773786</v>
      </c>
      <c r="F227" s="396">
        <f t="shared" si="126"/>
        <v>0.1145499822127356</v>
      </c>
      <c r="G227" s="396">
        <f t="shared" si="126"/>
        <v>0.12928234917440418</v>
      </c>
      <c r="H227" s="396">
        <f t="shared" si="126"/>
        <v>0.10656378600823047</v>
      </c>
      <c r="I227" s="396">
        <f t="shared" si="126"/>
        <v>0.12095751426759671</v>
      </c>
      <c r="J227" s="396">
        <f t="shared" si="126"/>
        <v>8.041507326086017E-2</v>
      </c>
      <c r="K227" s="396">
        <v>0.107</v>
      </c>
      <c r="L227" s="396">
        <f t="shared" ref="L227:R227" si="127">L226/L251-1</f>
        <v>7.7515875578516802E-2</v>
      </c>
      <c r="M227" s="396">
        <f t="shared" si="127"/>
        <v>7.5445816186556991E-2</v>
      </c>
      <c r="N227" s="397">
        <f t="shared" si="127"/>
        <v>0.10919040890399656</v>
      </c>
      <c r="O227" s="396">
        <f t="shared" si="127"/>
        <v>0.11656554092730387</v>
      </c>
      <c r="P227" s="396">
        <f t="shared" si="127"/>
        <v>0.13203239781503107</v>
      </c>
      <c r="Q227" s="396">
        <f t="shared" si="127"/>
        <v>0.10319346198750079</v>
      </c>
      <c r="R227" s="396">
        <f t="shared" si="127"/>
        <v>8.7175838188568555E-2</v>
      </c>
      <c r="S227" s="385"/>
    </row>
    <row r="228" spans="1:19" ht="15.5" customHeight="1">
      <c r="A228" s="390" t="s">
        <v>135</v>
      </c>
      <c r="B228" s="185">
        <f>B226/M251-1</f>
        <v>-3.9866255144033191E-3</v>
      </c>
      <c r="C228" s="185">
        <f t="shared" ref="C228:M228" si="128">C226/B226-1</f>
        <v>4.2091672046481676E-2</v>
      </c>
      <c r="D228" s="185">
        <f t="shared" si="128"/>
        <v>6.1454590509230522E-2</v>
      </c>
      <c r="E228" s="185">
        <f t="shared" si="128"/>
        <v>-1.2839967316446876E-2</v>
      </c>
      <c r="F228" s="185">
        <f t="shared" si="128"/>
        <v>-1.2100429624374298E-2</v>
      </c>
      <c r="G228" s="185">
        <f t="shared" si="128"/>
        <v>-1.4941749122246994E-2</v>
      </c>
      <c r="H228" s="185">
        <f t="shared" si="128"/>
        <v>8.9106705279572207E-2</v>
      </c>
      <c r="I228" s="185">
        <f t="shared" si="128"/>
        <v>5.1860391602670086E-2</v>
      </c>
      <c r="J228" s="185">
        <f t="shared" si="128"/>
        <v>-0.11099915146372508</v>
      </c>
      <c r="K228" s="185">
        <f t="shared" si="128"/>
        <v>7.5483704189783118E-2</v>
      </c>
      <c r="L228" s="185">
        <f t="shared" si="128"/>
        <v>-7.4493852269575722E-2</v>
      </c>
      <c r="M228" s="185">
        <f t="shared" si="128"/>
        <v>2.3973150071918692E-3</v>
      </c>
      <c r="N228" s="400"/>
      <c r="O228" s="401">
        <f>O226/R251-1</f>
        <v>3.0681329829579385E-2</v>
      </c>
      <c r="P228" s="398">
        <f>P226/O226-1</f>
        <v>2.7006520936718292E-2</v>
      </c>
      <c r="Q228" s="398">
        <f>Q226/P226-1</f>
        <v>6.9131907699884865E-2</v>
      </c>
      <c r="R228" s="398">
        <f>R226/Q226-1</f>
        <v>-3.9337383899001432E-2</v>
      </c>
      <c r="S228" s="385"/>
    </row>
    <row r="229" spans="1:19">
      <c r="A229" s="385"/>
      <c r="B229" s="402"/>
      <c r="C229" s="402"/>
      <c r="D229" s="402"/>
      <c r="E229" s="402"/>
      <c r="F229" s="402"/>
      <c r="G229" s="427"/>
      <c r="H229" s="402"/>
      <c r="I229" s="402"/>
      <c r="J229" s="403"/>
      <c r="K229" s="403"/>
      <c r="L229" s="403"/>
      <c r="M229" s="403"/>
      <c r="N229" s="404"/>
      <c r="O229" s="404"/>
      <c r="P229" s="404"/>
      <c r="Q229" s="404"/>
      <c r="R229" s="404"/>
      <c r="S229" s="385"/>
    </row>
    <row r="230" spans="1:19">
      <c r="A230" s="428" t="s">
        <v>137</v>
      </c>
      <c r="B230" s="391">
        <f>B234-B246</f>
        <v>40691</v>
      </c>
      <c r="C230" s="391">
        <f>C234-C246</f>
        <v>42241</v>
      </c>
      <c r="D230" s="391">
        <f>D234-D246</f>
        <v>45215</v>
      </c>
      <c r="E230" s="391">
        <f>E234-E246</f>
        <v>44467</v>
      </c>
      <c r="F230" s="391">
        <v>45048</v>
      </c>
      <c r="G230" s="391">
        <v>44159</v>
      </c>
      <c r="H230" s="391">
        <f t="shared" ref="H230:M230" si="129">H234-H246</f>
        <v>47120</v>
      </c>
      <c r="I230" s="391">
        <f t="shared" si="129"/>
        <v>49580</v>
      </c>
      <c r="J230" s="391">
        <f t="shared" si="129"/>
        <v>44358</v>
      </c>
      <c r="K230" s="391">
        <f t="shared" si="129"/>
        <v>47881</v>
      </c>
      <c r="L230" s="391">
        <f t="shared" si="129"/>
        <v>44079</v>
      </c>
      <c r="M230" s="391">
        <f t="shared" si="129"/>
        <v>43611</v>
      </c>
      <c r="N230" s="393">
        <f>SUM(B230:M230)</f>
        <v>538450</v>
      </c>
      <c r="O230" s="394">
        <f>SUM(B230:D230)</f>
        <v>128147</v>
      </c>
      <c r="P230" s="394">
        <f>SUM(E230:G230)</f>
        <v>133674</v>
      </c>
      <c r="Q230" s="394">
        <f>SUM(H230:J230)</f>
        <v>141058</v>
      </c>
      <c r="R230" s="395">
        <f>SUM(K230:M230)</f>
        <v>135571</v>
      </c>
      <c r="S230" s="385"/>
    </row>
    <row r="231" spans="1:19">
      <c r="A231" s="390" t="s">
        <v>134</v>
      </c>
      <c r="B231" s="396">
        <f t="shared" ref="B231:R231" si="130">B230/B255-1</f>
        <v>6.7696990370234245E-2</v>
      </c>
      <c r="C231" s="396">
        <f t="shared" si="130"/>
        <v>0.12859356631398944</v>
      </c>
      <c r="D231" s="396">
        <f t="shared" si="130"/>
        <v>0.15589130045760147</v>
      </c>
      <c r="E231" s="396">
        <f t="shared" si="130"/>
        <v>0.14252312435765679</v>
      </c>
      <c r="F231" s="396">
        <f t="shared" si="130"/>
        <v>0.12919235975334642</v>
      </c>
      <c r="G231" s="396">
        <f t="shared" si="130"/>
        <v>0.1436303835495818</v>
      </c>
      <c r="H231" s="396">
        <f t="shared" si="130"/>
        <v>0.10284136123203669</v>
      </c>
      <c r="I231" s="396">
        <f t="shared" si="130"/>
        <v>0.11885902556811767</v>
      </c>
      <c r="J231" s="396">
        <f t="shared" si="130"/>
        <v>7.7121072313146577E-2</v>
      </c>
      <c r="K231" s="396">
        <f t="shared" si="130"/>
        <v>0.1069727655245758</v>
      </c>
      <c r="L231" s="396">
        <f t="shared" si="130"/>
        <v>7.0892349554189549E-2</v>
      </c>
      <c r="M231" s="396">
        <f t="shared" si="130"/>
        <v>6.6413987039980471E-2</v>
      </c>
      <c r="N231" s="397">
        <f t="shared" si="130"/>
        <v>0.10880246450884856</v>
      </c>
      <c r="O231" s="396">
        <f t="shared" si="130"/>
        <v>0.11766501535026519</v>
      </c>
      <c r="P231" s="396">
        <f t="shared" si="130"/>
        <v>0.13835829919865117</v>
      </c>
      <c r="Q231" s="396">
        <f t="shared" si="130"/>
        <v>0.10011620561374501</v>
      </c>
      <c r="R231" s="396">
        <f t="shared" si="130"/>
        <v>8.1884925385045104E-2</v>
      </c>
      <c r="S231" s="385"/>
    </row>
    <row r="232" spans="1:19" ht="15.5" customHeight="1">
      <c r="A232" s="390" t="s">
        <v>135</v>
      </c>
      <c r="B232" s="185">
        <f>B230/M255-1</f>
        <v>-4.988384888128139E-3</v>
      </c>
      <c r="C232" s="185">
        <f t="shared" ref="C232:M232" si="131">C230/B230-1</f>
        <v>3.8091961367378468E-2</v>
      </c>
      <c r="D232" s="185">
        <f t="shared" si="131"/>
        <v>7.04055301721076E-2</v>
      </c>
      <c r="E232" s="185">
        <f t="shared" si="131"/>
        <v>-1.6543182572155257E-2</v>
      </c>
      <c r="F232" s="185">
        <f t="shared" si="131"/>
        <v>1.3065869071446246E-2</v>
      </c>
      <c r="G232" s="185">
        <f t="shared" si="131"/>
        <v>-1.9734505416444725E-2</v>
      </c>
      <c r="H232" s="185">
        <f t="shared" si="131"/>
        <v>6.7053148848479349E-2</v>
      </c>
      <c r="I232" s="185">
        <f t="shared" si="131"/>
        <v>5.2207130730050899E-2</v>
      </c>
      <c r="J232" s="185">
        <f t="shared" si="131"/>
        <v>-0.10532472771278745</v>
      </c>
      <c r="K232" s="185">
        <f t="shared" si="131"/>
        <v>7.9421975742819839E-2</v>
      </c>
      <c r="L232" s="185">
        <f t="shared" si="131"/>
        <v>-7.940519203859564E-2</v>
      </c>
      <c r="M232" s="185">
        <f t="shared" si="131"/>
        <v>-1.0617300755461745E-2</v>
      </c>
      <c r="N232" s="400"/>
      <c r="O232" s="401">
        <f>O230/R255-1</f>
        <v>2.2639853164152957E-2</v>
      </c>
      <c r="P232" s="398">
        <f>P230/O230-1</f>
        <v>4.3130155212373289E-2</v>
      </c>
      <c r="Q232" s="398">
        <f>Q230/P230-1</f>
        <v>5.5238864700689838E-2</v>
      </c>
      <c r="R232" s="398">
        <f>R230/Q230-1</f>
        <v>-3.8898892654085526E-2</v>
      </c>
      <c r="S232" s="385"/>
    </row>
    <row r="233" spans="1:19" ht="15.5" customHeight="1">
      <c r="A233" s="385"/>
      <c r="B233" s="186"/>
      <c r="C233" s="434"/>
      <c r="D233" s="434"/>
      <c r="E233" s="402"/>
      <c r="F233" s="434"/>
      <c r="G233" s="434"/>
      <c r="H233" s="434"/>
      <c r="I233" s="434"/>
      <c r="J233" s="434"/>
      <c r="K233" s="434"/>
      <c r="L233" s="434"/>
      <c r="M233" s="434"/>
      <c r="N233" s="436"/>
      <c r="O233" s="437"/>
      <c r="P233" s="438"/>
      <c r="Q233" s="438"/>
      <c r="R233" s="438"/>
      <c r="S233" s="385"/>
    </row>
    <row r="234" spans="1:19">
      <c r="A234" s="429" t="s">
        <v>145</v>
      </c>
      <c r="B234" s="455">
        <v>41532</v>
      </c>
      <c r="C234" s="455">
        <v>43169</v>
      </c>
      <c r="D234" s="391">
        <v>46110</v>
      </c>
      <c r="E234" s="391">
        <v>45405</v>
      </c>
      <c r="F234" s="391">
        <v>45048</v>
      </c>
      <c r="G234" s="391">
        <v>44159</v>
      </c>
      <c r="H234" s="391">
        <v>48117</v>
      </c>
      <c r="I234" s="391">
        <v>50627</v>
      </c>
      <c r="J234" s="391">
        <v>45261</v>
      </c>
      <c r="K234" s="391">
        <v>48833</v>
      </c>
      <c r="L234" s="391">
        <v>45023</v>
      </c>
      <c r="M234" s="391">
        <v>44583</v>
      </c>
      <c r="N234" s="393">
        <f>SUM(B234:M234)</f>
        <v>547867</v>
      </c>
      <c r="O234" s="394">
        <f>SUM(B234:D234)</f>
        <v>130811</v>
      </c>
      <c r="P234" s="394">
        <f>SUM(E234:G234)</f>
        <v>134612</v>
      </c>
      <c r="Q234" s="394">
        <f>SUM(H234:J234)</f>
        <v>144005</v>
      </c>
      <c r="R234" s="395">
        <f>SUM(K234:M234)</f>
        <v>138439</v>
      </c>
      <c r="S234" s="385"/>
    </row>
    <row r="235" spans="1:19">
      <c r="A235" s="390" t="s">
        <v>134</v>
      </c>
      <c r="B235" s="396">
        <f t="shared" ref="B235:J235" si="132">B234/B259-1</f>
        <v>6.5961706277911869E-2</v>
      </c>
      <c r="C235" s="396">
        <f t="shared" si="132"/>
        <v>0.12981234787615481</v>
      </c>
      <c r="D235" s="396">
        <f t="shared" si="132"/>
        <v>0.15546534355735986</v>
      </c>
      <c r="E235" s="396">
        <f t="shared" si="132"/>
        <v>0.14197686116700203</v>
      </c>
      <c r="F235" s="396">
        <f t="shared" si="132"/>
        <v>0.10566232236212358</v>
      </c>
      <c r="G235" s="396">
        <f t="shared" si="132"/>
        <v>0.1196217134453994</v>
      </c>
      <c r="H235" s="396">
        <f t="shared" si="132"/>
        <v>0.10261463369921398</v>
      </c>
      <c r="I235" s="396">
        <f t="shared" si="132"/>
        <v>0.11912551394845039</v>
      </c>
      <c r="J235" s="396">
        <f t="shared" si="132"/>
        <v>7.7617199590485964E-2</v>
      </c>
      <c r="K235" s="396">
        <v>0.106</v>
      </c>
      <c r="L235" s="396">
        <f t="shared" ref="L235:R235" si="133">L234/L259-1</f>
        <v>7.103266170278566E-2</v>
      </c>
      <c r="M235" s="396">
        <f t="shared" si="133"/>
        <v>6.6783116385911168E-2</v>
      </c>
      <c r="N235" s="397">
        <f t="shared" si="133"/>
        <v>0.10483786399935457</v>
      </c>
      <c r="O235" s="396">
        <f t="shared" si="133"/>
        <v>0.1173074130700309</v>
      </c>
      <c r="P235" s="396">
        <f t="shared" si="133"/>
        <v>0.12229040218768761</v>
      </c>
      <c r="Q235" s="396">
        <f t="shared" si="133"/>
        <v>0.10029951557939465</v>
      </c>
      <c r="R235" s="396">
        <f t="shared" si="133"/>
        <v>8.1715254608105914E-2</v>
      </c>
      <c r="S235" s="385"/>
    </row>
    <row r="236" spans="1:19" ht="15.5" customHeight="1">
      <c r="A236" s="390" t="s">
        <v>135</v>
      </c>
      <c r="B236" s="185">
        <f>B234/M259-1</f>
        <v>-6.2212863705972676E-3</v>
      </c>
      <c r="C236" s="185">
        <f t="shared" ref="C236:M236" si="134">C234/B234-1</f>
        <v>3.9415390542232531E-2</v>
      </c>
      <c r="D236" s="185">
        <f t="shared" si="134"/>
        <v>6.8127591558757361E-2</v>
      </c>
      <c r="E236" s="185">
        <f t="shared" si="134"/>
        <v>-1.5289525048796326E-2</v>
      </c>
      <c r="F236" s="185">
        <f t="shared" si="134"/>
        <v>-7.862570201519703E-3</v>
      </c>
      <c r="G236" s="185">
        <f t="shared" si="134"/>
        <v>-1.9734505416444725E-2</v>
      </c>
      <c r="H236" s="185">
        <f t="shared" si="134"/>
        <v>8.9630652868045058E-2</v>
      </c>
      <c r="I236" s="185">
        <f t="shared" si="134"/>
        <v>5.2164515659746113E-2</v>
      </c>
      <c r="J236" s="185">
        <f t="shared" si="134"/>
        <v>-0.10599087443459021</v>
      </c>
      <c r="K236" s="185">
        <f t="shared" si="134"/>
        <v>7.892004153686405E-2</v>
      </c>
      <c r="L236" s="185">
        <f t="shared" si="134"/>
        <v>-7.8021010382323452E-2</v>
      </c>
      <c r="M236" s="185">
        <f t="shared" si="134"/>
        <v>-9.7727827999022354E-3</v>
      </c>
      <c r="N236" s="400"/>
      <c r="O236" s="401">
        <f>O234/R259-1</f>
        <v>2.2112657347574949E-2</v>
      </c>
      <c r="P236" s="398">
        <f>P234/O234-1</f>
        <v>2.9057189380097936E-2</v>
      </c>
      <c r="Q236" s="398">
        <f>Q234/P234-1</f>
        <v>6.9778325855050172E-2</v>
      </c>
      <c r="R236" s="398">
        <f>R234/Q234-1</f>
        <v>-3.865143571403773E-2</v>
      </c>
      <c r="S236" s="385"/>
    </row>
    <row r="237" spans="1:19">
      <c r="A237" s="385"/>
      <c r="B237" s="402"/>
      <c r="C237" s="402"/>
      <c r="D237" s="402"/>
      <c r="E237" s="402"/>
      <c r="F237" s="402"/>
      <c r="G237" s="427"/>
      <c r="H237" s="402"/>
      <c r="I237" s="402"/>
      <c r="J237" s="403"/>
      <c r="K237" s="403"/>
      <c r="L237" s="403"/>
      <c r="M237" s="403"/>
      <c r="N237" s="404"/>
      <c r="O237" s="404"/>
      <c r="P237" s="404"/>
      <c r="Q237" s="404"/>
      <c r="R237" s="404"/>
      <c r="S237" s="385"/>
    </row>
    <row r="238" spans="1:19">
      <c r="A238" s="430" t="s">
        <v>146</v>
      </c>
      <c r="B238" s="455">
        <f t="shared" ref="B238:M238" si="135">B242+B246</f>
        <v>5778</v>
      </c>
      <c r="C238" s="455">
        <f t="shared" si="135"/>
        <v>6186</v>
      </c>
      <c r="D238" s="455">
        <f t="shared" si="135"/>
        <v>6187</v>
      </c>
      <c r="E238" s="455">
        <f t="shared" si="135"/>
        <v>6275</v>
      </c>
      <c r="F238" s="455">
        <f t="shared" si="135"/>
        <v>6006</v>
      </c>
      <c r="G238" s="455">
        <f t="shared" si="135"/>
        <v>6147</v>
      </c>
      <c r="H238" s="455">
        <f t="shared" si="135"/>
        <v>6659</v>
      </c>
      <c r="I238" s="455">
        <f t="shared" si="135"/>
        <v>6988</v>
      </c>
      <c r="J238" s="455">
        <f t="shared" si="135"/>
        <v>5931</v>
      </c>
      <c r="K238" s="455">
        <f t="shared" si="135"/>
        <v>6203</v>
      </c>
      <c r="L238" s="455">
        <f t="shared" si="135"/>
        <v>5977</v>
      </c>
      <c r="M238" s="455">
        <f t="shared" si="135"/>
        <v>6565</v>
      </c>
      <c r="N238" s="393">
        <f>SUM(B238:M238)</f>
        <v>74902</v>
      </c>
      <c r="O238" s="394">
        <f>SUM(B238:D238)</f>
        <v>18151</v>
      </c>
      <c r="P238" s="394">
        <f>SUM(E238:G238)</f>
        <v>18428</v>
      </c>
      <c r="Q238" s="394">
        <f>SUM(H238:J238)</f>
        <v>19578</v>
      </c>
      <c r="R238" s="395">
        <f>SUM(K238:M238)</f>
        <v>18745</v>
      </c>
      <c r="S238" s="385"/>
    </row>
    <row r="239" spans="1:19">
      <c r="A239" s="390" t="s">
        <v>134</v>
      </c>
      <c r="B239" s="396">
        <f t="shared" ref="B239:R239" si="136">B238/B263-1</f>
        <v>-7.2164948453607991E-3</v>
      </c>
      <c r="C239" s="396">
        <f t="shared" si="136"/>
        <v>0.15367400223797101</v>
      </c>
      <c r="D239" s="396">
        <f t="shared" si="136"/>
        <v>0.21575948123403421</v>
      </c>
      <c r="E239" s="396">
        <f t="shared" si="136"/>
        <v>0.22966882226141494</v>
      </c>
      <c r="F239" s="396">
        <f t="shared" si="136"/>
        <v>0.18181818181818188</v>
      </c>
      <c r="G239" s="396">
        <f t="shared" si="136"/>
        <v>0.20222961079601021</v>
      </c>
      <c r="H239" s="396">
        <f t="shared" si="136"/>
        <v>0.13363976847122916</v>
      </c>
      <c r="I239" s="396">
        <f t="shared" si="136"/>
        <v>0.13589076723016902</v>
      </c>
      <c r="J239" s="396">
        <f t="shared" si="136"/>
        <v>0.10549860205032613</v>
      </c>
      <c r="K239" s="396">
        <f t="shared" si="136"/>
        <v>0.11224672763134302</v>
      </c>
      <c r="L239" s="396">
        <f t="shared" si="136"/>
        <v>0.12901397808840187</v>
      </c>
      <c r="M239" s="396">
        <f t="shared" si="136"/>
        <v>0.13955910432216623</v>
      </c>
      <c r="N239" s="397">
        <f t="shared" si="136"/>
        <v>0.14193804122453968</v>
      </c>
      <c r="O239" s="398">
        <f t="shared" si="136"/>
        <v>0.11554299059676731</v>
      </c>
      <c r="P239" s="398">
        <f t="shared" si="136"/>
        <v>0.2046019087462414</v>
      </c>
      <c r="Q239" s="398">
        <f t="shared" si="136"/>
        <v>0.12575470070726236</v>
      </c>
      <c r="R239" s="46">
        <f t="shared" si="136"/>
        <v>0.12704425204425207</v>
      </c>
      <c r="S239" s="385"/>
    </row>
    <row r="240" spans="1:19" ht="15.5" customHeight="1">
      <c r="A240" s="390" t="s">
        <v>135</v>
      </c>
      <c r="B240" s="185">
        <f>B238/M263-1</f>
        <v>2.9508765839263429E-3</v>
      </c>
      <c r="C240" s="185">
        <f t="shared" ref="C240:M240" si="137">C238/B238-1</f>
        <v>7.0612668743509799E-2</v>
      </c>
      <c r="D240" s="185">
        <f t="shared" si="137"/>
        <v>1.6165535079215587E-4</v>
      </c>
      <c r="E240" s="185">
        <f t="shared" si="137"/>
        <v>1.4223371585582623E-2</v>
      </c>
      <c r="F240" s="185">
        <f t="shared" si="137"/>
        <v>-4.2868525896414322E-2</v>
      </c>
      <c r="G240" s="185">
        <f t="shared" si="137"/>
        <v>2.3476523476523514E-2</v>
      </c>
      <c r="H240" s="185">
        <f t="shared" si="137"/>
        <v>8.3292663087685126E-2</v>
      </c>
      <c r="I240" s="185">
        <f t="shared" si="137"/>
        <v>4.9406817840516704E-2</v>
      </c>
      <c r="J240" s="185">
        <f t="shared" si="137"/>
        <v>-0.15125930165998858</v>
      </c>
      <c r="K240" s="185">
        <f t="shared" si="137"/>
        <v>4.5860731748440298E-2</v>
      </c>
      <c r="L240" s="185">
        <f t="shared" si="137"/>
        <v>-3.6433983556343752E-2</v>
      </c>
      <c r="M240" s="185">
        <f t="shared" si="137"/>
        <v>9.8377112263677402E-2</v>
      </c>
      <c r="N240" s="400"/>
      <c r="O240" s="401">
        <f>O238/R263-1</f>
        <v>9.1329966329966261E-2</v>
      </c>
      <c r="P240" s="398">
        <f>P238/O238-1</f>
        <v>1.5260867169852865E-2</v>
      </c>
      <c r="Q240" s="398">
        <f>Q238/P238-1</f>
        <v>6.2405035815064069E-2</v>
      </c>
      <c r="R240" s="398">
        <f>R238/Q238-1</f>
        <v>-4.2547757687199872E-2</v>
      </c>
      <c r="S240" s="385"/>
    </row>
    <row r="241" spans="1:19">
      <c r="A241" s="385"/>
      <c r="B241" s="402"/>
      <c r="C241" s="402"/>
      <c r="D241" s="402"/>
      <c r="E241" s="402"/>
      <c r="F241" s="402"/>
      <c r="G241" s="427"/>
      <c r="H241" s="402"/>
      <c r="I241" s="402"/>
      <c r="J241" s="403"/>
      <c r="K241" s="403"/>
      <c r="L241" s="403"/>
      <c r="M241" s="403"/>
      <c r="N241" s="404"/>
      <c r="O241" s="404"/>
      <c r="P241" s="404"/>
      <c r="Q241" s="404"/>
      <c r="R241" s="404"/>
      <c r="S241" s="385"/>
    </row>
    <row r="242" spans="1:19">
      <c r="A242" s="431" t="s">
        <v>147</v>
      </c>
      <c r="B242" s="391">
        <v>4937</v>
      </c>
      <c r="C242" s="391">
        <v>5258</v>
      </c>
      <c r="D242" s="391">
        <v>5292</v>
      </c>
      <c r="E242" s="391">
        <v>5337</v>
      </c>
      <c r="F242" s="391">
        <v>5080</v>
      </c>
      <c r="G242" s="391">
        <v>5220</v>
      </c>
      <c r="H242" s="391">
        <v>5662</v>
      </c>
      <c r="I242" s="391">
        <v>5941</v>
      </c>
      <c r="J242" s="391">
        <v>5028</v>
      </c>
      <c r="K242" s="454">
        <v>5251</v>
      </c>
      <c r="L242" s="391">
        <v>5033</v>
      </c>
      <c r="M242" s="391">
        <v>5593</v>
      </c>
      <c r="N242" s="393">
        <f>SUM(B242:M242)</f>
        <v>63632</v>
      </c>
      <c r="O242" s="394">
        <f>SUM(B242:D242)</f>
        <v>15487</v>
      </c>
      <c r="P242" s="394">
        <f>SUM(E242:G242)</f>
        <v>15637</v>
      </c>
      <c r="Q242" s="394">
        <f>SUM(H242:J242)</f>
        <v>16631</v>
      </c>
      <c r="R242" s="395">
        <f>SUM(K242:M242)</f>
        <v>15877</v>
      </c>
      <c r="S242" s="385"/>
    </row>
    <row r="243" spans="1:19">
      <c r="A243" s="390" t="s">
        <v>134</v>
      </c>
      <c r="B243" s="396">
        <f t="shared" ref="B243:J243" si="138">B242/B267-1</f>
        <v>-6.4399275508150167E-3</v>
      </c>
      <c r="C243" s="396">
        <f t="shared" si="138"/>
        <v>0.14778432656625196</v>
      </c>
      <c r="D243" s="396">
        <f t="shared" si="138"/>
        <v>0.23069767441860467</v>
      </c>
      <c r="E243" s="396">
        <f t="shared" si="138"/>
        <v>0.25193525686136531</v>
      </c>
      <c r="F243" s="396">
        <f t="shared" si="138"/>
        <v>0.20009449562957715</v>
      </c>
      <c r="G243" s="396">
        <f t="shared" si="138"/>
        <v>0.2182030338389731</v>
      </c>
      <c r="H243" s="280">
        <f t="shared" si="138"/>
        <v>0.14130215682322111</v>
      </c>
      <c r="I243" s="396">
        <f t="shared" si="138"/>
        <v>0.1365984312224986</v>
      </c>
      <c r="J243" s="396">
        <f t="shared" si="138"/>
        <v>0.10602727672679269</v>
      </c>
      <c r="K243" s="396">
        <v>0.124</v>
      </c>
      <c r="L243" s="396">
        <f t="shared" ref="L243:R243" si="139">L242/L267-1</f>
        <v>0.13920325939339073</v>
      </c>
      <c r="M243" s="396">
        <f t="shared" si="139"/>
        <v>0.14987664473684204</v>
      </c>
      <c r="N243" s="397">
        <f t="shared" si="139"/>
        <v>0.15012833026063688</v>
      </c>
      <c r="O243" s="398">
        <f t="shared" si="139"/>
        <v>0.11819494584837553</v>
      </c>
      <c r="P243" s="398">
        <f t="shared" si="139"/>
        <v>0.22345669352945774</v>
      </c>
      <c r="Q243" s="398">
        <f t="shared" si="139"/>
        <v>0.12874983032441967</v>
      </c>
      <c r="R243" s="398">
        <f t="shared" si="139"/>
        <v>0.13723945276126348</v>
      </c>
      <c r="S243" s="385"/>
    </row>
    <row r="244" spans="1:19" ht="15.5" customHeight="1">
      <c r="A244" s="390" t="s">
        <v>135</v>
      </c>
      <c r="B244" s="185">
        <f>B242/M267-1</f>
        <v>1.500822368421062E-2</v>
      </c>
      <c r="C244" s="185">
        <f t="shared" ref="C244:M244" si="140">C242/B242-1</f>
        <v>6.5019242454932069E-2</v>
      </c>
      <c r="D244" s="185">
        <f t="shared" si="140"/>
        <v>6.4663370102699957E-3</v>
      </c>
      <c r="E244" s="185">
        <f t="shared" si="140"/>
        <v>8.5034013605442826E-3</v>
      </c>
      <c r="F244" s="185">
        <f t="shared" si="140"/>
        <v>-4.8154393854225264E-2</v>
      </c>
      <c r="G244" s="185">
        <f t="shared" si="140"/>
        <v>2.7559055118110187E-2</v>
      </c>
      <c r="H244" s="185">
        <f t="shared" si="140"/>
        <v>8.4674329501915668E-2</v>
      </c>
      <c r="I244" s="185">
        <f t="shared" si="140"/>
        <v>4.9275874249381735E-2</v>
      </c>
      <c r="J244" s="185">
        <f t="shared" si="140"/>
        <v>-0.15367783201481233</v>
      </c>
      <c r="K244" s="185">
        <f t="shared" si="140"/>
        <v>4.4351630867143887E-2</v>
      </c>
      <c r="L244" s="185">
        <f t="shared" si="140"/>
        <v>-4.1515901733003235E-2</v>
      </c>
      <c r="M244" s="185">
        <f t="shared" si="140"/>
        <v>0.11126564673157158</v>
      </c>
      <c r="N244" s="400"/>
      <c r="O244" s="401">
        <f>O242/R267-1</f>
        <v>0.10930449108230067</v>
      </c>
      <c r="P244" s="398">
        <f>P242/O242-1</f>
        <v>9.6855427132434002E-3</v>
      </c>
      <c r="Q244" s="398">
        <f>Q242/P242-1</f>
        <v>6.3567180405448509E-2</v>
      </c>
      <c r="R244" s="398">
        <f>R242/Q242-1</f>
        <v>-4.533702122542238E-2</v>
      </c>
      <c r="S244" s="385"/>
    </row>
    <row r="245" spans="1:19">
      <c r="A245" s="385"/>
      <c r="B245" s="402"/>
      <c r="C245" s="402"/>
      <c r="D245" s="403"/>
      <c r="E245" s="402"/>
      <c r="F245" s="402"/>
      <c r="G245" s="387"/>
      <c r="H245" s="402"/>
      <c r="I245" s="402"/>
      <c r="J245" s="403"/>
      <c r="K245" s="403"/>
      <c r="L245" s="403"/>
      <c r="M245" s="403"/>
      <c r="N245" s="404"/>
      <c r="O245" s="404"/>
      <c r="P245" s="404"/>
      <c r="Q245" s="404"/>
      <c r="R245" s="404"/>
      <c r="S245" s="385"/>
    </row>
    <row r="246" spans="1:19">
      <c r="A246" s="433" t="s">
        <v>148</v>
      </c>
      <c r="B246" s="391">
        <v>841</v>
      </c>
      <c r="C246" s="391">
        <v>928</v>
      </c>
      <c r="D246" s="391">
        <v>895</v>
      </c>
      <c r="E246" s="391">
        <v>938</v>
      </c>
      <c r="F246" s="391">
        <v>926</v>
      </c>
      <c r="G246" s="391">
        <v>927</v>
      </c>
      <c r="H246" s="391">
        <v>997</v>
      </c>
      <c r="I246" s="391">
        <v>1047</v>
      </c>
      <c r="J246" s="391">
        <v>903</v>
      </c>
      <c r="K246" s="391">
        <v>952</v>
      </c>
      <c r="L246" s="391">
        <v>944</v>
      </c>
      <c r="M246" s="391">
        <v>972</v>
      </c>
      <c r="N246" s="393">
        <f>SUM(B246:M246)</f>
        <v>11270</v>
      </c>
      <c r="O246" s="394">
        <f>SUM(B246:D246)</f>
        <v>2664</v>
      </c>
      <c r="P246" s="394">
        <f>SUM(E246:G246)</f>
        <v>2791</v>
      </c>
      <c r="Q246" s="394">
        <f>SUM(H246:J246)</f>
        <v>2947</v>
      </c>
      <c r="R246" s="395">
        <f>SUM(K246:M246)</f>
        <v>2868</v>
      </c>
      <c r="S246" s="385"/>
    </row>
    <row r="247" spans="1:19">
      <c r="A247" s="390" t="s">
        <v>134</v>
      </c>
      <c r="B247" s="396">
        <f t="shared" ref="B247:R247" si="141">B246/B271-1</f>
        <v>-1.1750881316098694E-2</v>
      </c>
      <c r="C247" s="396">
        <f t="shared" si="141"/>
        <v>0.18822023047375169</v>
      </c>
      <c r="D247" s="396">
        <f t="shared" si="141"/>
        <v>0.13434727503168564</v>
      </c>
      <c r="E247" s="396">
        <f t="shared" si="141"/>
        <v>0.1166666666666667</v>
      </c>
      <c r="F247" s="396">
        <f t="shared" si="141"/>
        <v>9.0694935217903394E-2</v>
      </c>
      <c r="G247" s="396">
        <f t="shared" si="141"/>
        <v>0.11956521739130443</v>
      </c>
      <c r="H247" s="396">
        <f t="shared" si="141"/>
        <v>9.200438116100762E-2</v>
      </c>
      <c r="I247" s="396">
        <f t="shared" si="141"/>
        <v>0.13189189189189188</v>
      </c>
      <c r="J247" s="396">
        <f t="shared" si="141"/>
        <v>0.10256410256410264</v>
      </c>
      <c r="K247" s="396">
        <f t="shared" si="141"/>
        <v>6.0133630289532336E-2</v>
      </c>
      <c r="L247" s="396">
        <f t="shared" si="141"/>
        <v>7.7625570776255648E-2</v>
      </c>
      <c r="M247" s="396">
        <f t="shared" si="141"/>
        <v>8.3612040133779209E-2</v>
      </c>
      <c r="N247" s="397">
        <f t="shared" si="141"/>
        <v>9.7798558347944597E-2</v>
      </c>
      <c r="O247" s="396">
        <f t="shared" si="141"/>
        <v>0.1003717472118959</v>
      </c>
      <c r="P247" s="396">
        <f t="shared" si="141"/>
        <v>0.10885975367501</v>
      </c>
      <c r="Q247" s="396">
        <f t="shared" si="141"/>
        <v>0.10914565299209644</v>
      </c>
      <c r="R247" s="396">
        <f t="shared" si="141"/>
        <v>7.37551478846874E-2</v>
      </c>
      <c r="S247" s="385"/>
    </row>
    <row r="248" spans="1:19" ht="15.5" customHeight="1">
      <c r="A248" s="390" t="s">
        <v>135</v>
      </c>
      <c r="B248" s="185">
        <f>B246/M271-1</f>
        <v>-6.2430323299888513E-2</v>
      </c>
      <c r="C248" s="185">
        <f t="shared" ref="C248:M248" si="142">C246/B246-1</f>
        <v>0.10344827586206895</v>
      </c>
      <c r="D248" s="185">
        <f t="shared" si="142"/>
        <v>-3.5560344827586188E-2</v>
      </c>
      <c r="E248" s="185">
        <f t="shared" si="142"/>
        <v>4.8044692737430061E-2</v>
      </c>
      <c r="F248" s="185">
        <f t="shared" si="142"/>
        <v>-1.2793176972281439E-2</v>
      </c>
      <c r="G248" s="185">
        <f t="shared" si="142"/>
        <v>1.0799136069115089E-3</v>
      </c>
      <c r="H248" s="185">
        <f t="shared" si="142"/>
        <v>7.5512405609492905E-2</v>
      </c>
      <c r="I248" s="185">
        <f t="shared" si="142"/>
        <v>5.0150451354062264E-2</v>
      </c>
      <c r="J248" s="185">
        <f t="shared" si="142"/>
        <v>-0.13753581661891112</v>
      </c>
      <c r="K248" s="185">
        <f t="shared" si="142"/>
        <v>5.4263565891472965E-2</v>
      </c>
      <c r="L248" s="185">
        <f t="shared" si="142"/>
        <v>-8.4033613445377853E-3</v>
      </c>
      <c r="M248" s="185">
        <f t="shared" si="142"/>
        <v>2.9661016949152463E-2</v>
      </c>
      <c r="N248" s="400"/>
      <c r="O248" s="401">
        <f>O246/R271-1</f>
        <v>-2.6207412953950238E-3</v>
      </c>
      <c r="P248" s="398">
        <f>P246/O246-1</f>
        <v>4.7672672672672611E-2</v>
      </c>
      <c r="Q248" s="398">
        <f>Q246/P246-1</f>
        <v>5.5893944822644315E-2</v>
      </c>
      <c r="R248" s="398">
        <f>R246/Q246-1</f>
        <v>-2.6806922293858171E-2</v>
      </c>
      <c r="S248" s="385"/>
    </row>
    <row r="249" spans="1:19">
      <c r="A249" s="385"/>
      <c r="B249" s="385"/>
      <c r="C249" s="385"/>
      <c r="D249" s="385"/>
      <c r="E249" s="385"/>
      <c r="F249" s="385"/>
      <c r="G249" s="387"/>
      <c r="H249" s="385"/>
      <c r="I249" s="385"/>
      <c r="J249" s="385"/>
      <c r="K249" s="385"/>
      <c r="L249" s="385"/>
      <c r="M249" s="385"/>
      <c r="N249" s="385"/>
      <c r="O249" s="386"/>
      <c r="P249" s="386"/>
      <c r="Q249" s="386"/>
      <c r="R249" s="386"/>
      <c r="S249" s="385"/>
    </row>
    <row r="250" spans="1:19" ht="15.5" customHeight="1">
      <c r="A250" s="422" t="s">
        <v>162</v>
      </c>
      <c r="B250" s="187" t="s">
        <v>51</v>
      </c>
      <c r="C250" s="187" t="s">
        <v>52</v>
      </c>
      <c r="D250" s="187" t="s">
        <v>53</v>
      </c>
      <c r="E250" s="187" t="s">
        <v>54</v>
      </c>
      <c r="F250" s="187" t="s">
        <v>55</v>
      </c>
      <c r="G250" s="187" t="s">
        <v>77</v>
      </c>
      <c r="H250" s="187" t="s">
        <v>78</v>
      </c>
      <c r="I250" s="187" t="s">
        <v>79</v>
      </c>
      <c r="J250" s="187" t="s">
        <v>80</v>
      </c>
      <c r="K250" s="187" t="s">
        <v>81</v>
      </c>
      <c r="L250" s="187" t="s">
        <v>82</v>
      </c>
      <c r="M250" s="187" t="s">
        <v>44</v>
      </c>
      <c r="N250" s="389" t="s">
        <v>128</v>
      </c>
      <c r="O250" s="5" t="s">
        <v>129</v>
      </c>
      <c r="P250" s="5" t="s">
        <v>130</v>
      </c>
      <c r="Q250" s="5" t="s">
        <v>131</v>
      </c>
      <c r="R250" s="5" t="s">
        <v>132</v>
      </c>
      <c r="S250" s="385"/>
    </row>
    <row r="251" spans="1:19">
      <c r="A251" s="423" t="s">
        <v>133</v>
      </c>
      <c r="B251" s="391">
        <v>43931</v>
      </c>
      <c r="C251" s="391">
        <v>42789</v>
      </c>
      <c r="D251" s="391">
        <v>44305</v>
      </c>
      <c r="E251" s="391">
        <v>44023</v>
      </c>
      <c r="F251" s="391">
        <v>44976</v>
      </c>
      <c r="G251" s="391">
        <v>43726</v>
      </c>
      <c r="H251" s="391">
        <v>48600</v>
      </c>
      <c r="I251" s="391">
        <v>50464</v>
      </c>
      <c r="J251" s="391">
        <v>46546</v>
      </c>
      <c r="K251" s="391">
        <v>48832</v>
      </c>
      <c r="L251" s="391">
        <v>46455</v>
      </c>
      <c r="M251" s="391">
        <v>46656</v>
      </c>
      <c r="N251" s="393">
        <f>SUM(B251:M251)</f>
        <v>551303</v>
      </c>
      <c r="O251" s="394">
        <f>SUM(B251:D251)</f>
        <v>131025</v>
      </c>
      <c r="P251" s="394">
        <f>SUM(E251:G251)</f>
        <v>132725</v>
      </c>
      <c r="Q251" s="394">
        <f>SUM(H251:J251)</f>
        <v>145610</v>
      </c>
      <c r="R251" s="395">
        <f>SUM(K251:M251)</f>
        <v>141943</v>
      </c>
      <c r="S251" s="387"/>
    </row>
    <row r="252" spans="1:19">
      <c r="A252" s="390" t="s">
        <v>134</v>
      </c>
      <c r="B252" s="396">
        <f t="shared" ref="B252:R252" si="143">B251/B276-1</f>
        <v>0.17582035222953807</v>
      </c>
      <c r="C252" s="396">
        <f t="shared" si="143"/>
        <v>9.7801267414115989E-2</v>
      </c>
      <c r="D252" s="396">
        <f t="shared" si="143"/>
        <v>0.1379221779889559</v>
      </c>
      <c r="E252" s="396">
        <f t="shared" si="143"/>
        <v>0.10850078058115531</v>
      </c>
      <c r="F252" s="396">
        <f t="shared" si="143"/>
        <v>0.15402971287814649</v>
      </c>
      <c r="G252" s="396">
        <f t="shared" si="143"/>
        <v>0.14161140410422424</v>
      </c>
      <c r="H252" s="396">
        <f t="shared" si="143"/>
        <v>0.11639445937564608</v>
      </c>
      <c r="I252" s="396">
        <f t="shared" si="143"/>
        <v>8.7117621714778215E-2</v>
      </c>
      <c r="J252" s="396">
        <f t="shared" si="143"/>
        <v>0.11639843618832901</v>
      </c>
      <c r="K252" s="396">
        <f t="shared" si="143"/>
        <v>0.11651728553137009</v>
      </c>
      <c r="L252" s="396">
        <f t="shared" si="143"/>
        <v>0.16991538229072223</v>
      </c>
      <c r="M252" s="396">
        <f t="shared" si="143"/>
        <v>0.15465142178335434</v>
      </c>
      <c r="N252" s="397">
        <f t="shared" si="143"/>
        <v>0.13027513531244872</v>
      </c>
      <c r="O252" s="396">
        <f t="shared" si="143"/>
        <v>0.13663965855266591</v>
      </c>
      <c r="P252" s="396">
        <f t="shared" si="143"/>
        <v>0.13450837258203752</v>
      </c>
      <c r="Q252" s="396">
        <f t="shared" si="143"/>
        <v>0.10607234553271661</v>
      </c>
      <c r="R252" s="396">
        <f t="shared" si="143"/>
        <v>0.14607875592445763</v>
      </c>
      <c r="S252" s="385"/>
    </row>
    <row r="253" spans="1:19" ht="15.5" customHeight="1">
      <c r="A253" s="390" t="s">
        <v>135</v>
      </c>
      <c r="B253" s="185">
        <f>B251/M276-1</f>
        <v>8.7212611676194651E-2</v>
      </c>
      <c r="C253" s="399">
        <f t="shared" ref="C253:M253" si="144">C251/B251-1</f>
        <v>-2.5995310828344498E-2</v>
      </c>
      <c r="D253" s="399">
        <f t="shared" si="144"/>
        <v>3.5429666503073109E-2</v>
      </c>
      <c r="E253" s="399">
        <f t="shared" si="144"/>
        <v>-6.3649700936688758E-3</v>
      </c>
      <c r="F253" s="399">
        <f t="shared" si="144"/>
        <v>2.1647775026690574E-2</v>
      </c>
      <c r="G253" s="399">
        <f t="shared" si="144"/>
        <v>-2.779260049804344E-2</v>
      </c>
      <c r="H253" s="399">
        <f t="shared" si="144"/>
        <v>0.11146686182134191</v>
      </c>
      <c r="I253" s="399">
        <f t="shared" si="144"/>
        <v>3.8353909465020486E-2</v>
      </c>
      <c r="J253" s="399">
        <f t="shared" si="144"/>
        <v>-7.7639505389980989E-2</v>
      </c>
      <c r="K253" s="399">
        <f t="shared" si="144"/>
        <v>4.9112705710479876E-2</v>
      </c>
      <c r="L253" s="399">
        <f t="shared" si="144"/>
        <v>-4.8677096985583201E-2</v>
      </c>
      <c r="M253" s="399">
        <f t="shared" si="144"/>
        <v>4.3267678398450915E-3</v>
      </c>
      <c r="N253" s="400"/>
      <c r="O253" s="398">
        <f>O251/R276-1</f>
        <v>5.792444146595499E-2</v>
      </c>
      <c r="P253" s="398">
        <f>P251/O251-1</f>
        <v>1.2974623163518384E-2</v>
      </c>
      <c r="Q253" s="398">
        <f>Q251/P251-1</f>
        <v>9.7080429459408535E-2</v>
      </c>
      <c r="R253" s="398">
        <f>R251/Q251-1</f>
        <v>-2.5183709910033603E-2</v>
      </c>
      <c r="S253" s="385"/>
    </row>
    <row r="254" spans="1:19">
      <c r="A254" s="385"/>
      <c r="B254" s="402"/>
      <c r="C254" s="402"/>
      <c r="D254" s="402"/>
      <c r="E254" s="402">
        <f>SUM(E251:F251)/SUM(E276:F276)-1</f>
        <v>0.13105087244398694</v>
      </c>
      <c r="F254" s="402"/>
      <c r="G254" s="427"/>
      <c r="H254" s="402"/>
      <c r="I254" s="402"/>
      <c r="J254" s="403"/>
      <c r="K254" s="403"/>
      <c r="L254" s="403"/>
      <c r="M254" s="403"/>
      <c r="N254" s="404"/>
      <c r="O254" s="404"/>
      <c r="P254" s="404"/>
      <c r="Q254" s="404"/>
      <c r="R254" s="404"/>
      <c r="S254" s="385"/>
    </row>
    <row r="255" spans="1:19">
      <c r="A255" s="428" t="s">
        <v>137</v>
      </c>
      <c r="B255" s="391">
        <f t="shared" ref="B255:M255" si="145">B259-B271</f>
        <v>38111</v>
      </c>
      <c r="C255" s="391">
        <f t="shared" si="145"/>
        <v>37428</v>
      </c>
      <c r="D255" s="391">
        <f t="shared" si="145"/>
        <v>39117</v>
      </c>
      <c r="E255" s="391">
        <f t="shared" si="145"/>
        <v>38920</v>
      </c>
      <c r="F255" s="391">
        <f t="shared" si="145"/>
        <v>39894</v>
      </c>
      <c r="G255" s="391">
        <f t="shared" si="145"/>
        <v>38613</v>
      </c>
      <c r="H255" s="391">
        <f t="shared" si="145"/>
        <v>42726</v>
      </c>
      <c r="I255" s="391">
        <f t="shared" si="145"/>
        <v>44313</v>
      </c>
      <c r="J255" s="391">
        <f t="shared" si="145"/>
        <v>41182</v>
      </c>
      <c r="K255" s="391">
        <f t="shared" si="145"/>
        <v>43254</v>
      </c>
      <c r="L255" s="391">
        <f t="shared" si="145"/>
        <v>41161</v>
      </c>
      <c r="M255" s="391">
        <f t="shared" si="145"/>
        <v>40895</v>
      </c>
      <c r="N255" s="393">
        <f>SUM(B255:M255)</f>
        <v>485614</v>
      </c>
      <c r="O255" s="394">
        <f>SUM(B255:D255)</f>
        <v>114656</v>
      </c>
      <c r="P255" s="394">
        <f>SUM(E255:G255)</f>
        <v>117427</v>
      </c>
      <c r="Q255" s="394">
        <f>SUM(H255:J255)</f>
        <v>128221</v>
      </c>
      <c r="R255" s="395">
        <f>SUM(K255:M255)</f>
        <v>125310</v>
      </c>
      <c r="S255" s="387"/>
    </row>
    <row r="256" spans="1:19">
      <c r="A256" s="390" t="s">
        <v>134</v>
      </c>
      <c r="B256" s="396">
        <f>B259/B280-1</f>
        <v>0.20547012778069984</v>
      </c>
      <c r="C256" s="396">
        <f t="shared" ref="C256:R256" si="146">C255/C280-1</f>
        <v>0.11349775384523841</v>
      </c>
      <c r="D256" s="396">
        <f t="shared" si="146"/>
        <v>0.14989123405256044</v>
      </c>
      <c r="E256" s="396">
        <f t="shared" si="146"/>
        <v>0.12371878157932725</v>
      </c>
      <c r="F256" s="396">
        <f t="shared" si="146"/>
        <v>0.17066729268149539</v>
      </c>
      <c r="G256" s="396">
        <f t="shared" si="146"/>
        <v>0.15968885151369538</v>
      </c>
      <c r="H256" s="396">
        <f t="shared" si="146"/>
        <v>0.13079610417107768</v>
      </c>
      <c r="I256" s="396">
        <f t="shared" si="146"/>
        <v>9.4202182823843073E-2</v>
      </c>
      <c r="J256" s="396">
        <f t="shared" si="146"/>
        <v>0.12108673163826422</v>
      </c>
      <c r="K256" s="396">
        <f t="shared" si="146"/>
        <v>0.11398990419285049</v>
      </c>
      <c r="L256" s="396">
        <f t="shared" si="146"/>
        <v>0.16964564803500903</v>
      </c>
      <c r="M256" s="396">
        <f t="shared" si="146"/>
        <v>0.13260586589857914</v>
      </c>
      <c r="N256" s="397">
        <f t="shared" si="146"/>
        <v>0.13699505739833251</v>
      </c>
      <c r="O256" s="396">
        <f t="shared" si="146"/>
        <v>0.14711061309428519</v>
      </c>
      <c r="P256" s="396">
        <f t="shared" si="146"/>
        <v>0.15114352655157881</v>
      </c>
      <c r="Q256" s="396">
        <f t="shared" si="146"/>
        <v>0.11481011337553038</v>
      </c>
      <c r="R256" s="396">
        <f t="shared" si="146"/>
        <v>0.13787843016181456</v>
      </c>
      <c r="S256" s="385"/>
    </row>
    <row r="257" spans="1:19" ht="15.5" customHeight="1">
      <c r="A257" s="390" t="s">
        <v>135</v>
      </c>
      <c r="B257" s="185">
        <f>B259/M280-1</f>
        <v>7.9070540338438633E-2</v>
      </c>
      <c r="C257" s="399">
        <f>C255/B259-1</f>
        <v>-3.9371695498177761E-2</v>
      </c>
      <c r="D257" s="399">
        <f t="shared" ref="D257:M257" si="147">D255/C255-1</f>
        <v>4.5126643154857371E-2</v>
      </c>
      <c r="E257" s="399">
        <f t="shared" si="147"/>
        <v>-5.0361735306899691E-3</v>
      </c>
      <c r="F257" s="399">
        <f t="shared" si="147"/>
        <v>2.5025693730729603E-2</v>
      </c>
      <c r="G257" s="399">
        <f t="shared" si="147"/>
        <v>-3.2110091743119296E-2</v>
      </c>
      <c r="H257" s="399">
        <f t="shared" si="147"/>
        <v>0.10651853002874678</v>
      </c>
      <c r="I257" s="399">
        <f t="shared" si="147"/>
        <v>3.7143659598370959E-2</v>
      </c>
      <c r="J257" s="399">
        <f t="shared" si="147"/>
        <v>-7.0656466499672832E-2</v>
      </c>
      <c r="K257" s="399">
        <f t="shared" si="147"/>
        <v>5.031324365013834E-2</v>
      </c>
      <c r="L257" s="399">
        <f t="shared" si="147"/>
        <v>-4.8388588338650784E-2</v>
      </c>
      <c r="M257" s="399">
        <f t="shared" si="147"/>
        <v>-6.462428026529965E-3</v>
      </c>
      <c r="N257" s="400"/>
      <c r="O257" s="401">
        <f>O255/R280-1</f>
        <v>4.1134700252438039E-2</v>
      </c>
      <c r="P257" s="398">
        <f>P255/O255-1</f>
        <v>2.4167945855428474E-2</v>
      </c>
      <c r="Q257" s="398">
        <f>Q255/P255-1</f>
        <v>9.1920938114743667E-2</v>
      </c>
      <c r="R257" s="398">
        <f>R255/Q255-1</f>
        <v>-2.2702989369915993E-2</v>
      </c>
      <c r="S257" s="385"/>
    </row>
    <row r="258" spans="1:19" ht="15.5" customHeight="1">
      <c r="A258" s="385"/>
      <c r="B258" s="186"/>
      <c r="C258" s="434"/>
      <c r="D258" s="434"/>
      <c r="E258" s="402">
        <f>SUM(E255:F255)/SUM(E280:F280)-1</f>
        <v>0.14700275057121659</v>
      </c>
      <c r="F258" s="434"/>
      <c r="G258" s="434"/>
      <c r="H258" s="434"/>
      <c r="I258" s="434"/>
      <c r="J258" s="434"/>
      <c r="K258" s="434"/>
      <c r="L258" s="434"/>
      <c r="M258" s="434"/>
      <c r="N258" s="436"/>
      <c r="O258" s="437"/>
      <c r="P258" s="438"/>
      <c r="Q258" s="438"/>
      <c r="R258" s="438"/>
      <c r="S258" s="385"/>
    </row>
    <row r="259" spans="1:19">
      <c r="A259" s="429" t="s">
        <v>145</v>
      </c>
      <c r="B259" s="391">
        <v>38962</v>
      </c>
      <c r="C259" s="455">
        <v>38209</v>
      </c>
      <c r="D259" s="391">
        <v>39906</v>
      </c>
      <c r="E259" s="391">
        <v>39760</v>
      </c>
      <c r="F259" s="391">
        <v>40743</v>
      </c>
      <c r="G259" s="391">
        <v>39441</v>
      </c>
      <c r="H259" s="391">
        <v>43639</v>
      </c>
      <c r="I259" s="391">
        <v>45238</v>
      </c>
      <c r="J259" s="391">
        <v>42001</v>
      </c>
      <c r="K259" s="391">
        <v>44152</v>
      </c>
      <c r="L259" s="391">
        <v>42037</v>
      </c>
      <c r="M259" s="391">
        <v>41792</v>
      </c>
      <c r="N259" s="393">
        <f>SUM(B259:M259)</f>
        <v>495880</v>
      </c>
      <c r="O259" s="394">
        <f>SUM(B259:D259)</f>
        <v>117077</v>
      </c>
      <c r="P259" s="394">
        <f>SUM(E259:G259)</f>
        <v>119944</v>
      </c>
      <c r="Q259" s="394">
        <f>SUM(H259:J259)</f>
        <v>130878</v>
      </c>
      <c r="R259" s="395">
        <f>SUM(K259:M259)</f>
        <v>127981</v>
      </c>
      <c r="S259" s="387"/>
    </row>
    <row r="260" spans="1:19">
      <c r="A260" s="390" t="s">
        <v>134</v>
      </c>
      <c r="B260" s="396">
        <f t="shared" ref="B260:R260" si="148">B259/B284-1</f>
        <v>0.17387243529872554</v>
      </c>
      <c r="C260" s="396">
        <f t="shared" si="148"/>
        <v>0.10430635838150293</v>
      </c>
      <c r="D260" s="396">
        <f t="shared" si="148"/>
        <v>0.14553909748535987</v>
      </c>
      <c r="E260" s="396">
        <f t="shared" si="148"/>
        <v>0.12063134160090194</v>
      </c>
      <c r="F260" s="396">
        <f t="shared" si="148"/>
        <v>0.16822456703750421</v>
      </c>
      <c r="G260" s="396">
        <f t="shared" si="148"/>
        <v>0.15683111397899929</v>
      </c>
      <c r="H260" s="396">
        <f t="shared" si="148"/>
        <v>0.12966606264561231</v>
      </c>
      <c r="I260" s="396">
        <f t="shared" si="148"/>
        <v>9.4556012581659798E-2</v>
      </c>
      <c r="J260" s="396">
        <f t="shared" si="148"/>
        <v>0.121192707082032</v>
      </c>
      <c r="K260" s="396">
        <f t="shared" si="148"/>
        <v>0.11506212748762512</v>
      </c>
      <c r="L260" s="396">
        <f t="shared" si="148"/>
        <v>0.16977404274265351</v>
      </c>
      <c r="M260" s="396">
        <f t="shared" si="148"/>
        <v>0.13242108115431517</v>
      </c>
      <c r="N260" s="397">
        <f t="shared" si="148"/>
        <v>0.13490564958174556</v>
      </c>
      <c r="O260" s="396">
        <f t="shared" si="148"/>
        <v>0.14080115369249802</v>
      </c>
      <c r="P260" s="396">
        <f t="shared" si="148"/>
        <v>0.14833891814265199</v>
      </c>
      <c r="Q260" s="396">
        <f t="shared" si="148"/>
        <v>0.11460471295594488</v>
      </c>
      <c r="R260" s="396">
        <f t="shared" si="148"/>
        <v>0.13824630682070849</v>
      </c>
      <c r="S260" s="385"/>
    </row>
    <row r="261" spans="1:19" ht="15.5" customHeight="1">
      <c r="A261" s="390" t="s">
        <v>135</v>
      </c>
      <c r="B261" s="185">
        <f>B259/M284-1</f>
        <v>5.573770491803276E-2</v>
      </c>
      <c r="C261" s="399">
        <f t="shared" ref="C261:M261" si="149">C259/B259-1</f>
        <v>-1.9326523279092456E-2</v>
      </c>
      <c r="D261" s="399">
        <f t="shared" si="149"/>
        <v>4.4413619827789352E-2</v>
      </c>
      <c r="E261" s="399">
        <f t="shared" si="149"/>
        <v>-3.6585977046058593E-3</v>
      </c>
      <c r="F261" s="399">
        <f t="shared" si="149"/>
        <v>2.4723340040241348E-2</v>
      </c>
      <c r="G261" s="399">
        <f t="shared" si="149"/>
        <v>-3.1956409690008125E-2</v>
      </c>
      <c r="H261" s="399">
        <f t="shared" si="149"/>
        <v>0.10643746355315531</v>
      </c>
      <c r="I261" s="399">
        <f t="shared" si="149"/>
        <v>3.6641536240518802E-2</v>
      </c>
      <c r="J261" s="399">
        <f t="shared" si="149"/>
        <v>-7.155488748397365E-2</v>
      </c>
      <c r="K261" s="399">
        <f t="shared" si="149"/>
        <v>5.1213066355562997E-2</v>
      </c>
      <c r="L261" s="399">
        <f t="shared" si="149"/>
        <v>-4.7902699764450052E-2</v>
      </c>
      <c r="M261" s="399">
        <f t="shared" si="149"/>
        <v>-5.828198967576137E-3</v>
      </c>
      <c r="N261" s="400"/>
      <c r="O261" s="401">
        <f>O259/R284-1</f>
        <v>4.1267554274838414E-2</v>
      </c>
      <c r="P261" s="398">
        <f>P259/O259-1</f>
        <v>2.4488157366519436E-2</v>
      </c>
      <c r="Q261" s="398">
        <f>Q259/P259-1</f>
        <v>9.1159207630227446E-2</v>
      </c>
      <c r="R261" s="398">
        <f>R259/Q259-1</f>
        <v>-2.2135118201684012E-2</v>
      </c>
      <c r="S261" s="385"/>
    </row>
    <row r="262" spans="1:19">
      <c r="A262" s="385"/>
      <c r="B262" s="402"/>
      <c r="C262" s="402"/>
      <c r="D262" s="402"/>
      <c r="E262" s="402"/>
      <c r="F262" s="402"/>
      <c r="G262" s="427"/>
      <c r="H262" s="402"/>
      <c r="I262" s="402"/>
      <c r="J262" s="403"/>
      <c r="K262" s="403"/>
      <c r="L262" s="403"/>
      <c r="M262" s="403"/>
      <c r="N262" s="404"/>
      <c r="O262" s="404"/>
      <c r="P262" s="404"/>
      <c r="Q262" s="404"/>
      <c r="R262" s="404"/>
      <c r="S262" s="385"/>
    </row>
    <row r="263" spans="1:19">
      <c r="A263" s="430" t="s">
        <v>146</v>
      </c>
      <c r="B263" s="455">
        <f t="shared" ref="B263:M263" si="150">B267+B271</f>
        <v>5820</v>
      </c>
      <c r="C263" s="455">
        <f t="shared" si="150"/>
        <v>5362</v>
      </c>
      <c r="D263" s="455">
        <f t="shared" si="150"/>
        <v>5089</v>
      </c>
      <c r="E263" s="455">
        <f t="shared" si="150"/>
        <v>5103</v>
      </c>
      <c r="F263" s="455">
        <f t="shared" si="150"/>
        <v>5082</v>
      </c>
      <c r="G263" s="455">
        <f t="shared" si="150"/>
        <v>5113</v>
      </c>
      <c r="H263" s="455">
        <f t="shared" si="150"/>
        <v>5874</v>
      </c>
      <c r="I263" s="455">
        <f t="shared" si="150"/>
        <v>6152</v>
      </c>
      <c r="J263" s="455">
        <f t="shared" si="150"/>
        <v>5365</v>
      </c>
      <c r="K263" s="455">
        <f t="shared" si="150"/>
        <v>5577</v>
      </c>
      <c r="L263" s="455">
        <f t="shared" si="150"/>
        <v>5294</v>
      </c>
      <c r="M263" s="455">
        <f t="shared" si="150"/>
        <v>5761</v>
      </c>
      <c r="N263" s="393">
        <f>SUM(B263:M263)</f>
        <v>65592</v>
      </c>
      <c r="O263" s="394">
        <f>SUM(B263:D263)</f>
        <v>16271</v>
      </c>
      <c r="P263" s="394">
        <f>SUM(E263:G263)</f>
        <v>15298</v>
      </c>
      <c r="Q263" s="394">
        <f>SUM(H263:J263)</f>
        <v>17391</v>
      </c>
      <c r="R263" s="395">
        <f>SUM(K263:M263)</f>
        <v>16632</v>
      </c>
      <c r="S263" s="387">
        <f>SUM(O263:R263)</f>
        <v>65592</v>
      </c>
    </row>
    <row r="264" spans="1:19">
      <c r="A264" s="390" t="s">
        <v>134</v>
      </c>
      <c r="B264" s="396">
        <f t="shared" ref="B264:R264" si="151">B263/B288-1</f>
        <v>0.15430384767949223</v>
      </c>
      <c r="C264" s="396">
        <f t="shared" si="151"/>
        <v>-1.8646280067124987E-4</v>
      </c>
      <c r="D264" s="396">
        <f t="shared" si="151"/>
        <v>3.4980679275981252E-2</v>
      </c>
      <c r="E264" s="396">
        <f t="shared" si="151"/>
        <v>4.7253396337860742E-3</v>
      </c>
      <c r="F264" s="396">
        <f t="shared" si="151"/>
        <v>3.8202247191011285E-2</v>
      </c>
      <c r="G264" s="396">
        <f t="shared" si="151"/>
        <v>2.1170361493908496E-2</v>
      </c>
      <c r="H264" s="396">
        <f t="shared" si="151"/>
        <v>2.1742911810749721E-2</v>
      </c>
      <c r="I264" s="396">
        <f t="shared" si="151"/>
        <v>3.8838230327592038E-2</v>
      </c>
      <c r="J264" s="396">
        <f t="shared" si="151"/>
        <v>8.2089552238805874E-2</v>
      </c>
      <c r="K264" s="396">
        <f t="shared" si="151"/>
        <v>0.13630806845965759</v>
      </c>
      <c r="L264" s="396">
        <f t="shared" si="151"/>
        <v>0.17175741478530315</v>
      </c>
      <c r="M264" s="396">
        <f t="shared" si="151"/>
        <v>0.13005100039231077</v>
      </c>
      <c r="N264" s="397">
        <f t="shared" si="151"/>
        <v>6.7300182244207196E-2</v>
      </c>
      <c r="O264" s="398">
        <f t="shared" si="151"/>
        <v>6.1937083931601578E-2</v>
      </c>
      <c r="P264" s="398">
        <f t="shared" si="151"/>
        <v>2.1160136172485133E-2</v>
      </c>
      <c r="Q264" s="398">
        <f t="shared" si="151"/>
        <v>4.5823561248421463E-2</v>
      </c>
      <c r="R264" s="37">
        <f t="shared" si="151"/>
        <v>0.14513908014321131</v>
      </c>
      <c r="S264" s="385"/>
    </row>
    <row r="265" spans="1:19" ht="15.5" customHeight="1">
      <c r="A265" s="390" t="s">
        <v>135</v>
      </c>
      <c r="B265" s="185">
        <f>B263/M288-1</f>
        <v>0.14162416633974106</v>
      </c>
      <c r="C265" s="399">
        <f t="shared" ref="C265:M265" si="152">C263/B263-1</f>
        <v>-7.8694158075601428E-2</v>
      </c>
      <c r="D265" s="399">
        <f t="shared" si="152"/>
        <v>-5.0913838120104415E-2</v>
      </c>
      <c r="E265" s="399">
        <f t="shared" si="152"/>
        <v>2.7510316368637433E-3</v>
      </c>
      <c r="F265" s="399">
        <f t="shared" si="152"/>
        <v>-4.1152263374485409E-3</v>
      </c>
      <c r="G265" s="399">
        <f t="shared" si="152"/>
        <v>6.0999606454152921E-3</v>
      </c>
      <c r="H265" s="399">
        <f t="shared" si="152"/>
        <v>0.14883629962839828</v>
      </c>
      <c r="I265" s="399">
        <f t="shared" si="152"/>
        <v>4.7327204630575492E-2</v>
      </c>
      <c r="J265" s="399">
        <f t="shared" si="152"/>
        <v>-0.12792587776332898</v>
      </c>
      <c r="K265" s="399">
        <f t="shared" si="152"/>
        <v>3.951537744641187E-2</v>
      </c>
      <c r="L265" s="399">
        <f t="shared" si="152"/>
        <v>-5.0744127667204597E-2</v>
      </c>
      <c r="M265" s="399">
        <f t="shared" si="152"/>
        <v>8.821307140158674E-2</v>
      </c>
      <c r="N265" s="400"/>
      <c r="O265" s="401">
        <f>O263/R288-1</f>
        <v>0.1202836684109061</v>
      </c>
      <c r="P265" s="398">
        <f>P263/O263-1</f>
        <v>-5.9799643537582159E-2</v>
      </c>
      <c r="Q265" s="398">
        <f>Q263/P263-1</f>
        <v>0.13681526996993076</v>
      </c>
      <c r="R265" s="398">
        <f>R263/Q263-1</f>
        <v>-4.3643263757115802E-2</v>
      </c>
      <c r="S265" s="385"/>
    </row>
    <row r="266" spans="1:19">
      <c r="A266" s="385"/>
      <c r="B266" s="402"/>
      <c r="C266" s="402"/>
      <c r="D266" s="402"/>
      <c r="E266" s="402"/>
      <c r="F266" s="402"/>
      <c r="G266" s="427"/>
      <c r="H266" s="402"/>
      <c r="I266" s="402"/>
      <c r="J266" s="403"/>
      <c r="K266" s="403"/>
      <c r="L266" s="403"/>
      <c r="M266" s="403"/>
      <c r="N266" s="404"/>
      <c r="O266" s="404"/>
      <c r="P266" s="404"/>
      <c r="Q266" s="404"/>
      <c r="R266" s="404"/>
      <c r="S266" s="385"/>
    </row>
    <row r="267" spans="1:19">
      <c r="A267" s="431" t="s">
        <v>147</v>
      </c>
      <c r="B267" s="391">
        <v>4969</v>
      </c>
      <c r="C267" s="391">
        <v>4581</v>
      </c>
      <c r="D267" s="391">
        <v>4300</v>
      </c>
      <c r="E267" s="391">
        <v>4263</v>
      </c>
      <c r="F267" s="391">
        <v>4233</v>
      </c>
      <c r="G267" s="391">
        <v>4285</v>
      </c>
      <c r="H267" s="391">
        <v>4961</v>
      </c>
      <c r="I267" s="391">
        <v>5227</v>
      </c>
      <c r="J267" s="391">
        <v>4546</v>
      </c>
      <c r="K267" s="391">
        <v>4679</v>
      </c>
      <c r="L267" s="391">
        <v>4418</v>
      </c>
      <c r="M267" s="391">
        <v>4864</v>
      </c>
      <c r="N267" s="393">
        <f>SUM(B267:M267)</f>
        <v>55326</v>
      </c>
      <c r="O267" s="394">
        <f>SUM(B267:D267)</f>
        <v>13850</v>
      </c>
      <c r="P267" s="394">
        <f>SUM(E267:G267)</f>
        <v>12781</v>
      </c>
      <c r="Q267" s="394">
        <f>SUM(H267:J267)</f>
        <v>14734</v>
      </c>
      <c r="R267" s="395">
        <f>SUM(K267:M267)</f>
        <v>13961</v>
      </c>
      <c r="S267" s="385"/>
    </row>
    <row r="268" spans="1:19">
      <c r="A268" s="390" t="s">
        <v>134</v>
      </c>
      <c r="B268" s="396">
        <f t="shared" ref="B268:R268" si="153">B267/B292-1</f>
        <v>0.19103547459252157</v>
      </c>
      <c r="C268" s="396">
        <f t="shared" si="153"/>
        <v>4.6846435100548423E-2</v>
      </c>
      <c r="D268" s="396">
        <f t="shared" si="153"/>
        <v>4.9036350329348721E-2</v>
      </c>
      <c r="E268" s="396">
        <f t="shared" si="153"/>
        <v>6.8493150684931781E-3</v>
      </c>
      <c r="F268" s="396">
        <f t="shared" si="153"/>
        <v>3.3195020746888071E-2</v>
      </c>
      <c r="G268" s="396">
        <f t="shared" si="153"/>
        <v>1.8056545497742826E-2</v>
      </c>
      <c r="H268" s="396">
        <f t="shared" si="153"/>
        <v>1.1829492147664711E-2</v>
      </c>
      <c r="I268" s="396">
        <f t="shared" si="153"/>
        <v>2.6915520628683742E-2</v>
      </c>
      <c r="J268" s="396">
        <f t="shared" si="153"/>
        <v>7.4450484519026139E-2</v>
      </c>
      <c r="K268" s="396">
        <f t="shared" si="153"/>
        <v>0.13019323671497585</v>
      </c>
      <c r="L268" s="396">
        <f t="shared" si="153"/>
        <v>0.1709514974821098</v>
      </c>
      <c r="M268" s="396">
        <f t="shared" si="153"/>
        <v>0.13116279069767445</v>
      </c>
      <c r="N268" s="397">
        <f t="shared" si="153"/>
        <v>7.1710832171083316E-2</v>
      </c>
      <c r="O268" s="398">
        <f t="shared" si="153"/>
        <v>9.5121372657547276E-2</v>
      </c>
      <c r="P268" s="398">
        <f t="shared" si="153"/>
        <v>1.9218500797448135E-2</v>
      </c>
      <c r="Q268" s="398">
        <f t="shared" si="153"/>
        <v>3.5854893138357768E-2</v>
      </c>
      <c r="R268" s="398">
        <f t="shared" si="153"/>
        <v>0.14312617702448205</v>
      </c>
      <c r="S268" s="385"/>
    </row>
    <row r="269" spans="1:19" ht="15.5" customHeight="1">
      <c r="A269" s="390" t="s">
        <v>135</v>
      </c>
      <c r="B269" s="185">
        <f>B267/M292-1</f>
        <v>0.15558139534883719</v>
      </c>
      <c r="C269" s="399">
        <f t="shared" ref="C269:M269" si="154">C267/B267-1</f>
        <v>-7.8084121553632535E-2</v>
      </c>
      <c r="D269" s="399">
        <f t="shared" si="154"/>
        <v>-6.1340318707705732E-2</v>
      </c>
      <c r="E269" s="399">
        <f t="shared" si="154"/>
        <v>-8.604651162790744E-3</v>
      </c>
      <c r="F269" s="399">
        <f t="shared" si="154"/>
        <v>-7.0372976776917895E-3</v>
      </c>
      <c r="G269" s="399">
        <f t="shared" si="154"/>
        <v>1.2284431845027255E-2</v>
      </c>
      <c r="H269" s="399">
        <f t="shared" si="154"/>
        <v>0.1577596266044341</v>
      </c>
      <c r="I269" s="399">
        <f t="shared" si="154"/>
        <v>5.3618222132634452E-2</v>
      </c>
      <c r="J269" s="399">
        <f t="shared" si="154"/>
        <v>-0.13028505835087045</v>
      </c>
      <c r="K269" s="399">
        <f t="shared" si="154"/>
        <v>2.9256489221293425E-2</v>
      </c>
      <c r="L269" s="399">
        <f t="shared" si="154"/>
        <v>-5.5781149818337261E-2</v>
      </c>
      <c r="M269" s="399">
        <f t="shared" si="154"/>
        <v>0.10095065640561329</v>
      </c>
      <c r="N269" s="400"/>
      <c r="O269" s="401">
        <f>O267/R292-1</f>
        <v>0.13403750102349954</v>
      </c>
      <c r="P269" s="398">
        <f>P267/O267-1</f>
        <v>-7.7184115523465713E-2</v>
      </c>
      <c r="Q269" s="398">
        <f>Q267/P267-1</f>
        <v>0.15280494483999685</v>
      </c>
      <c r="R269" s="398">
        <f>R267/Q267-1</f>
        <v>-5.2463689425817805E-2</v>
      </c>
      <c r="S269" s="385"/>
    </row>
    <row r="270" spans="1:19">
      <c r="A270" s="385"/>
      <c r="B270" s="402"/>
      <c r="C270" s="402"/>
      <c r="D270" s="403"/>
      <c r="E270" s="402">
        <f>SUM(E267:F267)/SUM(E292:F292)-1</f>
        <v>1.9805545552754822E-2</v>
      </c>
      <c r="F270" s="402"/>
      <c r="G270" s="387"/>
      <c r="H270" s="402"/>
      <c r="I270" s="402"/>
      <c r="J270" s="403"/>
      <c r="K270" s="403"/>
      <c r="L270" s="403"/>
      <c r="M270" s="403"/>
      <c r="N270" s="404"/>
      <c r="O270" s="404"/>
      <c r="P270" s="404"/>
      <c r="Q270" s="404"/>
      <c r="R270" s="404"/>
      <c r="S270" s="385"/>
    </row>
    <row r="271" spans="1:19">
      <c r="A271" s="433" t="s">
        <v>148</v>
      </c>
      <c r="B271" s="391">
        <v>851</v>
      </c>
      <c r="C271" s="391">
        <v>781</v>
      </c>
      <c r="D271" s="391">
        <v>789</v>
      </c>
      <c r="E271" s="391">
        <v>840</v>
      </c>
      <c r="F271" s="391">
        <v>849</v>
      </c>
      <c r="G271" s="391">
        <v>828</v>
      </c>
      <c r="H271" s="391">
        <v>913</v>
      </c>
      <c r="I271" s="391">
        <v>925</v>
      </c>
      <c r="J271" s="391">
        <v>819</v>
      </c>
      <c r="K271" s="391">
        <v>898</v>
      </c>
      <c r="L271" s="391">
        <v>876</v>
      </c>
      <c r="M271" s="391">
        <v>897</v>
      </c>
      <c r="N271" s="393">
        <f>SUM(B271:M271)</f>
        <v>10266</v>
      </c>
      <c r="O271" s="394">
        <f>SUM(B271:D271)</f>
        <v>2421</v>
      </c>
      <c r="P271" s="394">
        <f>SUM(E271:G271)</f>
        <v>2517</v>
      </c>
      <c r="Q271" s="394">
        <f>SUM(H271:J271)</f>
        <v>2657</v>
      </c>
      <c r="R271" s="395">
        <f>SUM(K271:M271)</f>
        <v>2671</v>
      </c>
      <c r="S271" s="385"/>
    </row>
    <row r="272" spans="1:19">
      <c r="A272" s="390" t="s">
        <v>134</v>
      </c>
      <c r="B272" s="396">
        <f t="shared" ref="B272:R272" si="155">B271/B296-1</f>
        <v>-2.1839080459770122E-2</v>
      </c>
      <c r="C272" s="396">
        <f t="shared" si="155"/>
        <v>-0.20871327254305982</v>
      </c>
      <c r="D272" s="396">
        <f t="shared" si="155"/>
        <v>-3.5452322738386277E-2</v>
      </c>
      <c r="E272" s="396">
        <f t="shared" si="155"/>
        <v>-5.9171597633136397E-3</v>
      </c>
      <c r="F272" s="396">
        <f t="shared" si="155"/>
        <v>6.3909774436090139E-2</v>
      </c>
      <c r="G272" s="396">
        <f t="shared" si="155"/>
        <v>3.7593984962406068E-2</v>
      </c>
      <c r="H272" s="396">
        <f t="shared" si="155"/>
        <v>7.9196217494089893E-2</v>
      </c>
      <c r="I272" s="396">
        <f t="shared" si="155"/>
        <v>0.11177884615384626</v>
      </c>
      <c r="J272" s="396">
        <f t="shared" si="155"/>
        <v>0.12654745529573597</v>
      </c>
      <c r="K272" s="396">
        <f t="shared" si="155"/>
        <v>0.16927083333333326</v>
      </c>
      <c r="L272" s="396">
        <f t="shared" si="155"/>
        <v>0.17583892617449659</v>
      </c>
      <c r="M272" s="396">
        <f t="shared" si="155"/>
        <v>0.12406015037593976</v>
      </c>
      <c r="N272" s="397">
        <f t="shared" si="155"/>
        <v>4.4141578519121261E-2</v>
      </c>
      <c r="O272" s="396">
        <f t="shared" si="155"/>
        <v>-9.4953271028037411E-2</v>
      </c>
      <c r="P272" s="396">
        <f t="shared" si="155"/>
        <v>3.113478082752974E-2</v>
      </c>
      <c r="Q272" s="396">
        <f t="shared" si="155"/>
        <v>0.10478170478170479</v>
      </c>
      <c r="R272" s="396">
        <f t="shared" si="155"/>
        <v>0.15577672003461696</v>
      </c>
      <c r="S272" s="385"/>
    </row>
    <row r="273" spans="1:20" ht="15.5" customHeight="1">
      <c r="A273" s="390" t="s">
        <v>135</v>
      </c>
      <c r="B273" s="185">
        <f>B271/M296-1</f>
        <v>6.6416040100250706E-2</v>
      </c>
      <c r="C273" s="399">
        <f t="shared" ref="C273:M273" si="156">C271/B271-1</f>
        <v>-8.2256169212690966E-2</v>
      </c>
      <c r="D273" s="399">
        <f t="shared" si="156"/>
        <v>1.0243277848911658E-2</v>
      </c>
      <c r="E273" s="399">
        <f t="shared" si="156"/>
        <v>6.4638783269961975E-2</v>
      </c>
      <c r="F273" s="399">
        <f t="shared" si="156"/>
        <v>1.0714285714285676E-2</v>
      </c>
      <c r="G273" s="399">
        <f t="shared" si="156"/>
        <v>-2.4734982332155431E-2</v>
      </c>
      <c r="H273" s="399">
        <f t="shared" si="156"/>
        <v>0.10265700483091789</v>
      </c>
      <c r="I273" s="399">
        <f t="shared" si="156"/>
        <v>1.3143483023001057E-2</v>
      </c>
      <c r="J273" s="399">
        <f t="shared" si="156"/>
        <v>-0.11459459459459465</v>
      </c>
      <c r="K273" s="399">
        <f t="shared" si="156"/>
        <v>9.645909645909656E-2</v>
      </c>
      <c r="L273" s="399">
        <f t="shared" si="156"/>
        <v>-2.4498886414253906E-2</v>
      </c>
      <c r="M273" s="399">
        <f t="shared" si="156"/>
        <v>2.3972602739726012E-2</v>
      </c>
      <c r="N273" s="400"/>
      <c r="O273" s="401">
        <f>O271/R296-1</f>
        <v>4.7598442232799743E-2</v>
      </c>
      <c r="P273" s="398">
        <f>P271/O271-1</f>
        <v>3.9653035935563796E-2</v>
      </c>
      <c r="Q273" s="398">
        <f>Q271/P271-1</f>
        <v>5.5621771950735033E-2</v>
      </c>
      <c r="R273" s="398">
        <f>R271/Q271-1</f>
        <v>5.2691004892735371E-3</v>
      </c>
      <c r="S273" s="385"/>
    </row>
    <row r="274" spans="1:20" ht="15.5" customHeight="1">
      <c r="A274" s="390"/>
      <c r="B274" s="185"/>
      <c r="C274" s="399"/>
      <c r="D274" s="399"/>
      <c r="E274" s="402">
        <f>SUM(E271:F271)/SUM(E296:F296)-1</f>
        <v>2.7997565429093152E-2</v>
      </c>
      <c r="F274" s="399"/>
      <c r="G274" s="399"/>
      <c r="H274" s="399"/>
      <c r="I274" s="399"/>
      <c r="J274" s="399"/>
      <c r="K274" s="399"/>
      <c r="L274" s="399"/>
      <c r="M274" s="391"/>
      <c r="N274" s="400"/>
      <c r="O274" s="401"/>
      <c r="P274" s="398"/>
      <c r="Q274" s="398"/>
      <c r="R274" s="398"/>
      <c r="S274" s="385"/>
    </row>
    <row r="275" spans="1:20" ht="15.5" customHeight="1">
      <c r="A275" s="422" t="s">
        <v>163</v>
      </c>
      <c r="B275" s="187" t="s">
        <v>51</v>
      </c>
      <c r="C275" s="187" t="s">
        <v>52</v>
      </c>
      <c r="D275" s="187" t="s">
        <v>53</v>
      </c>
      <c r="E275" s="187" t="s">
        <v>54</v>
      </c>
      <c r="F275" s="187" t="s">
        <v>55</v>
      </c>
      <c r="G275" s="187" t="s">
        <v>77</v>
      </c>
      <c r="H275" s="187" t="s">
        <v>78</v>
      </c>
      <c r="I275" s="187" t="s">
        <v>79</v>
      </c>
      <c r="J275" s="187" t="s">
        <v>80</v>
      </c>
      <c r="K275" s="187" t="s">
        <v>81</v>
      </c>
      <c r="L275" s="187" t="s">
        <v>82</v>
      </c>
      <c r="M275" s="187" t="s">
        <v>44</v>
      </c>
      <c r="N275" s="389" t="s">
        <v>128</v>
      </c>
      <c r="O275" s="5" t="s">
        <v>129</v>
      </c>
      <c r="P275" s="5" t="s">
        <v>130</v>
      </c>
      <c r="Q275" s="5" t="s">
        <v>131</v>
      </c>
      <c r="R275" s="5" t="s">
        <v>132</v>
      </c>
      <c r="S275" s="385"/>
    </row>
    <row r="276" spans="1:20">
      <c r="A276" s="423" t="s">
        <v>133</v>
      </c>
      <c r="B276" s="391">
        <v>37362</v>
      </c>
      <c r="C276" s="391">
        <v>38977</v>
      </c>
      <c r="D276" s="391">
        <v>38935</v>
      </c>
      <c r="E276" s="391">
        <v>39714</v>
      </c>
      <c r="F276" s="391">
        <v>38973</v>
      </c>
      <c r="G276" s="391">
        <v>38302</v>
      </c>
      <c r="H276" s="391">
        <v>43533</v>
      </c>
      <c r="I276" s="391">
        <v>46420</v>
      </c>
      <c r="J276" s="391">
        <v>41693</v>
      </c>
      <c r="K276" s="391">
        <v>43736</v>
      </c>
      <c r="L276" s="391">
        <v>39708</v>
      </c>
      <c r="M276" s="391">
        <v>40407</v>
      </c>
      <c r="N276" s="393">
        <f>SUM(B276:M276)</f>
        <v>487760</v>
      </c>
      <c r="O276" s="394">
        <f>SUM(B276:D276)</f>
        <v>115274</v>
      </c>
      <c r="P276" s="394">
        <f>SUM(E276:G276)</f>
        <v>116989</v>
      </c>
      <c r="Q276" s="394">
        <f>SUM(H276:J276)</f>
        <v>131646</v>
      </c>
      <c r="R276" s="395">
        <f>SUM(K276:M276)</f>
        <v>123851</v>
      </c>
      <c r="S276" s="387"/>
    </row>
    <row r="277" spans="1:20">
      <c r="A277" s="390" t="s">
        <v>134</v>
      </c>
      <c r="B277" s="396">
        <f t="shared" ref="B277:R277" si="157">B276/B301-1</f>
        <v>0.15105209649095785</v>
      </c>
      <c r="C277" s="396">
        <f t="shared" si="157"/>
        <v>0.11595613708592212</v>
      </c>
      <c r="D277" s="396">
        <f t="shared" si="157"/>
        <v>6.0957000381492099E-2</v>
      </c>
      <c r="E277" s="396">
        <f t="shared" si="157"/>
        <v>0.10948456488336356</v>
      </c>
      <c r="F277" s="396">
        <f t="shared" si="157"/>
        <v>0.10046590427784841</v>
      </c>
      <c r="G277" s="396">
        <f t="shared" si="157"/>
        <v>0.12507343437903895</v>
      </c>
      <c r="H277" s="396">
        <f t="shared" si="157"/>
        <v>0.11195402298850565</v>
      </c>
      <c r="I277" s="396">
        <f t="shared" si="157"/>
        <v>0.1144722942475751</v>
      </c>
      <c r="J277" s="396">
        <f t="shared" si="157"/>
        <v>0.1353375268905046</v>
      </c>
      <c r="K277" s="396">
        <f t="shared" si="157"/>
        <v>0.13449715960675479</v>
      </c>
      <c r="L277" s="396">
        <f t="shared" si="157"/>
        <v>0.13516295025728997</v>
      </c>
      <c r="M277" s="396">
        <f t="shared" si="157"/>
        <v>0.14626535417434972</v>
      </c>
      <c r="N277" s="397">
        <f t="shared" si="157"/>
        <v>0.11962721941029963</v>
      </c>
      <c r="O277" s="396">
        <f t="shared" si="157"/>
        <v>0.10750931939587249</v>
      </c>
      <c r="P277" s="396">
        <f t="shared" si="157"/>
        <v>0.11149219982138447</v>
      </c>
      <c r="Q277" s="396">
        <f t="shared" si="157"/>
        <v>0.12015315890236122</v>
      </c>
      <c r="R277" s="396">
        <f t="shared" si="157"/>
        <v>0.13852475593388602</v>
      </c>
      <c r="S277" s="385"/>
    </row>
    <row r="278" spans="1:20" ht="15.5" customHeight="1">
      <c r="A278" s="390" t="s">
        <v>135</v>
      </c>
      <c r="B278" s="185">
        <f>B276/M301-1</f>
        <v>5.9884825962384092E-2</v>
      </c>
      <c r="C278" s="399">
        <f t="shared" ref="C278:M278" si="158">C276/B276-1</f>
        <v>4.3225737380225837E-2</v>
      </c>
      <c r="D278" s="399">
        <f t="shared" si="158"/>
        <v>-1.0775585601765503E-3</v>
      </c>
      <c r="E278" s="399">
        <f t="shared" si="158"/>
        <v>2.0007705149608368E-2</v>
      </c>
      <c r="F278" s="399">
        <f t="shared" si="158"/>
        <v>-1.8658407614443262E-2</v>
      </c>
      <c r="G278" s="399">
        <f t="shared" si="158"/>
        <v>-1.7217047699689569E-2</v>
      </c>
      <c r="H278" s="399">
        <f t="shared" si="158"/>
        <v>0.13657250274137112</v>
      </c>
      <c r="I278" s="399">
        <f t="shared" si="158"/>
        <v>6.6317506259619075E-2</v>
      </c>
      <c r="J278" s="399">
        <f t="shared" si="158"/>
        <v>-0.10183110728134426</v>
      </c>
      <c r="K278" s="399">
        <f t="shared" si="158"/>
        <v>4.9001031348187896E-2</v>
      </c>
      <c r="L278" s="399">
        <f t="shared" si="158"/>
        <v>-9.2098042802268187E-2</v>
      </c>
      <c r="M278" s="399">
        <f t="shared" si="158"/>
        <v>1.7603505590813029E-2</v>
      </c>
      <c r="N278" s="400"/>
      <c r="O278" s="398">
        <f>O276/R301-1</f>
        <v>5.9678991009542104E-2</v>
      </c>
      <c r="P278" s="398">
        <f>P276/O276-1</f>
        <v>1.4877595988687764E-2</v>
      </c>
      <c r="Q278" s="398">
        <f>Q276/P276-1</f>
        <v>0.12528528323175681</v>
      </c>
      <c r="R278" s="398">
        <f>R276/Q276-1</f>
        <v>-5.921182565364691E-2</v>
      </c>
      <c r="S278" s="385"/>
    </row>
    <row r="279" spans="1:20">
      <c r="A279" s="385"/>
      <c r="B279" s="402"/>
      <c r="C279" s="402"/>
      <c r="D279" s="402"/>
      <c r="E279" s="402"/>
      <c r="F279" s="402"/>
      <c r="G279" s="427"/>
      <c r="H279" s="402"/>
      <c r="I279" s="402"/>
      <c r="J279" s="403"/>
      <c r="K279" s="403"/>
      <c r="L279" s="403"/>
      <c r="M279" s="403"/>
      <c r="N279" s="404"/>
      <c r="O279" s="404"/>
      <c r="P279" s="404"/>
      <c r="Q279" s="404"/>
      <c r="R279" s="456"/>
      <c r="S279" s="385"/>
    </row>
    <row r="280" spans="1:20">
      <c r="A280" s="428" t="s">
        <v>137</v>
      </c>
      <c r="B280" s="391">
        <f t="shared" ref="B280:L280" si="159">B284-B296</f>
        <v>32321</v>
      </c>
      <c r="C280" s="391">
        <f t="shared" si="159"/>
        <v>33613</v>
      </c>
      <c r="D280" s="391">
        <f t="shared" si="159"/>
        <v>34018</v>
      </c>
      <c r="E280" s="391">
        <f t="shared" si="159"/>
        <v>34635</v>
      </c>
      <c r="F280" s="391">
        <f t="shared" si="159"/>
        <v>34078</v>
      </c>
      <c r="G280" s="391">
        <f t="shared" si="159"/>
        <v>33296</v>
      </c>
      <c r="H280" s="391">
        <f t="shared" si="159"/>
        <v>37784</v>
      </c>
      <c r="I280" s="391">
        <f t="shared" si="159"/>
        <v>40498</v>
      </c>
      <c r="J280" s="391">
        <f t="shared" si="159"/>
        <v>36734</v>
      </c>
      <c r="K280" s="391">
        <f t="shared" si="159"/>
        <v>38828</v>
      </c>
      <c r="L280" s="391">
        <f t="shared" si="159"/>
        <v>35191</v>
      </c>
      <c r="M280" s="391">
        <v>36107</v>
      </c>
      <c r="N280" s="393">
        <f>SUM(B280:M280)</f>
        <v>427103</v>
      </c>
      <c r="O280" s="394">
        <f>SUM(B280:D280)</f>
        <v>99952</v>
      </c>
      <c r="P280" s="394">
        <f>SUM(E280:G280)</f>
        <v>102009</v>
      </c>
      <c r="Q280" s="394">
        <f>SUM(H280:J280)</f>
        <v>115016</v>
      </c>
      <c r="R280" s="395">
        <f>SUM(K280:M280)</f>
        <v>110126</v>
      </c>
      <c r="S280" s="387"/>
      <c r="T280" s="457"/>
    </row>
    <row r="281" spans="1:20">
      <c r="A281" s="390" t="s">
        <v>134</v>
      </c>
      <c r="B281" s="396">
        <f t="shared" ref="B281:R281" si="160">B280/B305-1</f>
        <v>0.12389595938521447</v>
      </c>
      <c r="C281" s="396">
        <f t="shared" si="160"/>
        <v>0.1002618657937806</v>
      </c>
      <c r="D281" s="396">
        <f t="shared" si="160"/>
        <v>4.4009329732384028E-2</v>
      </c>
      <c r="E281" s="396">
        <f t="shared" si="160"/>
        <v>0.10039714058776816</v>
      </c>
      <c r="F281" s="396">
        <f t="shared" si="160"/>
        <v>9.7414098476797717E-2</v>
      </c>
      <c r="G281" s="396">
        <f t="shared" si="160"/>
        <v>0.10805684049386</v>
      </c>
      <c r="H281" s="396">
        <f t="shared" si="160"/>
        <v>9.1014091014091081E-2</v>
      </c>
      <c r="I281" s="396">
        <f t="shared" si="160"/>
        <v>0.10607964166712192</v>
      </c>
      <c r="J281" s="396">
        <f t="shared" si="160"/>
        <v>0.13394042290476915</v>
      </c>
      <c r="K281" s="396">
        <f t="shared" si="160"/>
        <v>0.14472714407854004</v>
      </c>
      <c r="L281" s="396">
        <f t="shared" si="160"/>
        <v>0.1479693361604959</v>
      </c>
      <c r="M281" s="396">
        <f t="shared" si="160"/>
        <v>0.1753963345160976</v>
      </c>
      <c r="N281" s="397">
        <f t="shared" si="160"/>
        <v>0.1139792855037649</v>
      </c>
      <c r="O281" s="396">
        <f t="shared" si="160"/>
        <v>8.7711661515692319E-2</v>
      </c>
      <c r="P281" s="396">
        <f t="shared" si="160"/>
        <v>0.10188275705628835</v>
      </c>
      <c r="Q281" s="396">
        <f t="shared" si="160"/>
        <v>0.1097538618886349</v>
      </c>
      <c r="R281" s="396">
        <f t="shared" si="160"/>
        <v>0.15565676387562566</v>
      </c>
      <c r="S281" s="385"/>
    </row>
    <row r="282" spans="1:20" ht="15.5" customHeight="1">
      <c r="A282" s="390" t="s">
        <v>135</v>
      </c>
      <c r="B282" s="185">
        <f>B280/M305-1</f>
        <v>5.2150135095543559E-2</v>
      </c>
      <c r="C282" s="399">
        <f t="shared" ref="C282:M282" si="161">C280/B280-1</f>
        <v>3.9974010705114305E-2</v>
      </c>
      <c r="D282" s="399">
        <f t="shared" si="161"/>
        <v>1.2048909648052941E-2</v>
      </c>
      <c r="E282" s="399">
        <f t="shared" si="161"/>
        <v>1.8137456640602068E-2</v>
      </c>
      <c r="F282" s="399">
        <f t="shared" si="161"/>
        <v>-1.6081997978923068E-2</v>
      </c>
      <c r="G282" s="399">
        <f t="shared" si="161"/>
        <v>-2.2947356065496805E-2</v>
      </c>
      <c r="H282" s="399">
        <f t="shared" si="161"/>
        <v>0.13479096588178763</v>
      </c>
      <c r="I282" s="399">
        <f t="shared" si="161"/>
        <v>7.182934575481692E-2</v>
      </c>
      <c r="J282" s="399">
        <f t="shared" si="161"/>
        <v>-9.2942861375870378E-2</v>
      </c>
      <c r="K282" s="399">
        <f t="shared" si="161"/>
        <v>5.7004410083301593E-2</v>
      </c>
      <c r="L282" s="399">
        <f t="shared" si="161"/>
        <v>-9.3669516843514988E-2</v>
      </c>
      <c r="M282" s="399">
        <f t="shared" si="161"/>
        <v>2.602938251257414E-2</v>
      </c>
      <c r="N282" s="400"/>
      <c r="O282" s="401">
        <f>O280/R305-1</f>
        <v>4.8891314157388344E-2</v>
      </c>
      <c r="P282" s="398">
        <f>P280/O280-1</f>
        <v>2.0579878341604019E-2</v>
      </c>
      <c r="Q282" s="398">
        <f>Q280/P280-1</f>
        <v>0.1275083571057456</v>
      </c>
      <c r="R282" s="398">
        <f>R280/Q280-1</f>
        <v>-4.251582388537245E-2</v>
      </c>
      <c r="S282" s="385"/>
    </row>
    <row r="283" spans="1:20" ht="15.5" customHeight="1">
      <c r="A283" s="385"/>
      <c r="B283" s="186"/>
      <c r="C283" s="434"/>
      <c r="D283" s="434"/>
      <c r="E283" s="434"/>
      <c r="F283" s="434"/>
      <c r="G283" s="434"/>
      <c r="H283" s="434"/>
      <c r="I283" s="434"/>
      <c r="J283" s="434"/>
      <c r="K283" s="434"/>
      <c r="L283" s="434"/>
      <c r="M283" s="434"/>
      <c r="N283" s="436"/>
      <c r="O283" s="437"/>
      <c r="P283" s="438"/>
      <c r="Q283" s="438"/>
      <c r="R283" s="438"/>
      <c r="S283" s="385"/>
    </row>
    <row r="284" spans="1:20">
      <c r="A284" s="429" t="s">
        <v>145</v>
      </c>
      <c r="B284" s="455">
        <v>33191</v>
      </c>
      <c r="C284" s="455">
        <v>34600</v>
      </c>
      <c r="D284" s="455">
        <v>34836</v>
      </c>
      <c r="E284" s="455">
        <v>35480</v>
      </c>
      <c r="F284" s="455">
        <v>34876</v>
      </c>
      <c r="G284" s="455">
        <v>34094</v>
      </c>
      <c r="H284" s="455">
        <v>38630</v>
      </c>
      <c r="I284" s="455">
        <v>41330</v>
      </c>
      <c r="J284" s="455">
        <v>37461</v>
      </c>
      <c r="K284" s="455">
        <v>39596</v>
      </c>
      <c r="L284" s="455">
        <v>35936</v>
      </c>
      <c r="M284" s="455">
        <f>M280+M296</f>
        <v>36905</v>
      </c>
      <c r="N284" s="393">
        <f>SUM(B284:M284)</f>
        <v>436935</v>
      </c>
      <c r="O284" s="394">
        <f>SUM(B284:D284)</f>
        <v>102627</v>
      </c>
      <c r="P284" s="394">
        <f>SUM(E284:G284)</f>
        <v>104450</v>
      </c>
      <c r="Q284" s="394">
        <f>SUM(H284:J284)</f>
        <v>117421</v>
      </c>
      <c r="R284" s="395">
        <f>SUM(K284:M284)</f>
        <v>112437</v>
      </c>
      <c r="S284" s="387"/>
    </row>
    <row r="285" spans="1:20">
      <c r="A285" s="390" t="s">
        <v>134</v>
      </c>
      <c r="B285" s="396">
        <f t="shared" ref="B285:R285" si="162">B284/B309-1</f>
        <v>0.12321489001692054</v>
      </c>
      <c r="C285" s="396">
        <f t="shared" si="162"/>
        <v>9.7889893701412101E-2</v>
      </c>
      <c r="D285" s="396">
        <f t="shared" si="162"/>
        <v>4.3869111830276974E-2</v>
      </c>
      <c r="E285" s="396">
        <f t="shared" si="162"/>
        <v>9.7806244005074428E-2</v>
      </c>
      <c r="F285" s="396">
        <f t="shared" si="162"/>
        <v>9.3017425097154272E-2</v>
      </c>
      <c r="G285" s="396">
        <f t="shared" si="162"/>
        <v>0.10493907181747475</v>
      </c>
      <c r="H285" s="396">
        <f t="shared" si="162"/>
        <v>8.8107712241563885E-2</v>
      </c>
      <c r="I285" s="396">
        <f t="shared" si="162"/>
        <v>0.1007244060935335</v>
      </c>
      <c r="J285" s="396">
        <f t="shared" si="162"/>
        <v>0.12881938166696805</v>
      </c>
      <c r="K285" s="396">
        <f t="shared" si="162"/>
        <v>0.137816091954023</v>
      </c>
      <c r="L285" s="396">
        <f t="shared" si="162"/>
        <v>0.14104273829935865</v>
      </c>
      <c r="M285" s="396">
        <f t="shared" si="162"/>
        <v>0.1699530814100938</v>
      </c>
      <c r="N285" s="397">
        <f t="shared" si="162"/>
        <v>0.11011600786597353</v>
      </c>
      <c r="O285" s="396">
        <f t="shared" si="162"/>
        <v>8.6724482988659091E-2</v>
      </c>
      <c r="P285" s="396">
        <f t="shared" si="162"/>
        <v>9.8513929934898936E-2</v>
      </c>
      <c r="Q285" s="396">
        <f t="shared" si="162"/>
        <v>0.10528446101133326</v>
      </c>
      <c r="R285" s="396">
        <f t="shared" si="162"/>
        <v>0.14921605102311974</v>
      </c>
      <c r="S285" s="385"/>
    </row>
    <row r="286" spans="1:20" ht="15.5" customHeight="1">
      <c r="A286" s="390" t="s">
        <v>135</v>
      </c>
      <c r="B286" s="185">
        <f>B284/M309-1</f>
        <v>5.2212782145574455E-2</v>
      </c>
      <c r="C286" s="399">
        <f t="shared" ref="C286:M286" si="163">C284/B284-1</f>
        <v>4.2451266909704355E-2</v>
      </c>
      <c r="D286" s="399">
        <f t="shared" si="163"/>
        <v>6.8208092485548821E-3</v>
      </c>
      <c r="E286" s="399">
        <f t="shared" si="163"/>
        <v>1.8486623033643346E-2</v>
      </c>
      <c r="F286" s="399">
        <f t="shared" si="163"/>
        <v>-1.7023675310033792E-2</v>
      </c>
      <c r="G286" s="399">
        <f t="shared" si="163"/>
        <v>-2.2422296134877895E-2</v>
      </c>
      <c r="H286" s="399">
        <f t="shared" si="163"/>
        <v>0.13304393734968034</v>
      </c>
      <c r="I286" s="399">
        <f t="shared" si="163"/>
        <v>6.9893864871861222E-2</v>
      </c>
      <c r="J286" s="399">
        <f t="shared" si="163"/>
        <v>-9.3612388095814181E-2</v>
      </c>
      <c r="K286" s="399">
        <f t="shared" si="163"/>
        <v>5.6992605643202188E-2</v>
      </c>
      <c r="L286" s="399">
        <f t="shared" si="163"/>
        <v>-9.2433579149409084E-2</v>
      </c>
      <c r="M286" s="399">
        <f t="shared" si="163"/>
        <v>2.6964603739982218E-2</v>
      </c>
      <c r="N286" s="400"/>
      <c r="O286" s="401">
        <f>O284/R309-1</f>
        <v>4.8948261411721372E-2</v>
      </c>
      <c r="P286" s="398">
        <f>P284/O284-1</f>
        <v>1.7763356621551818E-2</v>
      </c>
      <c r="Q286" s="398">
        <f>Q284/P284-1</f>
        <v>0.12418382000957395</v>
      </c>
      <c r="R286" s="398">
        <f>R284/Q284-1</f>
        <v>-4.2445559141891187E-2</v>
      </c>
      <c r="S286" s="385"/>
    </row>
    <row r="287" spans="1:20">
      <c r="A287" s="385"/>
      <c r="B287" s="402"/>
      <c r="C287" s="402"/>
      <c r="D287" s="402"/>
      <c r="E287" s="402"/>
      <c r="F287" s="402"/>
      <c r="G287" s="427"/>
      <c r="H287" s="402"/>
      <c r="I287" s="402"/>
      <c r="J287" s="403"/>
      <c r="K287" s="403"/>
      <c r="L287" s="403"/>
      <c r="M287" s="403"/>
      <c r="N287" s="404"/>
      <c r="O287" s="404"/>
      <c r="P287" s="404"/>
      <c r="Q287" s="404"/>
      <c r="R287" s="404"/>
      <c r="S287" s="385"/>
    </row>
    <row r="288" spans="1:20">
      <c r="A288" s="430" t="s">
        <v>146</v>
      </c>
      <c r="B288" s="455">
        <f t="shared" ref="B288:M288" si="164">SUM(B292,B296)</f>
        <v>5042</v>
      </c>
      <c r="C288" s="455">
        <f t="shared" si="164"/>
        <v>5363</v>
      </c>
      <c r="D288" s="455">
        <f t="shared" si="164"/>
        <v>4917</v>
      </c>
      <c r="E288" s="455">
        <f t="shared" si="164"/>
        <v>5079</v>
      </c>
      <c r="F288" s="455">
        <f t="shared" si="164"/>
        <v>4895</v>
      </c>
      <c r="G288" s="455">
        <f t="shared" si="164"/>
        <v>5007</v>
      </c>
      <c r="H288" s="455">
        <f t="shared" si="164"/>
        <v>5749</v>
      </c>
      <c r="I288" s="455">
        <f t="shared" si="164"/>
        <v>5922</v>
      </c>
      <c r="J288" s="455">
        <f t="shared" si="164"/>
        <v>4958</v>
      </c>
      <c r="K288" s="455">
        <f t="shared" si="164"/>
        <v>4908</v>
      </c>
      <c r="L288" s="455">
        <f t="shared" si="164"/>
        <v>4518</v>
      </c>
      <c r="M288" s="455">
        <f t="shared" si="164"/>
        <v>5098</v>
      </c>
      <c r="N288" s="393">
        <f>SUM(B288:M288)</f>
        <v>61456</v>
      </c>
      <c r="O288" s="394">
        <f>SUM(B288:D288)</f>
        <v>15322</v>
      </c>
      <c r="P288" s="394">
        <f>SUM(E288:G288)</f>
        <v>14981</v>
      </c>
      <c r="Q288" s="394">
        <f>SUM(H288:J288)</f>
        <v>16629</v>
      </c>
      <c r="R288" s="395">
        <f>SUM(K288:M288)</f>
        <v>14524</v>
      </c>
      <c r="S288" s="387">
        <f>SUM(O288:R288)</f>
        <v>61456</v>
      </c>
    </row>
    <row r="289" spans="1:19">
      <c r="A289" s="390" t="s">
        <v>134</v>
      </c>
      <c r="B289" s="396">
        <f t="shared" ref="B289:R289" si="165">B288/B313-1</f>
        <v>0.36233450418805724</v>
      </c>
      <c r="C289" s="396">
        <f t="shared" si="165"/>
        <v>0.22526844870916163</v>
      </c>
      <c r="D289" s="396">
        <f t="shared" si="165"/>
        <v>0.19489671931956254</v>
      </c>
      <c r="E289" s="396">
        <f t="shared" si="165"/>
        <v>0.17569444444444438</v>
      </c>
      <c r="F289" s="396">
        <f t="shared" si="165"/>
        <v>0.12219165520403474</v>
      </c>
      <c r="G289" s="396">
        <f t="shared" si="165"/>
        <v>0.2533166458072591</v>
      </c>
      <c r="H289" s="396">
        <f t="shared" si="165"/>
        <v>0.27274739871596188</v>
      </c>
      <c r="I289" s="396">
        <f t="shared" si="165"/>
        <v>0.1754664549424374</v>
      </c>
      <c r="J289" s="396">
        <f t="shared" si="165"/>
        <v>0.1455637707948243</v>
      </c>
      <c r="K289" s="396">
        <f t="shared" si="165"/>
        <v>5.9585492227979264E-2</v>
      </c>
      <c r="L289" s="396">
        <f t="shared" si="165"/>
        <v>4.4865864939870548E-2</v>
      </c>
      <c r="M289" s="396">
        <f t="shared" si="165"/>
        <v>0.12488967343336266</v>
      </c>
      <c r="N289" s="397">
        <f t="shared" si="165"/>
        <v>0.17639402002258753</v>
      </c>
      <c r="O289" s="398">
        <f t="shared" si="165"/>
        <v>0.25662265234150738</v>
      </c>
      <c r="P289" s="398">
        <f t="shared" si="165"/>
        <v>0.1817464699850122</v>
      </c>
      <c r="Q289" s="398">
        <f t="shared" si="165"/>
        <v>0.1977958654469496</v>
      </c>
      <c r="R289" s="398">
        <f t="shared" si="165"/>
        <v>7.6809015421114957E-2</v>
      </c>
      <c r="S289" s="385"/>
    </row>
    <row r="290" spans="1:19" ht="15.5" customHeight="1">
      <c r="A290" s="390" t="s">
        <v>135</v>
      </c>
      <c r="B290" s="185">
        <f>B288/M313-1</f>
        <v>0.11253309796999122</v>
      </c>
      <c r="C290" s="399">
        <f t="shared" ref="C290:M290" si="166">C288/B288-1</f>
        <v>6.3665212217373979E-2</v>
      </c>
      <c r="D290" s="399">
        <f t="shared" si="166"/>
        <v>-8.316240909938466E-2</v>
      </c>
      <c r="E290" s="399">
        <f t="shared" si="166"/>
        <v>3.2946918852959195E-2</v>
      </c>
      <c r="F290" s="399">
        <f t="shared" si="166"/>
        <v>-3.6227603859027346E-2</v>
      </c>
      <c r="G290" s="399">
        <f t="shared" si="166"/>
        <v>2.2880490296220524E-2</v>
      </c>
      <c r="H290" s="399">
        <f t="shared" si="166"/>
        <v>0.14819253045735969</v>
      </c>
      <c r="I290" s="399">
        <f t="shared" si="166"/>
        <v>3.0092189946077541E-2</v>
      </c>
      <c r="J290" s="399">
        <f t="shared" si="166"/>
        <v>-0.16278284363390749</v>
      </c>
      <c r="K290" s="399">
        <f t="shared" si="166"/>
        <v>-1.0084711577248884E-2</v>
      </c>
      <c r="L290" s="399">
        <f t="shared" si="166"/>
        <v>-7.9462102689486502E-2</v>
      </c>
      <c r="M290" s="399">
        <f t="shared" si="166"/>
        <v>0.1283753873395308</v>
      </c>
      <c r="N290" s="400"/>
      <c r="O290" s="401">
        <f>O288/R313-1</f>
        <v>0.13597271648873077</v>
      </c>
      <c r="P290" s="398">
        <f>P288/O288-1</f>
        <v>-2.2255580211460679E-2</v>
      </c>
      <c r="Q290" s="398">
        <f>Q288/P288-1</f>
        <v>0.11000600760963897</v>
      </c>
      <c r="R290" s="398">
        <f>R288/Q288-1</f>
        <v>-0.12658608455108544</v>
      </c>
      <c r="S290" s="385"/>
    </row>
    <row r="291" spans="1:19">
      <c r="A291" s="385"/>
      <c r="B291" s="402"/>
      <c r="C291" s="402"/>
      <c r="D291" s="402"/>
      <c r="E291" s="402"/>
      <c r="F291" s="402"/>
      <c r="G291" s="427"/>
      <c r="H291" s="402"/>
      <c r="I291" s="402"/>
      <c r="J291" s="403"/>
      <c r="K291" s="403"/>
      <c r="L291" s="403"/>
      <c r="M291" s="403"/>
      <c r="N291" s="404"/>
      <c r="O291" s="404"/>
      <c r="P291" s="404"/>
      <c r="Q291" s="404"/>
      <c r="R291" s="404"/>
      <c r="S291" s="385"/>
    </row>
    <row r="292" spans="1:19">
      <c r="A292" s="431" t="s">
        <v>147</v>
      </c>
      <c r="B292" s="391">
        <v>4172</v>
      </c>
      <c r="C292" s="391">
        <v>4376</v>
      </c>
      <c r="D292" s="391">
        <v>4099</v>
      </c>
      <c r="E292" s="391">
        <v>4234</v>
      </c>
      <c r="F292" s="391">
        <v>4097</v>
      </c>
      <c r="G292" s="391">
        <v>4209</v>
      </c>
      <c r="H292" s="391">
        <v>4903</v>
      </c>
      <c r="I292" s="391">
        <v>5090</v>
      </c>
      <c r="J292" s="391">
        <v>4231</v>
      </c>
      <c r="K292" s="391">
        <v>4140</v>
      </c>
      <c r="L292" s="391">
        <v>3773</v>
      </c>
      <c r="M292" s="391">
        <v>4300</v>
      </c>
      <c r="N292" s="393">
        <f>SUM(B292:M292)</f>
        <v>51624</v>
      </c>
      <c r="O292" s="394">
        <f>SUM(B292:D292)</f>
        <v>12647</v>
      </c>
      <c r="P292" s="394">
        <f>SUM(E292:G292)</f>
        <v>12540</v>
      </c>
      <c r="Q292" s="394">
        <f>SUM(H292:J292)</f>
        <v>14224</v>
      </c>
      <c r="R292" s="395">
        <f>SUM(K292:M292)</f>
        <v>12213</v>
      </c>
      <c r="S292" s="385"/>
    </row>
    <row r="293" spans="1:19">
      <c r="A293" s="390" t="s">
        <v>134</v>
      </c>
      <c r="B293" s="396">
        <f t="shared" ref="B293:R293" si="167">B292/B317-1</f>
        <v>0.43416981780680652</v>
      </c>
      <c r="C293" s="396">
        <f t="shared" si="167"/>
        <v>0.28253223915592018</v>
      </c>
      <c r="D293" s="396">
        <f t="shared" si="167"/>
        <v>0.23204087766756842</v>
      </c>
      <c r="E293" s="396">
        <f t="shared" si="167"/>
        <v>0.21806674338319909</v>
      </c>
      <c r="F293" s="396">
        <f t="shared" si="167"/>
        <v>0.1682349586541203</v>
      </c>
      <c r="G293" s="396">
        <f t="shared" si="167"/>
        <v>0.32026348808030103</v>
      </c>
      <c r="H293" s="396">
        <f t="shared" si="167"/>
        <v>0.34439265149437892</v>
      </c>
      <c r="I293" s="396">
        <f t="shared" si="167"/>
        <v>0.24025341130604283</v>
      </c>
      <c r="J293" s="396">
        <f t="shared" si="167"/>
        <v>0.19621147865422683</v>
      </c>
      <c r="K293" s="396">
        <f t="shared" si="167"/>
        <v>0.10370567848573709</v>
      </c>
      <c r="L293" s="396">
        <f t="shared" si="167"/>
        <v>8.2639885222381526E-2</v>
      </c>
      <c r="M293" s="396">
        <f t="shared" si="167"/>
        <v>0.15996762881035886</v>
      </c>
      <c r="N293" s="397">
        <f t="shared" si="167"/>
        <v>0.22768133174791916</v>
      </c>
      <c r="O293" s="398">
        <f t="shared" si="167"/>
        <v>0.31084162520729675</v>
      </c>
      <c r="P293" s="398">
        <f t="shared" si="167"/>
        <v>0.23291711729426812</v>
      </c>
      <c r="Q293" s="398">
        <f t="shared" si="167"/>
        <v>0.26009922041105593</v>
      </c>
      <c r="R293" s="398">
        <f t="shared" si="167"/>
        <v>0.11605592616284377</v>
      </c>
      <c r="S293" s="385"/>
    </row>
    <row r="294" spans="1:19" ht="15.5" customHeight="1">
      <c r="A294" s="390" t="s">
        <v>135</v>
      </c>
      <c r="B294" s="185">
        <f>B292/M317-1</f>
        <v>0.12543835985972485</v>
      </c>
      <c r="C294" s="399">
        <f t="shared" ref="C294:M294" si="168">C292/B292-1</f>
        <v>4.8897411313518768E-2</v>
      </c>
      <c r="D294" s="399">
        <f t="shared" si="168"/>
        <v>-6.3299817184643503E-2</v>
      </c>
      <c r="E294" s="399">
        <f t="shared" si="168"/>
        <v>3.2934862161502876E-2</v>
      </c>
      <c r="F294" s="399">
        <f t="shared" si="168"/>
        <v>-3.2357109116674554E-2</v>
      </c>
      <c r="G294" s="399">
        <f t="shared" si="168"/>
        <v>2.7337075909201758E-2</v>
      </c>
      <c r="H294" s="399">
        <f t="shared" si="168"/>
        <v>0.16488477072938945</v>
      </c>
      <c r="I294" s="399">
        <f t="shared" si="168"/>
        <v>3.8139914338160219E-2</v>
      </c>
      <c r="J294" s="399">
        <f t="shared" si="168"/>
        <v>-0.16876227897838902</v>
      </c>
      <c r="K294" s="399">
        <f t="shared" si="168"/>
        <v>-2.1507917749940875E-2</v>
      </c>
      <c r="L294" s="399">
        <f t="shared" si="168"/>
        <v>-8.8647342995169076E-2</v>
      </c>
      <c r="M294" s="399">
        <f t="shared" si="168"/>
        <v>0.13967664988073158</v>
      </c>
      <c r="N294" s="400"/>
      <c r="O294" s="401">
        <f>O292/R317-1</f>
        <v>0.1557159828200676</v>
      </c>
      <c r="P294" s="398">
        <f>P292/O292-1</f>
        <v>-8.460504467462604E-3</v>
      </c>
      <c r="Q294" s="398">
        <f>Q292/P292-1</f>
        <v>0.13429027113237635</v>
      </c>
      <c r="R294" s="398">
        <f>R292/Q292-1</f>
        <v>-0.141380764904387</v>
      </c>
      <c r="S294" s="385"/>
    </row>
    <row r="295" spans="1:19">
      <c r="A295" s="385"/>
      <c r="B295" s="402"/>
      <c r="C295" s="402"/>
      <c r="D295" s="403"/>
      <c r="E295" s="402"/>
      <c r="F295" s="402"/>
      <c r="G295" s="387"/>
      <c r="H295" s="402"/>
      <c r="I295" s="402"/>
      <c r="J295" s="403"/>
      <c r="K295" s="403"/>
      <c r="L295" s="403"/>
      <c r="M295" s="403"/>
      <c r="N295" s="404"/>
      <c r="O295" s="404"/>
      <c r="P295" s="404"/>
      <c r="Q295" s="404"/>
      <c r="R295" s="404"/>
      <c r="S295" s="385"/>
    </row>
    <row r="296" spans="1:19">
      <c r="A296" s="433" t="s">
        <v>148</v>
      </c>
      <c r="B296" s="391">
        <v>870</v>
      </c>
      <c r="C296" s="391">
        <v>987</v>
      </c>
      <c r="D296" s="391">
        <v>818</v>
      </c>
      <c r="E296" s="391">
        <v>845</v>
      </c>
      <c r="F296" s="391">
        <v>798</v>
      </c>
      <c r="G296" s="391">
        <v>798</v>
      </c>
      <c r="H296" s="391">
        <v>846</v>
      </c>
      <c r="I296" s="391">
        <v>832</v>
      </c>
      <c r="J296" s="391">
        <v>727</v>
      </c>
      <c r="K296" s="391">
        <v>768</v>
      </c>
      <c r="L296" s="391">
        <v>745</v>
      </c>
      <c r="M296" s="391">
        <v>798</v>
      </c>
      <c r="N296" s="393">
        <f>SUM(B296:M296)</f>
        <v>9832</v>
      </c>
      <c r="O296" s="394">
        <f>SUM(B296:D296)</f>
        <v>2675</v>
      </c>
      <c r="P296" s="394">
        <f>SUM(E296:G296)</f>
        <v>2441</v>
      </c>
      <c r="Q296" s="394">
        <f>SUM(H296:J296)</f>
        <v>2405</v>
      </c>
      <c r="R296" s="395">
        <f>SUM(K296:M296)</f>
        <v>2311</v>
      </c>
      <c r="S296" s="385"/>
    </row>
    <row r="297" spans="1:19">
      <c r="A297" s="390" t="s">
        <v>134</v>
      </c>
      <c r="B297" s="396">
        <f t="shared" ref="B297:R297" si="169">B296/B321-1</f>
        <v>9.8484848484848397E-2</v>
      </c>
      <c r="C297" s="396">
        <f t="shared" si="169"/>
        <v>2.2797927461139844E-2</v>
      </c>
      <c r="D297" s="396">
        <f t="shared" si="169"/>
        <v>3.8071065989847774E-2</v>
      </c>
      <c r="E297" s="396">
        <f t="shared" si="169"/>
        <v>1.1848341232227888E-3</v>
      </c>
      <c r="F297" s="396">
        <f t="shared" si="169"/>
        <v>-6.6666666666666652E-2</v>
      </c>
      <c r="G297" s="396">
        <f t="shared" si="169"/>
        <v>-1.1152416356877359E-2</v>
      </c>
      <c r="H297" s="396">
        <f t="shared" si="169"/>
        <v>-2.7586206896551779E-2</v>
      </c>
      <c r="I297" s="396">
        <f t="shared" si="169"/>
        <v>-0.1092077087794433</v>
      </c>
      <c r="J297" s="396">
        <f t="shared" si="169"/>
        <v>-8.0910240202275552E-2</v>
      </c>
      <c r="K297" s="396">
        <f t="shared" si="169"/>
        <v>-0.12826333711691262</v>
      </c>
      <c r="L297" s="396">
        <f t="shared" si="169"/>
        <v>-0.11203814064362339</v>
      </c>
      <c r="M297" s="396">
        <f t="shared" si="169"/>
        <v>-3.2727272727272716E-2</v>
      </c>
      <c r="N297" s="397">
        <f t="shared" si="169"/>
        <v>-3.5227161220684922E-2</v>
      </c>
      <c r="O297" s="396">
        <f t="shared" si="169"/>
        <v>5.1080550098231869E-2</v>
      </c>
      <c r="P297" s="396">
        <f t="shared" si="169"/>
        <v>-2.5937749401436561E-2</v>
      </c>
      <c r="Q297" s="396">
        <f t="shared" si="169"/>
        <v>-7.3217726396917149E-2</v>
      </c>
      <c r="R297" s="396">
        <f t="shared" si="169"/>
        <v>-9.1944990176817343E-2</v>
      </c>
      <c r="S297" s="385"/>
    </row>
    <row r="298" spans="1:19" ht="15.5" customHeight="1">
      <c r="A298" s="390" t="s">
        <v>135</v>
      </c>
      <c r="B298" s="185">
        <f>B296/M321-1</f>
        <v>5.4545454545454453E-2</v>
      </c>
      <c r="C298" s="399">
        <f t="shared" ref="C298:M298" si="170">C296/B296-1</f>
        <v>0.13448275862068959</v>
      </c>
      <c r="D298" s="399">
        <f t="shared" si="170"/>
        <v>-0.17122593718338397</v>
      </c>
      <c r="E298" s="399">
        <f t="shared" si="170"/>
        <v>3.3007334963325086E-2</v>
      </c>
      <c r="F298" s="399">
        <f t="shared" si="170"/>
        <v>-5.5621301775147902E-2</v>
      </c>
      <c r="G298" s="399">
        <f t="shared" si="170"/>
        <v>0</v>
      </c>
      <c r="H298" s="399">
        <f t="shared" si="170"/>
        <v>6.0150375939849621E-2</v>
      </c>
      <c r="I298" s="399">
        <f t="shared" si="170"/>
        <v>-1.6548463356974019E-2</v>
      </c>
      <c r="J298" s="399">
        <f t="shared" si="170"/>
        <v>-0.12620192307692313</v>
      </c>
      <c r="K298" s="399">
        <f t="shared" si="170"/>
        <v>5.6396148555708292E-2</v>
      </c>
      <c r="L298" s="399">
        <f t="shared" si="170"/>
        <v>-2.994791666666663E-2</v>
      </c>
      <c r="M298" s="399">
        <f t="shared" si="170"/>
        <v>7.1140939597315489E-2</v>
      </c>
      <c r="N298" s="400"/>
      <c r="O298" s="401">
        <f>O296/R321-1</f>
        <v>5.1080550098231869E-2</v>
      </c>
      <c r="P298" s="398">
        <f>P296/O296-1</f>
        <v>-8.7476635514018741E-2</v>
      </c>
      <c r="Q298" s="398">
        <f>Q296/P296-1</f>
        <v>-1.474805407619828E-2</v>
      </c>
      <c r="R298" s="398">
        <f>R296/Q296-1</f>
        <v>-3.9085239085239087E-2</v>
      </c>
      <c r="S298" s="385"/>
    </row>
    <row r="299" spans="1:19" ht="15.5" customHeight="1">
      <c r="A299" s="390"/>
      <c r="B299" s="185"/>
      <c r="C299" s="399"/>
      <c r="D299" s="399"/>
      <c r="E299" s="399"/>
      <c r="F299" s="399"/>
      <c r="G299" s="399"/>
      <c r="H299" s="399"/>
      <c r="I299" s="399"/>
      <c r="J299" s="399"/>
      <c r="K299" s="399"/>
      <c r="L299" s="399"/>
      <c r="M299" s="399"/>
      <c r="N299" s="400"/>
      <c r="O299" s="401"/>
      <c r="P299" s="398"/>
      <c r="Q299" s="398"/>
      <c r="R299" s="398"/>
      <c r="S299" s="385"/>
    </row>
    <row r="300" spans="1:19" ht="15.5" customHeight="1">
      <c r="A300" s="422" t="s">
        <v>164</v>
      </c>
      <c r="B300" s="187" t="s">
        <v>51</v>
      </c>
      <c r="C300" s="187" t="s">
        <v>52</v>
      </c>
      <c r="D300" s="187" t="s">
        <v>53</v>
      </c>
      <c r="E300" s="187" t="s">
        <v>54</v>
      </c>
      <c r="F300" s="187" t="s">
        <v>55</v>
      </c>
      <c r="G300" s="187" t="s">
        <v>77</v>
      </c>
      <c r="H300" s="187" t="s">
        <v>78</v>
      </c>
      <c r="I300" s="187" t="s">
        <v>79</v>
      </c>
      <c r="J300" s="187" t="s">
        <v>80</v>
      </c>
      <c r="K300" s="187" t="s">
        <v>81</v>
      </c>
      <c r="L300" s="187" t="s">
        <v>82</v>
      </c>
      <c r="M300" s="187" t="s">
        <v>44</v>
      </c>
      <c r="N300" s="389" t="s">
        <v>128</v>
      </c>
      <c r="O300" s="5" t="s">
        <v>129</v>
      </c>
      <c r="P300" s="5" t="s">
        <v>130</v>
      </c>
      <c r="Q300" s="5" t="s">
        <v>131</v>
      </c>
      <c r="R300" s="5" t="s">
        <v>132</v>
      </c>
      <c r="S300" s="385"/>
    </row>
    <row r="301" spans="1:19">
      <c r="A301" s="423" t="s">
        <v>133</v>
      </c>
      <c r="B301" s="391">
        <v>32459</v>
      </c>
      <c r="C301" s="391">
        <v>34927</v>
      </c>
      <c r="D301" s="391">
        <v>36698</v>
      </c>
      <c r="E301" s="391">
        <v>35795</v>
      </c>
      <c r="F301" s="391">
        <v>35415</v>
      </c>
      <c r="G301" s="391">
        <v>34044</v>
      </c>
      <c r="H301" s="391">
        <v>39150</v>
      </c>
      <c r="I301" s="391">
        <v>41652</v>
      </c>
      <c r="J301" s="391">
        <v>36723</v>
      </c>
      <c r="K301" s="391">
        <v>38551</v>
      </c>
      <c r="L301" s="391">
        <v>34980</v>
      </c>
      <c r="M301" s="391">
        <v>35251</v>
      </c>
      <c r="N301" s="393">
        <f>SUM(B301:M301)</f>
        <v>435645</v>
      </c>
      <c r="O301" s="394">
        <f>SUM(B301:D301)</f>
        <v>104084</v>
      </c>
      <c r="P301" s="394">
        <f>SUM(E301:G301)</f>
        <v>105254</v>
      </c>
      <c r="Q301" s="394">
        <f>SUM(H301:J301)</f>
        <v>117525</v>
      </c>
      <c r="R301" s="395">
        <f>SUM(K301:M301)</f>
        <v>108782</v>
      </c>
      <c r="S301" s="387"/>
    </row>
    <row r="302" spans="1:19">
      <c r="A302" s="390" t="s">
        <v>134</v>
      </c>
      <c r="B302" s="396">
        <f t="shared" ref="B302:R302" si="171">B301/B326-1</f>
        <v>6.1584249084249088E-2</v>
      </c>
      <c r="C302" s="396">
        <f t="shared" si="171"/>
        <v>0.12356044521649623</v>
      </c>
      <c r="D302" s="396">
        <f t="shared" si="171"/>
        <v>0.21327734981981683</v>
      </c>
      <c r="E302" s="396">
        <f t="shared" si="171"/>
        <v>0.13942384211364001</v>
      </c>
      <c r="F302" s="396">
        <f t="shared" si="171"/>
        <v>0.12991736591902492</v>
      </c>
      <c r="G302" s="396">
        <f t="shared" si="171"/>
        <v>0.11229457313686408</v>
      </c>
      <c r="H302" s="396">
        <f t="shared" si="171"/>
        <v>9.3697619845792834E-2</v>
      </c>
      <c r="I302" s="396">
        <f t="shared" si="171"/>
        <v>0.11658579738894992</v>
      </c>
      <c r="J302" s="396">
        <f t="shared" si="171"/>
        <v>0.10764915244012796</v>
      </c>
      <c r="K302" s="396">
        <f t="shared" si="171"/>
        <v>0.10515150646446703</v>
      </c>
      <c r="L302" s="396">
        <f t="shared" si="171"/>
        <v>7.9729604593017811E-2</v>
      </c>
      <c r="M302" s="396">
        <f t="shared" si="171"/>
        <v>6.360317412424954E-2</v>
      </c>
      <c r="N302" s="397">
        <f t="shared" si="171"/>
        <v>0.11148105625717575</v>
      </c>
      <c r="O302" s="396">
        <f t="shared" si="171"/>
        <v>0.13246798463697784</v>
      </c>
      <c r="P302" s="396">
        <f t="shared" si="171"/>
        <v>0.12733893857441236</v>
      </c>
      <c r="Q302" s="396">
        <f t="shared" si="171"/>
        <v>0.10608641638353733</v>
      </c>
      <c r="R302" s="396">
        <f t="shared" si="171"/>
        <v>8.3237903667486624E-2</v>
      </c>
      <c r="S302" s="385"/>
    </row>
    <row r="303" spans="1:19" ht="15.5" customHeight="1">
      <c r="A303" s="390" t="s">
        <v>135</v>
      </c>
      <c r="B303" s="185">
        <f>B301/M326-1</f>
        <v>-2.063784207826691E-2</v>
      </c>
      <c r="C303" s="399">
        <f t="shared" ref="C303:M303" si="172">C301/B301-1</f>
        <v>7.603438183554645E-2</v>
      </c>
      <c r="D303" s="399">
        <f t="shared" si="172"/>
        <v>5.0705757723251255E-2</v>
      </c>
      <c r="E303" s="399">
        <f t="shared" si="172"/>
        <v>-2.4606245571965779E-2</v>
      </c>
      <c r="F303" s="399">
        <f t="shared" si="172"/>
        <v>-1.0616007822321527E-2</v>
      </c>
      <c r="G303" s="399">
        <f t="shared" si="172"/>
        <v>-3.871240999576453E-2</v>
      </c>
      <c r="H303" s="399">
        <f t="shared" si="172"/>
        <v>0.14998237574903062</v>
      </c>
      <c r="I303" s="399">
        <f t="shared" si="172"/>
        <v>6.3908045977011385E-2</v>
      </c>
      <c r="J303" s="399">
        <f t="shared" si="172"/>
        <v>-0.11833765485450876</v>
      </c>
      <c r="K303" s="399">
        <f t="shared" si="172"/>
        <v>4.977806824061215E-2</v>
      </c>
      <c r="L303" s="399">
        <f t="shared" si="172"/>
        <v>-9.2630541360794738E-2</v>
      </c>
      <c r="M303" s="399">
        <f t="shared" si="172"/>
        <v>7.747284162378465E-3</v>
      </c>
      <c r="N303" s="400"/>
      <c r="O303" s="398">
        <f>O301/R326-1</f>
        <v>3.6455791999840725E-2</v>
      </c>
      <c r="P303" s="398">
        <f>P301/O301-1</f>
        <v>1.1240920794742815E-2</v>
      </c>
      <c r="Q303" s="398">
        <f>Q301/P301-1</f>
        <v>0.11658464286392922</v>
      </c>
      <c r="R303" s="398">
        <f>R301/Q301-1</f>
        <v>-7.4392682407998345E-2</v>
      </c>
      <c r="S303" s="385"/>
    </row>
    <row r="304" spans="1:19">
      <c r="A304" s="385"/>
      <c r="B304" s="402"/>
      <c r="C304" s="402"/>
      <c r="D304" s="402"/>
      <c r="E304" s="402"/>
      <c r="F304" s="402"/>
      <c r="G304" s="427"/>
      <c r="H304" s="402"/>
      <c r="I304" s="402"/>
      <c r="J304" s="403"/>
      <c r="K304" s="403"/>
      <c r="L304" s="403"/>
      <c r="M304" s="403"/>
      <c r="N304" s="404"/>
      <c r="O304" s="404"/>
      <c r="P304" s="404"/>
      <c r="Q304" s="404"/>
      <c r="R304" s="404"/>
      <c r="S304" s="385"/>
    </row>
    <row r="305" spans="1:19">
      <c r="A305" s="428" t="s">
        <v>137</v>
      </c>
      <c r="B305" s="391">
        <f t="shared" ref="B305:M305" si="173">B309-B321</f>
        <v>28758</v>
      </c>
      <c r="C305" s="391">
        <f t="shared" si="173"/>
        <v>30550</v>
      </c>
      <c r="D305" s="391">
        <f t="shared" si="173"/>
        <v>32584</v>
      </c>
      <c r="E305" s="391">
        <f t="shared" si="173"/>
        <v>31475</v>
      </c>
      <c r="F305" s="391">
        <f t="shared" si="173"/>
        <v>31053</v>
      </c>
      <c r="G305" s="391">
        <f t="shared" si="173"/>
        <v>30049</v>
      </c>
      <c r="H305" s="391">
        <f t="shared" si="173"/>
        <v>34632</v>
      </c>
      <c r="I305" s="391">
        <f t="shared" si="173"/>
        <v>36614</v>
      </c>
      <c r="J305" s="391">
        <f t="shared" si="173"/>
        <v>32395</v>
      </c>
      <c r="K305" s="391">
        <f t="shared" si="173"/>
        <v>33919</v>
      </c>
      <c r="L305" s="391">
        <f t="shared" si="173"/>
        <v>30655</v>
      </c>
      <c r="M305" s="391">
        <f t="shared" si="173"/>
        <v>30719</v>
      </c>
      <c r="N305" s="393">
        <f>SUM(B305:M305)</f>
        <v>383403</v>
      </c>
      <c r="O305" s="394">
        <f>SUM(B305:D305)</f>
        <v>91892</v>
      </c>
      <c r="P305" s="394">
        <f>SUM(E305:G305)</f>
        <v>92577</v>
      </c>
      <c r="Q305" s="394">
        <f>SUM(H305:J305)</f>
        <v>103641</v>
      </c>
      <c r="R305" s="395">
        <f>SUM(K305:M305)</f>
        <v>95293</v>
      </c>
      <c r="S305" s="387"/>
    </row>
    <row r="306" spans="1:19">
      <c r="A306" s="390" t="s">
        <v>134</v>
      </c>
      <c r="B306" s="396">
        <f t="shared" ref="B306:R306" si="174">B305/B330-1</f>
        <v>4.5517341670908262E-2</v>
      </c>
      <c r="C306" s="396">
        <f t="shared" si="174"/>
        <v>9.3492733910802484E-2</v>
      </c>
      <c r="D306" s="396">
        <f t="shared" si="174"/>
        <v>0.20094353530886044</v>
      </c>
      <c r="E306" s="396">
        <f t="shared" si="174"/>
        <v>0.11998718997971736</v>
      </c>
      <c r="F306" s="396">
        <f t="shared" si="174"/>
        <v>0.10359655981235338</v>
      </c>
      <c r="G306" s="396">
        <f t="shared" si="174"/>
        <v>9.61587567942217E-2</v>
      </c>
      <c r="H306" s="396">
        <f t="shared" si="174"/>
        <v>8.0763949569342186E-2</v>
      </c>
      <c r="I306" s="396">
        <f t="shared" si="174"/>
        <v>0.10233328315520107</v>
      </c>
      <c r="J306" s="396">
        <f t="shared" si="174"/>
        <v>9.4647563695343662E-2</v>
      </c>
      <c r="K306" s="396">
        <f t="shared" si="174"/>
        <v>8.8892455858748054E-2</v>
      </c>
      <c r="L306" s="396">
        <f t="shared" si="174"/>
        <v>6.0763348212740986E-2</v>
      </c>
      <c r="M306" s="396">
        <f t="shared" si="174"/>
        <v>5.1372441645560984E-2</v>
      </c>
      <c r="N306" s="397">
        <f t="shared" si="174"/>
        <v>9.434280005708584E-2</v>
      </c>
      <c r="O306" s="396">
        <f t="shared" si="174"/>
        <v>0.11281728347219522</v>
      </c>
      <c r="P306" s="396">
        <f t="shared" si="174"/>
        <v>0.10666555095990637</v>
      </c>
      <c r="Q306" s="396">
        <f t="shared" si="174"/>
        <v>9.2648624714031236E-2</v>
      </c>
      <c r="R306" s="396">
        <f t="shared" si="174"/>
        <v>6.7505349121175895E-2</v>
      </c>
      <c r="S306" s="385"/>
    </row>
    <row r="307" spans="1:19" ht="15.5" customHeight="1">
      <c r="A307" s="390" t="s">
        <v>135</v>
      </c>
      <c r="B307" s="185">
        <f>B305/M330-1</f>
        <v>-1.5743719624888741E-2</v>
      </c>
      <c r="C307" s="399">
        <f t="shared" ref="C307:M307" si="175">C305/B305-1</f>
        <v>6.2313095486473236E-2</v>
      </c>
      <c r="D307" s="399">
        <f t="shared" si="175"/>
        <v>6.6579378068739814E-2</v>
      </c>
      <c r="E307" s="399">
        <f t="shared" si="175"/>
        <v>-3.4035109256076557E-2</v>
      </c>
      <c r="F307" s="399">
        <f t="shared" si="175"/>
        <v>-1.3407466243050004E-2</v>
      </c>
      <c r="G307" s="399">
        <f t="shared" si="175"/>
        <v>-3.233181979196853E-2</v>
      </c>
      <c r="H307" s="399">
        <f t="shared" si="175"/>
        <v>0.15251755466072092</v>
      </c>
      <c r="I307" s="399">
        <f t="shared" si="175"/>
        <v>5.7230307230307309E-2</v>
      </c>
      <c r="J307" s="399">
        <f t="shared" si="175"/>
        <v>-0.115229147320697</v>
      </c>
      <c r="K307" s="399">
        <f t="shared" si="175"/>
        <v>4.7044296959407372E-2</v>
      </c>
      <c r="L307" s="399">
        <f t="shared" si="175"/>
        <v>-9.6229252041628577E-2</v>
      </c>
      <c r="M307" s="399">
        <f t="shared" si="175"/>
        <v>2.087750774751207E-3</v>
      </c>
      <c r="N307" s="400"/>
      <c r="O307" s="401">
        <f>O305/R330-1</f>
        <v>2.9406163531876306E-2</v>
      </c>
      <c r="P307" s="398">
        <f>P305/O305-1</f>
        <v>7.4544029948200308E-3</v>
      </c>
      <c r="Q307" s="398">
        <f>Q305/P305-1</f>
        <v>0.11951132570724909</v>
      </c>
      <c r="R307" s="398">
        <f>R305/Q305-1</f>
        <v>-8.0547273762314187E-2</v>
      </c>
      <c r="S307" s="385"/>
    </row>
    <row r="308" spans="1:19">
      <c r="A308" s="385"/>
      <c r="B308" s="402"/>
      <c r="C308" s="402"/>
      <c r="D308" s="402"/>
      <c r="E308" s="402"/>
      <c r="F308" s="402"/>
      <c r="G308" s="427"/>
      <c r="H308" s="402"/>
      <c r="I308" s="402"/>
      <c r="J308" s="403"/>
      <c r="K308" s="403"/>
      <c r="L308" s="403"/>
      <c r="M308" s="403"/>
      <c r="N308" s="404"/>
      <c r="O308" s="404"/>
      <c r="P308" s="404"/>
      <c r="Q308" s="404"/>
      <c r="R308" s="404"/>
      <c r="S308" s="385"/>
    </row>
    <row r="309" spans="1:19">
      <c r="A309" s="429" t="s">
        <v>145</v>
      </c>
      <c r="B309" s="391">
        <v>29550</v>
      </c>
      <c r="C309" s="391">
        <v>31515</v>
      </c>
      <c r="D309" s="391">
        <v>33372</v>
      </c>
      <c r="E309" s="391">
        <v>32319</v>
      </c>
      <c r="F309" s="391">
        <v>31908</v>
      </c>
      <c r="G309" s="391">
        <v>30856</v>
      </c>
      <c r="H309" s="391">
        <v>35502</v>
      </c>
      <c r="I309" s="391">
        <v>37548</v>
      </c>
      <c r="J309" s="391">
        <v>33186</v>
      </c>
      <c r="K309" s="391">
        <v>34800</v>
      </c>
      <c r="L309" s="391">
        <v>31494</v>
      </c>
      <c r="M309" s="391">
        <v>31544</v>
      </c>
      <c r="N309" s="393">
        <f>SUM(B309:M309)</f>
        <v>393594</v>
      </c>
      <c r="O309" s="394">
        <f>SUM(B309:D309)</f>
        <v>94437</v>
      </c>
      <c r="P309" s="394">
        <f>SUM(E309:G309)</f>
        <v>95083</v>
      </c>
      <c r="Q309" s="394">
        <f>SUM(H309:J309)</f>
        <v>106236</v>
      </c>
      <c r="R309" s="395">
        <f>SUM(K309:M309)</f>
        <v>97838</v>
      </c>
      <c r="S309" s="387"/>
    </row>
    <row r="310" spans="1:19">
      <c r="A310" s="390" t="s">
        <v>134</v>
      </c>
      <c r="B310" s="396">
        <f t="shared" ref="B310:R310" si="176">B309/B334-1</f>
        <v>4.4575630103573793E-2</v>
      </c>
      <c r="C310" s="396">
        <f t="shared" si="176"/>
        <v>9.5602294455066961E-2</v>
      </c>
      <c r="D310" s="396">
        <f t="shared" si="176"/>
        <v>0.19480147506354939</v>
      </c>
      <c r="E310" s="396">
        <f t="shared" si="176"/>
        <v>0.11594903490901554</v>
      </c>
      <c r="F310" s="396">
        <f t="shared" si="176"/>
        <v>0.10164341941720756</v>
      </c>
      <c r="G310" s="396">
        <f t="shared" si="176"/>
        <v>9.259587125101798E-2</v>
      </c>
      <c r="H310" s="396">
        <f t="shared" si="176"/>
        <v>7.8137811655379696E-2</v>
      </c>
      <c r="I310" s="396">
        <f t="shared" si="176"/>
        <v>0.10095293945169326</v>
      </c>
      <c r="J310" s="396">
        <f t="shared" si="176"/>
        <v>9.2147699598499333E-2</v>
      </c>
      <c r="K310" s="396">
        <f t="shared" si="176"/>
        <v>8.736407949006364E-2</v>
      </c>
      <c r="L310" s="396">
        <f t="shared" si="176"/>
        <v>5.99757673667205E-2</v>
      </c>
      <c r="M310" s="396">
        <f t="shared" si="176"/>
        <v>4.7521004217447649E-2</v>
      </c>
      <c r="N310" s="397">
        <f t="shared" si="176"/>
        <v>9.2103218645948948E-2</v>
      </c>
      <c r="O310" s="396">
        <f t="shared" si="176"/>
        <v>0.11121962699299881</v>
      </c>
      <c r="P310" s="396">
        <f t="shared" si="176"/>
        <v>0.10348629389782515</v>
      </c>
      <c r="Q310" s="396">
        <f t="shared" si="176"/>
        <v>9.0494764935331595E-2</v>
      </c>
      <c r="R310" s="396">
        <f t="shared" si="176"/>
        <v>6.5436844569798147E-2</v>
      </c>
      <c r="S310" s="385"/>
    </row>
    <row r="311" spans="1:19" ht="15.5" customHeight="1">
      <c r="A311" s="390" t="s">
        <v>135</v>
      </c>
      <c r="B311" s="185">
        <f>B309/M334-1</f>
        <v>-1.8696244147046182E-2</v>
      </c>
      <c r="C311" s="399">
        <f t="shared" ref="C311:M311" si="177">C309/B309-1</f>
        <v>6.6497461928934021E-2</v>
      </c>
      <c r="D311" s="399">
        <f t="shared" si="177"/>
        <v>5.8924321751546938E-2</v>
      </c>
      <c r="E311" s="399">
        <f t="shared" si="177"/>
        <v>-3.1553398058252413E-2</v>
      </c>
      <c r="F311" s="399">
        <f t="shared" si="177"/>
        <v>-1.2716977629258386E-2</v>
      </c>
      <c r="G311" s="399">
        <f t="shared" si="177"/>
        <v>-3.2969788140905121E-2</v>
      </c>
      <c r="H311" s="399">
        <f t="shared" si="177"/>
        <v>0.15057039149598128</v>
      </c>
      <c r="I311" s="399">
        <f t="shared" si="177"/>
        <v>5.7630556025012769E-2</v>
      </c>
      <c r="J311" s="399">
        <f t="shared" si="177"/>
        <v>-0.1161713007350591</v>
      </c>
      <c r="K311" s="399">
        <f t="shared" si="177"/>
        <v>4.8634966552160597E-2</v>
      </c>
      <c r="L311" s="399">
        <f t="shared" si="177"/>
        <v>-9.4999999999999973E-2</v>
      </c>
      <c r="M311" s="399">
        <f t="shared" si="177"/>
        <v>1.5876039880611259E-3</v>
      </c>
      <c r="N311" s="400"/>
      <c r="O311" s="401">
        <f>O309/R334-1</f>
        <v>2.8400614185061457E-2</v>
      </c>
      <c r="P311" s="398">
        <f>P309/O309-1</f>
        <v>6.8405391954424744E-3</v>
      </c>
      <c r="Q311" s="398">
        <f>Q309/P309-1</f>
        <v>0.11729751900970742</v>
      </c>
      <c r="R311" s="398">
        <f>R309/Q309-1</f>
        <v>-7.9050416054821326E-2</v>
      </c>
      <c r="S311" s="385"/>
    </row>
    <row r="312" spans="1:19">
      <c r="A312" s="385"/>
      <c r="B312" s="402"/>
      <c r="C312" s="402"/>
      <c r="D312" s="402"/>
      <c r="E312" s="402"/>
      <c r="F312" s="402"/>
      <c r="G312" s="427"/>
      <c r="H312" s="402"/>
      <c r="I312" s="402"/>
      <c r="J312" s="403"/>
      <c r="K312" s="403"/>
      <c r="L312" s="403"/>
      <c r="M312" s="403"/>
      <c r="N312" s="404"/>
      <c r="O312" s="404"/>
      <c r="P312" s="404"/>
      <c r="Q312" s="404"/>
      <c r="R312" s="404"/>
      <c r="S312" s="385"/>
    </row>
    <row r="313" spans="1:19">
      <c r="A313" s="430" t="s">
        <v>146</v>
      </c>
      <c r="B313" s="391">
        <f t="shared" ref="B313:M313" si="178">B317+B321</f>
        <v>3701</v>
      </c>
      <c r="C313" s="391">
        <f t="shared" si="178"/>
        <v>4377</v>
      </c>
      <c r="D313" s="391">
        <f t="shared" si="178"/>
        <v>4115</v>
      </c>
      <c r="E313" s="391">
        <f t="shared" si="178"/>
        <v>4320</v>
      </c>
      <c r="F313" s="391">
        <f t="shared" si="178"/>
        <v>4362</v>
      </c>
      <c r="G313" s="391">
        <f t="shared" si="178"/>
        <v>3995</v>
      </c>
      <c r="H313" s="391">
        <f t="shared" si="178"/>
        <v>4517</v>
      </c>
      <c r="I313" s="391">
        <f t="shared" si="178"/>
        <v>5038</v>
      </c>
      <c r="J313" s="391">
        <f t="shared" si="178"/>
        <v>4328</v>
      </c>
      <c r="K313" s="391">
        <f t="shared" si="178"/>
        <v>4632</v>
      </c>
      <c r="L313" s="391">
        <f t="shared" si="178"/>
        <v>4324</v>
      </c>
      <c r="M313" s="391">
        <f t="shared" si="178"/>
        <v>4532</v>
      </c>
      <c r="N313" s="393">
        <f>SUM(B313:M313)</f>
        <v>52241</v>
      </c>
      <c r="O313" s="394">
        <f>SUM(B313:D313)</f>
        <v>12193</v>
      </c>
      <c r="P313" s="394">
        <f>SUM(E313:G313)</f>
        <v>12677</v>
      </c>
      <c r="Q313" s="394">
        <f>SUM(H313:J313)</f>
        <v>13883</v>
      </c>
      <c r="R313" s="395">
        <f>SUM(K313:M313)</f>
        <v>13488</v>
      </c>
      <c r="S313" s="387">
        <f>SUM(O313:R313)</f>
        <v>52241</v>
      </c>
    </row>
    <row r="314" spans="1:19">
      <c r="A314" s="390" t="s">
        <v>134</v>
      </c>
      <c r="B314" s="396">
        <f>B313/B338</f>
        <v>1.2059302704463994</v>
      </c>
      <c r="C314" s="396">
        <f t="shared" ref="C314:R314" si="179">C313/C338-1</f>
        <v>0.39040660736975852</v>
      </c>
      <c r="D314" s="396">
        <f t="shared" si="179"/>
        <v>0.32102728731942221</v>
      </c>
      <c r="E314" s="396">
        <f t="shared" si="179"/>
        <v>0.30434782608695654</v>
      </c>
      <c r="F314" s="396">
        <f t="shared" si="179"/>
        <v>0.36099843993759739</v>
      </c>
      <c r="G314" s="396">
        <f t="shared" si="179"/>
        <v>0.25078271759549153</v>
      </c>
      <c r="H314" s="396">
        <f t="shared" si="179"/>
        <v>0.20357047695177188</v>
      </c>
      <c r="I314" s="396">
        <f t="shared" si="179"/>
        <v>0.23268901394666019</v>
      </c>
      <c r="J314" s="396">
        <f t="shared" si="179"/>
        <v>0.21573033707865163</v>
      </c>
      <c r="K314" s="396">
        <f t="shared" si="179"/>
        <v>0.2411575562700965</v>
      </c>
      <c r="L314" s="396">
        <f t="shared" si="179"/>
        <v>0.2361349342481418</v>
      </c>
      <c r="M314" s="396">
        <f t="shared" si="179"/>
        <v>0.15406162464985984</v>
      </c>
      <c r="N314" s="397">
        <f t="shared" si="179"/>
        <v>0.25579326923076917</v>
      </c>
      <c r="O314" s="398">
        <f t="shared" si="179"/>
        <v>0.30657951135876549</v>
      </c>
      <c r="P314" s="398">
        <f t="shared" si="179"/>
        <v>0.30542683554731753</v>
      </c>
      <c r="Q314" s="398">
        <f t="shared" si="179"/>
        <v>0.21780701754385956</v>
      </c>
      <c r="R314" s="398">
        <f t="shared" si="179"/>
        <v>0.20892713094917981</v>
      </c>
      <c r="S314" s="385"/>
    </row>
    <row r="315" spans="1:19" ht="15.5" customHeight="1">
      <c r="A315" s="390" t="s">
        <v>135</v>
      </c>
      <c r="B315" s="185">
        <f>B313/M338-1</f>
        <v>-5.7550292844410489E-2</v>
      </c>
      <c r="C315" s="399">
        <f t="shared" ref="C315:M315" si="180">C313/B313-1</f>
        <v>0.18265333693596331</v>
      </c>
      <c r="D315" s="399">
        <f t="shared" si="180"/>
        <v>-5.9858350468357302E-2</v>
      </c>
      <c r="E315" s="399">
        <f t="shared" si="180"/>
        <v>4.9817739975698716E-2</v>
      </c>
      <c r="F315" s="399">
        <f t="shared" si="180"/>
        <v>9.7222222222221877E-3</v>
      </c>
      <c r="G315" s="399">
        <f t="shared" si="180"/>
        <v>-8.4135717560751999E-2</v>
      </c>
      <c r="H315" s="399">
        <f t="shared" si="180"/>
        <v>0.13066332916145185</v>
      </c>
      <c r="I315" s="399">
        <f t="shared" si="180"/>
        <v>0.1153420411777728</v>
      </c>
      <c r="J315" s="399">
        <f t="shared" si="180"/>
        <v>-0.14092894005557766</v>
      </c>
      <c r="K315" s="399">
        <f t="shared" si="180"/>
        <v>7.0240295748613679E-2</v>
      </c>
      <c r="L315" s="399">
        <f t="shared" si="180"/>
        <v>-6.6493955094991342E-2</v>
      </c>
      <c r="M315" s="399">
        <f t="shared" si="180"/>
        <v>4.8103607770582757E-2</v>
      </c>
      <c r="N315" s="400" t="s">
        <v>136</v>
      </c>
      <c r="O315" s="401">
        <f>O313/R338-1</f>
        <v>9.2856502644079963E-2</v>
      </c>
      <c r="P315" s="398">
        <f>P313/O313-1</f>
        <v>3.9694906913803063E-2</v>
      </c>
      <c r="Q315" s="398">
        <f>Q313/P313-1</f>
        <v>9.5132917882779777E-2</v>
      </c>
      <c r="R315" s="398">
        <f>R313/Q313-1</f>
        <v>-2.8452063674998196E-2</v>
      </c>
      <c r="S315" s="385"/>
    </row>
    <row r="316" spans="1:19">
      <c r="A316" s="385"/>
      <c r="B316" s="404"/>
      <c r="C316" s="402"/>
      <c r="D316" s="402"/>
      <c r="E316" s="402"/>
      <c r="F316" s="402"/>
      <c r="G316" s="427"/>
      <c r="H316" s="402"/>
      <c r="I316" s="402"/>
      <c r="J316" s="403"/>
      <c r="K316" s="403"/>
      <c r="L316" s="403"/>
      <c r="M316" s="403"/>
      <c r="N316" s="404"/>
      <c r="O316" s="404"/>
      <c r="P316" s="404"/>
      <c r="Q316" s="404"/>
      <c r="R316" s="404"/>
      <c r="S316" s="385"/>
    </row>
    <row r="317" spans="1:19">
      <c r="A317" s="431" t="s">
        <v>147</v>
      </c>
      <c r="B317" s="391">
        <v>2909</v>
      </c>
      <c r="C317" s="391">
        <v>3412</v>
      </c>
      <c r="D317" s="391">
        <v>3327</v>
      </c>
      <c r="E317" s="391">
        <v>3476</v>
      </c>
      <c r="F317" s="391">
        <v>3507</v>
      </c>
      <c r="G317" s="391">
        <v>3188</v>
      </c>
      <c r="H317" s="391">
        <v>3647</v>
      </c>
      <c r="I317" s="391">
        <v>4104</v>
      </c>
      <c r="J317" s="391">
        <v>3537</v>
      </c>
      <c r="K317" s="391">
        <v>3751</v>
      </c>
      <c r="L317" s="391">
        <v>3485</v>
      </c>
      <c r="M317" s="391">
        <v>3707</v>
      </c>
      <c r="N317" s="393">
        <f>SUM(B317:M317)</f>
        <v>42050</v>
      </c>
      <c r="O317" s="394">
        <f>SUM(B317:D317)</f>
        <v>9648</v>
      </c>
      <c r="P317" s="394">
        <f>SUM(E317:G317)</f>
        <v>10171</v>
      </c>
      <c r="Q317" s="394">
        <f>SUM(H317:J317)</f>
        <v>11288</v>
      </c>
      <c r="R317" s="395">
        <f>SUM(K317:M317)</f>
        <v>10943</v>
      </c>
      <c r="S317" s="387">
        <f>SUM(O317:R317)</f>
        <v>42050</v>
      </c>
    </row>
    <row r="318" spans="1:19">
      <c r="A318" s="390" t="s">
        <v>134</v>
      </c>
      <c r="B318" s="396">
        <f t="shared" ref="B318:R318" si="181">B317/B342-1</f>
        <v>0.27252843394575677</v>
      </c>
      <c r="C318" s="396">
        <f t="shared" si="181"/>
        <v>0.47005601034037059</v>
      </c>
      <c r="D318" s="396">
        <f t="shared" si="181"/>
        <v>0.43652849740932642</v>
      </c>
      <c r="E318" s="396">
        <f t="shared" si="181"/>
        <v>0.41646291768541155</v>
      </c>
      <c r="F318" s="396">
        <f t="shared" si="181"/>
        <v>0.47414880201765452</v>
      </c>
      <c r="G318" s="396">
        <f t="shared" si="181"/>
        <v>0.34742180896027053</v>
      </c>
      <c r="H318" s="396">
        <f t="shared" si="181"/>
        <v>0.27161785216178513</v>
      </c>
      <c r="I318" s="396">
        <f t="shared" si="181"/>
        <v>0.28370347200500468</v>
      </c>
      <c r="J318" s="396">
        <f t="shared" si="181"/>
        <v>0.27781791907514441</v>
      </c>
      <c r="K318" s="396">
        <f t="shared" si="181"/>
        <v>0.30333564975677563</v>
      </c>
      <c r="L318" s="396">
        <f t="shared" si="181"/>
        <v>0.29795158286778389</v>
      </c>
      <c r="M318" s="396">
        <f t="shared" si="181"/>
        <v>0.22262532981530336</v>
      </c>
      <c r="N318" s="397">
        <f t="shared" si="181"/>
        <v>0.33280507131537251</v>
      </c>
      <c r="O318" s="398">
        <f t="shared" si="181"/>
        <v>0.39361548461649565</v>
      </c>
      <c r="P318" s="398">
        <f t="shared" si="181"/>
        <v>0.41283511598833167</v>
      </c>
      <c r="Q318" s="398">
        <f t="shared" si="181"/>
        <v>0.27793501641571372</v>
      </c>
      <c r="R318" s="398">
        <f t="shared" si="181"/>
        <v>0.27318208260616639</v>
      </c>
      <c r="S318" s="385"/>
    </row>
    <row r="319" spans="1:19" ht="15.5" customHeight="1">
      <c r="A319" s="390" t="s">
        <v>135</v>
      </c>
      <c r="B319" s="185">
        <f>B317/M342-1</f>
        <v>-4.0567282321899767E-2</v>
      </c>
      <c r="C319" s="399">
        <f t="shared" ref="C319:M319" si="182">C317/B317-1</f>
        <v>0.17291165348917148</v>
      </c>
      <c r="D319" s="399">
        <f t="shared" si="182"/>
        <v>-2.4912075029308367E-2</v>
      </c>
      <c r="E319" s="399">
        <f t="shared" si="182"/>
        <v>4.4785091674180988E-2</v>
      </c>
      <c r="F319" s="399">
        <f t="shared" si="182"/>
        <v>8.9182968929804041E-3</v>
      </c>
      <c r="G319" s="399">
        <f t="shared" si="182"/>
        <v>-9.0960935272312526E-2</v>
      </c>
      <c r="H319" s="399">
        <f t="shared" si="182"/>
        <v>0.14397741530740271</v>
      </c>
      <c r="I319" s="399">
        <f t="shared" si="182"/>
        <v>0.12530847271730194</v>
      </c>
      <c r="J319" s="399">
        <f t="shared" si="182"/>
        <v>-0.13815789473684215</v>
      </c>
      <c r="K319" s="399">
        <f t="shared" si="182"/>
        <v>6.0503251342945985E-2</v>
      </c>
      <c r="L319" s="399">
        <f t="shared" si="182"/>
        <v>-7.0914422820581136E-2</v>
      </c>
      <c r="M319" s="399">
        <f t="shared" si="182"/>
        <v>6.3701578192252528E-2</v>
      </c>
      <c r="N319" s="400" t="s">
        <v>136</v>
      </c>
      <c r="O319" s="401">
        <f>O317/R342-1</f>
        <v>0.1225130890052355</v>
      </c>
      <c r="P319" s="398">
        <f>P317/O317-1</f>
        <v>5.4208126036484172E-2</v>
      </c>
      <c r="Q319" s="398">
        <f>Q317/P317-1</f>
        <v>0.10982204306361232</v>
      </c>
      <c r="R319" s="398">
        <f>R317/Q317-1</f>
        <v>-3.0563430191353658E-2</v>
      </c>
      <c r="S319" s="385"/>
    </row>
    <row r="320" spans="1:19" ht="14.25" customHeight="1">
      <c r="A320" s="385"/>
      <c r="B320" s="186"/>
      <c r="C320" s="434"/>
      <c r="D320" s="434"/>
      <c r="E320" s="434"/>
      <c r="F320" s="434"/>
      <c r="G320" s="434"/>
      <c r="H320" s="434"/>
      <c r="I320" s="434"/>
      <c r="J320" s="434"/>
      <c r="K320" s="434"/>
      <c r="L320" s="434"/>
      <c r="M320" s="434"/>
      <c r="N320" s="436"/>
      <c r="O320" s="437"/>
      <c r="P320" s="438"/>
      <c r="Q320" s="438"/>
      <c r="R320" s="438"/>
      <c r="S320" s="385"/>
    </row>
    <row r="321" spans="1:19">
      <c r="A321" s="433" t="s">
        <v>148</v>
      </c>
      <c r="B321" s="391">
        <v>792</v>
      </c>
      <c r="C321" s="391">
        <v>965</v>
      </c>
      <c r="D321" s="391">
        <v>788</v>
      </c>
      <c r="E321" s="391">
        <v>844</v>
      </c>
      <c r="F321" s="391">
        <v>855</v>
      </c>
      <c r="G321" s="391">
        <v>807</v>
      </c>
      <c r="H321" s="391">
        <v>870</v>
      </c>
      <c r="I321" s="391">
        <v>934</v>
      </c>
      <c r="J321" s="391">
        <v>791</v>
      </c>
      <c r="K321" s="391">
        <v>881</v>
      </c>
      <c r="L321" s="391">
        <v>839</v>
      </c>
      <c r="M321" s="391">
        <v>825</v>
      </c>
      <c r="N321" s="393">
        <f>SUM(B321:M321)</f>
        <v>10191</v>
      </c>
      <c r="O321" s="394">
        <f>SUM(B321:D321)</f>
        <v>2545</v>
      </c>
      <c r="P321" s="394">
        <f>SUM(E321:G321)</f>
        <v>2506</v>
      </c>
      <c r="Q321" s="394">
        <f>SUM(H321:J321)</f>
        <v>2595</v>
      </c>
      <c r="R321" s="395">
        <f>SUM(K321:M321)</f>
        <v>2545</v>
      </c>
      <c r="S321" s="385"/>
    </row>
    <row r="322" spans="1:19">
      <c r="A322" s="390" t="s">
        <v>134</v>
      </c>
      <c r="B322" s="396">
        <f t="shared" ref="B322:R322" si="183">B321/B346-1</f>
        <v>1.1494252873563315E-2</v>
      </c>
      <c r="C322" s="396">
        <f t="shared" si="183"/>
        <v>0.16686819830713429</v>
      </c>
      <c r="D322" s="396">
        <f t="shared" si="183"/>
        <v>-1.3767209011264048E-2</v>
      </c>
      <c r="E322" s="396">
        <f t="shared" si="183"/>
        <v>-1.631701631701632E-2</v>
      </c>
      <c r="F322" s="396">
        <f t="shared" si="183"/>
        <v>3.510895883777243E-2</v>
      </c>
      <c r="G322" s="396">
        <f t="shared" si="183"/>
        <v>-2.5362318840579712E-2</v>
      </c>
      <c r="H322" s="396">
        <f t="shared" si="183"/>
        <v>-1.6949152542372836E-2</v>
      </c>
      <c r="I322" s="396">
        <f t="shared" si="183"/>
        <v>4.9438202247191088E-2</v>
      </c>
      <c r="J322" s="396">
        <f t="shared" si="183"/>
        <v>-1.2626262626262985E-3</v>
      </c>
      <c r="K322" s="396">
        <f t="shared" si="183"/>
        <v>3.1615925058547933E-2</v>
      </c>
      <c r="L322" s="396">
        <f t="shared" si="183"/>
        <v>3.1980319803198043E-2</v>
      </c>
      <c r="M322" s="396">
        <f t="shared" si="183"/>
        <v>-7.8212290502793325E-2</v>
      </c>
      <c r="N322" s="397">
        <f t="shared" si="183"/>
        <v>1.4029850746268613E-2</v>
      </c>
      <c r="O322" s="396">
        <f t="shared" si="183"/>
        <v>5.6454960564549683E-2</v>
      </c>
      <c r="P322" s="396">
        <f t="shared" si="183"/>
        <v>-2.3885350318471055E-3</v>
      </c>
      <c r="Q322" s="396">
        <f t="shared" si="183"/>
        <v>1.0907674328009431E-2</v>
      </c>
      <c r="R322" s="396">
        <f t="shared" si="183"/>
        <v>-6.6354410616705772E-3</v>
      </c>
      <c r="S322" s="385"/>
    </row>
    <row r="323" spans="1:19" ht="15.5" customHeight="1">
      <c r="A323" s="390" t="s">
        <v>135</v>
      </c>
      <c r="B323" s="185" t="e">
        <f>B321/M366-1</f>
        <v>#DIV/0!</v>
      </c>
      <c r="C323" s="399">
        <f t="shared" ref="C323:M323" si="184">C321/B321-1</f>
        <v>0.21843434343434343</v>
      </c>
      <c r="D323" s="399">
        <f t="shared" si="184"/>
        <v>-0.18341968911917095</v>
      </c>
      <c r="E323" s="399">
        <f t="shared" si="184"/>
        <v>7.1065989847715727E-2</v>
      </c>
      <c r="F323" s="399">
        <f t="shared" si="184"/>
        <v>1.3033175355450233E-2</v>
      </c>
      <c r="G323" s="399">
        <f t="shared" si="184"/>
        <v>-5.6140350877192935E-2</v>
      </c>
      <c r="H323" s="399">
        <f t="shared" si="184"/>
        <v>7.8066914498141182E-2</v>
      </c>
      <c r="I323" s="399">
        <f t="shared" si="184"/>
        <v>7.3563218390804597E-2</v>
      </c>
      <c r="J323" s="399">
        <f t="shared" si="184"/>
        <v>-0.15310492505353324</v>
      </c>
      <c r="K323" s="399">
        <f t="shared" si="184"/>
        <v>0.11378002528445008</v>
      </c>
      <c r="L323" s="399">
        <f t="shared" si="184"/>
        <v>-4.7673098751418896E-2</v>
      </c>
      <c r="M323" s="399">
        <f t="shared" si="184"/>
        <v>-1.6686531585220488E-2</v>
      </c>
      <c r="N323" s="400" t="s">
        <v>136</v>
      </c>
      <c r="O323" s="401">
        <f>O321/R346-1</f>
        <v>-6.6354410616705772E-3</v>
      </c>
      <c r="P323" s="398">
        <f>P321/O321-1</f>
        <v>-1.5324165029469539E-2</v>
      </c>
      <c r="Q323" s="398">
        <f>Q321/P321-1</f>
        <v>3.5514764565043988E-2</v>
      </c>
      <c r="R323" s="398">
        <f>R321/Q321-1</f>
        <v>-1.9267822736030782E-2</v>
      </c>
      <c r="S323" s="385"/>
    </row>
    <row r="324" spans="1:19">
      <c r="A324" s="385"/>
      <c r="B324" s="402"/>
      <c r="C324" s="402"/>
      <c r="D324" s="403"/>
      <c r="E324" s="402"/>
      <c r="F324" s="402"/>
      <c r="G324" s="387"/>
      <c r="H324" s="402"/>
      <c r="I324" s="402"/>
      <c r="J324" s="403"/>
      <c r="K324" s="403"/>
      <c r="L324" s="403"/>
      <c r="M324" s="403"/>
      <c r="N324" s="404"/>
      <c r="O324" s="404"/>
      <c r="P324" s="404"/>
      <c r="Q324" s="404"/>
      <c r="R324" s="404"/>
      <c r="S324" s="385"/>
    </row>
    <row r="325" spans="1:19" ht="15.5" customHeight="1">
      <c r="A325" s="422" t="s">
        <v>165</v>
      </c>
      <c r="B325" s="187" t="s">
        <v>51</v>
      </c>
      <c r="C325" s="187" t="s">
        <v>52</v>
      </c>
      <c r="D325" s="187" t="s">
        <v>53</v>
      </c>
      <c r="E325" s="187" t="s">
        <v>54</v>
      </c>
      <c r="F325" s="187" t="s">
        <v>55</v>
      </c>
      <c r="G325" s="187" t="s">
        <v>77</v>
      </c>
      <c r="H325" s="187" t="s">
        <v>78</v>
      </c>
      <c r="I325" s="187" t="s">
        <v>79</v>
      </c>
      <c r="J325" s="187" t="s">
        <v>80</v>
      </c>
      <c r="K325" s="187" t="s">
        <v>81</v>
      </c>
      <c r="L325" s="187" t="s">
        <v>82</v>
      </c>
      <c r="M325" s="187" t="s">
        <v>44</v>
      </c>
      <c r="N325" s="389" t="s">
        <v>128</v>
      </c>
      <c r="O325" s="5" t="s">
        <v>129</v>
      </c>
      <c r="P325" s="5" t="s">
        <v>130</v>
      </c>
      <c r="Q325" s="5" t="s">
        <v>131</v>
      </c>
      <c r="R325" s="5" t="s">
        <v>132</v>
      </c>
      <c r="S325" s="385"/>
    </row>
    <row r="326" spans="1:19">
      <c r="A326" s="423" t="s">
        <v>133</v>
      </c>
      <c r="B326" s="391">
        <v>30576</v>
      </c>
      <c r="C326" s="391">
        <v>31086</v>
      </c>
      <c r="D326" s="391">
        <v>30247</v>
      </c>
      <c r="E326" s="391">
        <v>31415</v>
      </c>
      <c r="F326" s="391">
        <v>31343</v>
      </c>
      <c r="G326" s="391">
        <v>30607</v>
      </c>
      <c r="H326" s="391">
        <v>35796</v>
      </c>
      <c r="I326" s="391">
        <v>37303</v>
      </c>
      <c r="J326" s="391">
        <v>33154</v>
      </c>
      <c r="K326" s="391">
        <v>34883</v>
      </c>
      <c r="L326" s="391">
        <v>32397</v>
      </c>
      <c r="M326" s="391">
        <f>S326-SUM(B326:L326)</f>
        <v>33143</v>
      </c>
      <c r="N326" s="393">
        <f>SUM(B326:M326)</f>
        <v>391950</v>
      </c>
      <c r="O326" s="394">
        <f>SUM(B326:D326)</f>
        <v>91909</v>
      </c>
      <c r="P326" s="394">
        <f>SUM(E326:G326)</f>
        <v>93365</v>
      </c>
      <c r="Q326" s="394">
        <f>SUM(H326:J326)</f>
        <v>106253</v>
      </c>
      <c r="R326" s="395">
        <f>SUM(K326:M326)</f>
        <v>100423</v>
      </c>
      <c r="S326" s="387">
        <v>391950</v>
      </c>
    </row>
    <row r="327" spans="1:19">
      <c r="A327" s="390" t="s">
        <v>134</v>
      </c>
      <c r="B327" s="396">
        <f t="shared" ref="B327:R327" si="185">B326/B351-1</f>
        <v>0.19111803661862092</v>
      </c>
      <c r="C327" s="396">
        <f t="shared" si="185"/>
        <v>0.11523283346487756</v>
      </c>
      <c r="D327" s="396">
        <f t="shared" si="185"/>
        <v>5.0826848249027279E-2</v>
      </c>
      <c r="E327" s="396">
        <f t="shared" si="185"/>
        <v>0.10259020075810743</v>
      </c>
      <c r="F327" s="396">
        <f t="shared" si="185"/>
        <v>9.7713024901061152E-2</v>
      </c>
      <c r="G327" s="396">
        <f t="shared" si="185"/>
        <v>6.8158023312626437E-2</v>
      </c>
      <c r="H327" s="396">
        <f t="shared" si="185"/>
        <v>9.5851829174957937E-2</v>
      </c>
      <c r="I327" s="396">
        <f t="shared" si="185"/>
        <v>7.3251431366343489E-2</v>
      </c>
      <c r="J327" s="396">
        <f t="shared" si="185"/>
        <v>8.7551254715433791E-2</v>
      </c>
      <c r="K327" s="396">
        <f t="shared" si="185"/>
        <v>0.1022181496461072</v>
      </c>
      <c r="L327" s="396">
        <f t="shared" si="185"/>
        <v>0.13613887427669646</v>
      </c>
      <c r="M327" s="396">
        <f t="shared" si="185"/>
        <v>0.18907186165823564</v>
      </c>
      <c r="N327" s="397">
        <f t="shared" si="185"/>
        <v>0.10729722857869306</v>
      </c>
      <c r="O327" s="396">
        <f t="shared" si="185"/>
        <v>0.11637595957632874</v>
      </c>
      <c r="P327" s="396">
        <f t="shared" si="185"/>
        <v>8.9452619050397253E-2</v>
      </c>
      <c r="Q327" s="396">
        <f t="shared" si="185"/>
        <v>8.5244160274546177E-2</v>
      </c>
      <c r="R327" s="396">
        <f t="shared" si="185"/>
        <v>0.1407038029896861</v>
      </c>
      <c r="S327" s="385"/>
    </row>
    <row r="328" spans="1:19" ht="15.5" customHeight="1">
      <c r="A328" s="390" t="s">
        <v>135</v>
      </c>
      <c r="B328" s="185">
        <f>B326/M351-1</f>
        <v>9.6975567753740277E-2</v>
      </c>
      <c r="C328" s="399">
        <f t="shared" ref="C328:M328" si="186">C326/B326-1</f>
        <v>1.6679748822606033E-2</v>
      </c>
      <c r="D328" s="399">
        <f t="shared" si="186"/>
        <v>-2.6989641639323159E-2</v>
      </c>
      <c r="E328" s="399">
        <f t="shared" si="186"/>
        <v>3.8615399874367684E-2</v>
      </c>
      <c r="F328" s="399">
        <f t="shared" si="186"/>
        <v>-2.2918987744707797E-3</v>
      </c>
      <c r="G328" s="399">
        <f t="shared" si="186"/>
        <v>-2.3482117219155829E-2</v>
      </c>
      <c r="H328" s="399">
        <f t="shared" si="186"/>
        <v>0.16953638056653708</v>
      </c>
      <c r="I328" s="399">
        <f t="shared" si="186"/>
        <v>4.2099675941446035E-2</v>
      </c>
      <c r="J328" s="399">
        <f t="shared" si="186"/>
        <v>-0.11122429831380853</v>
      </c>
      <c r="K328" s="399">
        <f t="shared" si="186"/>
        <v>5.2150570066960222E-2</v>
      </c>
      <c r="L328" s="399">
        <f t="shared" si="186"/>
        <v>-7.1266806180661058E-2</v>
      </c>
      <c r="M328" s="399">
        <f t="shared" si="186"/>
        <v>2.3026823471309132E-2</v>
      </c>
      <c r="N328" s="400"/>
      <c r="O328" s="398">
        <f>O326/R351-1</f>
        <v>4.3993366350129515E-2</v>
      </c>
      <c r="P328" s="398">
        <f>P326/O326-1</f>
        <v>1.5841756520036165E-2</v>
      </c>
      <c r="Q328" s="398">
        <f>Q326/P326-1</f>
        <v>0.13803887966582762</v>
      </c>
      <c r="R328" s="398">
        <f>R326/Q326-1</f>
        <v>-5.4869038991840258E-2</v>
      </c>
      <c r="S328" s="385"/>
    </row>
    <row r="329" spans="1:19">
      <c r="A329" s="385"/>
      <c r="B329" s="402"/>
      <c r="C329" s="402"/>
      <c r="D329" s="402"/>
      <c r="E329" s="402"/>
      <c r="F329" s="402"/>
      <c r="G329" s="427"/>
      <c r="H329" s="402"/>
      <c r="I329" s="402"/>
      <c r="J329" s="403"/>
      <c r="K329" s="403"/>
      <c r="L329" s="403"/>
      <c r="M329" s="403"/>
      <c r="N329" s="404"/>
      <c r="O329" s="404"/>
      <c r="P329" s="404"/>
      <c r="Q329" s="404"/>
      <c r="R329" s="404"/>
      <c r="S329" s="385"/>
    </row>
    <row r="330" spans="1:19">
      <c r="A330" s="428" t="s">
        <v>137</v>
      </c>
      <c r="B330" s="391">
        <f t="shared" ref="B330:M330" si="187">B334-B346</f>
        <v>27506</v>
      </c>
      <c r="C330" s="391">
        <f t="shared" si="187"/>
        <v>27938</v>
      </c>
      <c r="D330" s="391">
        <f t="shared" si="187"/>
        <v>27132</v>
      </c>
      <c r="E330" s="391">
        <f t="shared" si="187"/>
        <v>28103</v>
      </c>
      <c r="F330" s="391">
        <f t="shared" si="187"/>
        <v>28138</v>
      </c>
      <c r="G330" s="391">
        <f t="shared" si="187"/>
        <v>27413</v>
      </c>
      <c r="H330" s="391">
        <f t="shared" si="187"/>
        <v>32044</v>
      </c>
      <c r="I330" s="391">
        <f t="shared" si="187"/>
        <v>33215</v>
      </c>
      <c r="J330" s="391">
        <f t="shared" si="187"/>
        <v>29594</v>
      </c>
      <c r="K330" s="391">
        <f t="shared" si="187"/>
        <v>31150</v>
      </c>
      <c r="L330" s="391">
        <f t="shared" si="187"/>
        <v>28899</v>
      </c>
      <c r="M330" s="391">
        <f t="shared" si="187"/>
        <v>29218</v>
      </c>
      <c r="N330" s="393">
        <f>SUM(B330:M330)</f>
        <v>350350</v>
      </c>
      <c r="O330" s="394">
        <f>SUM(B330:D330)</f>
        <v>82576</v>
      </c>
      <c r="P330" s="394">
        <f>SUM(E330:G330)</f>
        <v>83654</v>
      </c>
      <c r="Q330" s="394">
        <f>SUM(H330:J330)</f>
        <v>94853</v>
      </c>
      <c r="R330" s="395">
        <f>SUM(K330:M330)</f>
        <v>89267</v>
      </c>
      <c r="S330" s="457"/>
    </row>
    <row r="331" spans="1:19">
      <c r="A331" s="390" t="s">
        <v>134</v>
      </c>
      <c r="B331" s="396">
        <f t="shared" ref="B331:R331" si="188">B330/B355-1</f>
        <v>0.19063284564106997</v>
      </c>
      <c r="C331" s="396">
        <f t="shared" si="188"/>
        <v>0.11511135946355866</v>
      </c>
      <c r="D331" s="396">
        <f t="shared" si="188"/>
        <v>4.5428274187955253E-2</v>
      </c>
      <c r="E331" s="396">
        <f t="shared" si="188"/>
        <v>9.9233356802002737E-2</v>
      </c>
      <c r="F331" s="396">
        <f t="shared" si="188"/>
        <v>9.0282083075015507E-2</v>
      </c>
      <c r="G331" s="396">
        <f t="shared" si="188"/>
        <v>6.3962740151368047E-2</v>
      </c>
      <c r="H331" s="396">
        <f t="shared" si="188"/>
        <v>9.033992310047978E-2</v>
      </c>
      <c r="I331" s="396">
        <f t="shared" si="188"/>
        <v>6.4242230054469829E-2</v>
      </c>
      <c r="J331" s="396">
        <f t="shared" si="188"/>
        <v>8.3156430715174645E-2</v>
      </c>
      <c r="K331" s="396">
        <f t="shared" si="188"/>
        <v>8.589555880917521E-2</v>
      </c>
      <c r="L331" s="396">
        <f t="shared" si="188"/>
        <v>0.12631537921895708</v>
      </c>
      <c r="M331" s="396">
        <f t="shared" si="188"/>
        <v>0.1749708448948406</v>
      </c>
      <c r="N331" s="397">
        <f t="shared" si="188"/>
        <v>0.10041459890696647</v>
      </c>
      <c r="O331" s="396">
        <f t="shared" si="188"/>
        <v>0.11425063082756481</v>
      </c>
      <c r="P331" s="396">
        <f t="shared" si="188"/>
        <v>8.4457926600033595E-2</v>
      </c>
      <c r="Q331" s="396">
        <f t="shared" si="188"/>
        <v>7.8843507239453547E-2</v>
      </c>
      <c r="R331" s="396">
        <f t="shared" si="188"/>
        <v>0.12695206473848319</v>
      </c>
      <c r="S331" s="385"/>
    </row>
    <row r="332" spans="1:19" ht="15.5" customHeight="1">
      <c r="A332" s="390" t="s">
        <v>135</v>
      </c>
      <c r="B332" s="185">
        <f>B330/M355-1</f>
        <v>0.10612458278039161</v>
      </c>
      <c r="C332" s="399">
        <f t="shared" ref="C332:M332" si="189">C330/B330-1</f>
        <v>1.5705664218715887E-2</v>
      </c>
      <c r="D332" s="399">
        <f t="shared" si="189"/>
        <v>-2.8849595532965844E-2</v>
      </c>
      <c r="E332" s="399">
        <f t="shared" si="189"/>
        <v>3.5787999410290539E-2</v>
      </c>
      <c r="F332" s="399">
        <f t="shared" si="189"/>
        <v>1.2454186385795207E-3</v>
      </c>
      <c r="G332" s="399">
        <f t="shared" si="189"/>
        <v>-2.5765868220911203E-2</v>
      </c>
      <c r="H332" s="399">
        <f t="shared" si="189"/>
        <v>0.16893444716010642</v>
      </c>
      <c r="I332" s="399">
        <f t="shared" si="189"/>
        <v>3.6543502683809681E-2</v>
      </c>
      <c r="J332" s="399">
        <f t="shared" si="189"/>
        <v>-0.10901701038687339</v>
      </c>
      <c r="K332" s="399">
        <f t="shared" si="189"/>
        <v>5.2578225315942362E-2</v>
      </c>
      <c r="L332" s="399">
        <f t="shared" si="189"/>
        <v>-7.2263242375601888E-2</v>
      </c>
      <c r="M332" s="399">
        <f t="shared" si="189"/>
        <v>1.1038444236824763E-2</v>
      </c>
      <c r="N332" s="400"/>
      <c r="O332" s="401">
        <f>O330/R355-1</f>
        <v>4.2481473532716363E-2</v>
      </c>
      <c r="P332" s="398">
        <f>P330/O330-1</f>
        <v>1.3054640573532339E-2</v>
      </c>
      <c r="Q332" s="398">
        <f>Q330/P330-1</f>
        <v>0.13387285724532005</v>
      </c>
      <c r="R332" s="398">
        <f>R330/Q330-1</f>
        <v>-5.8891126269069005E-2</v>
      </c>
      <c r="S332" s="385"/>
    </row>
    <row r="333" spans="1:19">
      <c r="A333" s="385"/>
      <c r="B333" s="402"/>
      <c r="C333" s="402"/>
      <c r="D333" s="402"/>
      <c r="E333" s="402"/>
      <c r="F333" s="402"/>
      <c r="G333" s="427"/>
      <c r="H333" s="402"/>
      <c r="I333" s="402"/>
      <c r="J333" s="403"/>
      <c r="K333" s="403"/>
      <c r="L333" s="403"/>
      <c r="M333" s="403"/>
      <c r="N333" s="404"/>
      <c r="O333" s="404"/>
      <c r="P333" s="404"/>
      <c r="Q333" s="404"/>
      <c r="R333" s="404"/>
      <c r="S333" s="385"/>
    </row>
    <row r="334" spans="1:19">
      <c r="A334" s="429" t="s">
        <v>145</v>
      </c>
      <c r="B334" s="391">
        <v>28289</v>
      </c>
      <c r="C334" s="391">
        <v>28765</v>
      </c>
      <c r="D334" s="391">
        <v>27931</v>
      </c>
      <c r="E334" s="391">
        <v>28961</v>
      </c>
      <c r="F334" s="391">
        <v>28964</v>
      </c>
      <c r="G334" s="391">
        <v>28241</v>
      </c>
      <c r="H334" s="391">
        <v>32929</v>
      </c>
      <c r="I334" s="391">
        <v>34105</v>
      </c>
      <c r="J334" s="391">
        <v>30386</v>
      </c>
      <c r="K334" s="391">
        <v>32004</v>
      </c>
      <c r="L334" s="391">
        <v>29712</v>
      </c>
      <c r="M334" s="391">
        <f>S334-SUM(B334:L334)</f>
        <v>30113</v>
      </c>
      <c r="N334" s="393">
        <f>SUM(B334:M334)</f>
        <v>360400</v>
      </c>
      <c r="O334" s="394">
        <f>SUM(B334:D334)</f>
        <v>84985</v>
      </c>
      <c r="P334" s="394">
        <f>SUM(E334:G334)</f>
        <v>86166</v>
      </c>
      <c r="Q334" s="394">
        <f>SUM(H334:J334)</f>
        <v>97420</v>
      </c>
      <c r="R334" s="395">
        <f>SUM(K334:M334)</f>
        <v>91829</v>
      </c>
      <c r="S334" s="387">
        <v>360400</v>
      </c>
    </row>
    <row r="335" spans="1:19">
      <c r="A335" s="390" t="s">
        <v>134</v>
      </c>
      <c r="B335" s="396">
        <f t="shared" ref="B335:R335" si="190">B334/B359-1</f>
        <v>0.19026381116674385</v>
      </c>
      <c r="C335" s="396">
        <f t="shared" si="190"/>
        <v>0.11405886909372587</v>
      </c>
      <c r="D335" s="396">
        <f t="shared" si="190"/>
        <v>4.6418402517608204E-2</v>
      </c>
      <c r="E335" s="396">
        <f t="shared" si="190"/>
        <v>9.9339508047373126E-2</v>
      </c>
      <c r="F335" s="396">
        <f t="shared" si="190"/>
        <v>9.2568841946435221E-2</v>
      </c>
      <c r="G335" s="396">
        <f t="shared" si="190"/>
        <v>6.5698113207547149E-2</v>
      </c>
      <c r="H335" s="396">
        <f t="shared" si="190"/>
        <v>9.0653153153153143E-2</v>
      </c>
      <c r="I335" s="396">
        <f t="shared" si="190"/>
        <v>6.4351028305714264E-2</v>
      </c>
      <c r="J335" s="396">
        <f t="shared" si="190"/>
        <v>8.2662296016532411E-2</v>
      </c>
      <c r="K335" s="396">
        <f t="shared" si="190"/>
        <v>8.8053307948595894E-2</v>
      </c>
      <c r="L335" s="396">
        <f t="shared" si="190"/>
        <v>0.12562509471132</v>
      </c>
      <c r="M335" s="396">
        <f t="shared" si="190"/>
        <v>0.17280729085527335</v>
      </c>
      <c r="N335" s="397">
        <f t="shared" si="190"/>
        <v>0.10072689511941846</v>
      </c>
      <c r="O335" s="396">
        <f t="shared" si="190"/>
        <v>-0.87022020646264742</v>
      </c>
      <c r="P335" s="396">
        <f t="shared" si="190"/>
        <v>8.5843183708445681E-2</v>
      </c>
      <c r="Q335" s="396">
        <f t="shared" si="190"/>
        <v>7.8836336253197636E-2</v>
      </c>
      <c r="R335" s="396">
        <f t="shared" si="190"/>
        <v>0.12692977934859972</v>
      </c>
      <c r="S335" s="385"/>
    </row>
    <row r="336" spans="1:19" ht="15.5" customHeight="1">
      <c r="A336" s="390" t="s">
        <v>135</v>
      </c>
      <c r="B336" s="185">
        <f>B334/M359-1</f>
        <v>0.10176818819130706</v>
      </c>
      <c r="C336" s="399">
        <f t="shared" ref="C336:M336" si="191">C334/B334-1</f>
        <v>1.6826328254798684E-2</v>
      </c>
      <c r="D336" s="399">
        <f t="shared" si="191"/>
        <v>-2.899356857291846E-2</v>
      </c>
      <c r="E336" s="399">
        <f t="shared" si="191"/>
        <v>3.6876588736529214E-2</v>
      </c>
      <c r="F336" s="399">
        <f t="shared" si="191"/>
        <v>1.0358758330175633E-4</v>
      </c>
      <c r="G336" s="399">
        <f t="shared" si="191"/>
        <v>-2.4962021820190583E-2</v>
      </c>
      <c r="H336" s="399">
        <f t="shared" si="191"/>
        <v>0.16599978754293399</v>
      </c>
      <c r="I336" s="399">
        <f t="shared" si="191"/>
        <v>3.571320112970322E-2</v>
      </c>
      <c r="J336" s="399">
        <f t="shared" si="191"/>
        <v>-0.10904559448761175</v>
      </c>
      <c r="K336" s="399">
        <f t="shared" si="191"/>
        <v>5.3248206410847043E-2</v>
      </c>
      <c r="L336" s="399">
        <f t="shared" si="191"/>
        <v>-7.1616047994000787E-2</v>
      </c>
      <c r="M336" s="399">
        <f t="shared" si="191"/>
        <v>1.3496230479267624E-2</v>
      </c>
      <c r="N336" s="400"/>
      <c r="O336" s="401">
        <f>O334/R359-1</f>
        <v>4.2939891515106909E-2</v>
      </c>
      <c r="P336" s="398">
        <f>P334/O334-1</f>
        <v>1.389656998293809E-2</v>
      </c>
      <c r="Q336" s="398">
        <f>Q334/P334-1</f>
        <v>0.13060836060627157</v>
      </c>
      <c r="R336" s="398">
        <f>R334/Q334-1</f>
        <v>-5.7390679531923672E-2</v>
      </c>
      <c r="S336" s="385"/>
    </row>
    <row r="337" spans="1:19">
      <c r="A337" s="385"/>
      <c r="B337" s="402"/>
      <c r="C337" s="402"/>
      <c r="D337" s="402"/>
      <c r="E337" s="402"/>
      <c r="F337" s="402"/>
      <c r="G337" s="427"/>
      <c r="H337" s="402"/>
      <c r="I337" s="402"/>
      <c r="J337" s="403"/>
      <c r="K337" s="403"/>
      <c r="L337" s="403"/>
      <c r="M337" s="403"/>
      <c r="N337" s="404"/>
      <c r="O337" s="404"/>
      <c r="P337" s="404"/>
      <c r="Q337" s="404"/>
      <c r="R337" s="404"/>
      <c r="S337" s="385"/>
    </row>
    <row r="338" spans="1:19">
      <c r="A338" s="430" t="s">
        <v>146</v>
      </c>
      <c r="B338" s="391">
        <f t="shared" ref="B338:M338" si="192">B342+B346</f>
        <v>3069</v>
      </c>
      <c r="C338" s="391">
        <f t="shared" si="192"/>
        <v>3148</v>
      </c>
      <c r="D338" s="391">
        <f t="shared" si="192"/>
        <v>3115</v>
      </c>
      <c r="E338" s="391">
        <f t="shared" si="192"/>
        <v>3312</v>
      </c>
      <c r="F338" s="391">
        <f t="shared" si="192"/>
        <v>3205</v>
      </c>
      <c r="G338" s="391">
        <f t="shared" si="192"/>
        <v>3194</v>
      </c>
      <c r="H338" s="391">
        <f t="shared" si="192"/>
        <v>3753</v>
      </c>
      <c r="I338" s="391">
        <f t="shared" si="192"/>
        <v>4087</v>
      </c>
      <c r="J338" s="391">
        <f t="shared" si="192"/>
        <v>3560</v>
      </c>
      <c r="K338" s="391">
        <f t="shared" si="192"/>
        <v>3732</v>
      </c>
      <c r="L338" s="391">
        <f t="shared" si="192"/>
        <v>3498</v>
      </c>
      <c r="M338" s="391">
        <f t="shared" si="192"/>
        <v>3927</v>
      </c>
      <c r="N338" s="393">
        <f>SUM(B338:M338)</f>
        <v>41600</v>
      </c>
      <c r="O338" s="394">
        <f>SUM(B338:D338)</f>
        <v>9332</v>
      </c>
      <c r="P338" s="394">
        <f>SUM(E338:G338)</f>
        <v>9711</v>
      </c>
      <c r="Q338" s="394">
        <f>SUM(H338:J338)</f>
        <v>11400</v>
      </c>
      <c r="R338" s="395">
        <f>SUM(K338:M338)</f>
        <v>11157</v>
      </c>
      <c r="S338" s="387"/>
    </row>
    <row r="339" spans="1:19">
      <c r="A339" s="390" t="s">
        <v>134</v>
      </c>
      <c r="B339" s="396">
        <f t="shared" ref="B339:S339" si="193">B338/B363-1</f>
        <v>0.19509345794392519</v>
      </c>
      <c r="C339" s="396">
        <f t="shared" si="193"/>
        <v>0.1163120567375886</v>
      </c>
      <c r="D339" s="396">
        <f t="shared" si="193"/>
        <v>0.10031790886612502</v>
      </c>
      <c r="E339" s="396">
        <f t="shared" si="193"/>
        <v>0.13192071086807933</v>
      </c>
      <c r="F339" s="396">
        <f t="shared" si="193"/>
        <v>0.16757741347905286</v>
      </c>
      <c r="G339" s="396">
        <f t="shared" si="193"/>
        <v>0.10557286258220833</v>
      </c>
      <c r="H339" s="396">
        <f t="shared" si="193"/>
        <v>0.14560439560439553</v>
      </c>
      <c r="I339" s="396">
        <f t="shared" si="193"/>
        <v>0.15224133070200163</v>
      </c>
      <c r="J339" s="396">
        <f t="shared" si="193"/>
        <v>0.12551375276636101</v>
      </c>
      <c r="K339" s="396">
        <f t="shared" si="193"/>
        <v>0.2599594868332209</v>
      </c>
      <c r="L339" s="396">
        <f t="shared" si="193"/>
        <v>0.22436121806090314</v>
      </c>
      <c r="M339" s="396">
        <f t="shared" si="193"/>
        <v>0.30638722554890219</v>
      </c>
      <c r="N339" s="397">
        <f t="shared" si="193"/>
        <v>0.16886765945490301</v>
      </c>
      <c r="O339" s="398">
        <f t="shared" si="193"/>
        <v>0.13541793405523794</v>
      </c>
      <c r="P339" s="398">
        <f t="shared" si="193"/>
        <v>0.13446261682242988</v>
      </c>
      <c r="Q339" s="398">
        <f t="shared" si="193"/>
        <v>0.14159823753254552</v>
      </c>
      <c r="R339" s="398">
        <f t="shared" si="193"/>
        <v>0.26424929178470258</v>
      </c>
      <c r="S339" s="186" t="e">
        <f t="shared" si="193"/>
        <v>#DIV/0!</v>
      </c>
    </row>
    <row r="340" spans="1:19" ht="15.5" customHeight="1">
      <c r="A340" s="390" t="s">
        <v>135</v>
      </c>
      <c r="B340" s="185">
        <f>B338/M363-1</f>
        <v>2.0958083832335328E-2</v>
      </c>
      <c r="C340" s="399">
        <f t="shared" ref="C340:M340" si="194">C338/B338-1</f>
        <v>2.5741283805799986E-2</v>
      </c>
      <c r="D340" s="399">
        <f t="shared" si="194"/>
        <v>-1.0482846251588351E-2</v>
      </c>
      <c r="E340" s="399">
        <f t="shared" si="194"/>
        <v>6.3242375601926248E-2</v>
      </c>
      <c r="F340" s="399">
        <f t="shared" si="194"/>
        <v>-3.2306763285024132E-2</v>
      </c>
      <c r="G340" s="399">
        <f t="shared" si="194"/>
        <v>-3.4321372854914101E-3</v>
      </c>
      <c r="H340" s="399">
        <f t="shared" si="194"/>
        <v>0.17501565435190991</v>
      </c>
      <c r="I340" s="399">
        <f t="shared" si="194"/>
        <v>8.8995470290434309E-2</v>
      </c>
      <c r="J340" s="399">
        <f t="shared" si="194"/>
        <v>-0.12894543675067283</v>
      </c>
      <c r="K340" s="399">
        <f t="shared" si="194"/>
        <v>4.8314606741572952E-2</v>
      </c>
      <c r="L340" s="399">
        <f t="shared" si="194"/>
        <v>-6.270096463022512E-2</v>
      </c>
      <c r="M340" s="399">
        <f t="shared" si="194"/>
        <v>0.12264150943396235</v>
      </c>
      <c r="N340" s="400" t="s">
        <v>136</v>
      </c>
      <c r="O340" s="401">
        <f>O338/R363-1</f>
        <v>5.7450424929178512E-2</v>
      </c>
      <c r="P340" s="398">
        <f>P338/O338-1</f>
        <v>4.0612944706386545E-2</v>
      </c>
      <c r="Q340" s="398">
        <f>Q338/P338-1</f>
        <v>0.17392647513129433</v>
      </c>
      <c r="R340" s="398">
        <f>R338/Q338-1</f>
        <v>-2.1315789473684177E-2</v>
      </c>
      <c r="S340" s="385"/>
    </row>
    <row r="341" spans="1:19">
      <c r="A341" s="385"/>
      <c r="B341" s="402"/>
      <c r="C341" s="402"/>
      <c r="D341" s="402"/>
      <c r="E341" s="402"/>
      <c r="F341" s="402"/>
      <c r="G341" s="427"/>
      <c r="H341" s="402"/>
      <c r="I341" s="402"/>
      <c r="J341" s="403"/>
      <c r="K341" s="403"/>
      <c r="L341" s="403"/>
      <c r="M341" s="403"/>
      <c r="N341" s="404"/>
      <c r="O341" s="404"/>
      <c r="P341" s="404"/>
      <c r="Q341" s="404"/>
      <c r="R341" s="404"/>
      <c r="S341" s="385"/>
    </row>
    <row r="342" spans="1:19">
      <c r="A342" s="431" t="s">
        <v>147</v>
      </c>
      <c r="B342" s="391">
        <v>2286</v>
      </c>
      <c r="C342" s="391">
        <v>2321</v>
      </c>
      <c r="D342" s="391">
        <v>2316</v>
      </c>
      <c r="E342" s="391">
        <v>2454</v>
      </c>
      <c r="F342" s="391">
        <v>2379</v>
      </c>
      <c r="G342" s="391">
        <v>2366</v>
      </c>
      <c r="H342" s="391">
        <v>2868</v>
      </c>
      <c r="I342" s="391">
        <v>3197</v>
      </c>
      <c r="J342" s="391">
        <v>2768</v>
      </c>
      <c r="K342" s="391">
        <v>2878</v>
      </c>
      <c r="L342" s="391">
        <v>2685</v>
      </c>
      <c r="M342" s="391">
        <f>S342-SUM(B342:L342)</f>
        <v>3032</v>
      </c>
      <c r="N342" s="393">
        <f>SUM(B342:M342)</f>
        <v>31550</v>
      </c>
      <c r="O342" s="394">
        <f>SUM(B342:D342)</f>
        <v>6923</v>
      </c>
      <c r="P342" s="394">
        <f>SUM(E342:G342)</f>
        <v>7199</v>
      </c>
      <c r="Q342" s="394">
        <f>SUM(H342:J342)</f>
        <v>8833</v>
      </c>
      <c r="R342" s="395">
        <f>SUM(K342:M342)</f>
        <v>8595</v>
      </c>
      <c r="S342" s="387">
        <v>31550</v>
      </c>
    </row>
    <row r="343" spans="1:19">
      <c r="A343" s="390" t="s">
        <v>134</v>
      </c>
      <c r="B343" s="396">
        <f t="shared" ref="B343:S343" si="195">B342/B367-1</f>
        <v>0.20126116657908555</v>
      </c>
      <c r="C343" s="396">
        <f t="shared" si="195"/>
        <v>0.12999026290165538</v>
      </c>
      <c r="D343" s="396">
        <f t="shared" si="195"/>
        <v>0.10707456978967489</v>
      </c>
      <c r="E343" s="396">
        <f t="shared" si="195"/>
        <v>0.14245810055865915</v>
      </c>
      <c r="F343" s="396">
        <f t="shared" si="195"/>
        <v>0.16446402349486045</v>
      </c>
      <c r="G343" s="396">
        <f t="shared" si="195"/>
        <v>9.8421541318477246E-2</v>
      </c>
      <c r="H343" s="396">
        <f t="shared" si="195"/>
        <v>0.15972503032753749</v>
      </c>
      <c r="I343" s="396">
        <f t="shared" si="195"/>
        <v>0.17796610169491522</v>
      </c>
      <c r="J343" s="396">
        <f t="shared" si="195"/>
        <v>0.14427449359239364</v>
      </c>
      <c r="K343" s="396">
        <f t="shared" si="195"/>
        <v>0.2882721575649061</v>
      </c>
      <c r="L343" s="396">
        <f t="shared" si="195"/>
        <v>0.26710712600283149</v>
      </c>
      <c r="M343" s="396">
        <f t="shared" si="195"/>
        <v>0.38006372325898963</v>
      </c>
      <c r="N343" s="397">
        <f t="shared" si="195"/>
        <v>0.18832391713747643</v>
      </c>
      <c r="O343" s="398">
        <f t="shared" si="195"/>
        <v>-0.73924670433145012</v>
      </c>
      <c r="P343" s="398">
        <f t="shared" si="195"/>
        <v>0.1345941686367218</v>
      </c>
      <c r="Q343" s="398">
        <f t="shared" si="195"/>
        <v>0.16132001051801215</v>
      </c>
      <c r="R343" s="398">
        <f t="shared" si="195"/>
        <v>0.3122137404580152</v>
      </c>
      <c r="S343" s="186" t="e">
        <f t="shared" si="195"/>
        <v>#DIV/0!</v>
      </c>
    </row>
    <row r="344" spans="1:19" ht="15.5" customHeight="1">
      <c r="A344" s="390" t="s">
        <v>135</v>
      </c>
      <c r="B344" s="185">
        <f>B342/M367-1</f>
        <v>4.0509786071916354E-2</v>
      </c>
      <c r="C344" s="399">
        <f t="shared" ref="C344:M344" si="196">C342/B342-1</f>
        <v>1.5310586176727981E-2</v>
      </c>
      <c r="D344" s="399">
        <f t="shared" si="196"/>
        <v>-2.1542438604049696E-3</v>
      </c>
      <c r="E344" s="399">
        <f t="shared" si="196"/>
        <v>5.9585492227979264E-2</v>
      </c>
      <c r="F344" s="399">
        <f t="shared" si="196"/>
        <v>-3.0562347188264005E-2</v>
      </c>
      <c r="G344" s="399">
        <f t="shared" si="196"/>
        <v>-5.464480874316946E-3</v>
      </c>
      <c r="H344" s="399">
        <f t="shared" si="196"/>
        <v>0.21217244294167381</v>
      </c>
      <c r="I344" s="399">
        <f t="shared" si="196"/>
        <v>0.11471408647140868</v>
      </c>
      <c r="J344" s="399">
        <f t="shared" si="196"/>
        <v>-0.1341883015326869</v>
      </c>
      <c r="K344" s="399">
        <f t="shared" si="196"/>
        <v>3.973988439306364E-2</v>
      </c>
      <c r="L344" s="399">
        <f t="shared" si="196"/>
        <v>-6.7060458651841515E-2</v>
      </c>
      <c r="M344" s="399">
        <f t="shared" si="196"/>
        <v>0.12923649906890122</v>
      </c>
      <c r="N344" s="400" t="s">
        <v>136</v>
      </c>
      <c r="O344" s="401">
        <f>O342/R367-1</f>
        <v>5.6946564885496098E-2</v>
      </c>
      <c r="P344" s="398">
        <f>P342/O342-1</f>
        <v>3.9867109634551534E-2</v>
      </c>
      <c r="Q344" s="398">
        <f>Q342/P342-1</f>
        <v>0.22697596888456739</v>
      </c>
      <c r="R344" s="398">
        <f>R342/Q342-1</f>
        <v>-2.6944412996716904E-2</v>
      </c>
      <c r="S344" s="385"/>
    </row>
    <row r="345" spans="1:19">
      <c r="A345" s="385"/>
      <c r="B345" s="402"/>
      <c r="C345" s="402"/>
      <c r="D345" s="403"/>
      <c r="E345" s="402"/>
      <c r="F345" s="402"/>
      <c r="G345" s="387"/>
      <c r="H345" s="402"/>
      <c r="I345" s="402"/>
      <c r="J345" s="403"/>
      <c r="K345" s="403"/>
      <c r="L345" s="403"/>
      <c r="M345" s="403"/>
      <c r="N345" s="404"/>
      <c r="O345" s="404"/>
      <c r="P345" s="404"/>
      <c r="Q345" s="404"/>
      <c r="R345" s="404"/>
      <c r="S345" s="385"/>
    </row>
    <row r="346" spans="1:19">
      <c r="A346" s="433" t="s">
        <v>148</v>
      </c>
      <c r="B346" s="391">
        <v>783</v>
      </c>
      <c r="C346" s="391">
        <v>827</v>
      </c>
      <c r="D346" s="391">
        <v>799</v>
      </c>
      <c r="E346" s="391">
        <v>858</v>
      </c>
      <c r="F346" s="391">
        <v>826</v>
      </c>
      <c r="G346" s="391">
        <v>828</v>
      </c>
      <c r="H346" s="391">
        <v>885</v>
      </c>
      <c r="I346" s="391">
        <v>890</v>
      </c>
      <c r="J346" s="391">
        <v>792</v>
      </c>
      <c r="K346" s="391">
        <v>854</v>
      </c>
      <c r="L346" s="391">
        <v>813</v>
      </c>
      <c r="M346" s="391">
        <f>S346-SUM(B346:L346)</f>
        <v>895</v>
      </c>
      <c r="N346" s="393">
        <f>SUM(B346:M346)</f>
        <v>10050</v>
      </c>
      <c r="O346" s="394">
        <f>SUM(B346:D346)</f>
        <v>2409</v>
      </c>
      <c r="P346" s="394">
        <f>SUM(E346:G346)</f>
        <v>2512</v>
      </c>
      <c r="Q346" s="394">
        <f>SUM(H346:J346)</f>
        <v>2567</v>
      </c>
      <c r="R346" s="395">
        <f>SUM(K346:M346)</f>
        <v>2562</v>
      </c>
      <c r="S346" s="385">
        <v>10050</v>
      </c>
    </row>
    <row r="347" spans="1:19">
      <c r="A347" s="390" t="s">
        <v>134</v>
      </c>
      <c r="B347" s="396">
        <f t="shared" ref="B347:R347" si="197">B346/B371-1</f>
        <v>0.1774436090225564</v>
      </c>
      <c r="C347" s="396">
        <f t="shared" si="197"/>
        <v>7.9634464751958234E-2</v>
      </c>
      <c r="D347" s="396">
        <f t="shared" si="197"/>
        <v>8.1190798376183926E-2</v>
      </c>
      <c r="E347" s="396">
        <f t="shared" si="197"/>
        <v>0.10282776349614386</v>
      </c>
      <c r="F347" s="396">
        <f t="shared" si="197"/>
        <v>0.1766381766381766</v>
      </c>
      <c r="G347" s="396">
        <f t="shared" si="197"/>
        <v>0.12653061224489792</v>
      </c>
      <c r="H347" s="396">
        <f t="shared" si="197"/>
        <v>0.10211706102117057</v>
      </c>
      <c r="I347" s="396">
        <f t="shared" si="197"/>
        <v>6.8427370948379362E-2</v>
      </c>
      <c r="J347" s="396">
        <f t="shared" si="197"/>
        <v>6.4516129032258007E-2</v>
      </c>
      <c r="K347" s="396">
        <f t="shared" si="197"/>
        <v>0.17307692307692313</v>
      </c>
      <c r="L347" s="396">
        <f t="shared" si="197"/>
        <v>0.10162601626016254</v>
      </c>
      <c r="M347" s="396">
        <f t="shared" si="197"/>
        <v>0.10630407911001227</v>
      </c>
      <c r="N347" s="397">
        <f t="shared" si="197"/>
        <v>0.11172566371681425</v>
      </c>
      <c r="O347" s="396">
        <f t="shared" si="197"/>
        <v>-0.73351769911504427</v>
      </c>
      <c r="P347" s="396">
        <f t="shared" si="197"/>
        <v>0.13408577878103833</v>
      </c>
      <c r="Q347" s="396">
        <f t="shared" si="197"/>
        <v>7.8571428571428514E-2</v>
      </c>
      <c r="R347" s="396">
        <f t="shared" si="197"/>
        <v>0.12615384615384606</v>
      </c>
      <c r="S347" s="385"/>
    </row>
    <row r="348" spans="1:19" ht="15.5" customHeight="1">
      <c r="A348" s="390" t="s">
        <v>135</v>
      </c>
      <c r="B348" s="185">
        <f>B346/M371-1</f>
        <v>-3.2138442521631672E-2</v>
      </c>
      <c r="C348" s="399">
        <f t="shared" ref="C348:M348" si="198">C346/B346-1</f>
        <v>5.6194125159642505E-2</v>
      </c>
      <c r="D348" s="399">
        <f t="shared" si="198"/>
        <v>-3.3857315598548987E-2</v>
      </c>
      <c r="E348" s="399">
        <f t="shared" si="198"/>
        <v>7.3842302878598165E-2</v>
      </c>
      <c r="F348" s="399">
        <f t="shared" si="198"/>
        <v>-3.7296037296037254E-2</v>
      </c>
      <c r="G348" s="399">
        <f t="shared" si="198"/>
        <v>2.421307506053294E-3</v>
      </c>
      <c r="H348" s="399">
        <f t="shared" si="198"/>
        <v>6.8840579710145011E-2</v>
      </c>
      <c r="I348" s="399">
        <f t="shared" si="198"/>
        <v>5.6497175141243527E-3</v>
      </c>
      <c r="J348" s="399">
        <f t="shared" si="198"/>
        <v>-0.11011235955056176</v>
      </c>
      <c r="K348" s="399">
        <f t="shared" si="198"/>
        <v>7.8282828282828287E-2</v>
      </c>
      <c r="L348" s="399">
        <f t="shared" si="198"/>
        <v>-4.8009367681498882E-2</v>
      </c>
      <c r="M348" s="399">
        <f t="shared" si="198"/>
        <v>0.10086100861008607</v>
      </c>
      <c r="N348" s="400" t="s">
        <v>136</v>
      </c>
      <c r="O348" s="401">
        <f>O346/R371-1</f>
        <v>5.8901098901098958E-2</v>
      </c>
      <c r="P348" s="398">
        <f>P346/O346-1</f>
        <v>4.2756330427563327E-2</v>
      </c>
      <c r="Q348" s="398">
        <f>Q346/P346-1</f>
        <v>2.1894904458598763E-2</v>
      </c>
      <c r="R348" s="398">
        <f>R346/Q346-1</f>
        <v>-1.9477989871444779E-3</v>
      </c>
      <c r="S348" s="385"/>
    </row>
    <row r="349" spans="1:19">
      <c r="A349" s="385"/>
      <c r="B349" s="402"/>
      <c r="C349" s="402"/>
      <c r="D349" s="403"/>
      <c r="E349" s="402"/>
      <c r="F349" s="402"/>
      <c r="G349" s="387"/>
      <c r="H349" s="402"/>
      <c r="I349" s="402"/>
      <c r="J349" s="403"/>
      <c r="K349" s="403"/>
      <c r="L349" s="403"/>
      <c r="M349" s="403"/>
      <c r="N349" s="404"/>
      <c r="O349" s="404"/>
      <c r="P349" s="404"/>
      <c r="Q349" s="404"/>
      <c r="R349" s="404"/>
      <c r="S349" s="385"/>
    </row>
    <row r="350" spans="1:19" ht="15.5" customHeight="1">
      <c r="A350" s="422" t="s">
        <v>166</v>
      </c>
      <c r="B350" s="187" t="s">
        <v>51</v>
      </c>
      <c r="C350" s="187" t="s">
        <v>52</v>
      </c>
      <c r="D350" s="187" t="s">
        <v>53</v>
      </c>
      <c r="E350" s="187" t="s">
        <v>54</v>
      </c>
      <c r="F350" s="187" t="s">
        <v>55</v>
      </c>
      <c r="G350" s="187" t="s">
        <v>77</v>
      </c>
      <c r="H350" s="187" t="s">
        <v>78</v>
      </c>
      <c r="I350" s="187" t="s">
        <v>79</v>
      </c>
      <c r="J350" s="187" t="s">
        <v>80</v>
      </c>
      <c r="K350" s="187" t="s">
        <v>81</v>
      </c>
      <c r="L350" s="187" t="s">
        <v>82</v>
      </c>
      <c r="M350" s="187" t="s">
        <v>44</v>
      </c>
      <c r="N350" s="389" t="s">
        <v>128</v>
      </c>
      <c r="O350" s="5" t="s">
        <v>129</v>
      </c>
      <c r="P350" s="5" t="s">
        <v>130</v>
      </c>
      <c r="Q350" s="5" t="s">
        <v>131</v>
      </c>
      <c r="R350" s="5" t="s">
        <v>132</v>
      </c>
      <c r="S350" s="385"/>
    </row>
    <row r="351" spans="1:19">
      <c r="A351" s="423" t="s">
        <v>133</v>
      </c>
      <c r="B351" s="391">
        <f t="shared" ref="B351:M351" si="199">B359+B367</f>
        <v>25670</v>
      </c>
      <c r="C351" s="391">
        <f t="shared" si="199"/>
        <v>27874</v>
      </c>
      <c r="D351" s="391">
        <f t="shared" si="199"/>
        <v>28784</v>
      </c>
      <c r="E351" s="391">
        <f t="shared" si="199"/>
        <v>28492</v>
      </c>
      <c r="F351" s="391">
        <f t="shared" si="199"/>
        <v>28553</v>
      </c>
      <c r="G351" s="391">
        <f t="shared" si="199"/>
        <v>28654</v>
      </c>
      <c r="H351" s="391">
        <f t="shared" si="199"/>
        <v>32665</v>
      </c>
      <c r="I351" s="391">
        <f t="shared" si="199"/>
        <v>34757</v>
      </c>
      <c r="J351" s="391">
        <f t="shared" si="199"/>
        <v>30485</v>
      </c>
      <c r="K351" s="391">
        <f t="shared" si="199"/>
        <v>31648</v>
      </c>
      <c r="L351" s="391">
        <f t="shared" si="199"/>
        <v>28515</v>
      </c>
      <c r="M351" s="391">
        <f t="shared" si="199"/>
        <v>27873</v>
      </c>
      <c r="N351" s="393">
        <f>SUM(B351:M351)</f>
        <v>353970</v>
      </c>
      <c r="O351" s="394">
        <f>SUM(B351:D351)</f>
        <v>82328</v>
      </c>
      <c r="P351" s="394">
        <f>SUM(E351:G351)</f>
        <v>85699</v>
      </c>
      <c r="Q351" s="394">
        <f>SUM(H351:J351)</f>
        <v>97907</v>
      </c>
      <c r="R351" s="395">
        <f>SUM(K351:M351)</f>
        <v>88036</v>
      </c>
      <c r="S351" s="385"/>
    </row>
    <row r="352" spans="1:19">
      <c r="A352" s="390" t="s">
        <v>134</v>
      </c>
      <c r="B352" s="396">
        <f t="shared" ref="B352:N352" si="200">B351/B376-1</f>
        <v>0</v>
      </c>
      <c r="C352" s="396">
        <f t="shared" si="200"/>
        <v>0.18658209527052905</v>
      </c>
      <c r="D352" s="396">
        <f t="shared" si="200"/>
        <v>0.1500259698749451</v>
      </c>
      <c r="E352" s="396">
        <f t="shared" si="200"/>
        <v>9.3826781326781239E-2</v>
      </c>
      <c r="F352" s="396">
        <f t="shared" si="200"/>
        <v>0.12395685718784444</v>
      </c>
      <c r="G352" s="396">
        <f t="shared" si="200"/>
        <v>0.13239013594688598</v>
      </c>
      <c r="H352" s="396">
        <f t="shared" si="200"/>
        <v>9.2146176736099594E-2</v>
      </c>
      <c r="I352" s="396">
        <f t="shared" si="200"/>
        <v>0.13181803380116586</v>
      </c>
      <c r="J352" s="396">
        <f t="shared" si="200"/>
        <v>0.11096938775510212</v>
      </c>
      <c r="K352" s="396">
        <f t="shared" si="200"/>
        <v>0.11854103343465039</v>
      </c>
      <c r="L352" s="396">
        <f t="shared" si="200"/>
        <v>0.10352167182662542</v>
      </c>
      <c r="M352" s="396">
        <f t="shared" si="200"/>
        <v>8.7429775280898792E-2</v>
      </c>
      <c r="N352" s="397">
        <f t="shared" si="200"/>
        <v>0.11042444395645767</v>
      </c>
      <c r="O352" s="398"/>
      <c r="P352" s="398"/>
      <c r="Q352" s="398"/>
      <c r="R352" s="398"/>
      <c r="S352" s="385"/>
    </row>
    <row r="353" spans="1:19" ht="15.5" customHeight="1">
      <c r="A353" s="390" t="s">
        <v>135</v>
      </c>
      <c r="B353" s="185"/>
      <c r="C353" s="399"/>
      <c r="D353" s="399"/>
      <c r="E353" s="399"/>
      <c r="F353" s="399"/>
      <c r="G353" s="399"/>
      <c r="H353" s="399"/>
      <c r="I353" s="399"/>
      <c r="J353" s="399"/>
      <c r="K353" s="399"/>
      <c r="L353" s="399"/>
      <c r="M353" s="399"/>
      <c r="N353" s="400"/>
      <c r="O353" s="401"/>
      <c r="P353" s="398"/>
      <c r="Q353" s="398"/>
      <c r="R353" s="398"/>
      <c r="S353" s="385"/>
    </row>
    <row r="354" spans="1:19">
      <c r="A354" s="385"/>
      <c r="B354" s="402"/>
      <c r="C354" s="402"/>
      <c r="D354" s="402"/>
      <c r="E354" s="402"/>
      <c r="F354" s="402"/>
      <c r="G354" s="427"/>
      <c r="H354" s="402"/>
      <c r="I354" s="402"/>
      <c r="J354" s="403"/>
      <c r="K354" s="403"/>
      <c r="L354" s="403"/>
      <c r="M354" s="403"/>
      <c r="N354" s="404"/>
      <c r="O354" s="404"/>
      <c r="P354" s="404"/>
      <c r="Q354" s="404"/>
      <c r="R354" s="404"/>
      <c r="S354" s="385"/>
    </row>
    <row r="355" spans="1:19">
      <c r="A355" s="428" t="s">
        <v>137</v>
      </c>
      <c r="B355" s="458">
        <f t="shared" ref="B355:M355" si="201">B359-B371</f>
        <v>23102</v>
      </c>
      <c r="C355" s="458">
        <f t="shared" si="201"/>
        <v>25054</v>
      </c>
      <c r="D355" s="458">
        <f t="shared" si="201"/>
        <v>25953</v>
      </c>
      <c r="E355" s="458">
        <f t="shared" si="201"/>
        <v>25566</v>
      </c>
      <c r="F355" s="458">
        <f t="shared" si="201"/>
        <v>25808</v>
      </c>
      <c r="G355" s="458">
        <f t="shared" si="201"/>
        <v>25765</v>
      </c>
      <c r="H355" s="458">
        <f t="shared" si="201"/>
        <v>29389</v>
      </c>
      <c r="I355" s="458">
        <f t="shared" si="201"/>
        <v>31210</v>
      </c>
      <c r="J355" s="458">
        <f t="shared" si="201"/>
        <v>27322</v>
      </c>
      <c r="K355" s="458">
        <f t="shared" si="201"/>
        <v>28686</v>
      </c>
      <c r="L355" s="458">
        <f t="shared" si="201"/>
        <v>25658</v>
      </c>
      <c r="M355" s="458">
        <f t="shared" si="201"/>
        <v>24867</v>
      </c>
      <c r="N355" s="393">
        <f>SUM(B355:M355)</f>
        <v>318380</v>
      </c>
      <c r="O355" s="459">
        <f>SUM(B355:D355)</f>
        <v>74109</v>
      </c>
      <c r="P355" s="459">
        <f>SUM(E355:G355)</f>
        <v>77139</v>
      </c>
      <c r="Q355" s="459">
        <f>SUM(H355:J355)</f>
        <v>87921</v>
      </c>
      <c r="R355" s="460">
        <f>SUM(K355:M355)</f>
        <v>79211</v>
      </c>
      <c r="S355" s="385"/>
    </row>
    <row r="356" spans="1:19">
      <c r="A356" s="390" t="s">
        <v>134</v>
      </c>
      <c r="B356" s="461">
        <f t="shared" ref="B356:M356" si="202">B355/(B359/(1+B360)-B371/(1+B372))-1</f>
        <v>9.9657697473887197E-4</v>
      </c>
      <c r="C356" s="461">
        <f t="shared" si="202"/>
        <v>0.17702726285508041</v>
      </c>
      <c r="D356" s="461">
        <f t="shared" si="202"/>
        <v>0.15216422015692399</v>
      </c>
      <c r="E356" s="461">
        <f t="shared" si="202"/>
        <v>9.3660467993649466E-2</v>
      </c>
      <c r="F356" s="461">
        <f t="shared" si="202"/>
        <v>0.12731134603690197</v>
      </c>
      <c r="G356" s="462">
        <f t="shared" si="202"/>
        <v>0.13143185675111191</v>
      </c>
      <c r="H356" s="461">
        <f t="shared" si="202"/>
        <v>8.9047554407707619E-2</v>
      </c>
      <c r="I356" s="461">
        <f t="shared" si="202"/>
        <v>0.12781435167807031</v>
      </c>
      <c r="J356" s="461">
        <f t="shared" si="202"/>
        <v>9.835551325784575E-2</v>
      </c>
      <c r="K356" s="461">
        <f t="shared" si="202"/>
        <v>0.11575455878577157</v>
      </c>
      <c r="L356" s="461">
        <f t="shared" si="202"/>
        <v>9.8102483995869738E-2</v>
      </c>
      <c r="M356" s="461">
        <f t="shared" si="202"/>
        <v>7.8781831590820417E-2</v>
      </c>
      <c r="N356" s="397">
        <f>N355/N380-1</f>
        <v>0.10845353359166388</v>
      </c>
      <c r="O356" s="398"/>
      <c r="P356" s="398"/>
      <c r="Q356" s="398"/>
      <c r="R356" s="398"/>
      <c r="S356" s="385"/>
    </row>
    <row r="357" spans="1:19" ht="15.5" customHeight="1">
      <c r="A357" s="390" t="s">
        <v>135</v>
      </c>
      <c r="B357" s="185"/>
      <c r="C357" s="399"/>
      <c r="D357" s="399"/>
      <c r="E357" s="399"/>
      <c r="F357" s="399"/>
      <c r="G357" s="399"/>
      <c r="H357" s="399"/>
      <c r="I357" s="399"/>
      <c r="J357" s="399"/>
      <c r="K357" s="399"/>
      <c r="L357" s="399"/>
      <c r="M357" s="399"/>
      <c r="N357" s="400"/>
      <c r="O357" s="401"/>
      <c r="P357" s="398"/>
      <c r="Q357" s="398"/>
      <c r="R357" s="398"/>
      <c r="S357" s="385"/>
    </row>
    <row r="358" spans="1:19">
      <c r="A358" s="385"/>
      <c r="B358" s="402"/>
      <c r="C358" s="402"/>
      <c r="D358" s="402"/>
      <c r="E358" s="402"/>
      <c r="F358" s="402"/>
      <c r="G358" s="427"/>
      <c r="H358" s="402"/>
      <c r="I358" s="402"/>
      <c r="J358" s="403"/>
      <c r="K358" s="403"/>
      <c r="L358" s="403"/>
      <c r="M358" s="403"/>
      <c r="N358" s="404"/>
      <c r="O358" s="404"/>
      <c r="P358" s="404"/>
      <c r="Q358" s="404"/>
      <c r="R358" s="404"/>
      <c r="S358" s="385"/>
    </row>
    <row r="359" spans="1:19">
      <c r="A359" s="429" t="s">
        <v>145</v>
      </c>
      <c r="B359" s="455">
        <v>23767</v>
      </c>
      <c r="C359" s="455">
        <v>25820</v>
      </c>
      <c r="D359" s="455">
        <v>26692</v>
      </c>
      <c r="E359" s="455">
        <v>26344</v>
      </c>
      <c r="F359" s="455">
        <v>26510</v>
      </c>
      <c r="G359" s="455">
        <v>26500</v>
      </c>
      <c r="H359" s="455">
        <v>30192</v>
      </c>
      <c r="I359" s="455">
        <v>32043</v>
      </c>
      <c r="J359" s="455">
        <v>28066</v>
      </c>
      <c r="K359" s="455">
        <v>29414</v>
      </c>
      <c r="L359" s="455">
        <v>26396</v>
      </c>
      <c r="M359" s="455">
        <f>N359-SUM(B359:L359)</f>
        <v>25676</v>
      </c>
      <c r="N359" s="393">
        <v>327420</v>
      </c>
      <c r="O359" s="394">
        <f>SUM(B359:N359)</f>
        <v>654840</v>
      </c>
      <c r="P359" s="394">
        <f>SUM(E359:G359)</f>
        <v>79354</v>
      </c>
      <c r="Q359" s="394">
        <f>SUM(H359:J359)</f>
        <v>90301</v>
      </c>
      <c r="R359" s="395">
        <f>SUM(K359:M359)</f>
        <v>81486</v>
      </c>
      <c r="S359" s="385"/>
    </row>
    <row r="360" spans="1:19">
      <c r="A360" s="390" t="s">
        <v>134</v>
      </c>
      <c r="B360" s="463">
        <f>B359/B384-1</f>
        <v>-8.4143211746434687E-5</v>
      </c>
      <c r="C360" s="464">
        <v>0.18099999999999999</v>
      </c>
      <c r="D360" s="464">
        <v>0.15</v>
      </c>
      <c r="E360" s="464">
        <v>9.1999999999999998E-2</v>
      </c>
      <c r="F360" s="464">
        <v>0.124</v>
      </c>
      <c r="G360" s="463">
        <v>0.13</v>
      </c>
      <c r="H360" s="464">
        <v>8.7999999999999995E-2</v>
      </c>
      <c r="I360" s="464">
        <v>0.128</v>
      </c>
      <c r="J360" s="464">
        <v>0.1</v>
      </c>
      <c r="K360" s="464">
        <v>0.114</v>
      </c>
      <c r="L360" s="464">
        <v>9.7000000000000003E-2</v>
      </c>
      <c r="M360" s="463">
        <f>M359/M384-1</f>
        <v>8.0548775355609781E-2</v>
      </c>
      <c r="N360" s="397">
        <f>N359/N384-1</f>
        <v>0.10796031348556423</v>
      </c>
      <c r="O360" s="398"/>
      <c r="P360" s="398"/>
      <c r="Q360" s="398"/>
      <c r="R360" s="398"/>
      <c r="S360" s="385"/>
    </row>
    <row r="361" spans="1:19" ht="15.5" customHeight="1">
      <c r="A361" s="390" t="s">
        <v>135</v>
      </c>
      <c r="B361" s="185"/>
      <c r="C361" s="399"/>
      <c r="D361" s="399"/>
      <c r="E361" s="399"/>
      <c r="F361" s="399"/>
      <c r="G361" s="399"/>
      <c r="H361" s="399"/>
      <c r="I361" s="399"/>
      <c r="J361" s="399"/>
      <c r="K361" s="399"/>
      <c r="L361" s="399"/>
      <c r="M361" s="399"/>
      <c r="N361" s="400"/>
      <c r="O361" s="401"/>
      <c r="P361" s="398"/>
      <c r="Q361" s="398"/>
      <c r="R361" s="398"/>
      <c r="S361" s="385"/>
    </row>
    <row r="362" spans="1:19">
      <c r="A362" s="385"/>
      <c r="B362" s="402"/>
      <c r="C362" s="402"/>
      <c r="D362" s="402"/>
      <c r="E362" s="402"/>
      <c r="F362" s="402"/>
      <c r="G362" s="427"/>
      <c r="H362" s="402"/>
      <c r="I362" s="402"/>
      <c r="J362" s="403"/>
      <c r="K362" s="403"/>
      <c r="L362" s="403"/>
      <c r="M362" s="403"/>
      <c r="N362" s="404"/>
      <c r="O362" s="404"/>
      <c r="P362" s="404"/>
      <c r="Q362" s="404"/>
      <c r="R362" s="404"/>
      <c r="S362" s="385"/>
    </row>
    <row r="363" spans="1:19">
      <c r="A363" s="430" t="s">
        <v>146</v>
      </c>
      <c r="B363" s="458">
        <f t="shared" ref="B363:M363" si="203">B367+B371</f>
        <v>2568</v>
      </c>
      <c r="C363" s="458">
        <f t="shared" si="203"/>
        <v>2820</v>
      </c>
      <c r="D363" s="458">
        <f t="shared" si="203"/>
        <v>2831</v>
      </c>
      <c r="E363" s="458">
        <f t="shared" si="203"/>
        <v>2926</v>
      </c>
      <c r="F363" s="458">
        <f t="shared" si="203"/>
        <v>2745</v>
      </c>
      <c r="G363" s="458">
        <f t="shared" si="203"/>
        <v>2889</v>
      </c>
      <c r="H363" s="458">
        <f t="shared" si="203"/>
        <v>3276</v>
      </c>
      <c r="I363" s="458">
        <f t="shared" si="203"/>
        <v>3547</v>
      </c>
      <c r="J363" s="458">
        <f t="shared" si="203"/>
        <v>3163</v>
      </c>
      <c r="K363" s="458">
        <f t="shared" si="203"/>
        <v>2962</v>
      </c>
      <c r="L363" s="458">
        <f t="shared" si="203"/>
        <v>2857</v>
      </c>
      <c r="M363" s="458">
        <f t="shared" si="203"/>
        <v>3006</v>
      </c>
      <c r="N363" s="393">
        <f>SUM(B363:M363)</f>
        <v>35590</v>
      </c>
      <c r="O363" s="459">
        <f>SUM(B363:D363)</f>
        <v>8219</v>
      </c>
      <c r="P363" s="459">
        <f>SUM(E363:G363)</f>
        <v>8560</v>
      </c>
      <c r="Q363" s="459">
        <f>SUM(H363:J363)</f>
        <v>9986</v>
      </c>
      <c r="R363" s="395">
        <f>SUM(K363:M363)</f>
        <v>8825</v>
      </c>
      <c r="S363" s="385"/>
    </row>
    <row r="364" spans="1:19">
      <c r="A364" s="390" t="s">
        <v>134</v>
      </c>
      <c r="B364" s="461">
        <f t="shared" ref="B364:M364" si="204">B363/(B371/(1+B372)+B367/(1+B368))-1</f>
        <v>-8.8768815129294243E-3</v>
      </c>
      <c r="C364" s="461">
        <f t="shared" si="204"/>
        <v>0.25883983741747496</v>
      </c>
      <c r="D364" s="461">
        <f t="shared" si="204"/>
        <v>0.11412829594647778</v>
      </c>
      <c r="E364" s="461">
        <f t="shared" si="204"/>
        <v>7.7716390423572701E-2</v>
      </c>
      <c r="F364" s="461">
        <f t="shared" si="204"/>
        <v>6.2443555670236073E-2</v>
      </c>
      <c r="G364" s="462">
        <f t="shared" si="204"/>
        <v>0.11592999859480702</v>
      </c>
      <c r="H364" s="461">
        <f t="shared" si="204"/>
        <v>0.10372372588239887</v>
      </c>
      <c r="I364" s="461">
        <f t="shared" si="204"/>
        <v>0.15932386321434588</v>
      </c>
      <c r="J364" s="461">
        <f t="shared" si="204"/>
        <v>0.21157547543262845</v>
      </c>
      <c r="K364" s="461">
        <f t="shared" si="204"/>
        <v>0.13356543577945668</v>
      </c>
      <c r="L364" s="461">
        <f t="shared" si="204"/>
        <v>0.14647370210909272</v>
      </c>
      <c r="M364" s="461">
        <f t="shared" si="204"/>
        <v>0.16466485858194502</v>
      </c>
      <c r="N364" s="397">
        <f>N363/N388-1</f>
        <v>0.1283725944009384</v>
      </c>
      <c r="O364" s="396">
        <f>O363/O388-1</f>
        <v>0.11474298114742987</v>
      </c>
      <c r="P364" s="396">
        <f>P363/P388-1</f>
        <v>8.9890501655207622E-2</v>
      </c>
      <c r="Q364" s="396">
        <f>Q363/Q388-1</f>
        <v>0.15779710144927539</v>
      </c>
      <c r="R364" s="396">
        <f>R363/R388-1</f>
        <v>0.14774352971777871</v>
      </c>
      <c r="S364" s="385"/>
    </row>
    <row r="365" spans="1:19" ht="15.5" customHeight="1">
      <c r="A365" s="390" t="s">
        <v>135</v>
      </c>
      <c r="B365" s="399"/>
      <c r="C365" s="399"/>
      <c r="D365" s="399"/>
      <c r="E365" s="399"/>
      <c r="F365" s="399"/>
      <c r="G365" s="399"/>
      <c r="H365" s="399"/>
      <c r="I365" s="399"/>
      <c r="J365" s="399"/>
      <c r="K365" s="399"/>
      <c r="L365" s="399"/>
      <c r="M365" s="408"/>
      <c r="N365" s="400" t="s">
        <v>136</v>
      </c>
      <c r="O365" s="401"/>
      <c r="P365" s="398"/>
      <c r="Q365" s="398"/>
      <c r="R365" s="398"/>
      <c r="S365" s="385"/>
    </row>
    <row r="366" spans="1:19">
      <c r="A366" s="385"/>
      <c r="B366" s="402"/>
      <c r="C366" s="402"/>
      <c r="D366" s="402"/>
      <c r="E366" s="402"/>
      <c r="F366" s="402"/>
      <c r="G366" s="427"/>
      <c r="H366" s="402"/>
      <c r="I366" s="402"/>
      <c r="J366" s="403"/>
      <c r="K366" s="403"/>
      <c r="L366" s="403"/>
      <c r="M366" s="403"/>
      <c r="N366" s="404"/>
      <c r="O366" s="404"/>
      <c r="P366" s="404"/>
      <c r="Q366" s="404"/>
      <c r="R366" s="404"/>
      <c r="S366" s="385"/>
    </row>
    <row r="367" spans="1:19">
      <c r="A367" s="431" t="s">
        <v>147</v>
      </c>
      <c r="B367" s="455">
        <v>1903</v>
      </c>
      <c r="C367" s="455">
        <v>2054</v>
      </c>
      <c r="D367" s="455">
        <v>2092</v>
      </c>
      <c r="E367" s="455">
        <v>2148</v>
      </c>
      <c r="F367" s="455">
        <v>2043</v>
      </c>
      <c r="G367" s="455">
        <v>2154</v>
      </c>
      <c r="H367" s="455">
        <v>2473</v>
      </c>
      <c r="I367" s="455">
        <v>2714</v>
      </c>
      <c r="J367" s="455">
        <v>2419</v>
      </c>
      <c r="K367" s="455">
        <v>2234</v>
      </c>
      <c r="L367" s="455">
        <v>2119</v>
      </c>
      <c r="M367" s="455">
        <f>N367-SUM(B367:L367)</f>
        <v>2197</v>
      </c>
      <c r="N367" s="393">
        <v>26550</v>
      </c>
      <c r="O367" s="394">
        <f>SUM(B367:M367)</f>
        <v>26550</v>
      </c>
      <c r="P367" s="394">
        <f>SUM(E367:G367)</f>
        <v>6345</v>
      </c>
      <c r="Q367" s="394">
        <f>SUM(H367:J367)</f>
        <v>7606</v>
      </c>
      <c r="R367" s="395">
        <f>SUM(K367:M367)</f>
        <v>6550</v>
      </c>
      <c r="S367" s="385"/>
    </row>
    <row r="368" spans="1:19">
      <c r="A368" s="390" t="s">
        <v>134</v>
      </c>
      <c r="B368" s="463">
        <f>B367/B392-1</f>
        <v>1.0520778537612685E-3</v>
      </c>
      <c r="C368" s="464">
        <v>0.23499999999999999</v>
      </c>
      <c r="D368" s="463">
        <f>D367/D392-1</f>
        <v>0.12715517241379315</v>
      </c>
      <c r="E368" s="463">
        <f>E367/E392-1</f>
        <v>9.2018301982714767E-2</v>
      </c>
      <c r="F368" s="464">
        <v>0.08</v>
      </c>
      <c r="G368" s="463">
        <v>0.128</v>
      </c>
      <c r="H368" s="464">
        <v>0.122</v>
      </c>
      <c r="I368" s="464">
        <v>0.16700000000000001</v>
      </c>
      <c r="J368" s="464">
        <v>0.22700000000000001</v>
      </c>
      <c r="K368" s="463">
        <f>K367/K392-1</f>
        <v>0.16414799374674316</v>
      </c>
      <c r="L368" s="464">
        <v>0.18</v>
      </c>
      <c r="M368" s="463">
        <f>M367/M392-1</f>
        <v>0.17486631016042775</v>
      </c>
      <c r="N368" s="397">
        <f>N367/N392-1</f>
        <v>0.14173905564634048</v>
      </c>
      <c r="O368" s="396"/>
      <c r="P368" s="398"/>
      <c r="Q368" s="398"/>
      <c r="R368" s="398"/>
      <c r="S368" s="385"/>
    </row>
    <row r="369" spans="1:19" ht="15.5" customHeight="1">
      <c r="A369" s="390" t="s">
        <v>135</v>
      </c>
      <c r="B369" s="399"/>
      <c r="C369" s="399"/>
      <c r="D369" s="399"/>
      <c r="E369" s="399"/>
      <c r="F369" s="399"/>
      <c r="G369" s="399"/>
      <c r="H369" s="399"/>
      <c r="I369" s="399"/>
      <c r="J369" s="399"/>
      <c r="K369" s="399"/>
      <c r="L369" s="399"/>
      <c r="M369" s="408"/>
      <c r="N369" s="400" t="s">
        <v>136</v>
      </c>
      <c r="O369" s="401"/>
      <c r="P369" s="398"/>
      <c r="Q369" s="398"/>
      <c r="R369" s="398"/>
      <c r="S369" s="385"/>
    </row>
    <row r="370" spans="1:19">
      <c r="A370" s="385"/>
      <c r="O370" s="251">
        <v>8</v>
      </c>
      <c r="S370" s="385"/>
    </row>
    <row r="371" spans="1:19">
      <c r="A371" s="433" t="s">
        <v>148</v>
      </c>
      <c r="B371" s="455">
        <v>665</v>
      </c>
      <c r="C371" s="455">
        <v>766</v>
      </c>
      <c r="D371" s="455">
        <v>739</v>
      </c>
      <c r="E371" s="455">
        <v>778</v>
      </c>
      <c r="F371" s="455">
        <v>702</v>
      </c>
      <c r="G371" s="455">
        <v>735</v>
      </c>
      <c r="H371" s="455">
        <v>803</v>
      </c>
      <c r="I371" s="455">
        <v>833</v>
      </c>
      <c r="J371" s="455">
        <v>744</v>
      </c>
      <c r="K371" s="455">
        <v>728</v>
      </c>
      <c r="L371" s="455">
        <v>738</v>
      </c>
      <c r="M371" s="455">
        <f>N371-SUM(B371:L371)</f>
        <v>809</v>
      </c>
      <c r="N371" s="393">
        <v>9040</v>
      </c>
      <c r="O371" s="394">
        <f>SUM(B371:M371)</f>
        <v>9040</v>
      </c>
      <c r="P371" s="394">
        <f>SUM(E371:G371)</f>
        <v>2215</v>
      </c>
      <c r="Q371" s="394">
        <f>SUM(H371:J371)</f>
        <v>2380</v>
      </c>
      <c r="R371" s="395">
        <f>SUM(K371:M371)</f>
        <v>2275</v>
      </c>
      <c r="S371" s="385"/>
    </row>
    <row r="372" spans="1:19">
      <c r="A372" s="390" t="s">
        <v>134</v>
      </c>
      <c r="B372" s="463">
        <f>B371/B396-1</f>
        <v>-3.6231884057971064E-2</v>
      </c>
      <c r="C372" s="463">
        <f>C371/C396-1</f>
        <v>0.32755632582322347</v>
      </c>
      <c r="D372" s="463">
        <f>D371/D396-1</f>
        <v>7.8832116788321249E-2</v>
      </c>
      <c r="E372" s="463">
        <f>E371/E396-1</f>
        <v>4.0106951871657692E-2</v>
      </c>
      <c r="F372" s="463">
        <f>F371/F396-1</f>
        <v>1.4450867052023142E-2</v>
      </c>
      <c r="G372" s="463">
        <v>8.2000000000000003E-2</v>
      </c>
      <c r="H372" s="464">
        <v>5.0999999999999997E-2</v>
      </c>
      <c r="I372" s="464">
        <v>0.13500000000000001</v>
      </c>
      <c r="J372" s="464">
        <v>0.16400000000000001</v>
      </c>
      <c r="K372" s="464">
        <v>4.9000000000000002E-2</v>
      </c>
      <c r="L372" s="464">
        <v>0.06</v>
      </c>
      <c r="M372" s="463">
        <f>M371/M396-1</f>
        <v>0.1378340365682138</v>
      </c>
      <c r="N372" s="397">
        <f>N371/N396-1</f>
        <v>9.0865210570773458E-2</v>
      </c>
      <c r="O372" s="398"/>
      <c r="P372" s="398"/>
      <c r="Q372" s="398"/>
      <c r="R372" s="398"/>
      <c r="S372" s="385"/>
    </row>
    <row r="373" spans="1:19" ht="15.5" customHeight="1">
      <c r="A373" s="390" t="s">
        <v>135</v>
      </c>
      <c r="B373" s="185"/>
      <c r="C373" s="399"/>
      <c r="D373" s="399"/>
      <c r="E373" s="399"/>
      <c r="F373" s="399"/>
      <c r="G373" s="399"/>
      <c r="H373" s="399"/>
      <c r="I373" s="399"/>
      <c r="J373" s="399"/>
      <c r="K373" s="399"/>
      <c r="L373" s="399"/>
      <c r="M373" s="399"/>
      <c r="N373" s="400" t="s">
        <v>136</v>
      </c>
      <c r="O373" s="401"/>
      <c r="P373" s="398"/>
      <c r="Q373" s="398"/>
      <c r="R373" s="398"/>
      <c r="S373" s="385"/>
    </row>
    <row r="374" spans="1:19">
      <c r="A374" s="385"/>
      <c r="B374" s="402"/>
      <c r="C374" s="402"/>
      <c r="D374" s="403"/>
      <c r="E374" s="402"/>
      <c r="F374" s="402"/>
      <c r="G374" s="387"/>
      <c r="H374" s="402"/>
      <c r="I374" s="402"/>
      <c r="J374" s="403"/>
      <c r="K374" s="403"/>
      <c r="L374" s="403"/>
      <c r="M374" s="403"/>
      <c r="N374" s="404"/>
      <c r="O374" s="404"/>
      <c r="P374" s="404"/>
      <c r="Q374" s="404"/>
      <c r="R374" s="404"/>
      <c r="S374" s="385"/>
    </row>
    <row r="375" spans="1:19" ht="15.5" customHeight="1">
      <c r="A375" s="422" t="s">
        <v>167</v>
      </c>
      <c r="B375" s="187" t="s">
        <v>51</v>
      </c>
      <c r="C375" s="187" t="s">
        <v>52</v>
      </c>
      <c r="D375" s="187" t="s">
        <v>53</v>
      </c>
      <c r="E375" s="187" t="s">
        <v>54</v>
      </c>
      <c r="F375" s="187" t="s">
        <v>55</v>
      </c>
      <c r="G375" s="187" t="s">
        <v>77</v>
      </c>
      <c r="H375" s="187" t="s">
        <v>78</v>
      </c>
      <c r="I375" s="187" t="s">
        <v>79</v>
      </c>
      <c r="J375" s="187" t="s">
        <v>80</v>
      </c>
      <c r="K375" s="187" t="s">
        <v>81</v>
      </c>
      <c r="L375" s="187" t="s">
        <v>82</v>
      </c>
      <c r="M375" s="187" t="s">
        <v>44</v>
      </c>
      <c r="N375" s="389" t="s">
        <v>128</v>
      </c>
      <c r="O375" s="5" t="s">
        <v>129</v>
      </c>
      <c r="P375" s="5" t="s">
        <v>130</v>
      </c>
      <c r="Q375" s="5" t="s">
        <v>131</v>
      </c>
      <c r="R375" s="5" t="s">
        <v>132</v>
      </c>
      <c r="S375" s="385"/>
    </row>
    <row r="376" spans="1:19">
      <c r="A376" s="423" t="s">
        <v>133</v>
      </c>
      <c r="B376" s="391">
        <f t="shared" ref="B376:M376" si="205">B384+B392</f>
        <v>25670</v>
      </c>
      <c r="C376" s="391">
        <f t="shared" si="205"/>
        <v>23491</v>
      </c>
      <c r="D376" s="391">
        <f t="shared" si="205"/>
        <v>25029</v>
      </c>
      <c r="E376" s="391">
        <f t="shared" si="205"/>
        <v>26048</v>
      </c>
      <c r="F376" s="391">
        <f t="shared" si="205"/>
        <v>25404</v>
      </c>
      <c r="G376" s="391">
        <f t="shared" si="205"/>
        <v>25304</v>
      </c>
      <c r="H376" s="391">
        <f t="shared" si="205"/>
        <v>29909</v>
      </c>
      <c r="I376" s="391">
        <f t="shared" si="205"/>
        <v>30709</v>
      </c>
      <c r="J376" s="391">
        <f t="shared" si="205"/>
        <v>27440</v>
      </c>
      <c r="K376" s="391">
        <f t="shared" si="205"/>
        <v>28294</v>
      </c>
      <c r="L376" s="391">
        <f t="shared" si="205"/>
        <v>25840</v>
      </c>
      <c r="M376" s="391">
        <f t="shared" si="205"/>
        <v>25632</v>
      </c>
      <c r="N376" s="393">
        <f>SUM(B376:M376)</f>
        <v>318770</v>
      </c>
      <c r="O376" s="394">
        <f>SUM(B376:D376)</f>
        <v>74190</v>
      </c>
      <c r="P376" s="394">
        <f>SUM(E376:G376)</f>
        <v>76756</v>
      </c>
      <c r="Q376" s="394">
        <f>SUM(H376:J376)</f>
        <v>88058</v>
      </c>
      <c r="R376" s="395">
        <f>SUM(K376:M376)</f>
        <v>79766</v>
      </c>
      <c r="S376" s="385"/>
    </row>
    <row r="377" spans="1:19">
      <c r="A377" s="390" t="s">
        <v>134</v>
      </c>
      <c r="B377" s="396">
        <f t="shared" ref="B377:N377" si="206">B376/B401-1</f>
        <v>0.13248334583314958</v>
      </c>
      <c r="C377" s="396">
        <f t="shared" si="206"/>
        <v>8.59375E-2</v>
      </c>
      <c r="D377" s="396">
        <f t="shared" si="206"/>
        <v>9.6993338008415142E-2</v>
      </c>
      <c r="E377" s="396">
        <f t="shared" si="206"/>
        <v>6.8942875902823442E-2</v>
      </c>
      <c r="F377" s="396">
        <f t="shared" si="206"/>
        <v>5.5421686746987886E-2</v>
      </c>
      <c r="G377" s="396">
        <f t="shared" si="206"/>
        <v>8.8484535639007156E-2</v>
      </c>
      <c r="H377" s="396">
        <f t="shared" si="206"/>
        <v>9.4765739385065828E-2</v>
      </c>
      <c r="I377" s="396">
        <f t="shared" si="206"/>
        <v>0.113290313225058</v>
      </c>
      <c r="J377" s="396">
        <f t="shared" si="206"/>
        <v>9.7073404765712468E-2</v>
      </c>
      <c r="K377" s="396">
        <f t="shared" si="206"/>
        <v>6.8625599576991325E-2</v>
      </c>
      <c r="L377" s="396">
        <f t="shared" si="206"/>
        <v>9.0065387049145684E-2</v>
      </c>
      <c r="M377" s="396">
        <f t="shared" si="206"/>
        <v>0.11433788366229014</v>
      </c>
      <c r="N377" s="397">
        <f t="shared" si="206"/>
        <v>9.2052072627612169E-2</v>
      </c>
      <c r="O377" s="398"/>
      <c r="P377" s="398"/>
      <c r="Q377" s="398"/>
      <c r="R377" s="398"/>
      <c r="S377" s="385"/>
    </row>
    <row r="378" spans="1:19" ht="15.5" customHeight="1">
      <c r="A378" s="390" t="s">
        <v>135</v>
      </c>
      <c r="B378" s="185"/>
      <c r="C378" s="399"/>
      <c r="D378" s="399"/>
      <c r="E378" s="399"/>
      <c r="F378" s="399"/>
      <c r="G378" s="399"/>
      <c r="H378" s="399"/>
      <c r="I378" s="399"/>
      <c r="J378" s="399"/>
      <c r="K378" s="399"/>
      <c r="L378" s="399"/>
      <c r="M378" s="399"/>
      <c r="N378" s="400"/>
      <c r="O378" s="401"/>
      <c r="P378" s="398"/>
      <c r="Q378" s="398"/>
      <c r="R378" s="398"/>
      <c r="S378" s="385"/>
    </row>
    <row r="379" spans="1:19">
      <c r="A379" s="385"/>
      <c r="B379" s="402"/>
      <c r="C379" s="402"/>
      <c r="D379" s="402"/>
      <c r="E379" s="402"/>
      <c r="F379" s="402"/>
      <c r="G379" s="427"/>
      <c r="H379" s="402"/>
      <c r="I379" s="402"/>
      <c r="J379" s="403"/>
      <c r="K379" s="403"/>
      <c r="L379" s="403"/>
      <c r="M379" s="403"/>
      <c r="N379" s="404"/>
      <c r="O379" s="404"/>
      <c r="P379" s="404"/>
      <c r="Q379" s="404"/>
      <c r="R379" s="404"/>
      <c r="S379" s="385"/>
    </row>
    <row r="380" spans="1:19">
      <c r="A380" s="428" t="s">
        <v>137</v>
      </c>
      <c r="B380" s="458">
        <f t="shared" ref="B380:M380" si="207">B384-B396</f>
        <v>23079</v>
      </c>
      <c r="C380" s="458">
        <f t="shared" si="207"/>
        <v>21250</v>
      </c>
      <c r="D380" s="458">
        <f t="shared" si="207"/>
        <v>22488</v>
      </c>
      <c r="E380" s="458">
        <f t="shared" si="207"/>
        <v>23333</v>
      </c>
      <c r="F380" s="458">
        <f t="shared" si="207"/>
        <v>22840</v>
      </c>
      <c r="G380" s="458">
        <f t="shared" si="207"/>
        <v>22729</v>
      </c>
      <c r="H380" s="458">
        <f t="shared" si="207"/>
        <v>26949</v>
      </c>
      <c r="I380" s="458">
        <f t="shared" si="207"/>
        <v>27650</v>
      </c>
      <c r="J380" s="458">
        <f t="shared" si="207"/>
        <v>24834</v>
      </c>
      <c r="K380" s="458">
        <f t="shared" si="207"/>
        <v>25685</v>
      </c>
      <c r="L380" s="458">
        <f t="shared" si="207"/>
        <v>23341</v>
      </c>
      <c r="M380" s="458">
        <f t="shared" si="207"/>
        <v>23051</v>
      </c>
      <c r="N380" s="393">
        <f>SUM(B380:M380)</f>
        <v>287229</v>
      </c>
      <c r="O380" s="459">
        <f>SUM(B380:D380)</f>
        <v>66817</v>
      </c>
      <c r="P380" s="459">
        <f>SUM(E380:G380)</f>
        <v>68902</v>
      </c>
      <c r="Q380" s="459">
        <f>SUM(H380:J380)</f>
        <v>79433</v>
      </c>
      <c r="R380" s="460">
        <f>SUM(K380:M380)</f>
        <v>72077</v>
      </c>
      <c r="S380" s="385"/>
    </row>
    <row r="381" spans="1:19">
      <c r="A381" s="390" t="s">
        <v>134</v>
      </c>
      <c r="B381" s="461">
        <f t="shared" ref="B381:M381" si="208">B380/(B384/(1+B385)-B396/(1+B397))-1</f>
        <v>0.1324337585868498</v>
      </c>
      <c r="C381" s="461">
        <f t="shared" si="208"/>
        <v>9.5078587992785346E-2</v>
      </c>
      <c r="D381" s="461">
        <f t="shared" si="208"/>
        <v>8.0947444871759311E-2</v>
      </c>
      <c r="E381" s="461">
        <f t="shared" si="208"/>
        <v>5.5887410625395928E-2</v>
      </c>
      <c r="F381" s="461">
        <f t="shared" si="208"/>
        <v>4.4735156893239481E-2</v>
      </c>
      <c r="G381" s="462">
        <f t="shared" si="208"/>
        <v>8.186967490123287E-2</v>
      </c>
      <c r="H381" s="461">
        <f t="shared" si="208"/>
        <v>9.2512263347792612E-2</v>
      </c>
      <c r="I381" s="461">
        <f t="shared" si="208"/>
        <v>0.11048636491425357</v>
      </c>
      <c r="J381" s="461">
        <f t="shared" si="208"/>
        <v>9.7932982190672924E-2</v>
      </c>
      <c r="K381" s="461">
        <f t="shared" si="208"/>
        <v>7.4506358768406944E-2</v>
      </c>
      <c r="L381" s="461">
        <f t="shared" si="208"/>
        <v>9.0766868785260746E-2</v>
      </c>
      <c r="M381" s="461">
        <f t="shared" si="208"/>
        <v>0.11887195417920582</v>
      </c>
      <c r="N381" s="397">
        <f>N380/N405-1</f>
        <v>9.0425572301734869E-2</v>
      </c>
      <c r="O381" s="398"/>
      <c r="P381" s="398"/>
      <c r="Q381" s="398"/>
      <c r="R381" s="398"/>
      <c r="S381" s="385"/>
    </row>
    <row r="382" spans="1:19" ht="15.5" customHeight="1">
      <c r="A382" s="390" t="s">
        <v>135</v>
      </c>
      <c r="B382" s="185"/>
      <c r="C382" s="399"/>
      <c r="D382" s="399"/>
      <c r="E382" s="399"/>
      <c r="F382" s="399"/>
      <c r="G382" s="399"/>
      <c r="H382" s="399"/>
      <c r="I382" s="399"/>
      <c r="J382" s="399"/>
      <c r="K382" s="399"/>
      <c r="L382" s="399"/>
      <c r="M382" s="399"/>
      <c r="N382" s="400"/>
      <c r="O382" s="401"/>
      <c r="P382" s="398"/>
      <c r="Q382" s="398"/>
      <c r="R382" s="398"/>
      <c r="S382" s="385"/>
    </row>
    <row r="383" spans="1:19">
      <c r="A383" s="385"/>
      <c r="B383" s="402"/>
      <c r="C383" s="402"/>
      <c r="D383" s="402"/>
      <c r="E383" s="402"/>
      <c r="F383" s="402"/>
      <c r="G383" s="427"/>
      <c r="H383" s="402"/>
      <c r="I383" s="402"/>
      <c r="J383" s="403"/>
      <c r="K383" s="403"/>
      <c r="L383" s="403"/>
      <c r="M383" s="403"/>
      <c r="N383" s="404"/>
      <c r="O383" s="404"/>
      <c r="P383" s="404"/>
      <c r="Q383" s="404"/>
      <c r="R383" s="404"/>
      <c r="S383" s="385"/>
    </row>
    <row r="384" spans="1:19">
      <c r="A384" s="429" t="s">
        <v>145</v>
      </c>
      <c r="B384" s="455">
        <v>23769</v>
      </c>
      <c r="C384" s="455">
        <v>21827</v>
      </c>
      <c r="D384" s="455">
        <v>23173</v>
      </c>
      <c r="E384" s="455">
        <v>24081</v>
      </c>
      <c r="F384" s="455">
        <v>23532</v>
      </c>
      <c r="G384" s="455">
        <v>23404</v>
      </c>
      <c r="H384" s="455">
        <v>27709</v>
      </c>
      <c r="I384" s="455">
        <v>28382</v>
      </c>
      <c r="J384" s="455">
        <v>25470</v>
      </c>
      <c r="K384" s="455">
        <v>26375</v>
      </c>
      <c r="L384" s="455">
        <v>24032</v>
      </c>
      <c r="M384" s="455">
        <v>23762</v>
      </c>
      <c r="N384" s="393">
        <f>SUM(B384:M384)</f>
        <v>295516</v>
      </c>
      <c r="O384" s="394">
        <f>SUM(B384:M384)</f>
        <v>295516</v>
      </c>
      <c r="P384" s="394">
        <f>SUM(E384:G384)</f>
        <v>71017</v>
      </c>
      <c r="Q384" s="394">
        <f>SUM(H384:J384)</f>
        <v>81561</v>
      </c>
      <c r="R384" s="395">
        <f>SUM(K384:M384)</f>
        <v>74169</v>
      </c>
      <c r="S384" s="385"/>
    </row>
    <row r="385" spans="1:19">
      <c r="A385" s="390" t="s">
        <v>134</v>
      </c>
      <c r="B385" s="463">
        <f>B384/B409-1</f>
        <v>0.13423363237259012</v>
      </c>
      <c r="C385" s="463">
        <f>C384/C409-1</f>
        <v>9.1786714685874404E-2</v>
      </c>
      <c r="D385" s="464">
        <v>8.3000000000000004E-2</v>
      </c>
      <c r="E385" s="463">
        <f>E384/E409-1</f>
        <v>5.8412447257383926E-2</v>
      </c>
      <c r="F385" s="463">
        <f>F384/F409-1</f>
        <v>4.6564376250833872E-2</v>
      </c>
      <c r="G385" s="463">
        <f>G384/G409-1</f>
        <v>8.4020379805465506E-2</v>
      </c>
      <c r="H385" s="463">
        <f>H384/H409-1</f>
        <v>9.2195506503744529E-2</v>
      </c>
      <c r="I385" s="463">
        <f>I384/I409-1</f>
        <v>0.10932186828219659</v>
      </c>
      <c r="J385" s="464">
        <v>9.7000000000000003E-2</v>
      </c>
      <c r="K385" s="463">
        <f>K384/K409-1</f>
        <v>7.4075582342401081E-2</v>
      </c>
      <c r="L385" s="464">
        <v>0.09</v>
      </c>
      <c r="M385" s="463">
        <f>M384/M409-1</f>
        <v>0.11815914545197881</v>
      </c>
      <c r="N385" s="397">
        <f>N384/N409-1</f>
        <v>9.066617457095405E-2</v>
      </c>
      <c r="O385" s="398"/>
      <c r="P385" s="398"/>
      <c r="Q385" s="398"/>
      <c r="R385" s="398"/>
      <c r="S385" s="385"/>
    </row>
    <row r="386" spans="1:19" ht="15.5" customHeight="1">
      <c r="A386" s="390" t="s">
        <v>135</v>
      </c>
      <c r="B386" s="185"/>
      <c r="C386" s="399"/>
      <c r="D386" s="399"/>
      <c r="E386" s="399"/>
      <c r="F386" s="399"/>
      <c r="G386" s="399"/>
      <c r="H386" s="399"/>
      <c r="I386" s="399"/>
      <c r="J386" s="399"/>
      <c r="K386" s="399"/>
      <c r="L386" s="399"/>
      <c r="M386" s="399"/>
      <c r="N386" s="400"/>
      <c r="O386" s="401"/>
      <c r="P386" s="398"/>
      <c r="Q386" s="398"/>
      <c r="R386" s="398"/>
      <c r="S386" s="385"/>
    </row>
    <row r="387" spans="1:19">
      <c r="A387" s="385"/>
      <c r="B387" s="402"/>
      <c r="C387" s="402"/>
      <c r="D387" s="402"/>
      <c r="E387" s="402"/>
      <c r="F387" s="402"/>
      <c r="G387" s="427"/>
      <c r="H387" s="402"/>
      <c r="I387" s="402"/>
      <c r="J387" s="403"/>
      <c r="K387" s="403"/>
      <c r="L387" s="403"/>
      <c r="M387" s="403"/>
      <c r="N387" s="404"/>
      <c r="O387" s="404"/>
      <c r="P387" s="404"/>
      <c r="Q387" s="404"/>
      <c r="R387" s="404"/>
      <c r="S387" s="385"/>
    </row>
    <row r="388" spans="1:19">
      <c r="A388" s="430" t="s">
        <v>146</v>
      </c>
      <c r="B388" s="458">
        <f t="shared" ref="B388:M388" si="209">B392+B396</f>
        <v>2591</v>
      </c>
      <c r="C388" s="458">
        <f t="shared" si="209"/>
        <v>2241</v>
      </c>
      <c r="D388" s="458">
        <f t="shared" si="209"/>
        <v>2541</v>
      </c>
      <c r="E388" s="458">
        <f t="shared" si="209"/>
        <v>2715</v>
      </c>
      <c r="F388" s="458">
        <f t="shared" si="209"/>
        <v>2564</v>
      </c>
      <c r="G388" s="458">
        <f t="shared" si="209"/>
        <v>2575</v>
      </c>
      <c r="H388" s="458">
        <f t="shared" si="209"/>
        <v>2960</v>
      </c>
      <c r="I388" s="458">
        <f t="shared" si="209"/>
        <v>3059</v>
      </c>
      <c r="J388" s="458">
        <f t="shared" si="209"/>
        <v>2606</v>
      </c>
      <c r="K388" s="458">
        <f t="shared" si="209"/>
        <v>2609</v>
      </c>
      <c r="L388" s="458">
        <f t="shared" si="209"/>
        <v>2499</v>
      </c>
      <c r="M388" s="458">
        <f t="shared" si="209"/>
        <v>2581</v>
      </c>
      <c r="N388" s="393">
        <f>SUM(B388:M388)</f>
        <v>31541</v>
      </c>
      <c r="O388" s="459">
        <f>SUM(B388:D388)</f>
        <v>7373</v>
      </c>
      <c r="P388" s="459">
        <f>SUM(E388:G388)</f>
        <v>7854</v>
      </c>
      <c r="Q388" s="459">
        <f>SUM(H388:J388)</f>
        <v>8625</v>
      </c>
      <c r="R388" s="395">
        <f>SUM(K388:M388)</f>
        <v>7689</v>
      </c>
      <c r="S388" s="385"/>
    </row>
    <row r="389" spans="1:19">
      <c r="A389" s="390" t="s">
        <v>134</v>
      </c>
      <c r="B389" s="461">
        <f t="shared" ref="B389:M389" si="210">B388/(B396/(1+B397)+B392/(1+B393))-1</f>
        <v>0.13292522955837338</v>
      </c>
      <c r="C389" s="461">
        <f t="shared" si="210"/>
        <v>6.2864840592724569E-3</v>
      </c>
      <c r="D389" s="461">
        <f t="shared" si="210"/>
        <v>0.1351535612887298</v>
      </c>
      <c r="E389" s="461">
        <f t="shared" si="210"/>
        <v>0.19603524229074898</v>
      </c>
      <c r="F389" s="461">
        <f t="shared" si="210"/>
        <v>0.16123188405797095</v>
      </c>
      <c r="G389" s="462">
        <f t="shared" si="210"/>
        <v>0.15058087578194823</v>
      </c>
      <c r="H389" s="461">
        <f t="shared" si="210"/>
        <v>0.11571805503203914</v>
      </c>
      <c r="I389" s="461">
        <f t="shared" si="210"/>
        <v>0.13929236499068898</v>
      </c>
      <c r="J389" s="461">
        <f t="shared" si="210"/>
        <v>6.7158067158067158E-2</v>
      </c>
      <c r="K389" s="461">
        <f t="shared" si="210"/>
        <v>1.3991449669646272E-2</v>
      </c>
      <c r="L389" s="461">
        <f t="shared" si="210"/>
        <v>6.9319640564826646E-2</v>
      </c>
      <c r="M389" s="461">
        <f t="shared" si="210"/>
        <v>7.5416666666666687E-2</v>
      </c>
      <c r="N389" s="397">
        <f>N388/N413-1</f>
        <v>0.10709020709020711</v>
      </c>
      <c r="O389" s="396">
        <f>O388/O413-1</f>
        <v>0.10308198683423098</v>
      </c>
      <c r="P389" s="396">
        <f>P388/P413-1</f>
        <v>0.16944609886837414</v>
      </c>
      <c r="Q389" s="396">
        <f>Q388/Q413-1</f>
        <v>0.1086118251928021</v>
      </c>
      <c r="R389" s="396">
        <f>R388/R413-1</f>
        <v>5.1846785225718284E-2</v>
      </c>
      <c r="S389" s="385"/>
    </row>
    <row r="390" spans="1:19" ht="15.5" customHeight="1">
      <c r="A390" s="390" t="s">
        <v>135</v>
      </c>
      <c r="B390" s="399"/>
      <c r="C390" s="399"/>
      <c r="D390" s="399"/>
      <c r="E390" s="399"/>
      <c r="F390" s="399"/>
      <c r="G390" s="399"/>
      <c r="H390" s="399"/>
      <c r="I390" s="399"/>
      <c r="J390" s="399"/>
      <c r="K390" s="399"/>
      <c r="L390" s="399"/>
      <c r="M390" s="408"/>
      <c r="N390" s="400" t="s">
        <v>136</v>
      </c>
      <c r="O390" s="401"/>
      <c r="P390" s="398"/>
      <c r="Q390" s="398"/>
      <c r="R390" s="398"/>
      <c r="S390" s="385"/>
    </row>
    <row r="391" spans="1:19">
      <c r="A391" s="385"/>
      <c r="B391" s="402"/>
      <c r="C391" s="402"/>
      <c r="D391" s="402"/>
      <c r="E391" s="402"/>
      <c r="F391" s="402"/>
      <c r="G391" s="427"/>
      <c r="H391" s="402"/>
      <c r="I391" s="402"/>
      <c r="J391" s="403"/>
      <c r="K391" s="403"/>
      <c r="L391" s="403"/>
      <c r="M391" s="403"/>
      <c r="N391" s="404"/>
      <c r="O391" s="404"/>
      <c r="P391" s="404"/>
      <c r="Q391" s="404"/>
      <c r="R391" s="404"/>
      <c r="S391" s="385"/>
    </row>
    <row r="392" spans="1:19">
      <c r="A392" s="431" t="s">
        <v>147</v>
      </c>
      <c r="B392" s="455">
        <v>1901</v>
      </c>
      <c r="C392" s="455">
        <v>1664</v>
      </c>
      <c r="D392" s="455">
        <v>1856</v>
      </c>
      <c r="E392" s="455">
        <v>1967</v>
      </c>
      <c r="F392" s="455">
        <v>1872</v>
      </c>
      <c r="G392" s="455">
        <v>1900</v>
      </c>
      <c r="H392" s="455">
        <v>2200</v>
      </c>
      <c r="I392" s="455">
        <v>2327</v>
      </c>
      <c r="J392" s="455">
        <v>1970</v>
      </c>
      <c r="K392" s="455">
        <v>1919</v>
      </c>
      <c r="L392" s="455">
        <v>1808</v>
      </c>
      <c r="M392" s="455">
        <v>1870</v>
      </c>
      <c r="N392" s="393">
        <f>SUM(B392:M392)</f>
        <v>23254</v>
      </c>
      <c r="O392" s="394">
        <f>SUM(B392:M392)</f>
        <v>23254</v>
      </c>
      <c r="P392" s="394">
        <f>SUM(E392:G392)</f>
        <v>5739</v>
      </c>
      <c r="Q392" s="394">
        <f>SUM(H392:J392)</f>
        <v>6497</v>
      </c>
      <c r="R392" s="395">
        <f>SUM(K392:M392)</f>
        <v>5597</v>
      </c>
      <c r="S392" s="385"/>
    </row>
    <row r="393" spans="1:19">
      <c r="A393" s="390" t="s">
        <v>134</v>
      </c>
      <c r="B393" s="463">
        <f>B392/B417-1</f>
        <v>0.11104617182933962</v>
      </c>
      <c r="C393" s="463">
        <f>C392/C417-1</f>
        <v>1.4634146341463428E-2</v>
      </c>
      <c r="D393" s="464">
        <v>0.128</v>
      </c>
      <c r="E393" s="463">
        <f t="shared" ref="E393:N393" si="211">E392/E417-1</f>
        <v>0.21720297029702973</v>
      </c>
      <c r="F393" s="463">
        <f t="shared" si="211"/>
        <v>0.18107255520504739</v>
      </c>
      <c r="G393" s="463">
        <f t="shared" si="211"/>
        <v>0.14665057332528675</v>
      </c>
      <c r="H393" s="463">
        <f t="shared" si="211"/>
        <v>0.12820512820512819</v>
      </c>
      <c r="I393" s="463">
        <f t="shared" si="211"/>
        <v>0.16408204102051016</v>
      </c>
      <c r="J393" s="463">
        <f t="shared" si="211"/>
        <v>6.8909386869234979E-2</v>
      </c>
      <c r="K393" s="463">
        <f t="shared" si="211"/>
        <v>-1.0411244143675447E-3</v>
      </c>
      <c r="L393" s="463">
        <f t="shared" si="211"/>
        <v>7.1090047393364886E-2</v>
      </c>
      <c r="M393" s="463">
        <f t="shared" si="211"/>
        <v>6.7961165048543659E-2</v>
      </c>
      <c r="N393" s="397">
        <f t="shared" si="211"/>
        <v>0.10997613365155123</v>
      </c>
      <c r="O393" s="396"/>
      <c r="P393" s="398"/>
      <c r="Q393" s="398"/>
      <c r="R393" s="398"/>
      <c r="S393" s="385"/>
    </row>
    <row r="394" spans="1:19" ht="15.5" customHeight="1">
      <c r="A394" s="390" t="s">
        <v>135</v>
      </c>
      <c r="B394" s="399"/>
      <c r="C394" s="399"/>
      <c r="D394" s="399"/>
      <c r="E394" s="399"/>
      <c r="F394" s="399"/>
      <c r="G394" s="399"/>
      <c r="H394" s="399"/>
      <c r="I394" s="399"/>
      <c r="J394" s="399"/>
      <c r="K394" s="399"/>
      <c r="L394" s="399"/>
      <c r="M394" s="408"/>
      <c r="N394" s="400" t="s">
        <v>136</v>
      </c>
      <c r="O394" s="401"/>
      <c r="P394" s="398"/>
      <c r="Q394" s="398"/>
      <c r="R394" s="398"/>
      <c r="S394" s="385"/>
    </row>
    <row r="395" spans="1:19">
      <c r="A395" s="385"/>
      <c r="S395" s="385"/>
    </row>
    <row r="396" spans="1:19">
      <c r="A396" s="433" t="s">
        <v>148</v>
      </c>
      <c r="B396" s="455">
        <v>690</v>
      </c>
      <c r="C396" s="455">
        <v>577</v>
      </c>
      <c r="D396" s="455">
        <v>685</v>
      </c>
      <c r="E396" s="455">
        <v>748</v>
      </c>
      <c r="F396" s="455">
        <v>692</v>
      </c>
      <c r="G396" s="455">
        <v>675</v>
      </c>
      <c r="H396" s="455">
        <v>760</v>
      </c>
      <c r="I396" s="455">
        <v>732</v>
      </c>
      <c r="J396" s="455">
        <v>636</v>
      </c>
      <c r="K396" s="455">
        <v>690</v>
      </c>
      <c r="L396" s="455">
        <v>691</v>
      </c>
      <c r="M396" s="455">
        <v>711</v>
      </c>
      <c r="N396" s="393">
        <f>SUM(B396:M396)</f>
        <v>8287</v>
      </c>
      <c r="O396" s="394">
        <f>SUM(B396:M396)</f>
        <v>8287</v>
      </c>
      <c r="P396" s="394">
        <f>SUM(E396:G396)</f>
        <v>2115</v>
      </c>
      <c r="Q396" s="394">
        <f>SUM(H396:J396)</f>
        <v>2128</v>
      </c>
      <c r="R396" s="395">
        <f>SUM(K396:M396)</f>
        <v>2092</v>
      </c>
      <c r="S396" s="385"/>
    </row>
    <row r="397" spans="1:19">
      <c r="A397" s="390" t="s">
        <v>134</v>
      </c>
      <c r="B397" s="463">
        <f>B396/B421-1</f>
        <v>0.19791666666666674</v>
      </c>
      <c r="C397" s="463">
        <f>C396/C421-1</f>
        <v>-1.7035775127768327E-2</v>
      </c>
      <c r="D397" s="464">
        <v>0.155</v>
      </c>
      <c r="E397" s="463">
        <f t="shared" ref="E397:N397" si="212">E396/E421-1</f>
        <v>0.14373088685015301</v>
      </c>
      <c r="F397" s="463">
        <f t="shared" si="212"/>
        <v>0.1107544141252006</v>
      </c>
      <c r="G397" s="463">
        <f t="shared" si="212"/>
        <v>0.16179001721170394</v>
      </c>
      <c r="H397" s="463">
        <f t="shared" si="212"/>
        <v>8.1081081081081141E-2</v>
      </c>
      <c r="I397" s="463">
        <f t="shared" si="212"/>
        <v>6.7055393586005874E-2</v>
      </c>
      <c r="J397" s="463">
        <f t="shared" si="212"/>
        <v>6.176961602671116E-2</v>
      </c>
      <c r="K397" s="463">
        <f t="shared" si="212"/>
        <v>5.8282208588957163E-2</v>
      </c>
      <c r="L397" s="463">
        <f t="shared" si="212"/>
        <v>6.4714946070878243E-2</v>
      </c>
      <c r="M397" s="463">
        <f t="shared" si="212"/>
        <v>9.5531587057010814E-2</v>
      </c>
      <c r="N397" s="397">
        <f t="shared" si="212"/>
        <v>9.9071618037135378E-2</v>
      </c>
      <c r="O397" s="398"/>
      <c r="P397" s="398"/>
      <c r="Q397" s="398"/>
      <c r="R397" s="398"/>
      <c r="S397" s="385"/>
    </row>
    <row r="398" spans="1:19" ht="15.5" customHeight="1">
      <c r="A398" s="390" t="s">
        <v>135</v>
      </c>
      <c r="B398" s="185"/>
      <c r="C398" s="399"/>
      <c r="D398" s="399"/>
      <c r="E398" s="399"/>
      <c r="F398" s="399"/>
      <c r="G398" s="399"/>
      <c r="H398" s="399"/>
      <c r="I398" s="399"/>
      <c r="J398" s="399"/>
      <c r="K398" s="399"/>
      <c r="L398" s="399"/>
      <c r="M398" s="399"/>
      <c r="N398" s="400" t="s">
        <v>136</v>
      </c>
      <c r="O398" s="401"/>
      <c r="P398" s="398"/>
      <c r="Q398" s="398"/>
      <c r="R398" s="398"/>
      <c r="S398" s="385"/>
    </row>
    <row r="399" spans="1:19">
      <c r="S399" s="385"/>
    </row>
    <row r="400" spans="1:19" ht="15.5" customHeight="1">
      <c r="A400" s="422" t="s">
        <v>168</v>
      </c>
      <c r="B400" s="187" t="s">
        <v>51</v>
      </c>
      <c r="C400" s="187" t="s">
        <v>52</v>
      </c>
      <c r="D400" s="187" t="s">
        <v>53</v>
      </c>
      <c r="E400" s="187" t="s">
        <v>54</v>
      </c>
      <c r="F400" s="187" t="s">
        <v>55</v>
      </c>
      <c r="G400" s="187" t="s">
        <v>77</v>
      </c>
      <c r="H400" s="187" t="s">
        <v>78</v>
      </c>
      <c r="I400" s="187" t="s">
        <v>79</v>
      </c>
      <c r="J400" s="187" t="s">
        <v>80</v>
      </c>
      <c r="K400" s="187" t="s">
        <v>81</v>
      </c>
      <c r="L400" s="187" t="s">
        <v>82</v>
      </c>
      <c r="M400" s="187" t="s">
        <v>44</v>
      </c>
      <c r="N400" s="389" t="s">
        <v>128</v>
      </c>
      <c r="O400" s="5" t="s">
        <v>129</v>
      </c>
      <c r="P400" s="5" t="s">
        <v>130</v>
      </c>
      <c r="Q400" s="5" t="s">
        <v>131</v>
      </c>
      <c r="R400" s="5" t="s">
        <v>132</v>
      </c>
      <c r="S400" s="385"/>
    </row>
    <row r="401" spans="1:19">
      <c r="A401" s="423" t="s">
        <v>133</v>
      </c>
      <c r="B401" s="391">
        <f t="shared" ref="B401:M401" si="213">B409+B417</f>
        <v>22667</v>
      </c>
      <c r="C401" s="391">
        <f t="shared" si="213"/>
        <v>21632</v>
      </c>
      <c r="D401" s="391">
        <f t="shared" si="213"/>
        <v>22816</v>
      </c>
      <c r="E401" s="391">
        <f t="shared" si="213"/>
        <v>24368</v>
      </c>
      <c r="F401" s="391">
        <f t="shared" si="213"/>
        <v>24070</v>
      </c>
      <c r="G401" s="391">
        <f t="shared" si="213"/>
        <v>23247</v>
      </c>
      <c r="H401" s="391">
        <f t="shared" si="213"/>
        <v>27320</v>
      </c>
      <c r="I401" s="391">
        <f t="shared" si="213"/>
        <v>27584</v>
      </c>
      <c r="J401" s="391">
        <f t="shared" si="213"/>
        <v>25012</v>
      </c>
      <c r="K401" s="391">
        <f t="shared" si="213"/>
        <v>26477</v>
      </c>
      <c r="L401" s="391">
        <f t="shared" si="213"/>
        <v>23705</v>
      </c>
      <c r="M401" s="391">
        <f t="shared" si="213"/>
        <v>23002</v>
      </c>
      <c r="N401" s="393">
        <f>SUM(B401:M401)</f>
        <v>291900</v>
      </c>
      <c r="O401" s="394">
        <f>SUM(B401:D401)</f>
        <v>67115</v>
      </c>
      <c r="P401" s="394">
        <f>SUM(E401:G401)</f>
        <v>71685</v>
      </c>
      <c r="Q401" s="394">
        <f>SUM(H401:J401)</f>
        <v>79916</v>
      </c>
      <c r="R401" s="395">
        <f>SUM(K401:M401)</f>
        <v>73184</v>
      </c>
      <c r="S401" s="385"/>
    </row>
    <row r="402" spans="1:19">
      <c r="A402" s="390" t="s">
        <v>134</v>
      </c>
      <c r="B402" s="396">
        <f t="shared" ref="B402:N402" si="214">B401/B426-1</f>
        <v>0.16792044517724647</v>
      </c>
      <c r="C402" s="396">
        <f t="shared" si="214"/>
        <v>6.8359500206095936E-2</v>
      </c>
      <c r="D402" s="396">
        <f t="shared" si="214"/>
        <v>5.017948697885144E-2</v>
      </c>
      <c r="E402" s="396">
        <f t="shared" si="214"/>
        <v>0.12987434506421858</v>
      </c>
      <c r="F402" s="396">
        <f t="shared" si="214"/>
        <v>0.11803723384489628</v>
      </c>
      <c r="G402" s="396">
        <f t="shared" si="214"/>
        <v>6.3984621721817847E-2</v>
      </c>
      <c r="H402" s="396">
        <f t="shared" si="214"/>
        <v>-6.026417171161258E-2</v>
      </c>
      <c r="I402" s="396">
        <f t="shared" si="214"/>
        <v>4.8980833586857342E-2</v>
      </c>
      <c r="J402" s="396">
        <f t="shared" si="214"/>
        <v>0.10667669572142824</v>
      </c>
      <c r="K402" s="396">
        <f t="shared" si="214"/>
        <v>8.1753554502369763E-2</v>
      </c>
      <c r="L402" s="396">
        <f t="shared" si="214"/>
        <v>0.14054080061585839</v>
      </c>
      <c r="M402" s="396">
        <f t="shared" si="214"/>
        <v>9.3718796062954635E-2</v>
      </c>
      <c r="N402" s="397">
        <f t="shared" si="214"/>
        <v>7.8767883432577568E-2</v>
      </c>
      <c r="O402" s="398"/>
      <c r="P402" s="398"/>
      <c r="Q402" s="398"/>
      <c r="R402" s="398"/>
      <c r="S402" s="385"/>
    </row>
    <row r="403" spans="1:19" ht="15.5" customHeight="1">
      <c r="A403" s="390" t="s">
        <v>135</v>
      </c>
      <c r="B403" s="185"/>
      <c r="C403" s="399"/>
      <c r="D403" s="399"/>
      <c r="E403" s="399"/>
      <c r="F403" s="399"/>
      <c r="G403" s="399"/>
      <c r="H403" s="399"/>
      <c r="I403" s="399"/>
      <c r="J403" s="399"/>
      <c r="K403" s="399"/>
      <c r="L403" s="399"/>
      <c r="M403" s="399"/>
      <c r="N403" s="400"/>
      <c r="O403" s="401"/>
      <c r="P403" s="398"/>
      <c r="Q403" s="398"/>
      <c r="R403" s="398"/>
      <c r="S403" s="385"/>
    </row>
    <row r="404" spans="1:19">
      <c r="A404" s="385"/>
      <c r="B404" s="402"/>
      <c r="C404" s="402"/>
      <c r="D404" s="402"/>
      <c r="E404" s="402"/>
      <c r="F404" s="402"/>
      <c r="G404" s="427"/>
      <c r="H404" s="402"/>
      <c r="I404" s="402"/>
      <c r="J404" s="403"/>
      <c r="K404" s="403"/>
      <c r="L404" s="403"/>
      <c r="M404" s="403"/>
      <c r="N404" s="404"/>
      <c r="O404" s="404"/>
      <c r="P404" s="404"/>
      <c r="Q404" s="404"/>
      <c r="R404" s="404"/>
      <c r="S404" s="385"/>
    </row>
    <row r="405" spans="1:19">
      <c r="A405" s="428" t="s">
        <v>137</v>
      </c>
      <c r="B405" s="458">
        <f t="shared" ref="B405:M405" si="215">B409-B421</f>
        <v>20380</v>
      </c>
      <c r="C405" s="458">
        <f t="shared" si="215"/>
        <v>19405</v>
      </c>
      <c r="D405" s="458">
        <f t="shared" si="215"/>
        <v>20646</v>
      </c>
      <c r="E405" s="458">
        <f t="shared" si="215"/>
        <v>22098</v>
      </c>
      <c r="F405" s="458">
        <f t="shared" si="215"/>
        <v>21862</v>
      </c>
      <c r="G405" s="458">
        <f t="shared" si="215"/>
        <v>21009</v>
      </c>
      <c r="H405" s="458">
        <f t="shared" si="215"/>
        <v>24667</v>
      </c>
      <c r="I405" s="458">
        <f t="shared" si="215"/>
        <v>24899</v>
      </c>
      <c r="J405" s="458">
        <f t="shared" si="215"/>
        <v>22570</v>
      </c>
      <c r="K405" s="458">
        <f t="shared" si="215"/>
        <v>23904</v>
      </c>
      <c r="L405" s="458">
        <f t="shared" si="215"/>
        <v>21368</v>
      </c>
      <c r="M405" s="458">
        <f t="shared" si="215"/>
        <v>20602</v>
      </c>
      <c r="N405" s="393">
        <f>SUM(B405:M405)</f>
        <v>263410</v>
      </c>
      <c r="O405" s="459">
        <f>SUM(B405:D405)</f>
        <v>60431</v>
      </c>
      <c r="P405" s="459">
        <f>SUM(E405:G405)</f>
        <v>64969</v>
      </c>
      <c r="Q405" s="459">
        <f>SUM(H405:J405)</f>
        <v>72136</v>
      </c>
      <c r="R405" s="460">
        <f>SUM(K405:M405)</f>
        <v>65874</v>
      </c>
      <c r="S405" s="385"/>
    </row>
    <row r="406" spans="1:19">
      <c r="A406" s="390" t="s">
        <v>134</v>
      </c>
      <c r="B406" s="461">
        <f t="shared" ref="B406:M406" si="216">B405/(B409/(1+B410)-B421/(1+B422))-1</f>
        <v>0.15654778430751293</v>
      </c>
      <c r="C406" s="461">
        <f t="shared" si="216"/>
        <v>7.5522765977903639E-2</v>
      </c>
      <c r="D406" s="461">
        <f t="shared" si="216"/>
        <v>4.8665755794758292E-2</v>
      </c>
      <c r="E406" s="461">
        <f t="shared" si="216"/>
        <v>0.13956200211491021</v>
      </c>
      <c r="F406" s="461">
        <f t="shared" si="216"/>
        <v>0.1246204439794103</v>
      </c>
      <c r="G406" s="462">
        <f t="shared" si="216"/>
        <v>6.1883818637416876E-2</v>
      </c>
      <c r="H406" s="461">
        <f t="shared" si="216"/>
        <v>6.8358699941114764E-2</v>
      </c>
      <c r="I406" s="461">
        <f t="shared" si="216"/>
        <v>4.538032116702384E-2</v>
      </c>
      <c r="J406" s="461">
        <f t="shared" si="216"/>
        <v>9.7275846350725947E-2</v>
      </c>
      <c r="K406" s="461">
        <f t="shared" si="216"/>
        <v>7.2972750318732738E-2</v>
      </c>
      <c r="L406" s="461">
        <f t="shared" si="216"/>
        <v>0.13846609094452678</v>
      </c>
      <c r="M406" s="461">
        <f t="shared" si="216"/>
        <v>9.1253935060264579E-2</v>
      </c>
      <c r="N406" s="397">
        <f>N405/N430-1</f>
        <v>7.6783884573019101E-2</v>
      </c>
      <c r="O406" s="398"/>
      <c r="P406" s="398"/>
      <c r="Q406" s="398"/>
      <c r="R406" s="398"/>
      <c r="S406" s="385"/>
    </row>
    <row r="407" spans="1:19" ht="15.5" customHeight="1">
      <c r="A407" s="390" t="s">
        <v>135</v>
      </c>
      <c r="B407" s="185"/>
      <c r="C407" s="399"/>
      <c r="D407" s="399"/>
      <c r="E407" s="399"/>
      <c r="F407" s="399"/>
      <c r="G407" s="399"/>
      <c r="H407" s="399"/>
      <c r="I407" s="399"/>
      <c r="J407" s="399"/>
      <c r="K407" s="399"/>
      <c r="L407" s="399"/>
      <c r="M407" s="399"/>
      <c r="N407" s="400"/>
      <c r="O407" s="401"/>
      <c r="P407" s="398"/>
      <c r="Q407" s="398"/>
      <c r="R407" s="398"/>
      <c r="S407" s="385"/>
    </row>
    <row r="408" spans="1:19">
      <c r="A408" s="385"/>
      <c r="B408" s="402"/>
      <c r="C408" s="402"/>
      <c r="D408" s="402"/>
      <c r="E408" s="402"/>
      <c r="F408" s="402"/>
      <c r="G408" s="427"/>
      <c r="H408" s="402"/>
      <c r="I408" s="402"/>
      <c r="J408" s="403"/>
      <c r="K408" s="403"/>
      <c r="L408" s="403"/>
      <c r="M408" s="403"/>
      <c r="N408" s="404"/>
      <c r="O408" s="404"/>
      <c r="P408" s="404"/>
      <c r="Q408" s="404"/>
      <c r="R408" s="404"/>
      <c r="S408" s="385"/>
    </row>
    <row r="409" spans="1:19">
      <c r="A409" s="429" t="s">
        <v>145</v>
      </c>
      <c r="B409" s="455">
        <v>20956</v>
      </c>
      <c r="C409" s="455">
        <v>19992</v>
      </c>
      <c r="D409" s="455">
        <v>21227</v>
      </c>
      <c r="E409" s="455">
        <v>22752</v>
      </c>
      <c r="F409" s="455">
        <v>22485</v>
      </c>
      <c r="G409" s="455">
        <v>21590</v>
      </c>
      <c r="H409" s="455">
        <v>25370</v>
      </c>
      <c r="I409" s="455">
        <v>25585</v>
      </c>
      <c r="J409" s="455">
        <v>23169</v>
      </c>
      <c r="K409" s="455">
        <v>24556</v>
      </c>
      <c r="L409" s="455">
        <v>22017</v>
      </c>
      <c r="M409" s="455">
        <v>21251</v>
      </c>
      <c r="N409" s="393">
        <f>SUM(B409:M409)</f>
        <v>270950</v>
      </c>
      <c r="O409" s="394">
        <f>SUM(B409:M409)</f>
        <v>270950</v>
      </c>
      <c r="P409" s="394">
        <f>SUM(E409:G409)</f>
        <v>66827</v>
      </c>
      <c r="Q409" s="394">
        <f>SUM(H409:J409)</f>
        <v>74124</v>
      </c>
      <c r="R409" s="395">
        <f>SUM(K409:M409)</f>
        <v>67824</v>
      </c>
      <c r="S409" s="385"/>
    </row>
    <row r="410" spans="1:19">
      <c r="A410" s="390" t="s">
        <v>134</v>
      </c>
      <c r="B410" s="463">
        <v>0.159</v>
      </c>
      <c r="C410" s="463">
        <v>7.4999999999999997E-2</v>
      </c>
      <c r="D410" s="463">
        <v>5.1999999999999998E-2</v>
      </c>
      <c r="E410" s="463">
        <v>0.14000000000000001</v>
      </c>
      <c r="F410" s="463">
        <f>F409/F434-1</f>
        <v>0.12626037476896257</v>
      </c>
      <c r="G410" s="463">
        <v>6.3E-2</v>
      </c>
      <c r="H410" s="463">
        <v>6.9000000000000006E-2</v>
      </c>
      <c r="I410" s="463">
        <v>4.5999999999999999E-2</v>
      </c>
      <c r="J410" s="463">
        <v>9.8000000000000004E-2</v>
      </c>
      <c r="K410" s="463">
        <v>7.2999999999999995E-2</v>
      </c>
      <c r="L410" s="463">
        <v>0.13900000000000001</v>
      </c>
      <c r="M410" s="463">
        <v>9.0999999999999998E-2</v>
      </c>
      <c r="N410" s="397">
        <f>N409/N434-1</f>
        <v>7.8171419044932966E-2</v>
      </c>
      <c r="O410" s="398"/>
      <c r="P410" s="398"/>
      <c r="Q410" s="398"/>
      <c r="R410" s="398"/>
      <c r="S410" s="385"/>
    </row>
    <row r="411" spans="1:19" ht="15.5" customHeight="1">
      <c r="A411" s="390" t="s">
        <v>135</v>
      </c>
      <c r="B411" s="185"/>
      <c r="C411" s="399"/>
      <c r="D411" s="399"/>
      <c r="E411" s="399"/>
      <c r="F411" s="399"/>
      <c r="G411" s="399"/>
      <c r="H411" s="399"/>
      <c r="I411" s="399"/>
      <c r="J411" s="399"/>
      <c r="K411" s="399"/>
      <c r="L411" s="399"/>
      <c r="M411" s="399"/>
      <c r="N411" s="400"/>
      <c r="O411" s="401"/>
      <c r="P411" s="398"/>
      <c r="Q411" s="398"/>
      <c r="R411" s="398"/>
      <c r="S411" s="385"/>
    </row>
    <row r="412" spans="1:19">
      <c r="A412" s="385"/>
      <c r="B412" s="402"/>
      <c r="C412" s="402"/>
      <c r="D412" s="402"/>
      <c r="E412" s="402"/>
      <c r="F412" s="402"/>
      <c r="G412" s="427"/>
      <c r="H412" s="402"/>
      <c r="I412" s="402"/>
      <c r="J412" s="403"/>
      <c r="K412" s="403"/>
      <c r="L412" s="403"/>
      <c r="M412" s="403"/>
      <c r="N412" s="404"/>
      <c r="O412" s="404"/>
      <c r="P412" s="404"/>
      <c r="Q412" s="404"/>
      <c r="R412" s="404"/>
      <c r="S412" s="385"/>
    </row>
    <row r="413" spans="1:19">
      <c r="A413" s="430" t="s">
        <v>146</v>
      </c>
      <c r="B413" s="458">
        <f t="shared" ref="B413:M413" si="217">B417+B421</f>
        <v>2287</v>
      </c>
      <c r="C413" s="458">
        <f t="shared" si="217"/>
        <v>2227</v>
      </c>
      <c r="D413" s="458">
        <f t="shared" si="217"/>
        <v>2170</v>
      </c>
      <c r="E413" s="458">
        <f t="shared" si="217"/>
        <v>2270</v>
      </c>
      <c r="F413" s="458">
        <f t="shared" si="217"/>
        <v>2208</v>
      </c>
      <c r="G413" s="458">
        <f t="shared" si="217"/>
        <v>2238</v>
      </c>
      <c r="H413" s="458">
        <f t="shared" si="217"/>
        <v>2653</v>
      </c>
      <c r="I413" s="458">
        <f t="shared" si="217"/>
        <v>2685</v>
      </c>
      <c r="J413" s="458">
        <f t="shared" si="217"/>
        <v>2442</v>
      </c>
      <c r="K413" s="458">
        <f t="shared" si="217"/>
        <v>2573</v>
      </c>
      <c r="L413" s="458">
        <f t="shared" si="217"/>
        <v>2337</v>
      </c>
      <c r="M413" s="458">
        <f t="shared" si="217"/>
        <v>2400</v>
      </c>
      <c r="N413" s="393">
        <f>SUM(B413:M413)</f>
        <v>28490</v>
      </c>
      <c r="O413" s="459">
        <f>SUM(B413:D413)</f>
        <v>6684</v>
      </c>
      <c r="P413" s="459">
        <f>SUM(E413:G413)</f>
        <v>6716</v>
      </c>
      <c r="Q413" s="459">
        <f>SUM(H413:J413)</f>
        <v>7780</v>
      </c>
      <c r="R413" s="395">
        <f>SUM(K413:M413)</f>
        <v>7310</v>
      </c>
      <c r="S413" s="385"/>
    </row>
    <row r="414" spans="1:19">
      <c r="A414" s="390" t="s">
        <v>134</v>
      </c>
      <c r="B414" s="461">
        <f t="shared" ref="B414:M414" si="218">B413/(B421/(1+B422)+B417/(1+B418))-1</f>
        <v>0.28342308652106607</v>
      </c>
      <c r="C414" s="461">
        <f t="shared" si="218"/>
        <v>0.12282401797263254</v>
      </c>
      <c r="D414" s="461">
        <f t="shared" si="218"/>
        <v>6.5236202368089247E-2</v>
      </c>
      <c r="E414" s="461">
        <f t="shared" si="218"/>
        <v>4.7135153813817832E-2</v>
      </c>
      <c r="F414" s="461">
        <f t="shared" si="218"/>
        <v>5.6786696620225063E-2</v>
      </c>
      <c r="G414" s="462">
        <f t="shared" si="218"/>
        <v>7.1326299786051095E-2</v>
      </c>
      <c r="H414" s="461">
        <f t="shared" si="218"/>
        <v>0.10006366270553402</v>
      </c>
      <c r="I414" s="461">
        <f t="shared" si="218"/>
        <v>4.9521791778165181E-2</v>
      </c>
      <c r="J414" s="461">
        <f t="shared" si="218"/>
        <v>9.8615710113308719E-2</v>
      </c>
      <c r="K414" s="461">
        <f t="shared" si="218"/>
        <v>9.6976524043922652E-2</v>
      </c>
      <c r="L414" s="461">
        <f t="shared" si="218"/>
        <v>0.13367110440360053</v>
      </c>
      <c r="M414" s="461">
        <f t="shared" si="218"/>
        <v>9.5350491699400131E-2</v>
      </c>
      <c r="N414" s="397">
        <f>N413/N438-1</f>
        <v>9.7463630193971085E-2</v>
      </c>
      <c r="O414" s="396">
        <f>O413/O438-1</f>
        <v>0.13288942056875674</v>
      </c>
      <c r="P414" s="396">
        <f>P413/P438-1</f>
        <v>5.9489816845194055E-2</v>
      </c>
      <c r="Q414" s="396">
        <f>Q413/Q438-1</f>
        <v>8.8873337998600421E-2</v>
      </c>
      <c r="R414" s="396">
        <f>R413/R438-1</f>
        <v>0.11161800486618012</v>
      </c>
      <c r="S414" s="385"/>
    </row>
    <row r="415" spans="1:19" ht="15.5" customHeight="1">
      <c r="A415" s="390" t="s">
        <v>135</v>
      </c>
      <c r="B415" s="399"/>
      <c r="C415" s="399"/>
      <c r="D415" s="399"/>
      <c r="E415" s="399"/>
      <c r="F415" s="399"/>
      <c r="G415" s="399"/>
      <c r="H415" s="399"/>
      <c r="I415" s="399"/>
      <c r="J415" s="399"/>
      <c r="K415" s="399"/>
      <c r="L415" s="399"/>
      <c r="M415" s="408"/>
      <c r="N415" s="400" t="s">
        <v>136</v>
      </c>
      <c r="O415" s="401"/>
      <c r="P415" s="398"/>
      <c r="Q415" s="398"/>
      <c r="R415" s="398"/>
      <c r="S415" s="385"/>
    </row>
    <row r="416" spans="1:19">
      <c r="A416" s="385"/>
      <c r="B416" s="402"/>
      <c r="C416" s="402"/>
      <c r="D416" s="402"/>
      <c r="E416" s="402"/>
      <c r="F416" s="402"/>
      <c r="G416" s="427"/>
      <c r="H416" s="402"/>
      <c r="I416" s="402"/>
      <c r="J416" s="403"/>
      <c r="K416" s="403"/>
      <c r="L416" s="403"/>
      <c r="M416" s="403"/>
      <c r="N416" s="404"/>
      <c r="O416" s="404"/>
      <c r="P416" s="404"/>
      <c r="Q416" s="404"/>
      <c r="R416" s="404"/>
      <c r="S416" s="385"/>
    </row>
    <row r="417" spans="1:19">
      <c r="A417" s="431" t="s">
        <v>147</v>
      </c>
      <c r="B417" s="455">
        <v>1711</v>
      </c>
      <c r="C417" s="455">
        <v>1640</v>
      </c>
      <c r="D417" s="455">
        <v>1589</v>
      </c>
      <c r="E417" s="455">
        <v>1616</v>
      </c>
      <c r="F417" s="455">
        <v>1585</v>
      </c>
      <c r="G417" s="455">
        <v>1657</v>
      </c>
      <c r="H417" s="455">
        <v>1950</v>
      </c>
      <c r="I417" s="455">
        <v>1999</v>
      </c>
      <c r="J417" s="455">
        <v>1843</v>
      </c>
      <c r="K417" s="455">
        <v>1921</v>
      </c>
      <c r="L417" s="455">
        <v>1688</v>
      </c>
      <c r="M417" s="455">
        <v>1751</v>
      </c>
      <c r="N417" s="393">
        <f>SUM(B417:M417)</f>
        <v>20950</v>
      </c>
      <c r="O417" s="394">
        <f>SUM(B417:M417)</f>
        <v>20950</v>
      </c>
      <c r="P417" s="394">
        <f>SUM(E417:G417)</f>
        <v>4858</v>
      </c>
      <c r="Q417" s="394">
        <f>SUM(H417:J417)</f>
        <v>5792</v>
      </c>
      <c r="R417" s="395">
        <f>SUM(K417:M417)</f>
        <v>5360</v>
      </c>
      <c r="S417" s="385"/>
    </row>
    <row r="418" spans="1:19">
      <c r="A418" s="390" t="s">
        <v>134</v>
      </c>
      <c r="B418" s="463">
        <v>0.29399999999999998</v>
      </c>
      <c r="C418" s="463">
        <v>0.14799999999999999</v>
      </c>
      <c r="D418" s="463">
        <v>2.7E-2</v>
      </c>
      <c r="E418" s="463">
        <v>8.9999999999999993E-3</v>
      </c>
      <c r="F418" s="463">
        <f>F417/F442-1</f>
        <v>1.3103227868328515E-2</v>
      </c>
      <c r="G418" s="463">
        <v>0.06</v>
      </c>
      <c r="H418" s="463">
        <v>0.10299999999999999</v>
      </c>
      <c r="I418" s="463">
        <v>4.2999999999999997E-2</v>
      </c>
      <c r="J418" s="463">
        <v>0.09</v>
      </c>
      <c r="K418" s="463">
        <v>0.105</v>
      </c>
      <c r="L418" s="463">
        <v>0.125</v>
      </c>
      <c r="M418" s="463">
        <v>0.1</v>
      </c>
      <c r="N418" s="397">
        <f>N417/N442-1</f>
        <v>8.6541951358810154E-2</v>
      </c>
      <c r="O418" s="396"/>
      <c r="P418" s="398"/>
      <c r="Q418" s="398"/>
      <c r="R418" s="398"/>
      <c r="S418" s="385"/>
    </row>
    <row r="419" spans="1:19" ht="15.5" customHeight="1">
      <c r="A419" s="390" t="s">
        <v>135</v>
      </c>
      <c r="B419" s="399"/>
      <c r="C419" s="399"/>
      <c r="D419" s="399"/>
      <c r="E419" s="399"/>
      <c r="F419" s="399"/>
      <c r="G419" s="399"/>
      <c r="H419" s="399"/>
      <c r="I419" s="399"/>
      <c r="J419" s="399"/>
      <c r="K419" s="399"/>
      <c r="L419" s="399"/>
      <c r="M419" s="408"/>
      <c r="N419" s="400" t="s">
        <v>136</v>
      </c>
      <c r="O419" s="401"/>
      <c r="P419" s="398"/>
      <c r="Q419" s="398"/>
      <c r="R419" s="398"/>
      <c r="S419" s="385"/>
    </row>
    <row r="420" spans="1:19">
      <c r="A420" s="385"/>
      <c r="S420" s="385"/>
    </row>
    <row r="421" spans="1:19">
      <c r="A421" s="433" t="s">
        <v>148</v>
      </c>
      <c r="B421" s="455">
        <v>576</v>
      </c>
      <c r="C421" s="455">
        <v>587</v>
      </c>
      <c r="D421" s="455">
        <v>581</v>
      </c>
      <c r="E421" s="455">
        <v>654</v>
      </c>
      <c r="F421" s="455">
        <v>623</v>
      </c>
      <c r="G421" s="455">
        <v>581</v>
      </c>
      <c r="H421" s="455">
        <v>703</v>
      </c>
      <c r="I421" s="455">
        <v>686</v>
      </c>
      <c r="J421" s="455">
        <v>599</v>
      </c>
      <c r="K421" s="455">
        <v>652</v>
      </c>
      <c r="L421" s="455">
        <v>649</v>
      </c>
      <c r="M421" s="455">
        <v>649</v>
      </c>
      <c r="N421" s="393">
        <f>SUM(B421:M421)</f>
        <v>7540</v>
      </c>
      <c r="O421" s="394">
        <f>SUM(B421:M421)</f>
        <v>7540</v>
      </c>
      <c r="P421" s="394">
        <f>SUM(E421:G421)</f>
        <v>1858</v>
      </c>
      <c r="Q421" s="394">
        <f>SUM(H421:J421)</f>
        <v>1988</v>
      </c>
      <c r="R421" s="395">
        <f>SUM(K421:M421)</f>
        <v>1950</v>
      </c>
      <c r="S421" s="385"/>
    </row>
    <row r="422" spans="1:19">
      <c r="A422" s="390" t="s">
        <v>134</v>
      </c>
      <c r="B422" s="463">
        <v>0.253</v>
      </c>
      <c r="C422" s="463">
        <v>5.8000000000000003E-2</v>
      </c>
      <c r="D422" s="463">
        <v>0.186</v>
      </c>
      <c r="E422" s="463">
        <v>0.155</v>
      </c>
      <c r="F422" s="463">
        <v>0.187</v>
      </c>
      <c r="G422" s="463">
        <v>0.105</v>
      </c>
      <c r="H422" s="463">
        <v>9.1999999999999998E-2</v>
      </c>
      <c r="I422" s="463">
        <v>6.9000000000000006E-2</v>
      </c>
      <c r="J422" s="463">
        <v>0.126</v>
      </c>
      <c r="K422" s="463">
        <v>7.3999999999999996E-2</v>
      </c>
      <c r="L422" s="463">
        <f>L421/L446-1</f>
        <v>0.15686274509803932</v>
      </c>
      <c r="M422" s="463">
        <v>8.3000000000000004E-2</v>
      </c>
      <c r="N422" s="397">
        <f>N421/N446-1</f>
        <v>0.1289953558461594</v>
      </c>
      <c r="O422" s="398"/>
      <c r="P422" s="398"/>
      <c r="Q422" s="398"/>
      <c r="R422" s="398"/>
      <c r="S422" s="385"/>
    </row>
    <row r="423" spans="1:19" ht="15.5" customHeight="1">
      <c r="A423" s="390" t="s">
        <v>135</v>
      </c>
      <c r="B423" s="185"/>
      <c r="C423" s="399"/>
      <c r="D423" s="399"/>
      <c r="E423" s="399"/>
      <c r="F423" s="399"/>
      <c r="G423" s="399"/>
      <c r="H423" s="399"/>
      <c r="I423" s="399"/>
      <c r="J423" s="399"/>
      <c r="K423" s="399"/>
      <c r="L423" s="399"/>
      <c r="M423" s="399"/>
      <c r="N423" s="400" t="s">
        <v>136</v>
      </c>
      <c r="O423" s="401"/>
      <c r="P423" s="398"/>
      <c r="Q423" s="398"/>
      <c r="R423" s="398"/>
      <c r="S423" s="385"/>
    </row>
    <row r="424" spans="1:19">
      <c r="S424" s="385"/>
    </row>
    <row r="425" spans="1:19" ht="15.5" customHeight="1">
      <c r="A425" s="422" t="s">
        <v>169</v>
      </c>
      <c r="B425" s="187" t="s">
        <v>51</v>
      </c>
      <c r="C425" s="187" t="s">
        <v>52</v>
      </c>
      <c r="D425" s="187" t="s">
        <v>53</v>
      </c>
      <c r="E425" s="187" t="s">
        <v>54</v>
      </c>
      <c r="F425" s="187" t="s">
        <v>55</v>
      </c>
      <c r="G425" s="187" t="s">
        <v>77</v>
      </c>
      <c r="H425" s="187" t="s">
        <v>78</v>
      </c>
      <c r="I425" s="187" t="s">
        <v>79</v>
      </c>
      <c r="J425" s="187" t="s">
        <v>80</v>
      </c>
      <c r="K425" s="187" t="s">
        <v>81</v>
      </c>
      <c r="L425" s="187" t="s">
        <v>82</v>
      </c>
      <c r="M425" s="187" t="s">
        <v>44</v>
      </c>
      <c r="N425" s="389" t="s">
        <v>128</v>
      </c>
      <c r="O425" s="5" t="s">
        <v>129</v>
      </c>
      <c r="P425" s="5" t="s">
        <v>130</v>
      </c>
      <c r="Q425" s="5" t="s">
        <v>131</v>
      </c>
      <c r="R425" s="5" t="s">
        <v>132</v>
      </c>
      <c r="S425" s="385"/>
    </row>
    <row r="426" spans="1:19">
      <c r="A426" s="423" t="s">
        <v>133</v>
      </c>
      <c r="B426" s="391">
        <f t="shared" ref="B426:M426" si="219">B434+B442</f>
        <v>19408</v>
      </c>
      <c r="C426" s="391">
        <f t="shared" si="219"/>
        <v>20247.865999999998</v>
      </c>
      <c r="D426" s="391">
        <f t="shared" si="219"/>
        <v>21725.81</v>
      </c>
      <c r="E426" s="391">
        <f t="shared" si="219"/>
        <v>21567</v>
      </c>
      <c r="F426" s="391">
        <f t="shared" si="219"/>
        <v>21528.799999999999</v>
      </c>
      <c r="G426" s="391">
        <f t="shared" si="219"/>
        <v>21849</v>
      </c>
      <c r="H426" s="391">
        <f t="shared" si="219"/>
        <v>29072</v>
      </c>
      <c r="I426" s="391">
        <f t="shared" si="219"/>
        <v>26296</v>
      </c>
      <c r="J426" s="391">
        <f t="shared" si="219"/>
        <v>22601</v>
      </c>
      <c r="K426" s="391">
        <f t="shared" si="219"/>
        <v>24476</v>
      </c>
      <c r="L426" s="391">
        <f t="shared" si="219"/>
        <v>20784</v>
      </c>
      <c r="M426" s="391">
        <f t="shared" si="219"/>
        <v>21031</v>
      </c>
      <c r="N426" s="393">
        <f>SUM(B426:M426)</f>
        <v>270586.47600000002</v>
      </c>
      <c r="O426" s="394">
        <f>SUM(B426:D426)</f>
        <v>61381.675999999992</v>
      </c>
      <c r="P426" s="394">
        <f>SUM(E426:G426)</f>
        <v>64944.800000000003</v>
      </c>
      <c r="Q426" s="394">
        <f>SUM(H426:J426)</f>
        <v>77969</v>
      </c>
      <c r="R426" s="395">
        <f>SUM(K426:M426)</f>
        <v>66291</v>
      </c>
      <c r="S426" s="385"/>
    </row>
    <row r="427" spans="1:19">
      <c r="A427" s="390" t="s">
        <v>134</v>
      </c>
      <c r="B427" s="396">
        <f t="shared" ref="B427:N427" si="220">B426/B451-1</f>
        <v>0.13469657645759958</v>
      </c>
      <c r="C427" s="396">
        <f t="shared" si="220"/>
        <v>0.18830974709065496</v>
      </c>
      <c r="D427" s="396">
        <f t="shared" si="220"/>
        <v>0.20305569978502458</v>
      </c>
      <c r="E427" s="396">
        <f t="shared" si="220"/>
        <v>0.14227667966270752</v>
      </c>
      <c r="F427" s="396">
        <f t="shared" si="220"/>
        <v>0.18254674065197762</v>
      </c>
      <c r="G427" s="396">
        <f t="shared" si="220"/>
        <v>0.23163948557715197</v>
      </c>
      <c r="H427" s="396">
        <f t="shared" si="220"/>
        <v>0.20837440712681699</v>
      </c>
      <c r="I427" s="396">
        <f t="shared" si="220"/>
        <v>0.16069691489732718</v>
      </c>
      <c r="J427" s="396">
        <f t="shared" si="220"/>
        <v>0.17027506216383448</v>
      </c>
      <c r="K427" s="396">
        <f t="shared" si="220"/>
        <v>0.12649278294208788</v>
      </c>
      <c r="L427" s="396">
        <f t="shared" si="220"/>
        <v>6.0693384394104655E-2</v>
      </c>
      <c r="M427" s="396">
        <f t="shared" si="220"/>
        <v>0.12390913046824248</v>
      </c>
      <c r="N427" s="397">
        <f t="shared" si="220"/>
        <v>0.1608692950341406</v>
      </c>
      <c r="O427" s="398"/>
      <c r="P427" s="398"/>
      <c r="Q427" s="398"/>
      <c r="R427" s="398"/>
      <c r="S427" s="385"/>
    </row>
    <row r="428" spans="1:19" ht="15.5" customHeight="1">
      <c r="A428" s="390" t="s">
        <v>135</v>
      </c>
      <c r="B428" s="185"/>
      <c r="C428" s="399"/>
      <c r="D428" s="399"/>
      <c r="E428" s="399"/>
      <c r="F428" s="399"/>
      <c r="G428" s="399"/>
      <c r="H428" s="399"/>
      <c r="I428" s="399"/>
      <c r="J428" s="399"/>
      <c r="K428" s="399"/>
      <c r="L428" s="399"/>
      <c r="M428" s="399"/>
      <c r="N428" s="400"/>
      <c r="O428" s="401"/>
      <c r="P428" s="398"/>
      <c r="Q428" s="398"/>
      <c r="R428" s="398"/>
      <c r="S428" s="385"/>
    </row>
    <row r="429" spans="1:19">
      <c r="A429" s="385"/>
      <c r="B429" s="402"/>
      <c r="C429" s="402"/>
      <c r="D429" s="402"/>
      <c r="E429" s="402"/>
      <c r="F429" s="402"/>
      <c r="G429" s="427"/>
      <c r="H429" s="402"/>
      <c r="I429" s="402"/>
      <c r="J429" s="403"/>
      <c r="K429" s="403"/>
      <c r="L429" s="403"/>
      <c r="M429" s="403"/>
      <c r="N429" s="404"/>
      <c r="O429" s="404"/>
      <c r="P429" s="404"/>
      <c r="Q429" s="404"/>
      <c r="R429" s="404"/>
      <c r="S429" s="385"/>
    </row>
    <row r="430" spans="1:19" s="444" customFormat="1" ht="15.5" customHeight="1">
      <c r="A430" s="465" t="s">
        <v>137</v>
      </c>
      <c r="B430" s="458">
        <f t="shared" ref="B430:M430" si="221">B434-B446</f>
        <v>17585</v>
      </c>
      <c r="C430" s="458">
        <f t="shared" si="221"/>
        <v>18208.763999999999</v>
      </c>
      <c r="D430" s="458">
        <f t="shared" si="221"/>
        <v>19687.954000000002</v>
      </c>
      <c r="E430" s="458">
        <f t="shared" si="221"/>
        <v>19399</v>
      </c>
      <c r="F430" s="458">
        <f t="shared" si="221"/>
        <v>19438.899999999998</v>
      </c>
      <c r="G430" s="458">
        <f t="shared" si="221"/>
        <v>19768</v>
      </c>
      <c r="H430" s="458">
        <f t="shared" si="221"/>
        <v>26666</v>
      </c>
      <c r="I430" s="458">
        <f t="shared" si="221"/>
        <v>23755</v>
      </c>
      <c r="J430" s="458">
        <f t="shared" si="221"/>
        <v>20403</v>
      </c>
      <c r="K430" s="458">
        <f t="shared" si="221"/>
        <v>22141</v>
      </c>
      <c r="L430" s="458">
        <f t="shared" si="221"/>
        <v>18727</v>
      </c>
      <c r="M430" s="458">
        <f t="shared" si="221"/>
        <v>18847</v>
      </c>
      <c r="N430" s="393">
        <f>SUM(B430:M430)</f>
        <v>244626.61799999999</v>
      </c>
      <c r="O430" s="459">
        <f>SUM(B430:D430)</f>
        <v>55481.717999999993</v>
      </c>
      <c r="P430" s="459">
        <f>SUM(E430:G430)</f>
        <v>58605.899999999994</v>
      </c>
      <c r="Q430" s="459">
        <f>SUM(H430:J430)</f>
        <v>70824</v>
      </c>
      <c r="R430" s="460">
        <f>SUM(K430:M430)</f>
        <v>59715</v>
      </c>
      <c r="S430" s="385"/>
    </row>
    <row r="431" spans="1:19">
      <c r="A431" s="390" t="s">
        <v>134</v>
      </c>
      <c r="B431" s="396">
        <f t="shared" ref="B431:N431" si="222">B430/B455-1</f>
        <v>0.13772015404364568</v>
      </c>
      <c r="C431" s="396">
        <f t="shared" si="222"/>
        <v>0.16577866846890954</v>
      </c>
      <c r="D431" s="396">
        <f t="shared" si="222"/>
        <v>0.19550687327718519</v>
      </c>
      <c r="E431" s="396">
        <f t="shared" si="222"/>
        <v>0.13020933154459757</v>
      </c>
      <c r="F431" s="396">
        <f t="shared" si="222"/>
        <v>0.16303659838243378</v>
      </c>
      <c r="G431" s="396">
        <f t="shared" si="222"/>
        <v>0.20415421330297634</v>
      </c>
      <c r="H431" s="396">
        <f t="shared" si="222"/>
        <v>0.18972276358127371</v>
      </c>
      <c r="I431" s="396">
        <f t="shared" si="222"/>
        <v>0.14511155504297668</v>
      </c>
      <c r="J431" s="396">
        <f t="shared" si="222"/>
        <v>0.15659873918780232</v>
      </c>
      <c r="K431" s="396">
        <f t="shared" si="222"/>
        <v>0.11464364979342889</v>
      </c>
      <c r="L431" s="396">
        <f t="shared" si="222"/>
        <v>5.0172158059730965E-2</v>
      </c>
      <c r="M431" s="396">
        <f t="shared" si="222"/>
        <v>0.11413158400964885</v>
      </c>
      <c r="N431" s="397">
        <f t="shared" si="222"/>
        <v>0.14713666027690553</v>
      </c>
      <c r="O431" s="398"/>
      <c r="P431" s="398"/>
      <c r="Q431" s="398"/>
      <c r="R431" s="398"/>
      <c r="S431" s="385"/>
    </row>
    <row r="432" spans="1:19" ht="15.5" customHeight="1">
      <c r="A432" s="390" t="s">
        <v>135</v>
      </c>
      <c r="B432" s="185"/>
      <c r="C432" s="399"/>
      <c r="D432" s="399"/>
      <c r="E432" s="399"/>
      <c r="F432" s="399"/>
      <c r="G432" s="399"/>
      <c r="H432" s="399"/>
      <c r="I432" s="399"/>
      <c r="J432" s="399"/>
      <c r="K432" s="399"/>
      <c r="L432" s="399"/>
      <c r="M432" s="399"/>
      <c r="N432" s="400"/>
      <c r="O432" s="401"/>
      <c r="P432" s="398"/>
      <c r="Q432" s="398"/>
      <c r="R432" s="398"/>
      <c r="S432" s="385"/>
    </row>
    <row r="433" spans="1:19">
      <c r="A433" s="385"/>
      <c r="B433" s="402"/>
      <c r="C433" s="402"/>
      <c r="D433" s="402"/>
      <c r="E433" s="402"/>
      <c r="F433" s="402"/>
      <c r="G433" s="427"/>
      <c r="H433" s="402"/>
      <c r="I433" s="402"/>
      <c r="J433" s="403"/>
      <c r="K433" s="403"/>
      <c r="L433" s="403"/>
      <c r="M433" s="403"/>
      <c r="N433" s="404"/>
      <c r="O433" s="404"/>
      <c r="P433" s="404"/>
      <c r="Q433" s="404"/>
      <c r="R433" s="404"/>
      <c r="S433" s="385"/>
    </row>
    <row r="434" spans="1:19">
      <c r="A434" s="429" t="s">
        <v>145</v>
      </c>
      <c r="B434" s="455">
        <v>18045</v>
      </c>
      <c r="C434" s="455">
        <v>18759.462</v>
      </c>
      <c r="D434" s="455">
        <v>20178.36</v>
      </c>
      <c r="E434" s="455">
        <v>19965</v>
      </c>
      <c r="F434" s="455">
        <v>19964.3</v>
      </c>
      <c r="G434" s="455">
        <v>20288</v>
      </c>
      <c r="H434" s="455">
        <v>27309</v>
      </c>
      <c r="I434" s="455">
        <v>24394</v>
      </c>
      <c r="J434" s="455">
        <v>20927</v>
      </c>
      <c r="K434" s="455">
        <v>22744</v>
      </c>
      <c r="L434" s="455">
        <v>19288</v>
      </c>
      <c r="M434" s="455">
        <v>19443</v>
      </c>
      <c r="N434" s="393">
        <f>SUM(B434:M434)</f>
        <v>251305.122</v>
      </c>
      <c r="O434" s="394">
        <f>SUM(B434:M434)</f>
        <v>251305.122</v>
      </c>
      <c r="P434" s="394">
        <f>SUM(E434:G434)</f>
        <v>60217.3</v>
      </c>
      <c r="Q434" s="394">
        <f>SUM(H434:J434)</f>
        <v>72630</v>
      </c>
      <c r="R434" s="395">
        <f>SUM(K434:M434)</f>
        <v>61475</v>
      </c>
      <c r="S434" s="385"/>
    </row>
    <row r="435" spans="1:19">
      <c r="A435" s="390" t="s">
        <v>134</v>
      </c>
      <c r="B435" s="463">
        <v>0.13400000000000001</v>
      </c>
      <c r="C435" s="463">
        <v>0.17399999999999999</v>
      </c>
      <c r="D435" s="463">
        <v>0.19500000000000001</v>
      </c>
      <c r="E435" s="463">
        <v>0.13200000000000001</v>
      </c>
      <c r="F435" s="463">
        <v>0.16800000000000001</v>
      </c>
      <c r="G435" s="463">
        <v>0.21299999999999999</v>
      </c>
      <c r="H435" s="463">
        <v>0.19600000000000001</v>
      </c>
      <c r="I435" s="463">
        <v>0.14899999999999999</v>
      </c>
      <c r="J435" s="463">
        <v>0.16</v>
      </c>
      <c r="K435" s="463">
        <v>0.11700000000000001</v>
      </c>
      <c r="L435" s="463">
        <v>5.2999999999999999E-2</v>
      </c>
      <c r="M435" s="463">
        <v>0.11700000000000001</v>
      </c>
      <c r="N435" s="397">
        <f>N434/N459-1</f>
        <v>0.15054510859680681</v>
      </c>
      <c r="O435" s="398"/>
      <c r="P435" s="398"/>
      <c r="Q435" s="398"/>
      <c r="R435" s="398"/>
      <c r="S435" s="385"/>
    </row>
    <row r="436" spans="1:19" ht="15.5" customHeight="1">
      <c r="A436" s="390" t="s">
        <v>135</v>
      </c>
      <c r="B436" s="185"/>
      <c r="C436" s="399"/>
      <c r="D436" s="399"/>
      <c r="E436" s="399"/>
      <c r="F436" s="399"/>
      <c r="G436" s="399"/>
      <c r="H436" s="399"/>
      <c r="I436" s="399"/>
      <c r="J436" s="399"/>
      <c r="K436" s="399"/>
      <c r="L436" s="399"/>
      <c r="M436" s="399"/>
      <c r="N436" s="400"/>
      <c r="O436" s="401"/>
      <c r="P436" s="398"/>
      <c r="Q436" s="398"/>
      <c r="R436" s="398"/>
      <c r="S436" s="385"/>
    </row>
    <row r="437" spans="1:19">
      <c r="A437" s="385"/>
      <c r="B437" s="402"/>
      <c r="C437" s="402"/>
      <c r="D437" s="402"/>
      <c r="E437" s="402"/>
      <c r="F437" s="402"/>
      <c r="G437" s="427"/>
      <c r="H437" s="402"/>
      <c r="I437" s="402"/>
      <c r="J437" s="403"/>
      <c r="K437" s="403"/>
      <c r="L437" s="403"/>
      <c r="M437" s="403"/>
      <c r="N437" s="404"/>
      <c r="O437" s="404"/>
      <c r="P437" s="404"/>
      <c r="Q437" s="404"/>
      <c r="R437" s="404"/>
      <c r="S437" s="385"/>
    </row>
    <row r="438" spans="1:19" s="444" customFormat="1" ht="15.5" customHeight="1">
      <c r="A438" s="466" t="s">
        <v>146</v>
      </c>
      <c r="B438" s="458">
        <f t="shared" ref="B438:M438" si="223">B442+B446</f>
        <v>1823</v>
      </c>
      <c r="C438" s="458">
        <f t="shared" si="223"/>
        <v>2039.1019999999999</v>
      </c>
      <c r="D438" s="458">
        <f t="shared" si="223"/>
        <v>2037.856</v>
      </c>
      <c r="E438" s="458">
        <f t="shared" si="223"/>
        <v>2168</v>
      </c>
      <c r="F438" s="458">
        <f t="shared" si="223"/>
        <v>2089.9</v>
      </c>
      <c r="G438" s="458">
        <f t="shared" si="223"/>
        <v>2081</v>
      </c>
      <c r="H438" s="458">
        <f t="shared" si="223"/>
        <v>2406</v>
      </c>
      <c r="I438" s="458">
        <f t="shared" si="223"/>
        <v>2541</v>
      </c>
      <c r="J438" s="458">
        <f t="shared" si="223"/>
        <v>2198</v>
      </c>
      <c r="K438" s="458">
        <f t="shared" si="223"/>
        <v>2335</v>
      </c>
      <c r="L438" s="458">
        <f t="shared" si="223"/>
        <v>2057</v>
      </c>
      <c r="M438" s="458">
        <f t="shared" si="223"/>
        <v>2184</v>
      </c>
      <c r="N438" s="393">
        <f>SUM(B438:M438)</f>
        <v>25959.858</v>
      </c>
      <c r="O438" s="459">
        <f>SUM(B438:D438)</f>
        <v>5899.9579999999996</v>
      </c>
      <c r="P438" s="459">
        <f>SUM(E438:G438)</f>
        <v>6338.9</v>
      </c>
      <c r="Q438" s="459">
        <f>SUM(H438:J438)</f>
        <v>7145</v>
      </c>
      <c r="R438" s="395">
        <f>SUM(K438:M438)</f>
        <v>6576</v>
      </c>
      <c r="S438" s="385"/>
    </row>
    <row r="439" spans="1:19">
      <c r="A439" s="390" t="s">
        <v>134</v>
      </c>
      <c r="B439" s="396">
        <f t="shared" ref="B439:R439" si="224">B438/B463-1</f>
        <v>0.10633514933605026</v>
      </c>
      <c r="C439" s="396">
        <f t="shared" si="224"/>
        <v>0.43617438508732409</v>
      </c>
      <c r="D439" s="396">
        <f t="shared" si="224"/>
        <v>0.28121419746608622</v>
      </c>
      <c r="E439" s="396">
        <f t="shared" si="224"/>
        <v>0.26293399914305216</v>
      </c>
      <c r="F439" s="396">
        <f t="shared" si="224"/>
        <v>0.40117459293047619</v>
      </c>
      <c r="G439" s="396">
        <f t="shared" si="224"/>
        <v>0.57262282611264426</v>
      </c>
      <c r="H439" s="396">
        <f t="shared" si="224"/>
        <v>0.4624865852009834</v>
      </c>
      <c r="I439" s="396">
        <f t="shared" si="224"/>
        <v>0.32991344420941537</v>
      </c>
      <c r="J439" s="396">
        <f t="shared" si="224"/>
        <v>0.3145646246137066</v>
      </c>
      <c r="K439" s="396">
        <f t="shared" si="224"/>
        <v>0.25277233569154478</v>
      </c>
      <c r="L439" s="396">
        <f t="shared" si="224"/>
        <v>0.1671483279818311</v>
      </c>
      <c r="M439" s="396">
        <f t="shared" si="224"/>
        <v>0.21599999999999997</v>
      </c>
      <c r="N439" s="397">
        <f t="shared" si="224"/>
        <v>0.30847591744812619</v>
      </c>
      <c r="O439" s="396">
        <f t="shared" si="224"/>
        <v>0.26658442558948203</v>
      </c>
      <c r="P439" s="396">
        <f t="shared" si="224"/>
        <v>0.3988713066989682</v>
      </c>
      <c r="Q439" s="396">
        <f t="shared" si="224"/>
        <v>0.36672374829766952</v>
      </c>
      <c r="R439" s="396">
        <f t="shared" si="224"/>
        <v>0.21276187084233555</v>
      </c>
      <c r="S439" s="385"/>
    </row>
    <row r="440" spans="1:19" ht="15.5" customHeight="1">
      <c r="A440" s="390" t="s">
        <v>135</v>
      </c>
      <c r="B440" s="399"/>
      <c r="C440" s="399"/>
      <c r="D440" s="399"/>
      <c r="E440" s="399"/>
      <c r="F440" s="399"/>
      <c r="G440" s="399"/>
      <c r="H440" s="399"/>
      <c r="I440" s="399"/>
      <c r="J440" s="399"/>
      <c r="K440" s="399"/>
      <c r="L440" s="399"/>
      <c r="M440" s="408"/>
      <c r="N440" s="400" t="s">
        <v>136</v>
      </c>
      <c r="O440" s="401"/>
      <c r="P440" s="398"/>
      <c r="Q440" s="398"/>
      <c r="R440" s="398"/>
      <c r="S440" s="385"/>
    </row>
    <row r="441" spans="1:19">
      <c r="A441" s="385"/>
      <c r="B441" s="402"/>
      <c r="C441" s="402"/>
      <c r="D441" s="402"/>
      <c r="E441" s="402"/>
      <c r="F441" s="402"/>
      <c r="G441" s="427"/>
      <c r="H441" s="402"/>
      <c r="I441" s="402"/>
      <c r="J441" s="403"/>
      <c r="K441" s="403"/>
      <c r="L441" s="403"/>
      <c r="M441" s="403"/>
      <c r="N441" s="404"/>
      <c r="O441" s="404"/>
      <c r="P441" s="404"/>
      <c r="Q441" s="404"/>
      <c r="R441" s="404"/>
      <c r="S441" s="385"/>
    </row>
    <row r="442" spans="1:19">
      <c r="A442" s="431" t="s">
        <v>147</v>
      </c>
      <c r="B442" s="455">
        <v>1363</v>
      </c>
      <c r="C442" s="455">
        <v>1488.404</v>
      </c>
      <c r="D442" s="455">
        <v>1547.45</v>
      </c>
      <c r="E442" s="455">
        <v>1602</v>
      </c>
      <c r="F442" s="455">
        <v>1564.5</v>
      </c>
      <c r="G442" s="455">
        <v>1561</v>
      </c>
      <c r="H442" s="455">
        <v>1763</v>
      </c>
      <c r="I442" s="455">
        <v>1902</v>
      </c>
      <c r="J442" s="455">
        <v>1674</v>
      </c>
      <c r="K442" s="455">
        <v>1732</v>
      </c>
      <c r="L442" s="455">
        <v>1496</v>
      </c>
      <c r="M442" s="455">
        <v>1588</v>
      </c>
      <c r="N442" s="393">
        <f>SUM(B442:M442)</f>
        <v>19281.353999999999</v>
      </c>
      <c r="O442" s="394">
        <f>SUM(B442:M442)</f>
        <v>19281.353999999999</v>
      </c>
      <c r="P442" s="394">
        <f>SUM(E442:G442)</f>
        <v>4727.5</v>
      </c>
      <c r="Q442" s="394">
        <f>SUM(H442:J442)</f>
        <v>5339</v>
      </c>
      <c r="R442" s="395">
        <f>SUM(K442:M442)</f>
        <v>4816</v>
      </c>
      <c r="S442" s="385"/>
    </row>
    <row r="443" spans="1:19">
      <c r="A443" s="390" t="s">
        <v>134</v>
      </c>
      <c r="B443" s="463">
        <v>0.14399999999999999</v>
      </c>
      <c r="C443" s="463">
        <v>0.40400000000000003</v>
      </c>
      <c r="D443" s="463">
        <v>0.31900000000000001</v>
      </c>
      <c r="E443" s="467">
        <v>0.28799999999999998</v>
      </c>
      <c r="F443" s="463">
        <v>0.40600000000000003</v>
      </c>
      <c r="G443" s="463">
        <v>0.53900000000000003</v>
      </c>
      <c r="H443" s="463">
        <v>0.439</v>
      </c>
      <c r="I443" s="463">
        <v>0.33500000000000002</v>
      </c>
      <c r="J443" s="463">
        <v>0.316</v>
      </c>
      <c r="K443" s="463">
        <v>0.26800000000000002</v>
      </c>
      <c r="L443" s="463">
        <v>0.17100000000000001</v>
      </c>
      <c r="M443" s="463">
        <v>0.216</v>
      </c>
      <c r="N443" s="397">
        <f>N442/N467-1</f>
        <v>0.31461964704853873</v>
      </c>
      <c r="O443" s="396"/>
      <c r="P443" s="398"/>
      <c r="Q443" s="398"/>
      <c r="R443" s="398"/>
      <c r="S443" s="385"/>
    </row>
    <row r="444" spans="1:19" ht="15.5" customHeight="1">
      <c r="A444" s="390" t="s">
        <v>135</v>
      </c>
      <c r="B444" s="399"/>
      <c r="C444" s="399"/>
      <c r="D444" s="399"/>
      <c r="E444" s="399"/>
      <c r="F444" s="399"/>
      <c r="G444" s="399"/>
      <c r="H444" s="399"/>
      <c r="I444" s="399"/>
      <c r="J444" s="399"/>
      <c r="K444" s="399"/>
      <c r="L444" s="399"/>
      <c r="M444" s="408"/>
      <c r="N444" s="400" t="s">
        <v>136</v>
      </c>
      <c r="O444" s="401"/>
      <c r="P444" s="398"/>
      <c r="Q444" s="398"/>
      <c r="R444" s="398"/>
      <c r="S444" s="385"/>
    </row>
    <row r="445" spans="1:19">
      <c r="A445" s="385"/>
      <c r="S445" s="385"/>
    </row>
    <row r="446" spans="1:19">
      <c r="A446" s="433" t="s">
        <v>148</v>
      </c>
      <c r="B446" s="455">
        <v>460</v>
      </c>
      <c r="C446" s="455">
        <v>550.69799999999998</v>
      </c>
      <c r="D446" s="455">
        <v>490.40600000000001</v>
      </c>
      <c r="E446" s="455">
        <v>566</v>
      </c>
      <c r="F446" s="455">
        <v>525.4</v>
      </c>
      <c r="G446" s="455">
        <v>520</v>
      </c>
      <c r="H446" s="455">
        <v>643</v>
      </c>
      <c r="I446" s="455">
        <v>639</v>
      </c>
      <c r="J446" s="455">
        <v>524</v>
      </c>
      <c r="K446" s="455">
        <v>603</v>
      </c>
      <c r="L446" s="455">
        <v>561</v>
      </c>
      <c r="M446" s="455">
        <v>596</v>
      </c>
      <c r="N446" s="393">
        <f>SUM(B446:M446)</f>
        <v>6678.5040000000008</v>
      </c>
      <c r="O446" s="394">
        <f>SUM(B446:M446)</f>
        <v>6678.5040000000008</v>
      </c>
      <c r="P446" s="394">
        <f>SUM(E446:G446)</f>
        <v>1611.4</v>
      </c>
      <c r="Q446" s="394">
        <f>SUM(H446:J446)</f>
        <v>1806</v>
      </c>
      <c r="R446" s="395">
        <f>SUM(K446:M446)</f>
        <v>1760</v>
      </c>
      <c r="S446" s="385"/>
    </row>
    <row r="447" spans="1:19">
      <c r="A447" s="390" t="s">
        <v>134</v>
      </c>
      <c r="B447" s="463">
        <v>8.0000000000000002E-3</v>
      </c>
      <c r="C447" s="463">
        <v>0.53100000000000003</v>
      </c>
      <c r="D447" s="463">
        <v>0.17499999999999999</v>
      </c>
      <c r="E447" s="463">
        <v>0.19700000000000001</v>
      </c>
      <c r="F447" s="463">
        <v>0.38700000000000001</v>
      </c>
      <c r="G447" s="463">
        <v>0.68300000000000005</v>
      </c>
      <c r="H447" s="463">
        <v>0.53100000000000003</v>
      </c>
      <c r="I447" s="463">
        <v>0.315</v>
      </c>
      <c r="J447" s="463">
        <v>0.31</v>
      </c>
      <c r="K447" s="463">
        <v>0.21099999999999999</v>
      </c>
      <c r="L447" s="463">
        <v>0.157</v>
      </c>
      <c r="M447" s="463">
        <v>0.216</v>
      </c>
      <c r="N447" s="397">
        <f>N446/N471-1</f>
        <v>0.29105642346030924</v>
      </c>
      <c r="O447" s="398"/>
      <c r="P447" s="398"/>
      <c r="Q447" s="398"/>
      <c r="R447" s="398"/>
      <c r="S447" s="385"/>
    </row>
    <row r="448" spans="1:19" ht="15.5" customHeight="1">
      <c r="A448" s="390" t="s">
        <v>135</v>
      </c>
      <c r="B448" s="185"/>
      <c r="C448" s="399"/>
      <c r="D448" s="399"/>
      <c r="E448" s="399"/>
      <c r="F448" s="399"/>
      <c r="G448" s="399"/>
      <c r="H448" s="399"/>
      <c r="I448" s="399"/>
      <c r="J448" s="399"/>
      <c r="K448" s="399"/>
      <c r="L448" s="399"/>
      <c r="M448" s="399"/>
      <c r="N448" s="400" t="s">
        <v>136</v>
      </c>
      <c r="O448" s="401"/>
      <c r="P448" s="398"/>
      <c r="Q448" s="398"/>
      <c r="R448" s="398"/>
      <c r="S448" s="385"/>
    </row>
    <row r="449" spans="1:19">
      <c r="S449" s="385"/>
    </row>
    <row r="450" spans="1:19" ht="15.5" customHeight="1">
      <c r="A450" s="422" t="s">
        <v>170</v>
      </c>
      <c r="B450" s="187" t="s">
        <v>51</v>
      </c>
      <c r="C450" s="187" t="s">
        <v>52</v>
      </c>
      <c r="D450" s="187" t="s">
        <v>53</v>
      </c>
      <c r="E450" s="187" t="s">
        <v>54</v>
      </c>
      <c r="F450" s="187" t="s">
        <v>55</v>
      </c>
      <c r="G450" s="187" t="s">
        <v>77</v>
      </c>
      <c r="H450" s="187" t="s">
        <v>78</v>
      </c>
      <c r="I450" s="187" t="s">
        <v>79</v>
      </c>
      <c r="J450" s="187" t="s">
        <v>80</v>
      </c>
      <c r="K450" s="187" t="s">
        <v>81</v>
      </c>
      <c r="L450" s="187" t="s">
        <v>82</v>
      </c>
      <c r="M450" s="187" t="s">
        <v>44</v>
      </c>
      <c r="N450" s="389" t="s">
        <v>128</v>
      </c>
      <c r="O450" s="5" t="s">
        <v>129</v>
      </c>
      <c r="P450" s="5" t="s">
        <v>130</v>
      </c>
      <c r="Q450" s="5" t="s">
        <v>131</v>
      </c>
      <c r="R450" s="5" t="s">
        <v>132</v>
      </c>
      <c r="S450" s="385"/>
    </row>
    <row r="451" spans="1:19">
      <c r="A451" s="423" t="s">
        <v>133</v>
      </c>
      <c r="B451" s="391">
        <f t="shared" ref="B451:M451" si="225">B455+B467+B471</f>
        <v>17104.131979131977</v>
      </c>
      <c r="C451" s="391">
        <f t="shared" si="225"/>
        <v>17039.21561661255</v>
      </c>
      <c r="D451" s="391">
        <f t="shared" si="225"/>
        <v>18058.856297245598</v>
      </c>
      <c r="E451" s="391">
        <f t="shared" si="225"/>
        <v>18880.714614928776</v>
      </c>
      <c r="F451" s="391">
        <f t="shared" si="225"/>
        <v>18205.453754944563</v>
      </c>
      <c r="G451" s="391">
        <f t="shared" si="225"/>
        <v>17739.769028078423</v>
      </c>
      <c r="H451" s="391">
        <f t="shared" si="225"/>
        <v>24058.768398716129</v>
      </c>
      <c r="I451" s="391">
        <f t="shared" si="225"/>
        <v>22655.354436197573</v>
      </c>
      <c r="J451" s="391">
        <f t="shared" si="225"/>
        <v>19312.553715543447</v>
      </c>
      <c r="K451" s="391">
        <f t="shared" si="225"/>
        <v>21727.613679046794</v>
      </c>
      <c r="L451" s="391">
        <f t="shared" si="225"/>
        <v>19594.729547476491</v>
      </c>
      <c r="M451" s="391">
        <f t="shared" si="225"/>
        <v>18712.366889695142</v>
      </c>
      <c r="N451" s="393">
        <f>SUM(B451:M451)</f>
        <v>233089.52795761748</v>
      </c>
      <c r="O451" s="394">
        <f>SUM(B451:D451)</f>
        <v>52202.203892990125</v>
      </c>
      <c r="P451" s="394">
        <f>SUM(E451:G451)</f>
        <v>54825.937397951762</v>
      </c>
      <c r="Q451" s="394">
        <f>SUM(H451:J451)</f>
        <v>66026.676550457152</v>
      </c>
      <c r="R451" s="395">
        <f>SUM(K451:M451)</f>
        <v>60034.710116218426</v>
      </c>
      <c r="S451" s="385"/>
    </row>
    <row r="452" spans="1:19">
      <c r="A452" s="390" t="s">
        <v>134</v>
      </c>
      <c r="B452" s="396"/>
      <c r="C452" s="396"/>
      <c r="D452" s="396"/>
      <c r="E452" s="396"/>
      <c r="F452" s="396"/>
      <c r="G452" s="396"/>
      <c r="H452" s="396"/>
      <c r="I452" s="396"/>
      <c r="J452" s="396"/>
      <c r="K452" s="396"/>
      <c r="L452" s="396"/>
      <c r="M452" s="396"/>
      <c r="N452" s="397"/>
      <c r="O452" s="398"/>
      <c r="P452" s="398"/>
      <c r="Q452" s="398"/>
      <c r="R452" s="398"/>
      <c r="S452" s="385"/>
    </row>
    <row r="453" spans="1:19" ht="15.5" customHeight="1">
      <c r="A453" s="390" t="s">
        <v>135</v>
      </c>
      <c r="B453" s="185"/>
      <c r="C453" s="399"/>
      <c r="D453" s="399"/>
      <c r="E453" s="399"/>
      <c r="F453" s="399"/>
      <c r="G453" s="399"/>
      <c r="H453" s="399"/>
      <c r="I453" s="399"/>
      <c r="J453" s="399"/>
      <c r="K453" s="399"/>
      <c r="L453" s="399"/>
      <c r="M453" s="399"/>
      <c r="N453" s="400"/>
      <c r="O453" s="401"/>
      <c r="P453" s="398"/>
      <c r="Q453" s="398"/>
      <c r="R453" s="398"/>
      <c r="S453" s="385"/>
    </row>
    <row r="454" spans="1:19">
      <c r="A454" s="385"/>
      <c r="B454" s="402"/>
      <c r="C454" s="402"/>
      <c r="D454" s="402"/>
      <c r="E454" s="402"/>
      <c r="F454" s="402"/>
      <c r="G454" s="427"/>
      <c r="H454" s="402"/>
      <c r="I454" s="402"/>
      <c r="J454" s="403"/>
      <c r="K454" s="403"/>
      <c r="L454" s="403"/>
      <c r="M454" s="403"/>
      <c r="N454" s="404"/>
      <c r="O454" s="404"/>
      <c r="P454" s="404"/>
      <c r="Q454" s="404"/>
      <c r="R454" s="404"/>
      <c r="S454" s="385"/>
    </row>
    <row r="455" spans="1:19" s="444" customFormat="1" ht="15.5" customHeight="1">
      <c r="A455" s="465" t="s">
        <v>137</v>
      </c>
      <c r="B455" s="468">
        <f t="shared" ref="B455:M455" si="226">B459-B471</f>
        <v>15456.349206349207</v>
      </c>
      <c r="C455" s="468">
        <f t="shared" si="226"/>
        <v>15619.400571048975</v>
      </c>
      <c r="D455" s="468">
        <f t="shared" si="226"/>
        <v>16468.290095255048</v>
      </c>
      <c r="E455" s="468">
        <f t="shared" si="226"/>
        <v>17164.07700641474</v>
      </c>
      <c r="F455" s="468">
        <f t="shared" si="226"/>
        <v>16713.91943042538</v>
      </c>
      <c r="G455" s="468">
        <f t="shared" si="226"/>
        <v>16416.501957649329</v>
      </c>
      <c r="H455" s="468">
        <f t="shared" si="226"/>
        <v>22413.625103491064</v>
      </c>
      <c r="I455" s="468">
        <f t="shared" si="226"/>
        <v>20744.703776138616</v>
      </c>
      <c r="J455" s="468">
        <f t="shared" si="226"/>
        <v>17640.517241379312</v>
      </c>
      <c r="K455" s="468">
        <f t="shared" si="226"/>
        <v>19863.747489256566</v>
      </c>
      <c r="L455" s="468">
        <f t="shared" si="226"/>
        <v>17832.31430796974</v>
      </c>
      <c r="M455" s="468">
        <f t="shared" si="226"/>
        <v>16916.314258116192</v>
      </c>
      <c r="N455" s="393">
        <f>SUM(B455:M455)</f>
        <v>213249.7604434941</v>
      </c>
      <c r="O455" s="459">
        <f>SUM(B455:H455)</f>
        <v>120252.16337063373</v>
      </c>
      <c r="P455" s="459">
        <f>SUM(E455:G455)</f>
        <v>50294.498394489448</v>
      </c>
      <c r="Q455" s="459">
        <f>SUM(H455:J455)</f>
        <v>60798.846121008995</v>
      </c>
      <c r="R455" s="460">
        <f>SUM(K455:M455)</f>
        <v>54612.376055342495</v>
      </c>
      <c r="S455" s="385"/>
    </row>
    <row r="456" spans="1:19">
      <c r="A456" s="390" t="s">
        <v>134</v>
      </c>
      <c r="B456" s="396"/>
      <c r="C456" s="396"/>
      <c r="D456" s="396"/>
      <c r="E456" s="396"/>
      <c r="F456" s="396"/>
      <c r="G456" s="396"/>
      <c r="H456" s="396"/>
      <c r="I456" s="396"/>
      <c r="J456" s="396"/>
      <c r="K456" s="396"/>
      <c r="L456" s="396"/>
      <c r="M456" s="396"/>
      <c r="N456" s="397"/>
      <c r="O456" s="398"/>
      <c r="P456" s="398"/>
      <c r="Q456" s="398"/>
      <c r="R456" s="398"/>
      <c r="S456" s="385"/>
    </row>
    <row r="457" spans="1:19" ht="15.5" customHeight="1">
      <c r="A457" s="390" t="s">
        <v>135</v>
      </c>
      <c r="B457" s="185"/>
      <c r="C457" s="399"/>
      <c r="D457" s="399"/>
      <c r="E457" s="399"/>
      <c r="F457" s="399"/>
      <c r="G457" s="399"/>
      <c r="H457" s="399"/>
      <c r="I457" s="399"/>
      <c r="J457" s="399"/>
      <c r="K457" s="399"/>
      <c r="L457" s="399"/>
      <c r="M457" s="399"/>
      <c r="N457" s="400"/>
      <c r="O457" s="401"/>
      <c r="P457" s="398"/>
      <c r="Q457" s="398"/>
      <c r="R457" s="398"/>
      <c r="S457" s="385"/>
    </row>
    <row r="458" spans="1:19">
      <c r="A458" s="385"/>
      <c r="B458" s="402"/>
      <c r="C458" s="402"/>
      <c r="D458" s="402"/>
      <c r="E458" s="402"/>
      <c r="F458" s="402"/>
      <c r="G458" s="427"/>
      <c r="H458" s="402"/>
      <c r="I458" s="402"/>
      <c r="J458" s="403"/>
      <c r="K458" s="403"/>
      <c r="L458" s="403"/>
      <c r="M458" s="403"/>
      <c r="N458" s="404"/>
      <c r="O458" s="404"/>
      <c r="P458" s="404"/>
      <c r="Q458" s="404"/>
      <c r="R458" s="404"/>
      <c r="S458" s="385"/>
    </row>
    <row r="459" spans="1:19">
      <c r="A459" s="429" t="s">
        <v>145</v>
      </c>
      <c r="B459" s="455">
        <f t="shared" ref="B459:M459" si="227">B434/(1+B435)</f>
        <v>15912.698412698413</v>
      </c>
      <c r="C459" s="455">
        <f t="shared" si="227"/>
        <v>15979.098807495742</v>
      </c>
      <c r="D459" s="455">
        <f t="shared" si="227"/>
        <v>16885.656903765688</v>
      </c>
      <c r="E459" s="455">
        <f t="shared" si="227"/>
        <v>17636.925795053001</v>
      </c>
      <c r="F459" s="455">
        <f t="shared" si="227"/>
        <v>17092.722602739726</v>
      </c>
      <c r="G459" s="455">
        <f t="shared" si="227"/>
        <v>16725.474031327285</v>
      </c>
      <c r="H459" s="455">
        <f t="shared" si="227"/>
        <v>22833.612040133779</v>
      </c>
      <c r="I459" s="455">
        <f t="shared" si="227"/>
        <v>21230.635335073977</v>
      </c>
      <c r="J459" s="455">
        <f t="shared" si="227"/>
        <v>18040.517241379312</v>
      </c>
      <c r="K459" s="455">
        <f t="shared" si="227"/>
        <v>20361.683079677707</v>
      </c>
      <c r="L459" s="455">
        <f t="shared" si="227"/>
        <v>18317.188983855653</v>
      </c>
      <c r="M459" s="455">
        <f t="shared" si="227"/>
        <v>17406.445837063562</v>
      </c>
      <c r="N459" s="393">
        <f>SUM(B459:M459)</f>
        <v>218422.65907026382</v>
      </c>
      <c r="O459" s="394">
        <f>SUM(B459:D459)</f>
        <v>48777.454123959847</v>
      </c>
      <c r="P459" s="394">
        <f>SUM(E459:G459)</f>
        <v>51455.122429120012</v>
      </c>
      <c r="Q459" s="394">
        <f>SUM(H459:J459)</f>
        <v>62104.764616587068</v>
      </c>
      <c r="R459" s="395">
        <f>SUM(K459:M459)</f>
        <v>56085.317900596921</v>
      </c>
      <c r="S459" s="385"/>
    </row>
    <row r="460" spans="1:19">
      <c r="A460" s="390" t="s">
        <v>134</v>
      </c>
      <c r="B460" s="396"/>
      <c r="C460" s="396"/>
      <c r="D460" s="396"/>
      <c r="E460" s="396"/>
      <c r="F460" s="396"/>
      <c r="G460" s="396"/>
      <c r="H460" s="396"/>
      <c r="I460" s="396"/>
      <c r="J460" s="396"/>
      <c r="K460" s="396"/>
      <c r="L460" s="396"/>
      <c r="M460" s="396"/>
      <c r="N460" s="397"/>
      <c r="O460" s="398"/>
      <c r="P460" s="398"/>
      <c r="Q460" s="398"/>
      <c r="R460" s="398"/>
      <c r="S460" s="385"/>
    </row>
    <row r="461" spans="1:19" ht="15.5" customHeight="1">
      <c r="A461" s="390" t="s">
        <v>135</v>
      </c>
      <c r="B461" s="185"/>
      <c r="C461" s="399"/>
      <c r="D461" s="399"/>
      <c r="E461" s="399"/>
      <c r="F461" s="399"/>
      <c r="G461" s="399"/>
      <c r="H461" s="399"/>
      <c r="I461" s="399"/>
      <c r="J461" s="399"/>
      <c r="K461" s="399"/>
      <c r="L461" s="399"/>
      <c r="M461" s="399"/>
      <c r="N461" s="400"/>
      <c r="O461" s="401"/>
      <c r="P461" s="398"/>
      <c r="Q461" s="398"/>
      <c r="R461" s="398"/>
      <c r="S461" s="385"/>
    </row>
    <row r="462" spans="1:19">
      <c r="A462" s="385"/>
      <c r="B462" s="402"/>
      <c r="C462" s="402"/>
      <c r="D462" s="402"/>
      <c r="E462" s="402"/>
      <c r="F462" s="402"/>
      <c r="G462" s="427"/>
      <c r="H462" s="402"/>
      <c r="I462" s="402"/>
      <c r="J462" s="403"/>
      <c r="K462" s="403"/>
      <c r="L462" s="403"/>
      <c r="M462" s="403"/>
      <c r="N462" s="404"/>
      <c r="O462" s="404"/>
      <c r="P462" s="404"/>
      <c r="Q462" s="404"/>
      <c r="R462" s="404"/>
      <c r="S462" s="385"/>
    </row>
    <row r="463" spans="1:19" s="444" customFormat="1" ht="15.5" customHeight="1">
      <c r="A463" s="466" t="s">
        <v>146</v>
      </c>
      <c r="B463" s="458">
        <f t="shared" ref="B463:M463" si="228">B467+B471</f>
        <v>1647.7827727827728</v>
      </c>
      <c r="C463" s="458">
        <f t="shared" si="228"/>
        <v>1419.8150455635759</v>
      </c>
      <c r="D463" s="458">
        <f t="shared" si="228"/>
        <v>1590.5662019905474</v>
      </c>
      <c r="E463" s="458">
        <f t="shared" si="228"/>
        <v>1716.6376085140387</v>
      </c>
      <c r="F463" s="458">
        <f t="shared" si="228"/>
        <v>1491.5343245191837</v>
      </c>
      <c r="G463" s="458">
        <f t="shared" si="228"/>
        <v>1323.2670704290931</v>
      </c>
      <c r="H463" s="458">
        <f t="shared" si="228"/>
        <v>1645.1432952250659</v>
      </c>
      <c r="I463" s="458">
        <f t="shared" si="228"/>
        <v>1910.6506600589566</v>
      </c>
      <c r="J463" s="458">
        <f t="shared" si="228"/>
        <v>1672.0364741641338</v>
      </c>
      <c r="K463" s="458">
        <f t="shared" si="228"/>
        <v>1863.8661897902248</v>
      </c>
      <c r="L463" s="458">
        <f t="shared" si="228"/>
        <v>1762.4152395067485</v>
      </c>
      <c r="M463" s="458">
        <f t="shared" si="228"/>
        <v>1796.0526315789475</v>
      </c>
      <c r="N463" s="393">
        <f>SUM(B463:M463)</f>
        <v>19839.76751412329</v>
      </c>
      <c r="O463" s="459">
        <f>SUM(B463:D463)</f>
        <v>4658.1640203368961</v>
      </c>
      <c r="P463" s="459">
        <f>SUM(E463:G463)</f>
        <v>4531.4390034623157</v>
      </c>
      <c r="Q463" s="459">
        <f>SUM(H463:J463)</f>
        <v>5227.8304294481568</v>
      </c>
      <c r="R463" s="395">
        <f>SUM(K463:M463)</f>
        <v>5422.3340608759208</v>
      </c>
      <c r="S463" s="385"/>
    </row>
    <row r="464" spans="1:19">
      <c r="A464" s="390" t="s">
        <v>134</v>
      </c>
      <c r="B464" s="396"/>
      <c r="C464" s="396"/>
      <c r="D464" s="396"/>
      <c r="E464" s="396"/>
      <c r="F464" s="396"/>
      <c r="G464" s="396"/>
      <c r="H464" s="396"/>
      <c r="I464" s="396"/>
      <c r="J464" s="396"/>
      <c r="K464" s="396"/>
      <c r="L464" s="396"/>
      <c r="M464" s="407"/>
      <c r="N464" s="397"/>
      <c r="O464" s="396"/>
      <c r="P464" s="398"/>
      <c r="Q464" s="398"/>
      <c r="R464" s="398"/>
      <c r="S464" s="385"/>
    </row>
    <row r="465" spans="1:19" ht="15.5" customHeight="1">
      <c r="A465" s="390" t="s">
        <v>135</v>
      </c>
      <c r="B465" s="399"/>
      <c r="C465" s="399"/>
      <c r="D465" s="399"/>
      <c r="E465" s="399"/>
      <c r="F465" s="399"/>
      <c r="G465" s="399"/>
      <c r="H465" s="399"/>
      <c r="I465" s="399"/>
      <c r="J465" s="399"/>
      <c r="K465" s="399"/>
      <c r="L465" s="399"/>
      <c r="M465" s="408"/>
      <c r="N465" s="400" t="s">
        <v>136</v>
      </c>
      <c r="O465" s="401"/>
      <c r="P465" s="398"/>
      <c r="Q465" s="398"/>
      <c r="R465" s="398"/>
      <c r="S465" s="385"/>
    </row>
    <row r="466" spans="1:19">
      <c r="A466" s="385"/>
      <c r="B466" s="402"/>
      <c r="C466" s="402"/>
      <c r="D466" s="402"/>
      <c r="E466" s="402"/>
      <c r="F466" s="402"/>
      <c r="G466" s="427"/>
      <c r="H466" s="402"/>
      <c r="I466" s="402"/>
      <c r="J466" s="403"/>
      <c r="K466" s="403"/>
      <c r="L466" s="403"/>
      <c r="M466" s="403"/>
      <c r="N466" s="404"/>
      <c r="O466" s="404"/>
      <c r="P466" s="404"/>
      <c r="Q466" s="404"/>
      <c r="R466" s="404"/>
      <c r="S466" s="385"/>
    </row>
    <row r="467" spans="1:19">
      <c r="A467" s="431" t="s">
        <v>147</v>
      </c>
      <c r="B467" s="455">
        <f t="shared" ref="B467:M467" si="229">B442/(1+B443)</f>
        <v>1191.4335664335665</v>
      </c>
      <c r="C467" s="455">
        <f t="shared" si="229"/>
        <v>1060.1168091168092</v>
      </c>
      <c r="D467" s="455">
        <f t="shared" si="229"/>
        <v>1173.1993934799091</v>
      </c>
      <c r="E467" s="455">
        <f t="shared" si="229"/>
        <v>1243.7888198757764</v>
      </c>
      <c r="F467" s="455">
        <f t="shared" si="229"/>
        <v>1112.7311522048362</v>
      </c>
      <c r="G467" s="455">
        <f t="shared" si="229"/>
        <v>1014.294996751137</v>
      </c>
      <c r="H467" s="455">
        <f t="shared" si="229"/>
        <v>1225.1563585823487</v>
      </c>
      <c r="I467" s="455">
        <f t="shared" si="229"/>
        <v>1424.7191011235955</v>
      </c>
      <c r="J467" s="455">
        <f t="shared" si="229"/>
        <v>1272.0364741641338</v>
      </c>
      <c r="K467" s="455">
        <f t="shared" si="229"/>
        <v>1365.9305993690853</v>
      </c>
      <c r="L467" s="455">
        <f t="shared" si="229"/>
        <v>1277.5405636208368</v>
      </c>
      <c r="M467" s="455">
        <f t="shared" si="229"/>
        <v>1305.921052631579</v>
      </c>
      <c r="N467" s="393">
        <f>SUM(B467:M467)</f>
        <v>14666.868887353612</v>
      </c>
      <c r="O467" s="394">
        <f>SUM(B467:E467)</f>
        <v>4668.5385889060617</v>
      </c>
      <c r="P467" s="394">
        <f>SUM(E467:G467)</f>
        <v>3370.8149688317499</v>
      </c>
      <c r="Q467" s="394">
        <f>SUM(H467:J467)</f>
        <v>3921.911933870078</v>
      </c>
      <c r="R467" s="395">
        <f>SUM(K467:M467)</f>
        <v>3949.3922156215012</v>
      </c>
      <c r="S467" s="385"/>
    </row>
    <row r="468" spans="1:19">
      <c r="A468" s="390" t="s">
        <v>134</v>
      </c>
      <c r="B468" s="396"/>
      <c r="C468" s="396"/>
      <c r="D468" s="401"/>
      <c r="E468" s="401"/>
      <c r="F468" s="401"/>
      <c r="G468" s="401"/>
      <c r="H468" s="401"/>
      <c r="I468" s="401"/>
      <c r="J468" s="401"/>
      <c r="K468" s="401"/>
      <c r="L468" s="401"/>
      <c r="M468" s="407"/>
      <c r="N468" s="397"/>
      <c r="O468" s="396"/>
      <c r="P468" s="398"/>
      <c r="Q468" s="398"/>
      <c r="R468" s="398"/>
      <c r="S468" s="385"/>
    </row>
    <row r="469" spans="1:19" ht="15.5" customHeight="1">
      <c r="A469" s="390" t="s">
        <v>135</v>
      </c>
      <c r="B469" s="399"/>
      <c r="C469" s="399"/>
      <c r="D469" s="399"/>
      <c r="E469" s="399"/>
      <c r="F469" s="399"/>
      <c r="G469" s="399"/>
      <c r="H469" s="399"/>
      <c r="I469" s="399"/>
      <c r="J469" s="399"/>
      <c r="K469" s="399"/>
      <c r="L469" s="399"/>
      <c r="M469" s="408"/>
      <c r="N469" s="400" t="s">
        <v>136</v>
      </c>
      <c r="O469" s="401"/>
      <c r="P469" s="398"/>
      <c r="Q469" s="398"/>
      <c r="R469" s="398"/>
      <c r="S469" s="385"/>
    </row>
    <row r="470" spans="1:19">
      <c r="A470" s="385"/>
      <c r="S470" s="385"/>
    </row>
    <row r="471" spans="1:19">
      <c r="A471" s="433" t="s">
        <v>148</v>
      </c>
      <c r="B471" s="455">
        <f t="shared" ref="B471:M471" si="230">B446/(1+B447)</f>
        <v>456.34920634920633</v>
      </c>
      <c r="C471" s="455">
        <f t="shared" si="230"/>
        <v>359.69823644676677</v>
      </c>
      <c r="D471" s="455">
        <f t="shared" si="230"/>
        <v>417.36680851063829</v>
      </c>
      <c r="E471" s="455">
        <f t="shared" si="230"/>
        <v>472.84878863826231</v>
      </c>
      <c r="F471" s="455">
        <f t="shared" si="230"/>
        <v>378.80317231434748</v>
      </c>
      <c r="G471" s="455">
        <f t="shared" si="230"/>
        <v>308.97207367795602</v>
      </c>
      <c r="H471" s="455">
        <f t="shared" si="230"/>
        <v>419.98693664271713</v>
      </c>
      <c r="I471" s="455">
        <f t="shared" si="230"/>
        <v>485.93155893536124</v>
      </c>
      <c r="J471" s="455">
        <f t="shared" si="230"/>
        <v>400</v>
      </c>
      <c r="K471" s="455">
        <f t="shared" si="230"/>
        <v>497.93559042113952</v>
      </c>
      <c r="L471" s="455">
        <f t="shared" si="230"/>
        <v>484.87467588591181</v>
      </c>
      <c r="M471" s="455">
        <f t="shared" si="230"/>
        <v>490.13157894736844</v>
      </c>
      <c r="N471" s="393">
        <f>SUM(B471:M471)</f>
        <v>5172.8986267696746</v>
      </c>
      <c r="O471" s="394">
        <f>SUM(B471:E471)</f>
        <v>1706.2630399448735</v>
      </c>
      <c r="P471" s="394">
        <f>SUM(E471:G471)</f>
        <v>1160.6240346305658</v>
      </c>
      <c r="Q471" s="394">
        <f>SUM(H471:J471)</f>
        <v>1305.9184955780784</v>
      </c>
      <c r="R471" s="395">
        <f>SUM(K471:M471)</f>
        <v>1472.9418452544196</v>
      </c>
      <c r="S471" s="385"/>
    </row>
    <row r="472" spans="1:19">
      <c r="A472" s="390" t="s">
        <v>134</v>
      </c>
      <c r="B472" s="396"/>
      <c r="C472" s="396"/>
      <c r="D472" s="396"/>
      <c r="E472" s="396"/>
      <c r="F472" s="396"/>
      <c r="G472" s="396"/>
      <c r="H472" s="396"/>
      <c r="I472" s="396"/>
      <c r="J472" s="396"/>
      <c r="K472" s="396"/>
      <c r="L472" s="396"/>
      <c r="M472" s="396"/>
      <c r="N472" s="397"/>
      <c r="O472" s="398"/>
      <c r="P472" s="398"/>
      <c r="Q472" s="398"/>
      <c r="R472" s="398"/>
      <c r="S472" s="385"/>
    </row>
    <row r="473" spans="1:19" ht="15.5" customHeight="1">
      <c r="A473" s="390" t="s">
        <v>135</v>
      </c>
      <c r="B473" s="185"/>
      <c r="C473" s="399"/>
      <c r="D473" s="399"/>
      <c r="E473" s="399"/>
      <c r="F473" s="399"/>
      <c r="G473" s="399"/>
      <c r="H473" s="399"/>
      <c r="I473" s="399"/>
      <c r="J473" s="399"/>
      <c r="K473" s="399"/>
      <c r="L473" s="399"/>
      <c r="M473" s="399"/>
      <c r="N473" s="400" t="s">
        <v>136</v>
      </c>
      <c r="O473" s="401"/>
      <c r="P473" s="398"/>
      <c r="Q473" s="398"/>
      <c r="R473" s="398"/>
      <c r="S473" s="385"/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T401"/>
  <sheetViews>
    <sheetView workbookViewId="0">
      <selection activeCell="G5" sqref="G5"/>
    </sheetView>
  </sheetViews>
  <sheetFormatPr defaultColWidth="9" defaultRowHeight="13" outlineLevelRow="1"/>
  <cols>
    <col min="1" max="1" width="16" style="469" customWidth="1"/>
    <col min="2" max="2" width="9.25" style="470" bestFit="1" customWidth="1"/>
    <col min="3" max="3" width="12.1640625" style="470" bestFit="1" customWidth="1"/>
    <col min="4" max="4" width="8.83203125" style="470" customWidth="1"/>
    <col min="5" max="5" width="8.75" style="470" bestFit="1" customWidth="1"/>
    <col min="6" max="6" width="9.08203125" style="470" bestFit="1" customWidth="1"/>
    <col min="7" max="13" width="9" style="470" customWidth="1"/>
    <col min="14" max="14" width="9.08203125" style="470" bestFit="1" customWidth="1"/>
    <col min="15" max="18" width="9" style="470" customWidth="1"/>
    <col min="19" max="19" width="9" style="385" customWidth="1"/>
    <col min="20" max="16384" width="9" style="385"/>
  </cols>
  <sheetData>
    <row r="1" spans="1:19">
      <c r="A1" s="471" t="s">
        <v>142</v>
      </c>
      <c r="B1" s="472" t="s">
        <v>51</v>
      </c>
      <c r="C1" s="472" t="s">
        <v>52</v>
      </c>
      <c r="D1" s="472" t="s">
        <v>53</v>
      </c>
      <c r="E1" s="472" t="s">
        <v>54</v>
      </c>
      <c r="F1" s="472" t="s">
        <v>55</v>
      </c>
      <c r="G1" s="472" t="s">
        <v>77</v>
      </c>
      <c r="H1" s="472" t="s">
        <v>78</v>
      </c>
      <c r="I1" s="472" t="s">
        <v>79</v>
      </c>
      <c r="J1" s="472" t="s">
        <v>80</v>
      </c>
      <c r="K1" s="472" t="s">
        <v>81</v>
      </c>
      <c r="L1" s="472" t="s">
        <v>82</v>
      </c>
      <c r="M1" s="472" t="s">
        <v>44</v>
      </c>
      <c r="N1" s="473"/>
      <c r="O1" s="473" t="s">
        <v>129</v>
      </c>
      <c r="P1" s="473" t="s">
        <v>130</v>
      </c>
      <c r="Q1" s="473" t="s">
        <v>131</v>
      </c>
      <c r="R1" s="473" t="s">
        <v>132</v>
      </c>
      <c r="S1" s="445" t="s">
        <v>171</v>
      </c>
    </row>
    <row r="2" spans="1:19">
      <c r="A2" s="474" t="s">
        <v>22</v>
      </c>
      <c r="B2" s="475">
        <v>13988.62</v>
      </c>
      <c r="C2" s="475">
        <v>15252.1</v>
      </c>
      <c r="D2" s="475">
        <v>14597.53</v>
      </c>
      <c r="E2" s="475">
        <v>13463.76</v>
      </c>
      <c r="F2" s="475">
        <v>12985.23</v>
      </c>
      <c r="G2" s="475">
        <v>12879.49</v>
      </c>
      <c r="H2" s="475">
        <v>16731.900000000001</v>
      </c>
      <c r="I2" s="475"/>
      <c r="J2" s="475"/>
      <c r="K2" s="475"/>
      <c r="L2" s="475"/>
      <c r="M2" s="475"/>
      <c r="O2" s="475">
        <f>SUM(B2:M2)</f>
        <v>99898.63</v>
      </c>
      <c r="P2" s="475">
        <f>SUM(E2:G2)</f>
        <v>39328.479999999996</v>
      </c>
      <c r="Q2" s="475">
        <f>SUM(H2:J2)</f>
        <v>16731.900000000001</v>
      </c>
      <c r="R2" s="475">
        <f>SUM(K2:M2)</f>
        <v>0</v>
      </c>
      <c r="S2" s="475">
        <f>SUM(B2:M2)</f>
        <v>99898.63</v>
      </c>
    </row>
    <row r="3" spans="1:19">
      <c r="A3" s="474" t="s">
        <v>25</v>
      </c>
      <c r="B3" s="475">
        <v>12200.57</v>
      </c>
      <c r="C3" s="475">
        <v>13026.9</v>
      </c>
      <c r="D3" s="475">
        <v>13006.57</v>
      </c>
      <c r="E3" s="475">
        <v>11907.27</v>
      </c>
      <c r="F3" s="475">
        <v>11542.13</v>
      </c>
      <c r="G3" s="475">
        <v>11079.44</v>
      </c>
      <c r="H3" s="475">
        <v>14267.34</v>
      </c>
      <c r="I3" s="475"/>
      <c r="J3" s="475"/>
      <c r="K3" s="475"/>
      <c r="L3" s="475"/>
      <c r="M3" s="475"/>
      <c r="O3" s="475">
        <f>SUM(B3:G3)</f>
        <v>72762.87999999999</v>
      </c>
      <c r="P3" s="475">
        <f>SUM(E3:G3)</f>
        <v>34528.840000000004</v>
      </c>
      <c r="Q3" s="475">
        <f>SUM(H3:J3)</f>
        <v>14267.34</v>
      </c>
      <c r="R3" s="475">
        <f>SUM(K3:M3)</f>
        <v>0</v>
      </c>
      <c r="S3" s="475">
        <f>SUM(B3:M3)</f>
        <v>87030.219999999987</v>
      </c>
    </row>
    <row r="4" spans="1:19">
      <c r="A4" s="474" t="s">
        <v>172</v>
      </c>
      <c r="B4" s="475">
        <v>13275.6</v>
      </c>
      <c r="C4" s="475">
        <v>14500.2</v>
      </c>
      <c r="D4" s="475">
        <v>14309.3</v>
      </c>
      <c r="E4" s="475">
        <v>13148.5</v>
      </c>
      <c r="F4" s="475">
        <v>12524.1</v>
      </c>
      <c r="G4" s="475">
        <v>11936.6</v>
      </c>
      <c r="H4" s="475">
        <v>15690.8</v>
      </c>
      <c r="I4" s="475"/>
      <c r="J4" s="475"/>
      <c r="K4" s="475"/>
      <c r="L4" s="475"/>
      <c r="M4" s="475"/>
      <c r="O4" s="475">
        <f>SUM(B4:G4)</f>
        <v>79694.300000000017</v>
      </c>
      <c r="P4" s="475">
        <f>SUM(E4:G4)</f>
        <v>37609.199999999997</v>
      </c>
      <c r="Q4" s="475">
        <f>SUM(H4:J4)</f>
        <v>15690.8</v>
      </c>
      <c r="R4" s="475">
        <f>SUM(K4:M4)</f>
        <v>0</v>
      </c>
      <c r="S4" s="475">
        <f>SUM(B4:M4)</f>
        <v>95385.10000000002</v>
      </c>
    </row>
    <row r="5" spans="1:19">
      <c r="A5" s="476" t="s">
        <v>173</v>
      </c>
      <c r="B5" s="477">
        <f t="shared" ref="B5:M5" si="0">SUM(B2:B4)</f>
        <v>39464.79</v>
      </c>
      <c r="C5" s="477">
        <f t="shared" si="0"/>
        <v>42779.199999999997</v>
      </c>
      <c r="D5" s="477">
        <f t="shared" si="0"/>
        <v>41913.399999999994</v>
      </c>
      <c r="E5" s="477">
        <f t="shared" si="0"/>
        <v>38519.53</v>
      </c>
      <c r="F5" s="477">
        <f t="shared" si="0"/>
        <v>37051.46</v>
      </c>
      <c r="G5" s="477">
        <f t="shared" si="0"/>
        <v>35895.53</v>
      </c>
      <c r="H5" s="477">
        <f t="shared" si="0"/>
        <v>46690.04</v>
      </c>
      <c r="I5" s="477">
        <f t="shared" si="0"/>
        <v>0</v>
      </c>
      <c r="J5" s="477">
        <f t="shared" si="0"/>
        <v>0</v>
      </c>
      <c r="K5" s="477">
        <f t="shared" si="0"/>
        <v>0</v>
      </c>
      <c r="L5" s="477">
        <f t="shared" si="0"/>
        <v>0</v>
      </c>
      <c r="M5" s="477">
        <f t="shared" si="0"/>
        <v>0</v>
      </c>
      <c r="O5" s="477">
        <f>SUM(B5:D5)</f>
        <v>124157.38999999998</v>
      </c>
      <c r="P5" s="477">
        <f>SUM(E5:G5)</f>
        <v>111466.51999999999</v>
      </c>
      <c r="Q5" s="477">
        <f>SUM(H5:J5)</f>
        <v>46690.04</v>
      </c>
      <c r="R5" s="477">
        <f>SUM(K5:M5)</f>
        <v>0</v>
      </c>
      <c r="S5" s="477">
        <f>SUM(B5:M5)</f>
        <v>282313.94999999995</v>
      </c>
    </row>
    <row r="6" spans="1:19">
      <c r="A6" s="478"/>
    </row>
    <row r="7" spans="1:19">
      <c r="A7" s="479" t="s">
        <v>174</v>
      </c>
    </row>
    <row r="8" spans="1:19">
      <c r="A8" s="474" t="s">
        <v>22</v>
      </c>
      <c r="B8" s="144">
        <f t="shared" ref="B8:M8" si="1">B2/B14-1</f>
        <v>-5.9580984855003738E-2</v>
      </c>
      <c r="C8" s="144">
        <f t="shared" si="1"/>
        <v>0.10185121638461947</v>
      </c>
      <c r="D8" s="144">
        <f t="shared" si="1"/>
        <v>0.10097248913171364</v>
      </c>
      <c r="E8" s="144">
        <f t="shared" si="1"/>
        <v>-5.8377797238684526E-3</v>
      </c>
      <c r="F8" s="144">
        <f t="shared" si="1"/>
        <v>-8.2621909864695309E-2</v>
      </c>
      <c r="G8" s="144">
        <f t="shared" si="1"/>
        <v>-5.5298058663325822E-2</v>
      </c>
      <c r="H8" s="144">
        <f t="shared" si="1"/>
        <v>3.8351981829352511E-2</v>
      </c>
      <c r="I8" s="144">
        <f t="shared" si="1"/>
        <v>-1</v>
      </c>
      <c r="J8" s="144">
        <f t="shared" si="1"/>
        <v>-1</v>
      </c>
      <c r="K8" s="144">
        <f t="shared" si="1"/>
        <v>-1</v>
      </c>
      <c r="L8" s="144">
        <f t="shared" si="1"/>
        <v>-1</v>
      </c>
      <c r="M8" s="144">
        <f t="shared" si="1"/>
        <v>-1</v>
      </c>
      <c r="N8" s="144"/>
      <c r="O8" s="144">
        <f t="shared" ref="O8:S11" si="2">O2/O14-1</f>
        <v>-0.42490808477489184</v>
      </c>
      <c r="P8" s="144">
        <f t="shared" si="2"/>
        <v>-4.8449188053595771E-2</v>
      </c>
      <c r="Q8" s="144">
        <f t="shared" si="2"/>
        <v>-0.64538046588281961</v>
      </c>
      <c r="R8" s="144">
        <f t="shared" si="2"/>
        <v>-1</v>
      </c>
      <c r="S8" s="144">
        <f t="shared" si="2"/>
        <v>-0.42490808477489184</v>
      </c>
    </row>
    <row r="9" spans="1:19">
      <c r="A9" s="474" t="s">
        <v>175</v>
      </c>
      <c r="B9" s="144">
        <f t="shared" ref="B9:M9" si="3">B3/B15-1</f>
        <v>-3.8164177704268276E-2</v>
      </c>
      <c r="C9" s="144">
        <f t="shared" si="3"/>
        <v>8.1083996896226918E-2</v>
      </c>
      <c r="D9" s="144">
        <f t="shared" si="3"/>
        <v>0.11020186931842435</v>
      </c>
      <c r="E9" s="144">
        <f t="shared" si="3"/>
        <v>-9.4345744167551038E-3</v>
      </c>
      <c r="F9" s="144">
        <f t="shared" si="3"/>
        <v>-8.668049845065029E-2</v>
      </c>
      <c r="G9" s="144">
        <f t="shared" si="3"/>
        <v>-8.14111498113399E-2</v>
      </c>
      <c r="H9" s="144">
        <f t="shared" si="3"/>
        <v>3.9532174309660606E-2</v>
      </c>
      <c r="I9" s="144">
        <f t="shared" si="3"/>
        <v>-1</v>
      </c>
      <c r="J9" s="144">
        <f t="shared" si="3"/>
        <v>-1</v>
      </c>
      <c r="K9" s="144">
        <f t="shared" si="3"/>
        <v>-1</v>
      </c>
      <c r="L9" s="144">
        <f t="shared" si="3"/>
        <v>-1</v>
      </c>
      <c r="M9" s="144">
        <f t="shared" si="3"/>
        <v>-1</v>
      </c>
      <c r="N9" s="144"/>
      <c r="O9" s="144">
        <f t="shared" si="2"/>
        <v>0.50117246088874268</v>
      </c>
      <c r="P9" s="144">
        <f t="shared" si="2"/>
        <v>-5.9662126041098884E-2</v>
      </c>
      <c r="Q9" s="144">
        <f t="shared" si="2"/>
        <v>-0.64466127938815554</v>
      </c>
      <c r="R9" s="144">
        <f t="shared" si="2"/>
        <v>-1</v>
      </c>
      <c r="S9" s="144">
        <f t="shared" si="2"/>
        <v>-0.41962844577650904</v>
      </c>
    </row>
    <row r="10" spans="1:19">
      <c r="A10" s="474" t="s">
        <v>172</v>
      </c>
      <c r="B10" s="144">
        <f t="shared" ref="B10:M10" si="4">B4/B16-1</f>
        <v>1.1967740460110177E-2</v>
      </c>
      <c r="C10" s="144">
        <f t="shared" si="4"/>
        <v>0.15380391969635498</v>
      </c>
      <c r="D10" s="144">
        <f t="shared" si="4"/>
        <v>0.15125550111430242</v>
      </c>
      <c r="E10" s="144">
        <f t="shared" si="4"/>
        <v>2.5520033069969639E-2</v>
      </c>
      <c r="F10" s="144">
        <f t="shared" si="4"/>
        <v>-6.5302893477920176E-2</v>
      </c>
      <c r="G10" s="144">
        <f t="shared" si="4"/>
        <v>-6.5906031865276771E-2</v>
      </c>
      <c r="H10" s="144">
        <f t="shared" si="4"/>
        <v>8.5365263165176009E-2</v>
      </c>
      <c r="I10" s="144">
        <f t="shared" si="4"/>
        <v>-1</v>
      </c>
      <c r="J10" s="144">
        <f t="shared" si="4"/>
        <v>-1</v>
      </c>
      <c r="K10" s="144">
        <f t="shared" si="4"/>
        <v>-1</v>
      </c>
      <c r="L10" s="144">
        <f t="shared" si="4"/>
        <v>-1</v>
      </c>
      <c r="M10" s="144">
        <f t="shared" si="4"/>
        <v>-1</v>
      </c>
      <c r="N10" s="144"/>
      <c r="O10" s="144">
        <f t="shared" si="2"/>
        <v>0.56458139055490686</v>
      </c>
      <c r="P10" s="144">
        <f t="shared" si="2"/>
        <v>-3.5641756753984732E-2</v>
      </c>
      <c r="Q10" s="144">
        <f t="shared" si="2"/>
        <v>-0.63300580752147706</v>
      </c>
      <c r="R10" s="144">
        <f t="shared" si="2"/>
        <v>-1</v>
      </c>
      <c r="S10" s="144">
        <f t="shared" si="2"/>
        <v>-0.40600822501980272</v>
      </c>
    </row>
    <row r="11" spans="1:19">
      <c r="A11" s="480" t="s">
        <v>173</v>
      </c>
      <c r="B11" s="146">
        <f t="shared" ref="B11:M11" si="5">B5/B17-1</f>
        <v>-2.9828298484567251E-2</v>
      </c>
      <c r="C11" s="146">
        <f t="shared" si="5"/>
        <v>0.11232104505010487</v>
      </c>
      <c r="D11" s="146">
        <f t="shared" si="5"/>
        <v>0.12057248026658418</v>
      </c>
      <c r="E11" s="146">
        <f t="shared" si="5"/>
        <v>3.5099831183176278E-3</v>
      </c>
      <c r="F11" s="146">
        <f t="shared" si="5"/>
        <v>-7.8124214694792693E-2</v>
      </c>
      <c r="G11" s="146">
        <f t="shared" si="5"/>
        <v>-6.7007836030770207E-2</v>
      </c>
      <c r="H11" s="146">
        <f t="shared" si="5"/>
        <v>5.4061406417871716E-2</v>
      </c>
      <c r="I11" s="146">
        <f t="shared" si="5"/>
        <v>-1</v>
      </c>
      <c r="J11" s="146">
        <f t="shared" si="5"/>
        <v>-1</v>
      </c>
      <c r="K11" s="146">
        <f t="shared" si="5"/>
        <v>-1</v>
      </c>
      <c r="L11" s="146">
        <f t="shared" si="5"/>
        <v>-1</v>
      </c>
      <c r="M11" s="146">
        <f t="shared" si="5"/>
        <v>-1</v>
      </c>
      <c r="N11" s="146"/>
      <c r="O11" s="146">
        <f t="shared" si="2"/>
        <v>6.5352732610835851E-2</v>
      </c>
      <c r="P11" s="146">
        <f t="shared" si="2"/>
        <v>-4.7699550635482035E-2</v>
      </c>
      <c r="Q11" s="146">
        <f t="shared" si="2"/>
        <v>-0.64109145003542189</v>
      </c>
      <c r="R11" s="146">
        <f t="shared" si="2"/>
        <v>-1</v>
      </c>
      <c r="S11" s="146">
        <f t="shared" si="2"/>
        <v>-0.41700570422334227</v>
      </c>
    </row>
    <row r="13" spans="1:19">
      <c r="A13" s="471" t="s">
        <v>149</v>
      </c>
      <c r="B13" s="472" t="s">
        <v>51</v>
      </c>
      <c r="C13" s="472" t="s">
        <v>52</v>
      </c>
      <c r="D13" s="472" t="s">
        <v>53</v>
      </c>
      <c r="E13" s="472" t="s">
        <v>54</v>
      </c>
      <c r="F13" s="472" t="s">
        <v>55</v>
      </c>
      <c r="G13" s="472" t="s">
        <v>77</v>
      </c>
      <c r="H13" s="472" t="s">
        <v>78</v>
      </c>
      <c r="I13" s="472" t="s">
        <v>79</v>
      </c>
      <c r="J13" s="472" t="s">
        <v>80</v>
      </c>
      <c r="K13" s="472" t="s">
        <v>81</v>
      </c>
      <c r="L13" s="472" t="s">
        <v>82</v>
      </c>
      <c r="M13" s="472" t="s">
        <v>44</v>
      </c>
      <c r="N13" s="473"/>
      <c r="O13" s="473" t="s">
        <v>129</v>
      </c>
      <c r="P13" s="473" t="s">
        <v>130</v>
      </c>
      <c r="Q13" s="473" t="s">
        <v>131</v>
      </c>
      <c r="R13" s="473" t="s">
        <v>132</v>
      </c>
      <c r="S13" s="445" t="s">
        <v>171</v>
      </c>
    </row>
    <row r="14" spans="1:19">
      <c r="A14" s="474" t="s">
        <v>22</v>
      </c>
      <c r="B14" s="475">
        <v>14874.88</v>
      </c>
      <c r="C14" s="475">
        <v>13842.25</v>
      </c>
      <c r="D14" s="475">
        <v>13258.76</v>
      </c>
      <c r="E14" s="475">
        <v>13542.82</v>
      </c>
      <c r="F14" s="475">
        <v>14154.72</v>
      </c>
      <c r="G14" s="475">
        <v>13633.39</v>
      </c>
      <c r="H14" s="475">
        <v>16113.9</v>
      </c>
      <c r="I14" s="475">
        <v>16880.48</v>
      </c>
      <c r="J14" s="475">
        <v>14188.3</v>
      </c>
      <c r="K14" s="475">
        <v>15589.58</v>
      </c>
      <c r="L14" s="475">
        <v>13771.18</v>
      </c>
      <c r="M14" s="475">
        <v>13858.72</v>
      </c>
      <c r="O14" s="475">
        <f>SUM(B14:M14)</f>
        <v>173708.97999999998</v>
      </c>
      <c r="P14" s="475">
        <f>SUM(E14:G14)</f>
        <v>41330.93</v>
      </c>
      <c r="Q14" s="475">
        <f>SUM(H14:J14)</f>
        <v>47182.679999999993</v>
      </c>
      <c r="R14" s="475">
        <f>SUM(K14:M14)</f>
        <v>43219.48</v>
      </c>
      <c r="S14" s="475">
        <f>SUM(B14:M14)</f>
        <v>173708.97999999998</v>
      </c>
    </row>
    <row r="15" spans="1:19">
      <c r="A15" s="474" t="s">
        <v>25</v>
      </c>
      <c r="B15" s="475">
        <v>12684.67</v>
      </c>
      <c r="C15" s="475">
        <v>12049.85</v>
      </c>
      <c r="D15" s="475">
        <v>11715.5</v>
      </c>
      <c r="E15" s="475">
        <v>12020.68</v>
      </c>
      <c r="F15" s="475">
        <v>12637.56</v>
      </c>
      <c r="G15" s="475">
        <v>12061.37</v>
      </c>
      <c r="H15" s="475">
        <v>13724.77</v>
      </c>
      <c r="I15" s="475">
        <v>14433.86</v>
      </c>
      <c r="J15" s="475">
        <v>11992.75</v>
      </c>
      <c r="K15" s="475">
        <v>12992.64</v>
      </c>
      <c r="L15" s="475">
        <v>11870.52</v>
      </c>
      <c r="M15" s="475">
        <v>11771.87</v>
      </c>
      <c r="O15" s="475">
        <f>SUM(B15:E15)</f>
        <v>48470.700000000004</v>
      </c>
      <c r="P15" s="475">
        <f>SUM(E15:G15)</f>
        <v>36719.61</v>
      </c>
      <c r="Q15" s="475">
        <f>SUM(H15:J15)</f>
        <v>40151.380000000005</v>
      </c>
      <c r="R15" s="475">
        <f>SUM(K15:M15)</f>
        <v>36635.03</v>
      </c>
      <c r="S15" s="475">
        <f>SUM(B15:M15)</f>
        <v>149956.04</v>
      </c>
    </row>
    <row r="16" spans="1:19">
      <c r="A16" s="474" t="s">
        <v>172</v>
      </c>
      <c r="B16" s="475">
        <v>13118.6</v>
      </c>
      <c r="C16" s="475">
        <v>12567.3</v>
      </c>
      <c r="D16" s="475">
        <v>12429.3</v>
      </c>
      <c r="E16" s="475">
        <v>12821.3</v>
      </c>
      <c r="F16" s="475">
        <v>13399.1</v>
      </c>
      <c r="G16" s="475">
        <v>12778.8</v>
      </c>
      <c r="H16" s="475">
        <v>14456.7</v>
      </c>
      <c r="I16" s="475">
        <v>15216</v>
      </c>
      <c r="J16" s="475">
        <v>13082.2</v>
      </c>
      <c r="K16" s="475">
        <v>14631.5</v>
      </c>
      <c r="L16" s="475">
        <v>13071.7</v>
      </c>
      <c r="M16" s="475">
        <v>13010.7</v>
      </c>
      <c r="O16" s="475">
        <f>SUM(B16:E16)</f>
        <v>50936.5</v>
      </c>
      <c r="P16" s="475">
        <f>SUM(E16:G16)</f>
        <v>38999.199999999997</v>
      </c>
      <c r="Q16" s="475">
        <f>SUM(H16:J16)</f>
        <v>42754.9</v>
      </c>
      <c r="R16" s="475">
        <f>SUM(K16:M16)</f>
        <v>40713.9</v>
      </c>
      <c r="S16" s="475">
        <f>SUM(B16:M16)</f>
        <v>160583.20000000001</v>
      </c>
    </row>
    <row r="17" spans="1:19">
      <c r="A17" s="476" t="s">
        <v>173</v>
      </c>
      <c r="B17" s="477">
        <f t="shared" ref="B17:M17" si="6">SUM(B14:B16)</f>
        <v>40678.15</v>
      </c>
      <c r="C17" s="477">
        <f t="shared" si="6"/>
        <v>38459.399999999994</v>
      </c>
      <c r="D17" s="477">
        <f t="shared" si="6"/>
        <v>37403.56</v>
      </c>
      <c r="E17" s="477">
        <f t="shared" si="6"/>
        <v>38384.800000000003</v>
      </c>
      <c r="F17" s="477">
        <f t="shared" si="6"/>
        <v>40191.379999999997</v>
      </c>
      <c r="G17" s="477">
        <f t="shared" si="6"/>
        <v>38473.56</v>
      </c>
      <c r="H17" s="477">
        <f t="shared" si="6"/>
        <v>44295.369999999995</v>
      </c>
      <c r="I17" s="477">
        <f t="shared" si="6"/>
        <v>46530.34</v>
      </c>
      <c r="J17" s="477">
        <f t="shared" si="6"/>
        <v>39263.25</v>
      </c>
      <c r="K17" s="477">
        <f t="shared" si="6"/>
        <v>43213.72</v>
      </c>
      <c r="L17" s="477">
        <f t="shared" si="6"/>
        <v>38713.4</v>
      </c>
      <c r="M17" s="477">
        <f t="shared" si="6"/>
        <v>38641.29</v>
      </c>
      <c r="O17" s="477">
        <f>SUM(B17:D17)</f>
        <v>116541.10999999999</v>
      </c>
      <c r="P17" s="477">
        <f>SUM(E17:G17)</f>
        <v>117049.73999999999</v>
      </c>
      <c r="Q17" s="477">
        <f>SUM(H17:J17)</f>
        <v>130088.95999999999</v>
      </c>
      <c r="R17" s="477">
        <f>SUM(K17:M17)</f>
        <v>120568.41</v>
      </c>
      <c r="S17" s="477">
        <f>SUM(B17:M17)</f>
        <v>484248.21999999991</v>
      </c>
    </row>
    <row r="18" spans="1:19">
      <c r="A18" s="478"/>
    </row>
    <row r="19" spans="1:19">
      <c r="A19" s="479" t="s">
        <v>176</v>
      </c>
    </row>
    <row r="20" spans="1:19">
      <c r="A20" s="474" t="s">
        <v>22</v>
      </c>
      <c r="B20" s="144">
        <f t="shared" ref="B20:M20" si="7">B14/B26-1</f>
        <v>0.12510513672312285</v>
      </c>
      <c r="C20" s="144">
        <f t="shared" si="7"/>
        <v>-2.8239651627188334E-2</v>
      </c>
      <c r="D20" s="144">
        <f t="shared" si="7"/>
        <v>1.8720548654602265E-2</v>
      </c>
      <c r="E20" s="144">
        <f t="shared" si="7"/>
        <v>9.0936479473881615E-2</v>
      </c>
      <c r="F20" s="144">
        <f t="shared" si="7"/>
        <v>5.4467626719270523E-2</v>
      </c>
      <c r="G20" s="144">
        <f t="shared" si="7"/>
        <v>3.9294309391801896E-2</v>
      </c>
      <c r="H20" s="144">
        <f t="shared" si="7"/>
        <v>6.2711864406779672E-2</v>
      </c>
      <c r="I20" s="144">
        <f t="shared" si="7"/>
        <v>4.8737574552683904E-2</v>
      </c>
      <c r="J20" s="144">
        <f t="shared" si="7"/>
        <v>3.5415602422827153E-2</v>
      </c>
      <c r="K20" s="144">
        <f t="shared" si="7"/>
        <v>6.3472388879831199E-2</v>
      </c>
      <c r="L20" s="144">
        <f t="shared" si="7"/>
        <v>7.5691074247568935E-2</v>
      </c>
      <c r="M20" s="144">
        <f t="shared" si="7"/>
        <v>7.6130448995945788E-2</v>
      </c>
      <c r="N20" s="144"/>
      <c r="O20" s="144">
        <f t="shared" ref="O20:S23" si="8">O14/O26-1</f>
        <v>3.291176739417744</v>
      </c>
      <c r="P20" s="144">
        <f t="shared" si="8"/>
        <v>6.0979673185567851E-2</v>
      </c>
      <c r="Q20" s="144">
        <f t="shared" si="8"/>
        <v>4.9390151683643913E-2</v>
      </c>
      <c r="R20" s="144">
        <f t="shared" si="8"/>
        <v>7.1391156925491916E-2</v>
      </c>
      <c r="S20" s="144">
        <f t="shared" si="8"/>
        <v>5.4459053744462249E-2</v>
      </c>
    </row>
    <row r="21" spans="1:19">
      <c r="A21" s="474" t="s">
        <v>175</v>
      </c>
      <c r="B21" s="144">
        <f t="shared" ref="B21:M21" si="9">B15/B27-1</f>
        <v>0.12433710249416996</v>
      </c>
      <c r="C21" s="144">
        <f t="shared" si="9"/>
        <v>8.9796116594278441E-3</v>
      </c>
      <c r="D21" s="144">
        <f t="shared" si="9"/>
        <v>6.5749818288996398E-2</v>
      </c>
      <c r="E21" s="144">
        <f t="shared" si="9"/>
        <v>0.11831722315771853</v>
      </c>
      <c r="F21" s="144">
        <f t="shared" si="9"/>
        <v>0.10793006769847957</v>
      </c>
      <c r="G21" s="144">
        <f t="shared" si="9"/>
        <v>6.1311494739361594E-2</v>
      </c>
      <c r="H21" s="144">
        <f t="shared" si="9"/>
        <v>5.9745965562504777E-2</v>
      </c>
      <c r="I21" s="144">
        <f t="shared" si="9"/>
        <v>4.253232213795588E-2</v>
      </c>
      <c r="J21" s="144">
        <f t="shared" si="9"/>
        <v>4.9326275264677477E-2</v>
      </c>
      <c r="K21" s="144">
        <f t="shared" si="9"/>
        <v>5.9153827341648313E-2</v>
      </c>
      <c r="L21" s="144">
        <f t="shared" si="9"/>
        <v>5.8444627135298521E-2</v>
      </c>
      <c r="M21" s="144">
        <f t="shared" si="9"/>
        <v>5.6770154441679654E-2</v>
      </c>
      <c r="N21" s="144"/>
      <c r="O21" s="144">
        <f t="shared" si="8"/>
        <v>0.41655743813427448</v>
      </c>
      <c r="P21" s="144">
        <f t="shared" si="8"/>
        <v>9.5455392982388254E-2</v>
      </c>
      <c r="Q21" s="144">
        <f t="shared" si="8"/>
        <v>5.0395814257684801E-2</v>
      </c>
      <c r="R21" s="144">
        <f t="shared" si="8"/>
        <v>5.815714725572585E-2</v>
      </c>
      <c r="S21" s="144">
        <f t="shared" si="8"/>
        <v>6.6667027068706641E-2</v>
      </c>
    </row>
    <row r="22" spans="1:19">
      <c r="A22" s="474" t="s">
        <v>172</v>
      </c>
      <c r="B22" s="144">
        <f t="shared" ref="B22:M22" si="10">B16/B28-1</f>
        <v>8.4603110299041884E-2</v>
      </c>
      <c r="C22" s="144">
        <f t="shared" si="10"/>
        <v>-5.1817928037362071E-2</v>
      </c>
      <c r="D22" s="144">
        <f t="shared" si="10"/>
        <v>4.9157133039576806E-3</v>
      </c>
      <c r="E22" s="144">
        <f t="shared" si="10"/>
        <v>6.758759658939506E-2</v>
      </c>
      <c r="F22" s="144">
        <f t="shared" si="10"/>
        <v>5.5837043457704683E-2</v>
      </c>
      <c r="G22" s="144">
        <f t="shared" si="10"/>
        <v>1.8929306138070645E-2</v>
      </c>
      <c r="H22" s="144">
        <f t="shared" si="10"/>
        <v>-3.6046591770624303E-3</v>
      </c>
      <c r="I22" s="144">
        <f t="shared" si="10"/>
        <v>-2.3603461841069651E-3</v>
      </c>
      <c r="J22" s="144">
        <f t="shared" si="10"/>
        <v>3.6953075459733808E-2</v>
      </c>
      <c r="K22" s="144">
        <f t="shared" si="10"/>
        <v>5.7525513891699687E-2</v>
      </c>
      <c r="L22" s="144">
        <f t="shared" si="10"/>
        <v>7.3862609467163942E-2</v>
      </c>
      <c r="M22" s="144">
        <f t="shared" si="10"/>
        <v>8.7196670900461237E-2</v>
      </c>
      <c r="N22" s="144"/>
      <c r="O22" s="144">
        <f t="shared" si="8"/>
        <v>0.35045959610688815</v>
      </c>
      <c r="P22" s="144">
        <f t="shared" si="8"/>
        <v>4.7197347045634386E-2</v>
      </c>
      <c r="Q22" s="144">
        <f t="shared" si="8"/>
        <v>8.9175732118838003E-3</v>
      </c>
      <c r="R22" s="144">
        <f t="shared" si="8"/>
        <v>7.2112472811346251E-2</v>
      </c>
      <c r="S22" s="144">
        <f t="shared" si="8"/>
        <v>3.394075659415452E-2</v>
      </c>
    </row>
    <row r="23" spans="1:19">
      <c r="A23" s="480" t="s">
        <v>173</v>
      </c>
      <c r="B23" s="146">
        <f t="shared" ref="B23:M23" si="11">B17/B29-1</f>
        <v>0.11148286700207599</v>
      </c>
      <c r="C23" s="146">
        <f t="shared" si="11"/>
        <v>-2.4893246202830621E-2</v>
      </c>
      <c r="D23" s="146">
        <f t="shared" si="11"/>
        <v>2.8238684815459658E-2</v>
      </c>
      <c r="E23" s="146">
        <f t="shared" si="11"/>
        <v>9.1331735870471276E-2</v>
      </c>
      <c r="F23" s="146">
        <f t="shared" si="11"/>
        <v>7.1183695965915117E-2</v>
      </c>
      <c r="G23" s="146">
        <f t="shared" si="11"/>
        <v>3.9154146832642178E-2</v>
      </c>
      <c r="H23" s="146">
        <f t="shared" si="11"/>
        <v>3.9236327804237137E-2</v>
      </c>
      <c r="I23" s="146">
        <f t="shared" si="11"/>
        <v>2.9591750934879313E-2</v>
      </c>
      <c r="J23" s="146">
        <f t="shared" si="11"/>
        <v>4.0141199533750171E-2</v>
      </c>
      <c r="K23" s="146">
        <f t="shared" si="11"/>
        <v>6.0154218184557129E-2</v>
      </c>
      <c r="L23" s="146">
        <f t="shared" si="11"/>
        <v>6.9731468757935566E-2</v>
      </c>
      <c r="M23" s="146">
        <f t="shared" si="11"/>
        <v>7.3817485466848964E-2</v>
      </c>
      <c r="N23" s="146"/>
      <c r="O23" s="146">
        <f t="shared" si="8"/>
        <v>3.6698271103711821E-2</v>
      </c>
      <c r="P23" s="146">
        <f t="shared" si="8"/>
        <v>6.6834285951780092E-2</v>
      </c>
      <c r="Q23" s="146">
        <f t="shared" si="8"/>
        <v>3.6037080691917911E-2</v>
      </c>
      <c r="R23" s="146">
        <f t="shared" si="8"/>
        <v>6.7576717648399454E-2</v>
      </c>
      <c r="S23" s="146">
        <f t="shared" si="8"/>
        <v>5.1266727332451412E-2</v>
      </c>
    </row>
    <row r="25" spans="1:19">
      <c r="A25" s="471" t="s">
        <v>151</v>
      </c>
      <c r="B25" s="472" t="s">
        <v>51</v>
      </c>
      <c r="C25" s="472" t="s">
        <v>52</v>
      </c>
      <c r="D25" s="472" t="s">
        <v>53</v>
      </c>
      <c r="E25" s="472" t="s">
        <v>54</v>
      </c>
      <c r="F25" s="472" t="s">
        <v>55</v>
      </c>
      <c r="G25" s="472" t="s">
        <v>77</v>
      </c>
      <c r="H25" s="472" t="s">
        <v>78</v>
      </c>
      <c r="I25" s="472" t="s">
        <v>79</v>
      </c>
      <c r="J25" s="472" t="s">
        <v>80</v>
      </c>
      <c r="K25" s="472" t="s">
        <v>81</v>
      </c>
      <c r="L25" s="472" t="s">
        <v>82</v>
      </c>
      <c r="M25" s="472" t="s">
        <v>44</v>
      </c>
      <c r="N25" s="473"/>
      <c r="O25" s="473" t="s">
        <v>129</v>
      </c>
      <c r="P25" s="473" t="s">
        <v>130</v>
      </c>
      <c r="Q25" s="473" t="s">
        <v>131</v>
      </c>
      <c r="R25" s="473" t="s">
        <v>132</v>
      </c>
      <c r="S25" s="445" t="s">
        <v>171</v>
      </c>
    </row>
    <row r="26" spans="1:19">
      <c r="A26" s="474" t="s">
        <v>22</v>
      </c>
      <c r="B26" s="475">
        <v>13220.88</v>
      </c>
      <c r="C26" s="475">
        <v>14244.51</v>
      </c>
      <c r="D26" s="475">
        <v>13015.11</v>
      </c>
      <c r="E26" s="475">
        <v>12413.94</v>
      </c>
      <c r="F26" s="475">
        <v>13423.57</v>
      </c>
      <c r="G26" s="475">
        <v>13117.93</v>
      </c>
      <c r="H26" s="475">
        <v>15163</v>
      </c>
      <c r="I26" s="475">
        <v>16096</v>
      </c>
      <c r="J26" s="475">
        <v>13703</v>
      </c>
      <c r="K26" s="475">
        <v>14659.13</v>
      </c>
      <c r="L26" s="475">
        <v>12802.17</v>
      </c>
      <c r="M26" s="475">
        <v>12878.29</v>
      </c>
      <c r="O26" s="475">
        <f>SUM(B26:D26)</f>
        <v>40480.5</v>
      </c>
      <c r="P26" s="475">
        <f>SUM(E26:G26)</f>
        <v>38955.440000000002</v>
      </c>
      <c r="Q26" s="475">
        <f>SUM(H26:J26)</f>
        <v>44962</v>
      </c>
      <c r="R26" s="475">
        <f>SUM(K26:M26)</f>
        <v>40339.589999999997</v>
      </c>
      <c r="S26" s="475">
        <f>SUM(B26:M26)</f>
        <v>164737.53000000003</v>
      </c>
    </row>
    <row r="27" spans="1:19">
      <c r="A27" s="474" t="s">
        <v>25</v>
      </c>
      <c r="B27" s="475">
        <v>11281.91</v>
      </c>
      <c r="C27" s="475">
        <v>11942.61</v>
      </c>
      <c r="D27" s="475">
        <v>10992.73</v>
      </c>
      <c r="E27" s="475">
        <v>10748.9</v>
      </c>
      <c r="F27" s="475">
        <v>11406.46</v>
      </c>
      <c r="G27" s="475">
        <v>11364.59</v>
      </c>
      <c r="H27" s="475">
        <v>12951</v>
      </c>
      <c r="I27" s="475">
        <v>13845</v>
      </c>
      <c r="J27" s="475">
        <v>11429</v>
      </c>
      <c r="K27" s="475">
        <v>12267</v>
      </c>
      <c r="L27" s="475">
        <v>11215.06</v>
      </c>
      <c r="M27" s="475">
        <v>11139.48</v>
      </c>
      <c r="O27" s="475">
        <f>SUM(B27:D27)</f>
        <v>34217.25</v>
      </c>
      <c r="P27" s="475">
        <f>SUM(E27:G27)</f>
        <v>33519.949999999997</v>
      </c>
      <c r="Q27" s="475">
        <f>SUM(H27:J27)</f>
        <v>38225</v>
      </c>
      <c r="R27" s="475">
        <f>SUM(K27:M27)</f>
        <v>34621.539999999994</v>
      </c>
      <c r="S27" s="475">
        <f>SUM(B27:M27)</f>
        <v>140583.74</v>
      </c>
    </row>
    <row r="28" spans="1:19">
      <c r="A28" s="474" t="s">
        <v>172</v>
      </c>
      <c r="B28" s="475">
        <v>12095.3</v>
      </c>
      <c r="C28" s="475">
        <v>13254.1</v>
      </c>
      <c r="D28" s="475">
        <v>12368.5</v>
      </c>
      <c r="E28" s="475">
        <v>12009.6</v>
      </c>
      <c r="F28" s="475">
        <v>12690.5</v>
      </c>
      <c r="G28" s="475">
        <v>12541.4</v>
      </c>
      <c r="H28" s="475">
        <v>14509</v>
      </c>
      <c r="I28" s="475">
        <v>15252</v>
      </c>
      <c r="J28" s="475">
        <v>12616</v>
      </c>
      <c r="K28" s="475">
        <v>13835.6</v>
      </c>
      <c r="L28" s="475">
        <v>12172.6</v>
      </c>
      <c r="M28" s="475">
        <v>11967.2</v>
      </c>
      <c r="O28" s="475">
        <f>SUM(B28:D28)</f>
        <v>37717.9</v>
      </c>
      <c r="P28" s="475">
        <f>SUM(E28:G28)</f>
        <v>37241.5</v>
      </c>
      <c r="Q28" s="475">
        <f>SUM(H28:J28)</f>
        <v>42377</v>
      </c>
      <c r="R28" s="475">
        <f>SUM(K28:M28)</f>
        <v>37975.4</v>
      </c>
      <c r="S28" s="475">
        <f>SUM(B28:M28)</f>
        <v>155311.80000000002</v>
      </c>
    </row>
    <row r="29" spans="1:19">
      <c r="A29" s="476" t="s">
        <v>173</v>
      </c>
      <c r="B29" s="477">
        <f t="shared" ref="B29:M29" si="12">SUM(B26:B28)</f>
        <v>36598.089999999997</v>
      </c>
      <c r="C29" s="477">
        <f t="shared" si="12"/>
        <v>39441.22</v>
      </c>
      <c r="D29" s="477">
        <f t="shared" si="12"/>
        <v>36376.339999999997</v>
      </c>
      <c r="E29" s="477">
        <f t="shared" si="12"/>
        <v>35172.44</v>
      </c>
      <c r="F29" s="477">
        <f t="shared" si="12"/>
        <v>37520.53</v>
      </c>
      <c r="G29" s="477">
        <f t="shared" si="12"/>
        <v>37023.919999999998</v>
      </c>
      <c r="H29" s="477">
        <f t="shared" si="12"/>
        <v>42623</v>
      </c>
      <c r="I29" s="477">
        <f t="shared" si="12"/>
        <v>45193</v>
      </c>
      <c r="J29" s="477">
        <f t="shared" si="12"/>
        <v>37748</v>
      </c>
      <c r="K29" s="477">
        <f t="shared" si="12"/>
        <v>40761.729999999996</v>
      </c>
      <c r="L29" s="477">
        <f t="shared" si="12"/>
        <v>36189.83</v>
      </c>
      <c r="M29" s="477">
        <f t="shared" si="12"/>
        <v>35984.97</v>
      </c>
      <c r="O29" s="477">
        <f>SUM(B29:D29)</f>
        <v>112415.65</v>
      </c>
      <c r="P29" s="477">
        <f>SUM(E29:G29)</f>
        <v>109716.89</v>
      </c>
      <c r="Q29" s="477">
        <f>SUM(H29:J29)</f>
        <v>125564</v>
      </c>
      <c r="R29" s="477">
        <f>SUM(K29:M29)</f>
        <v>112936.53</v>
      </c>
      <c r="S29" s="477">
        <f>SUM(B29:M29)</f>
        <v>460633.06999999995</v>
      </c>
    </row>
    <row r="30" spans="1:19">
      <c r="A30" s="478"/>
    </row>
    <row r="31" spans="1:19">
      <c r="A31" s="479" t="s">
        <v>177</v>
      </c>
    </row>
    <row r="32" spans="1:19">
      <c r="A32" s="474" t="s">
        <v>22</v>
      </c>
      <c r="B32" s="144">
        <f t="shared" ref="B32:M32" si="13">B26/B38-1</f>
        <v>0.4014195583596214</v>
      </c>
      <c r="C32" s="144">
        <f t="shared" si="13"/>
        <v>0.4103712636747352</v>
      </c>
      <c r="D32" s="144">
        <f t="shared" si="13"/>
        <v>0.24506236260424874</v>
      </c>
      <c r="E32" s="144">
        <f t="shared" si="13"/>
        <v>9.6664935175075017E-2</v>
      </c>
      <c r="F32" s="144">
        <f t="shared" si="13"/>
        <v>0.14034780702834904</v>
      </c>
      <c r="G32" s="144">
        <f t="shared" si="13"/>
        <v>0.10074958442663462</v>
      </c>
      <c r="H32" s="144">
        <f t="shared" si="13"/>
        <v>8.7265165638892972E-2</v>
      </c>
      <c r="I32" s="144">
        <f t="shared" si="13"/>
        <v>0.13543297199721493</v>
      </c>
      <c r="J32" s="144">
        <f t="shared" si="13"/>
        <v>0.1331058246253507</v>
      </c>
      <c r="K32" s="144">
        <f t="shared" si="13"/>
        <v>0.11010704157090223</v>
      </c>
      <c r="L32" s="144">
        <f t="shared" si="13"/>
        <v>9.6306160110639638E-2</v>
      </c>
      <c r="M32" s="144">
        <f t="shared" si="13"/>
        <v>6.5322538616865655E-2</v>
      </c>
      <c r="N32" s="144"/>
      <c r="O32" s="144">
        <f t="shared" ref="O32:S35" si="14">O26/O38-1</f>
        <v>0.34992911959230533</v>
      </c>
      <c r="P32" s="144">
        <f t="shared" si="14"/>
        <v>0.11274360540280837</v>
      </c>
      <c r="Q32" s="144">
        <f t="shared" si="14"/>
        <v>0.11802941161843461</v>
      </c>
      <c r="R32" s="144">
        <f t="shared" si="14"/>
        <v>9.1104647844694853E-2</v>
      </c>
      <c r="S32" s="144">
        <f t="shared" si="14"/>
        <v>0.15863582757687489</v>
      </c>
    </row>
    <row r="33" spans="1:20">
      <c r="A33" s="474" t="s">
        <v>175</v>
      </c>
      <c r="B33" s="144">
        <f t="shared" ref="B33:M33" si="15">B27/B39-1</f>
        <v>0.63462115229974558</v>
      </c>
      <c r="C33" s="144">
        <f t="shared" si="15"/>
        <v>0.52969770095950275</v>
      </c>
      <c r="D33" s="144">
        <f t="shared" si="15"/>
        <v>0.33621457753164363</v>
      </c>
      <c r="E33" s="144">
        <f t="shared" si="15"/>
        <v>0.15536957874676327</v>
      </c>
      <c r="F33" s="144">
        <f t="shared" si="15"/>
        <v>0.17891962564661723</v>
      </c>
      <c r="G33" s="144">
        <f t="shared" si="15"/>
        <v>0.13292088806656821</v>
      </c>
      <c r="H33" s="144">
        <f t="shared" si="15"/>
        <v>0.12565806799840407</v>
      </c>
      <c r="I33" s="144">
        <f t="shared" si="15"/>
        <v>0.18421896717630704</v>
      </c>
      <c r="J33" s="144">
        <f t="shared" si="15"/>
        <v>0.15991949880598</v>
      </c>
      <c r="K33" s="144">
        <f t="shared" si="15"/>
        <v>0.14910980757305237</v>
      </c>
      <c r="L33" s="144">
        <f t="shared" si="15"/>
        <v>0.13084565425852102</v>
      </c>
      <c r="M33" s="144">
        <f t="shared" si="15"/>
        <v>0.10712148889944606</v>
      </c>
      <c r="N33" s="144"/>
      <c r="O33" s="144">
        <f t="shared" si="14"/>
        <v>0.49187143760908159</v>
      </c>
      <c r="P33" s="144">
        <f t="shared" si="14"/>
        <v>0.15546151138865505</v>
      </c>
      <c r="Q33" s="144">
        <f t="shared" si="14"/>
        <v>0.15658828694524218</v>
      </c>
      <c r="R33" s="144">
        <f t="shared" si="14"/>
        <v>0.12941907967857014</v>
      </c>
      <c r="S33" s="144">
        <f t="shared" si="14"/>
        <v>0.21559780260904704</v>
      </c>
    </row>
    <row r="34" spans="1:20">
      <c r="A34" s="474" t="s">
        <v>172</v>
      </c>
      <c r="B34" s="144">
        <f t="shared" ref="B34:M34" si="16">B28/B40-1</f>
        <v>0.47700000000000009</v>
      </c>
      <c r="C34" s="144">
        <f t="shared" si="16"/>
        <v>0.49900000000000011</v>
      </c>
      <c r="D34" s="144">
        <f t="shared" si="16"/>
        <v>0.32008111425369545</v>
      </c>
      <c r="E34" s="144">
        <f t="shared" si="16"/>
        <v>0.1419226015023296</v>
      </c>
      <c r="F34" s="144">
        <f t="shared" si="16"/>
        <v>0.1968556662139731</v>
      </c>
      <c r="G34" s="144">
        <f t="shared" si="16"/>
        <v>0.13502995637772197</v>
      </c>
      <c r="H34" s="144">
        <f t="shared" si="16"/>
        <v>0.13379907476869213</v>
      </c>
      <c r="I34" s="144">
        <f t="shared" si="16"/>
        <v>0.1490910186768728</v>
      </c>
      <c r="J34" s="144">
        <f t="shared" si="16"/>
        <v>0.14875754623348492</v>
      </c>
      <c r="K34" s="144">
        <f t="shared" si="16"/>
        <v>0.18091498805052919</v>
      </c>
      <c r="L34" s="144">
        <f t="shared" si="16"/>
        <v>0.17480263284884279</v>
      </c>
      <c r="M34" s="144">
        <f t="shared" si="16"/>
        <v>0.11008867945530798</v>
      </c>
      <c r="N34" s="144"/>
      <c r="O34" s="144">
        <f t="shared" si="14"/>
        <v>0.42867798293094195</v>
      </c>
      <c r="P34" s="144">
        <f t="shared" si="14"/>
        <v>0.15766127026758192</v>
      </c>
      <c r="Q34" s="144">
        <f t="shared" si="14"/>
        <v>0.14371076481288569</v>
      </c>
      <c r="R34" s="144">
        <f t="shared" si="14"/>
        <v>0.15574992847969127</v>
      </c>
      <c r="S34" s="144">
        <f t="shared" si="14"/>
        <v>0.20883877317950361</v>
      </c>
    </row>
    <row r="35" spans="1:20">
      <c r="A35" s="480" t="s">
        <v>173</v>
      </c>
      <c r="B35" s="146">
        <f t="shared" ref="B35:M35" si="17">B29/B41-1</f>
        <v>0.49228479935852776</v>
      </c>
      <c r="C35" s="146">
        <f t="shared" si="17"/>
        <v>0.47449538494359111</v>
      </c>
      <c r="D35" s="146">
        <f t="shared" si="17"/>
        <v>0.29685539748267775</v>
      </c>
      <c r="E35" s="146">
        <f t="shared" si="17"/>
        <v>0.12948845782695328</v>
      </c>
      <c r="F35" s="146">
        <f t="shared" si="17"/>
        <v>0.17068663295685926</v>
      </c>
      <c r="G35" s="146">
        <f t="shared" si="17"/>
        <v>0.12200837022962063</v>
      </c>
      <c r="H35" s="146">
        <f t="shared" si="17"/>
        <v>0.11438302638538356</v>
      </c>
      <c r="I35" s="146">
        <f t="shared" si="17"/>
        <v>0.15463699437206113</v>
      </c>
      <c r="J35" s="146">
        <f t="shared" si="17"/>
        <v>0.14634934440527569</v>
      </c>
      <c r="K35" s="146">
        <f t="shared" si="17"/>
        <v>0.1451091782673346</v>
      </c>
      <c r="L35" s="146">
        <f t="shared" si="17"/>
        <v>0.13247660246661397</v>
      </c>
      <c r="M35" s="146">
        <f t="shared" si="17"/>
        <v>9.2748739853310003E-2</v>
      </c>
      <c r="N35" s="146"/>
      <c r="O35" s="146">
        <f t="shared" si="14"/>
        <v>0.41717999284237273</v>
      </c>
      <c r="P35" s="146">
        <f t="shared" si="14"/>
        <v>0.14064966684537894</v>
      </c>
      <c r="Q35" s="146">
        <f t="shared" si="14"/>
        <v>0.13820676866992598</v>
      </c>
      <c r="R35" s="146">
        <f t="shared" si="14"/>
        <v>0.12393198798368932</v>
      </c>
      <c r="S35" s="146">
        <f t="shared" si="14"/>
        <v>0.19238501456702606</v>
      </c>
    </row>
    <row r="37" spans="1:20">
      <c r="A37" s="471" t="s">
        <v>153</v>
      </c>
      <c r="B37" s="472" t="s">
        <v>51</v>
      </c>
      <c r="C37" s="472" t="s">
        <v>52</v>
      </c>
      <c r="D37" s="472" t="s">
        <v>53</v>
      </c>
      <c r="E37" s="472" t="s">
        <v>54</v>
      </c>
      <c r="F37" s="472" t="s">
        <v>55</v>
      </c>
      <c r="G37" s="472" t="s">
        <v>77</v>
      </c>
      <c r="H37" s="472" t="s">
        <v>78</v>
      </c>
      <c r="I37" s="472" t="s">
        <v>79</v>
      </c>
      <c r="J37" s="472" t="s">
        <v>80</v>
      </c>
      <c r="K37" s="472" t="s">
        <v>81</v>
      </c>
      <c r="L37" s="472" t="s">
        <v>82</v>
      </c>
      <c r="M37" s="472" t="s">
        <v>44</v>
      </c>
      <c r="N37" s="473"/>
      <c r="O37" s="473" t="s">
        <v>129</v>
      </c>
      <c r="P37" s="473" t="s">
        <v>130</v>
      </c>
      <c r="Q37" s="473" t="s">
        <v>131</v>
      </c>
      <c r="R37" s="473" t="s">
        <v>132</v>
      </c>
      <c r="S37" s="445" t="s">
        <v>171</v>
      </c>
    </row>
    <row r="38" spans="1:20">
      <c r="A38" s="474" t="s">
        <v>22</v>
      </c>
      <c r="B38" s="475">
        <v>9433.92</v>
      </c>
      <c r="C38" s="475">
        <v>10099.83</v>
      </c>
      <c r="D38" s="475">
        <v>10453.379999999999</v>
      </c>
      <c r="E38" s="475">
        <v>11319.72</v>
      </c>
      <c r="F38" s="475">
        <v>11771.47</v>
      </c>
      <c r="G38" s="475">
        <v>11917.27</v>
      </c>
      <c r="H38" s="475">
        <v>13946</v>
      </c>
      <c r="I38" s="475">
        <v>14176.09</v>
      </c>
      <c r="J38" s="475">
        <v>12093.31</v>
      </c>
      <c r="K38" s="475">
        <v>13205.15</v>
      </c>
      <c r="L38" s="475">
        <v>11677.55</v>
      </c>
      <c r="M38" s="475">
        <v>12088.63</v>
      </c>
      <c r="N38" s="475"/>
      <c r="O38" s="475">
        <f>SUM(B38:D38)</f>
        <v>29987.129999999997</v>
      </c>
      <c r="P38" s="475">
        <f>SUM(E38:G38)</f>
        <v>35008.46</v>
      </c>
      <c r="Q38" s="475">
        <f>SUM(H38:J38)</f>
        <v>40215.4</v>
      </c>
      <c r="R38" s="475">
        <f>SUM(K38:M38)</f>
        <v>36971.329999999994</v>
      </c>
      <c r="S38" s="1">
        <f>SUM(B38:M38)</f>
        <v>142182.31999999998</v>
      </c>
      <c r="T38" s="443"/>
    </row>
    <row r="39" spans="1:20">
      <c r="A39" s="474" t="s">
        <v>25</v>
      </c>
      <c r="B39" s="475">
        <v>6901.85</v>
      </c>
      <c r="C39" s="475">
        <v>7807.17</v>
      </c>
      <c r="D39" s="475">
        <v>8226.77</v>
      </c>
      <c r="E39" s="475">
        <v>9303.43</v>
      </c>
      <c r="F39" s="475">
        <v>9675.35</v>
      </c>
      <c r="G39" s="475">
        <v>10031.23</v>
      </c>
      <c r="H39" s="475">
        <v>11505.27</v>
      </c>
      <c r="I39" s="475">
        <v>11691.25</v>
      </c>
      <c r="J39" s="475">
        <v>9853.27</v>
      </c>
      <c r="K39" s="475">
        <v>10675.22</v>
      </c>
      <c r="L39" s="475">
        <v>9917.41</v>
      </c>
      <c r="M39" s="475">
        <v>10061.66</v>
      </c>
      <c r="N39" s="475"/>
      <c r="O39" s="475">
        <f>SUM(B39:D39)</f>
        <v>22935.79</v>
      </c>
      <c r="P39" s="475">
        <f>SUM(E39:G39)</f>
        <v>29010.01</v>
      </c>
      <c r="Q39" s="475">
        <f>SUM(H39:J39)</f>
        <v>33049.79</v>
      </c>
      <c r="R39" s="475">
        <f>SUM(K39:M39)</f>
        <v>30654.289999999997</v>
      </c>
      <c r="S39" s="1">
        <f>SUM(B39:M39)</f>
        <v>115649.88000000002</v>
      </c>
      <c r="T39" s="443"/>
    </row>
    <row r="40" spans="1:20">
      <c r="A40" s="474" t="s">
        <v>172</v>
      </c>
      <c r="B40" s="475">
        <f>B28/(1+47.7%)</f>
        <v>8189.0995260663494</v>
      </c>
      <c r="C40" s="475">
        <f>C28/(1+49.9%)</f>
        <v>8841.9613075383586</v>
      </c>
      <c r="D40" s="475">
        <v>9369.5</v>
      </c>
      <c r="E40" s="475">
        <v>10517</v>
      </c>
      <c r="F40" s="475">
        <v>10603.2</v>
      </c>
      <c r="G40" s="475">
        <v>11049.4</v>
      </c>
      <c r="H40" s="475">
        <v>12796.8</v>
      </c>
      <c r="I40" s="475">
        <v>13273.1</v>
      </c>
      <c r="J40" s="475">
        <v>10982.3</v>
      </c>
      <c r="K40" s="475">
        <v>11716</v>
      </c>
      <c r="L40" s="475">
        <v>10361.4</v>
      </c>
      <c r="M40" s="475">
        <v>10780.4</v>
      </c>
      <c r="N40" s="475"/>
      <c r="O40" s="475">
        <f>SUM(B40:D40)</f>
        <v>26400.560833604708</v>
      </c>
      <c r="P40" s="475">
        <f>SUM(E40:G40)</f>
        <v>32169.599999999999</v>
      </c>
      <c r="Q40" s="475">
        <f>SUM(H40:J40)</f>
        <v>37052.199999999997</v>
      </c>
      <c r="R40" s="475">
        <f>SUM(K40:M40)</f>
        <v>32857.800000000003</v>
      </c>
      <c r="S40" s="1">
        <f>SUM(B40:M40)</f>
        <v>128480.16083360471</v>
      </c>
      <c r="T40" s="443"/>
    </row>
    <row r="41" spans="1:20" s="481" customFormat="1">
      <c r="A41" s="476" t="s">
        <v>173</v>
      </c>
      <c r="B41" s="477">
        <f t="shared" ref="B41:M41" si="18">SUM(B38:B40)</f>
        <v>24524.869526066352</v>
      </c>
      <c r="C41" s="477">
        <f t="shared" si="18"/>
        <v>26748.96130753836</v>
      </c>
      <c r="D41" s="477">
        <f t="shared" si="18"/>
        <v>28049.65</v>
      </c>
      <c r="E41" s="477">
        <f t="shared" si="18"/>
        <v>31140.15</v>
      </c>
      <c r="F41" s="477">
        <f t="shared" si="18"/>
        <v>32050.02</v>
      </c>
      <c r="G41" s="477">
        <f t="shared" si="18"/>
        <v>32997.9</v>
      </c>
      <c r="H41" s="477">
        <f t="shared" si="18"/>
        <v>38248.07</v>
      </c>
      <c r="I41" s="477">
        <f t="shared" si="18"/>
        <v>39140.44</v>
      </c>
      <c r="J41" s="477">
        <f t="shared" si="18"/>
        <v>32928.880000000005</v>
      </c>
      <c r="K41" s="477">
        <f t="shared" si="18"/>
        <v>35596.369999999995</v>
      </c>
      <c r="L41" s="477">
        <f t="shared" si="18"/>
        <v>31956.36</v>
      </c>
      <c r="M41" s="477">
        <f t="shared" si="18"/>
        <v>32930.69</v>
      </c>
      <c r="N41" s="477"/>
      <c r="O41" s="477">
        <f>SUM(O38:O40)</f>
        <v>79323.480833604699</v>
      </c>
      <c r="P41" s="477">
        <f>SUM(P38:P40)</f>
        <v>96188.07</v>
      </c>
      <c r="Q41" s="477">
        <f>SUM(Q38:Q40)</f>
        <v>110317.39</v>
      </c>
      <c r="R41" s="477">
        <f>SUM(R38:R40)</f>
        <v>100483.42</v>
      </c>
      <c r="S41" s="477">
        <f>SUM(O41:R41)</f>
        <v>386312.3608336047</v>
      </c>
      <c r="T41" s="482"/>
    </row>
    <row r="42" spans="1:20">
      <c r="A42" s="478"/>
      <c r="B42" s="475"/>
      <c r="C42" s="151"/>
      <c r="D42" s="151"/>
      <c r="E42" s="337"/>
      <c r="F42" s="475"/>
      <c r="G42" s="475"/>
      <c r="H42" s="475"/>
      <c r="I42" s="475"/>
      <c r="J42" s="475"/>
      <c r="K42" s="475"/>
      <c r="L42" s="475"/>
      <c r="M42" s="475"/>
      <c r="N42" s="475"/>
      <c r="O42" s="475"/>
      <c r="P42" s="475"/>
      <c r="Q42" s="475"/>
      <c r="R42" s="475"/>
      <c r="S42" s="443"/>
      <c r="T42" s="443"/>
    </row>
    <row r="43" spans="1:20">
      <c r="A43" s="479" t="s">
        <v>178</v>
      </c>
    </row>
    <row r="44" spans="1:20">
      <c r="A44" s="474" t="s">
        <v>22</v>
      </c>
      <c r="B44" s="144">
        <f t="shared" ref="B44:M44" si="19">B38/B56-1</f>
        <v>0.41238187632496137</v>
      </c>
      <c r="C44" s="144">
        <f t="shared" si="19"/>
        <v>0.37439018913832456</v>
      </c>
      <c r="D44" s="144">
        <f t="shared" si="19"/>
        <v>1.5647745813653926</v>
      </c>
      <c r="E44" s="144">
        <f t="shared" si="19"/>
        <v>4.0423712203552906</v>
      </c>
      <c r="F44" s="144">
        <f t="shared" si="19"/>
        <v>2.4417087689752766</v>
      </c>
      <c r="G44" s="144">
        <f t="shared" si="19"/>
        <v>1.0005287843332114</v>
      </c>
      <c r="H44" s="144">
        <f t="shared" si="19"/>
        <v>0.64793741949968675</v>
      </c>
      <c r="I44" s="144">
        <f t="shared" si="19"/>
        <v>0.81736588742812821</v>
      </c>
      <c r="J44" s="144">
        <f t="shared" si="19"/>
        <v>1.2509609102635451</v>
      </c>
      <c r="K44" s="144">
        <f t="shared" si="19"/>
        <v>2.1918316143644083</v>
      </c>
      <c r="L44" s="144">
        <f t="shared" si="19"/>
        <v>3.0889927692280752</v>
      </c>
      <c r="M44" s="144">
        <f t="shared" si="19"/>
        <v>1.827081788863917</v>
      </c>
      <c r="N44" s="144"/>
      <c r="O44" s="144">
        <f t="shared" ref="O44:S47" si="20">O38/O56-1</f>
        <v>0.65640159126988951</v>
      </c>
      <c r="P44" s="144">
        <f t="shared" si="20"/>
        <v>2.0122007671511981</v>
      </c>
      <c r="Q44" s="144">
        <f t="shared" si="20"/>
        <v>0.85876399778882528</v>
      </c>
      <c r="R44" s="144">
        <f t="shared" si="20"/>
        <v>2.2807908045324212</v>
      </c>
      <c r="S44" s="144">
        <f t="shared" si="20"/>
        <v>1.2701737282053385</v>
      </c>
    </row>
    <row r="45" spans="1:20">
      <c r="A45" s="474" t="s">
        <v>175</v>
      </c>
      <c r="B45" s="144">
        <f t="shared" ref="B45:M45" si="21">B39/B57-1</f>
        <v>0.37388799643282988</v>
      </c>
      <c r="C45" s="144">
        <f t="shared" si="21"/>
        <v>0.39327168116955913</v>
      </c>
      <c r="D45" s="144">
        <f t="shared" si="21"/>
        <v>2.2804860056065301</v>
      </c>
      <c r="E45" s="144">
        <f t="shared" si="21"/>
        <v>9.716879197336743</v>
      </c>
      <c r="F45" s="144">
        <f t="shared" si="21"/>
        <v>5.3974754854962752</v>
      </c>
      <c r="G45" s="144">
        <f t="shared" si="21"/>
        <v>2.1741586188565565</v>
      </c>
      <c r="H45" s="144">
        <f t="shared" si="21"/>
        <v>1.2654635673568242</v>
      </c>
      <c r="I45" s="144">
        <f t="shared" si="21"/>
        <v>1.0092788164911672</v>
      </c>
      <c r="J45" s="144">
        <f t="shared" si="21"/>
        <v>1.3301715004635146</v>
      </c>
      <c r="K45" s="144">
        <f t="shared" si="21"/>
        <v>2.5156678643293033</v>
      </c>
      <c r="L45" s="144">
        <f t="shared" si="21"/>
        <v>2.9327334877228597</v>
      </c>
      <c r="M45" s="144">
        <f t="shared" si="21"/>
        <v>2.1760089898422357</v>
      </c>
      <c r="N45" s="144"/>
      <c r="O45" s="144">
        <f t="shared" si="20"/>
        <v>0.74617696724593952</v>
      </c>
      <c r="P45" s="144">
        <f t="shared" si="20"/>
        <v>4.235745637782542</v>
      </c>
      <c r="Q45" s="144">
        <f t="shared" si="20"/>
        <v>1.1850031800097049</v>
      </c>
      <c r="R45" s="144">
        <f t="shared" si="20"/>
        <v>2.5128823950723387</v>
      </c>
      <c r="S45" s="144">
        <f t="shared" si="20"/>
        <v>1.719406992304529</v>
      </c>
    </row>
    <row r="46" spans="1:20">
      <c r="A46" s="474" t="s">
        <v>172</v>
      </c>
      <c r="B46" s="144">
        <f t="shared" ref="B46:M46" si="22">B40/B58-1</f>
        <v>0.8621323705724242</v>
      </c>
      <c r="C46" s="144">
        <f t="shared" si="22"/>
        <v>1.0029360760082362</v>
      </c>
      <c r="D46" s="144">
        <f t="shared" si="22"/>
        <v>3.1346366003265524</v>
      </c>
      <c r="E46" s="144">
        <f t="shared" si="22"/>
        <v>6.9158512720156562</v>
      </c>
      <c r="F46" s="144">
        <f t="shared" si="22"/>
        <v>4.8652505808164621</v>
      </c>
      <c r="G46" s="144">
        <f t="shared" si="22"/>
        <v>2.4985276889465848</v>
      </c>
      <c r="H46" s="144">
        <f t="shared" si="22"/>
        <v>1.4566711460932997</v>
      </c>
      <c r="I46" s="144">
        <f t="shared" si="22"/>
        <v>1.59260489100711</v>
      </c>
      <c r="J46" s="144">
        <f t="shared" si="22"/>
        <v>2.5927440460612399</v>
      </c>
      <c r="K46" s="144">
        <f t="shared" si="22"/>
        <v>3.3654519710857738</v>
      </c>
      <c r="L46" s="144">
        <f t="shared" si="22"/>
        <v>3.7213159573498586</v>
      </c>
      <c r="M46" s="144">
        <f t="shared" si="22"/>
        <v>2.6292755184486936</v>
      </c>
      <c r="N46" s="144"/>
      <c r="O46" s="144">
        <f t="shared" si="20"/>
        <v>1.3830877331002687</v>
      </c>
      <c r="P46" s="144">
        <f t="shared" si="20"/>
        <v>4.1105850953977159</v>
      </c>
      <c r="Q46" s="144">
        <f t="shared" si="20"/>
        <v>1.7681055478357011</v>
      </c>
      <c r="R46" s="144">
        <f t="shared" si="20"/>
        <v>3.1863469574966885</v>
      </c>
      <c r="S46" s="144">
        <f t="shared" si="20"/>
        <v>2.327880831389086</v>
      </c>
    </row>
    <row r="47" spans="1:20" s="481" customFormat="1">
      <c r="A47" s="480" t="s">
        <v>173</v>
      </c>
      <c r="B47" s="146">
        <f t="shared" ref="B47:M47" si="23">B41/B59-1</f>
        <v>0.52321475647789595</v>
      </c>
      <c r="C47" s="146">
        <f t="shared" si="23"/>
        <v>0.54025586558188299</v>
      </c>
      <c r="D47" s="146">
        <f t="shared" si="23"/>
        <v>2.1695809095059237</v>
      </c>
      <c r="E47" s="146">
        <f t="shared" si="23"/>
        <v>6.0109734489365394</v>
      </c>
      <c r="F47" s="146">
        <f t="shared" si="23"/>
        <v>3.7549066006370531</v>
      </c>
      <c r="G47" s="146">
        <f t="shared" si="23"/>
        <v>1.6880798068369556</v>
      </c>
      <c r="H47" s="146">
        <f t="shared" si="23"/>
        <v>1.0398698684017544</v>
      </c>
      <c r="I47" s="146">
        <f t="shared" si="23"/>
        <v>1.0887623288424204</v>
      </c>
      <c r="J47" s="146">
        <f t="shared" si="23"/>
        <v>1.6014550631346354</v>
      </c>
      <c r="K47" s="146">
        <f t="shared" si="23"/>
        <v>2.6111170851661285</v>
      </c>
      <c r="L47" s="146">
        <f t="shared" si="23"/>
        <v>3.2202157626373271</v>
      </c>
      <c r="M47" s="146">
        <f t="shared" si="23"/>
        <v>2.1620251900488072</v>
      </c>
      <c r="N47" s="146"/>
      <c r="O47" s="146">
        <f t="shared" si="20"/>
        <v>0.8745089043206975</v>
      </c>
      <c r="P47" s="146">
        <f t="shared" si="20"/>
        <v>3.1004937402164234</v>
      </c>
      <c r="Q47" s="146">
        <f t="shared" si="20"/>
        <v>1.1998933130196003</v>
      </c>
      <c r="R47" s="146">
        <f t="shared" si="20"/>
        <v>2.6087893728217995</v>
      </c>
      <c r="S47" s="146">
        <f t="shared" si="20"/>
        <v>1.6871024657783078</v>
      </c>
    </row>
    <row r="48" spans="1:20">
      <c r="A48" s="478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</row>
    <row r="49" spans="1:20">
      <c r="A49" s="479" t="s">
        <v>179</v>
      </c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</row>
    <row r="50" spans="1:20">
      <c r="A50" s="474" t="s">
        <v>22</v>
      </c>
      <c r="B50" s="144">
        <f t="shared" ref="B50:M50" si="24">B38/B$114-1</f>
        <v>-0.21286657833520783</v>
      </c>
      <c r="C50" s="144">
        <f t="shared" si="24"/>
        <v>-0.17459760956175296</v>
      </c>
      <c r="D50" s="144">
        <f t="shared" si="24"/>
        <v>-0.14011085281648095</v>
      </c>
      <c r="E50" s="144">
        <f t="shared" si="24"/>
        <v>-5.2227571482396318E-2</v>
      </c>
      <c r="F50" s="144">
        <f t="shared" si="24"/>
        <v>-4.3788529007280808E-2</v>
      </c>
      <c r="G50" s="144">
        <f t="shared" si="24"/>
        <v>-1.8383982155536049E-2</v>
      </c>
      <c r="H50" s="144">
        <f t="shared" si="24"/>
        <v>1.5655781103092625E-2</v>
      </c>
      <c r="I50" s="144">
        <f t="shared" si="24"/>
        <v>-1.801109717998628E-2</v>
      </c>
      <c r="J50" s="144">
        <f t="shared" si="24"/>
        <v>-4.5591508168258299E-2</v>
      </c>
      <c r="K50" s="144">
        <f t="shared" si="24"/>
        <v>-4.5636525503008896E-3</v>
      </c>
      <c r="L50" s="144">
        <f t="shared" si="24"/>
        <v>-6.2919537813271642E-2</v>
      </c>
      <c r="M50" s="144">
        <f t="shared" si="24"/>
        <v>-1.5993344788935659E-2</v>
      </c>
      <c r="N50" s="144"/>
      <c r="O50" s="144">
        <f>O38/O$114-1</f>
        <v>-0.17568111777232831</v>
      </c>
      <c r="P50" s="144">
        <f>P38/P$114-1</f>
        <v>-3.8083512092077609E-2</v>
      </c>
      <c r="Q50" s="144">
        <f>Q38/Q$114-1</f>
        <v>-1.5248739352169194E-2</v>
      </c>
      <c r="R50" s="144">
        <f>R38/R$114-1</f>
        <v>-2.7388409528146584E-2</v>
      </c>
      <c r="S50" s="144">
        <f>S38/S$114-1</f>
        <v>-6.2264910522880745E-2</v>
      </c>
    </row>
    <row r="51" spans="1:20">
      <c r="A51" s="474" t="s">
        <v>175</v>
      </c>
      <c r="B51" s="144">
        <f t="shared" ref="B51:M51" si="25">B39/B$115-1</f>
        <v>-0.35484549419610056</v>
      </c>
      <c r="C51" s="144">
        <f t="shared" si="25"/>
        <v>-0.25954944180519179</v>
      </c>
      <c r="D51" s="144">
        <f t="shared" si="25"/>
        <v>-0.22725616136492144</v>
      </c>
      <c r="E51" s="144">
        <f t="shared" si="25"/>
        <v>-0.1170016077933369</v>
      </c>
      <c r="F51" s="144">
        <f t="shared" si="25"/>
        <v>-0.11005322930914108</v>
      </c>
      <c r="G51" s="144">
        <f t="shared" si="25"/>
        <v>-6.442635289465326E-2</v>
      </c>
      <c r="H51" s="144">
        <f t="shared" si="25"/>
        <v>-1.8357808966001921E-3</v>
      </c>
      <c r="I51" s="144">
        <f t="shared" si="25"/>
        <v>-1.7891119375213593E-2</v>
      </c>
      <c r="J51" s="144">
        <f t="shared" si="25"/>
        <v>-5.9954969136685854E-2</v>
      </c>
      <c r="K51" s="144">
        <f t="shared" si="25"/>
        <v>-3.3027652574675104E-2</v>
      </c>
      <c r="L51" s="144">
        <f t="shared" si="25"/>
        <v>-6.9645641296006811E-2</v>
      </c>
      <c r="M51" s="144">
        <f t="shared" si="25"/>
        <v>-5.0084213229407371E-2</v>
      </c>
      <c r="N51" s="144"/>
      <c r="O51" s="144">
        <f>O39/O$115-1</f>
        <v>-0.28073847284728382</v>
      </c>
      <c r="P51" s="144">
        <f>P39/P$115-1</f>
        <v>-9.7105759660280455E-2</v>
      </c>
      <c r="Q51" s="144">
        <f>Q39/Q$115-1</f>
        <v>-2.5435269028755259E-2</v>
      </c>
      <c r="R51" s="144">
        <f>R39/R$115-1</f>
        <v>-5.0710365659166978E-2</v>
      </c>
      <c r="S51" s="144">
        <f>S39/S$115-1</f>
        <v>-0.11190329572913726</v>
      </c>
    </row>
    <row r="52" spans="1:20">
      <c r="A52" s="474" t="s">
        <v>172</v>
      </c>
      <c r="B52" s="144">
        <f t="shared" ref="B52:M52" si="26">B40/B$116-1</f>
        <v>-0.14533514310516982</v>
      </c>
      <c r="C52" s="144">
        <f t="shared" si="26"/>
        <v>-5.7892522611066366E-2</v>
      </c>
      <c r="D52" s="144">
        <f t="shared" si="26"/>
        <v>-1.1499709869705166E-2</v>
      </c>
      <c r="E52" s="144">
        <f t="shared" si="26"/>
        <v>0.12480080426947304</v>
      </c>
      <c r="F52" s="144">
        <f t="shared" si="26"/>
        <v>0.11679639362564931</v>
      </c>
      <c r="G52" s="144">
        <f t="shared" si="26"/>
        <v>0.20201470780209729</v>
      </c>
      <c r="H52" s="144">
        <f t="shared" si="26"/>
        <v>0.27316141356255952</v>
      </c>
      <c r="I52" s="144">
        <f t="shared" si="26"/>
        <v>0.26651717557251908</v>
      </c>
      <c r="J52" s="144">
        <f t="shared" si="26"/>
        <v>0.16815580658199836</v>
      </c>
      <c r="K52" s="144">
        <f t="shared" si="26"/>
        <v>0.19374395027765035</v>
      </c>
      <c r="L52" s="144">
        <f t="shared" si="26"/>
        <v>0.11400924631760012</v>
      </c>
      <c r="M52" s="144">
        <f t="shared" si="26"/>
        <v>0.13585502054578025</v>
      </c>
      <c r="N52" s="144"/>
      <c r="O52" s="144">
        <f>O40/O$116-1</f>
        <v>-7.1888093399657516E-2</v>
      </c>
      <c r="P52" s="144">
        <f>P40/P$116-1</f>
        <v>0.14740626605033369</v>
      </c>
      <c r="Q52" s="144">
        <f>Q40/Q$116-1</f>
        <v>0.23785437950595667</v>
      </c>
      <c r="R52" s="144">
        <f>R40/R$116-1</f>
        <v>0.14861307744743346</v>
      </c>
      <c r="S52" s="144">
        <f>S41/S$116-1</f>
        <v>2.3586143862300752</v>
      </c>
    </row>
    <row r="53" spans="1:20" s="481" customFormat="1">
      <c r="A53" s="480" t="s">
        <v>173</v>
      </c>
      <c r="B53" s="146">
        <f t="shared" ref="B53:M53" si="27">B41/B$117-1</f>
        <v>-0.23988752054278517</v>
      </c>
      <c r="C53" s="146">
        <f t="shared" si="27"/>
        <v>-0.16839229197066774</v>
      </c>
      <c r="D53" s="146">
        <f t="shared" si="27"/>
        <v>-0.13108780490524863</v>
      </c>
      <c r="E53" s="146">
        <f t="shared" si="27"/>
        <v>-2.1666188079213833E-2</v>
      </c>
      <c r="F53" s="146">
        <f t="shared" si="27"/>
        <v>-1.9176990549217732E-2</v>
      </c>
      <c r="G53" s="146">
        <f t="shared" si="27"/>
        <v>2.9419242692296121E-2</v>
      </c>
      <c r="H53" s="146">
        <f t="shared" si="27"/>
        <v>8.3248981977792402E-2</v>
      </c>
      <c r="I53" s="146">
        <f t="shared" si="27"/>
        <v>6.3011656875427313E-2</v>
      </c>
      <c r="J53" s="146">
        <f t="shared" si="27"/>
        <v>1.1512528375842157E-2</v>
      </c>
      <c r="K53" s="146">
        <f t="shared" si="27"/>
        <v>4.3269012366049964E-2</v>
      </c>
      <c r="L53" s="146">
        <f t="shared" si="27"/>
        <v>-1.4375533002595309E-2</v>
      </c>
      <c r="M53" s="146">
        <f t="shared" si="27"/>
        <v>1.7375658322178023E-2</v>
      </c>
      <c r="N53" s="146"/>
      <c r="O53" s="146">
        <f>O41/O$117-1</f>
        <v>-0.1797925889301808</v>
      </c>
      <c r="P53" s="146">
        <f>P41/P$117-1</f>
        <v>-3.8653162431204757E-3</v>
      </c>
      <c r="Q53" s="146">
        <f>Q41/Q$117-1</f>
        <v>5.3822446395115131E-2</v>
      </c>
      <c r="R53" s="146">
        <f>R41/R$117-1</f>
        <v>1.5899889546889368E-2</v>
      </c>
      <c r="S53" s="146">
        <f>S41/S$117-1</f>
        <v>-2.6594019508405453E-2</v>
      </c>
    </row>
    <row r="55" spans="1:20">
      <c r="A55" s="471" t="s">
        <v>155</v>
      </c>
      <c r="B55" s="472" t="s">
        <v>51</v>
      </c>
      <c r="C55" s="472" t="s">
        <v>52</v>
      </c>
      <c r="D55" s="472" t="s">
        <v>53</v>
      </c>
      <c r="E55" s="472" t="s">
        <v>54</v>
      </c>
      <c r="F55" s="472" t="s">
        <v>55</v>
      </c>
      <c r="G55" s="472" t="s">
        <v>77</v>
      </c>
      <c r="H55" s="472" t="s">
        <v>78</v>
      </c>
      <c r="I55" s="472" t="s">
        <v>79</v>
      </c>
      <c r="J55" s="472" t="s">
        <v>80</v>
      </c>
      <c r="K55" s="472" t="s">
        <v>81</v>
      </c>
      <c r="L55" s="472" t="s">
        <v>82</v>
      </c>
      <c r="M55" s="472" t="s">
        <v>44</v>
      </c>
      <c r="N55" s="473"/>
      <c r="O55" s="473" t="s">
        <v>129</v>
      </c>
      <c r="P55" s="473" t="s">
        <v>130</v>
      </c>
      <c r="Q55" s="473" t="s">
        <v>131</v>
      </c>
      <c r="R55" s="473" t="s">
        <v>132</v>
      </c>
      <c r="S55" s="445" t="s">
        <v>171</v>
      </c>
    </row>
    <row r="56" spans="1:20">
      <c r="A56" s="474" t="s">
        <v>22</v>
      </c>
      <c r="B56" s="475">
        <v>6679.44</v>
      </c>
      <c r="C56" s="475">
        <v>7348.59</v>
      </c>
      <c r="D56" s="475">
        <v>4075.75</v>
      </c>
      <c r="E56" s="475">
        <v>2244.92</v>
      </c>
      <c r="F56" s="475">
        <v>3420.24</v>
      </c>
      <c r="G56" s="475">
        <v>5957.06</v>
      </c>
      <c r="H56" s="475">
        <v>8462.7000000000007</v>
      </c>
      <c r="I56" s="475">
        <v>7800.35</v>
      </c>
      <c r="J56" s="475">
        <v>5372.51</v>
      </c>
      <c r="K56" s="475">
        <v>4137.17</v>
      </c>
      <c r="L56" s="475">
        <v>2855.85</v>
      </c>
      <c r="M56" s="475">
        <v>4276.01</v>
      </c>
      <c r="N56" s="475"/>
      <c r="O56" s="475">
        <f>SUM(B56:D56)</f>
        <v>18103.78</v>
      </c>
      <c r="P56" s="475">
        <f>SUM(E56:G56)</f>
        <v>11622.220000000001</v>
      </c>
      <c r="Q56" s="475">
        <f>SUM(H56:J56)</f>
        <v>21635.56</v>
      </c>
      <c r="R56" s="475">
        <f>SUM(K56:M56)</f>
        <v>11269.03</v>
      </c>
      <c r="S56" s="1">
        <f>SUM(B56:M56)</f>
        <v>62630.59</v>
      </c>
      <c r="T56" s="443"/>
    </row>
    <row r="57" spans="1:20">
      <c r="A57" s="474" t="s">
        <v>25</v>
      </c>
      <c r="B57" s="475">
        <v>5023.59</v>
      </c>
      <c r="C57" s="475">
        <v>5603.48</v>
      </c>
      <c r="D57" s="475">
        <v>2507.79</v>
      </c>
      <c r="E57" s="475">
        <v>868.11</v>
      </c>
      <c r="F57" s="475">
        <v>1512.37</v>
      </c>
      <c r="G57" s="475">
        <v>3160.28</v>
      </c>
      <c r="H57" s="475">
        <v>5078.55</v>
      </c>
      <c r="I57" s="475">
        <v>5818.63</v>
      </c>
      <c r="J57" s="475">
        <v>4228.5600000000004</v>
      </c>
      <c r="K57" s="475">
        <v>3036.47</v>
      </c>
      <c r="L57" s="475">
        <v>2521.7600000000002</v>
      </c>
      <c r="M57" s="475">
        <v>3168.02</v>
      </c>
      <c r="N57" s="475"/>
      <c r="O57" s="475">
        <f>SUM(B57:D57)</f>
        <v>13134.86</v>
      </c>
      <c r="P57" s="475">
        <f>SUM(E57:G57)</f>
        <v>5540.76</v>
      </c>
      <c r="Q57" s="475">
        <f>SUM(H57:J57)</f>
        <v>15125.740000000002</v>
      </c>
      <c r="R57" s="475">
        <f>SUM(K57:M57)</f>
        <v>8726.25</v>
      </c>
      <c r="S57" s="1">
        <f>SUM(B57:M57)</f>
        <v>42527.61</v>
      </c>
      <c r="T57" s="443"/>
    </row>
    <row r="58" spans="1:20">
      <c r="A58" s="474" t="s">
        <v>172</v>
      </c>
      <c r="B58" s="475">
        <v>4397.7</v>
      </c>
      <c r="C58" s="475">
        <v>4414.5</v>
      </c>
      <c r="D58" s="475">
        <v>2266.1</v>
      </c>
      <c r="E58" s="475">
        <v>1328.6</v>
      </c>
      <c r="F58" s="475">
        <v>1807.8</v>
      </c>
      <c r="G58" s="475">
        <v>3158.3</v>
      </c>
      <c r="H58" s="475">
        <v>5209</v>
      </c>
      <c r="I58" s="475">
        <v>5119.6000000000004</v>
      </c>
      <c r="J58" s="475">
        <v>3056.8</v>
      </c>
      <c r="K58" s="475">
        <v>2683.8</v>
      </c>
      <c r="L58" s="475">
        <v>2194.6</v>
      </c>
      <c r="M58" s="475">
        <v>2970.4</v>
      </c>
      <c r="N58" s="475"/>
      <c r="O58" s="475">
        <f>SUM(B58:D58)</f>
        <v>11078.300000000001</v>
      </c>
      <c r="P58" s="475">
        <f>SUM(E58:G58)</f>
        <v>6294.7</v>
      </c>
      <c r="Q58" s="475">
        <f>SUM(H58:J58)</f>
        <v>13385.400000000001</v>
      </c>
      <c r="R58" s="475">
        <f>SUM(K58:M58)</f>
        <v>7848.7999999999993</v>
      </c>
      <c r="S58" s="1">
        <f>SUM(B58:M58)</f>
        <v>38607.199999999997</v>
      </c>
      <c r="T58" s="443"/>
    </row>
    <row r="59" spans="1:20" s="481" customFormat="1">
      <c r="A59" s="476" t="s">
        <v>173</v>
      </c>
      <c r="B59" s="477">
        <f t="shared" ref="B59:M59" si="28">SUM(B56:B58)</f>
        <v>16100.73</v>
      </c>
      <c r="C59" s="477">
        <f t="shared" si="28"/>
        <v>17366.57</v>
      </c>
      <c r="D59" s="477">
        <f t="shared" si="28"/>
        <v>8849.64</v>
      </c>
      <c r="E59" s="477">
        <f t="shared" si="28"/>
        <v>4441.63</v>
      </c>
      <c r="F59" s="477">
        <f t="shared" si="28"/>
        <v>6740.41</v>
      </c>
      <c r="G59" s="477">
        <f t="shared" si="28"/>
        <v>12275.64</v>
      </c>
      <c r="H59" s="477">
        <f t="shared" si="28"/>
        <v>18750.25</v>
      </c>
      <c r="I59" s="477">
        <f t="shared" si="28"/>
        <v>18738.580000000002</v>
      </c>
      <c r="J59" s="477">
        <f t="shared" si="28"/>
        <v>12657.869999999999</v>
      </c>
      <c r="K59" s="477">
        <f t="shared" si="28"/>
        <v>9857.4399999999987</v>
      </c>
      <c r="L59" s="477">
        <f t="shared" si="28"/>
        <v>7572.2100000000009</v>
      </c>
      <c r="M59" s="477">
        <f t="shared" si="28"/>
        <v>10414.43</v>
      </c>
      <c r="N59" s="477"/>
      <c r="O59" s="477">
        <f>SUM(O56:O58)</f>
        <v>42316.94</v>
      </c>
      <c r="P59" s="477">
        <f>SUM(P56:P58)</f>
        <v>23457.680000000004</v>
      </c>
      <c r="Q59" s="477">
        <f>SUM(Q56:Q58)</f>
        <v>50146.700000000004</v>
      </c>
      <c r="R59" s="477">
        <f>SUM(R56:R58)</f>
        <v>27844.079999999998</v>
      </c>
      <c r="S59" s="477">
        <f>SUM(S56:S58)</f>
        <v>143765.4</v>
      </c>
      <c r="T59" s="482"/>
    </row>
    <row r="60" spans="1:20">
      <c r="A60" s="478"/>
      <c r="B60" s="475"/>
      <c r="C60" s="475"/>
      <c r="D60" s="475"/>
      <c r="E60" s="475"/>
      <c r="F60" s="475"/>
      <c r="G60" s="475"/>
      <c r="H60" s="475"/>
      <c r="I60" s="475"/>
      <c r="J60" s="475"/>
      <c r="K60" s="475"/>
      <c r="L60" s="475"/>
      <c r="M60" s="475"/>
      <c r="N60" s="475"/>
      <c r="O60" s="475"/>
      <c r="P60" s="475"/>
      <c r="Q60" s="475"/>
      <c r="R60" s="475"/>
      <c r="S60" s="443"/>
      <c r="T60" s="443"/>
    </row>
    <row r="61" spans="1:20">
      <c r="A61" s="479" t="s">
        <v>180</v>
      </c>
    </row>
    <row r="62" spans="1:20">
      <c r="A62" s="474" t="s">
        <v>22</v>
      </c>
      <c r="B62" s="144">
        <f t="shared" ref="B62:M62" si="29">B56/B74-1</f>
        <v>9.9566885775383085E-2</v>
      </c>
      <c r="C62" s="144">
        <f t="shared" si="29"/>
        <v>0.46872220634409856</v>
      </c>
      <c r="D62" s="144">
        <f t="shared" si="29"/>
        <v>-0.63624152687970503</v>
      </c>
      <c r="E62" s="144">
        <f t="shared" si="29"/>
        <v>-0.81364143500378538</v>
      </c>
      <c r="F62" s="144">
        <f t="shared" si="29"/>
        <v>-0.71132391741404888</v>
      </c>
      <c r="G62" s="144">
        <f t="shared" si="29"/>
        <v>-0.29912571019134127</v>
      </c>
      <c r="H62" s="144">
        <f t="shared" si="29"/>
        <v>-0.24406498966950452</v>
      </c>
      <c r="I62" s="144">
        <f t="shared" si="29"/>
        <v>0.69608960169775291</v>
      </c>
      <c r="J62" s="144">
        <f t="shared" si="29"/>
        <v>-0.34200734843845682</v>
      </c>
      <c r="K62" s="144">
        <f t="shared" si="29"/>
        <v>-0.52155847339826389</v>
      </c>
      <c r="L62" s="144">
        <f t="shared" si="29"/>
        <v>-0.42768881149011129</v>
      </c>
      <c r="M62" s="144">
        <f t="shared" si="29"/>
        <v>-0.30835535829243754</v>
      </c>
      <c r="N62" s="144"/>
      <c r="O62" s="144">
        <f t="shared" ref="O62:S65" si="30">O56/O74-1</f>
        <v>-0.18753553789849009</v>
      </c>
      <c r="P62" s="144">
        <f t="shared" si="30"/>
        <v>-0.641220075613398</v>
      </c>
      <c r="Q62" s="144">
        <f t="shared" si="30"/>
        <v>-9.6976797474689014E-2</v>
      </c>
      <c r="R62" s="144">
        <f t="shared" si="30"/>
        <v>-0.43141962068841988</v>
      </c>
      <c r="S62" s="144">
        <f t="shared" si="30"/>
        <v>-0.36386518091024422</v>
      </c>
    </row>
    <row r="63" spans="1:20">
      <c r="A63" s="474" t="s">
        <v>175</v>
      </c>
      <c r="B63" s="144">
        <f t="shared" ref="B63:M63" si="31">B57/B75-1</f>
        <v>-2.2961500685577452E-2</v>
      </c>
      <c r="C63" s="144">
        <f t="shared" si="31"/>
        <v>0.44258598007893246</v>
      </c>
      <c r="D63" s="144">
        <f t="shared" si="31"/>
        <v>-0.70871827632266682</v>
      </c>
      <c r="E63" s="144">
        <f t="shared" si="31"/>
        <v>-0.90679424645503337</v>
      </c>
      <c r="F63" s="144">
        <f t="shared" si="31"/>
        <v>-0.83799084957938275</v>
      </c>
      <c r="G63" s="144">
        <f t="shared" si="31"/>
        <v>-0.60615932185647026</v>
      </c>
      <c r="H63" s="144">
        <f t="shared" si="31"/>
        <v>-0.42355757443678654</v>
      </c>
      <c r="I63" s="144">
        <f t="shared" si="31"/>
        <v>0.63537456646748991</v>
      </c>
      <c r="J63" s="144">
        <f t="shared" si="31"/>
        <v>-0.31020960130240227</v>
      </c>
      <c r="K63" s="144">
        <f t="shared" si="31"/>
        <v>-0.57431688856427088</v>
      </c>
      <c r="L63" s="144">
        <f t="shared" si="31"/>
        <v>-0.41358237138046816</v>
      </c>
      <c r="M63" s="144">
        <f t="shared" si="31"/>
        <v>-0.3419289171392369</v>
      </c>
      <c r="N63" s="144"/>
      <c r="O63" s="144">
        <f t="shared" si="30"/>
        <v>-0.25520258025298992</v>
      </c>
      <c r="P63" s="144">
        <f t="shared" si="30"/>
        <v>-0.79227286053523271</v>
      </c>
      <c r="Q63" s="144">
        <f t="shared" si="30"/>
        <v>-0.18231950417199361</v>
      </c>
      <c r="R63" s="144">
        <f t="shared" si="30"/>
        <v>-0.46291902471449542</v>
      </c>
      <c r="S63" s="144">
        <f t="shared" si="30"/>
        <v>-0.4620478949749186</v>
      </c>
    </row>
    <row r="64" spans="1:20">
      <c r="A64" s="474" t="s">
        <v>172</v>
      </c>
      <c r="B64" s="144">
        <f t="shared" ref="B64:M64" si="32">B58/B76-1</f>
        <v>-7.1791398577717436E-3</v>
      </c>
      <c r="C64" s="144">
        <f t="shared" si="32"/>
        <v>0.25611768722968353</v>
      </c>
      <c r="D64" s="144">
        <f t="shared" si="32"/>
        <v>-0.70197403895471944</v>
      </c>
      <c r="E64" s="144">
        <f t="shared" si="32"/>
        <v>-0.84248962655601667</v>
      </c>
      <c r="F64" s="144">
        <f t="shared" si="32"/>
        <v>-0.7828103224566294</v>
      </c>
      <c r="G64" s="144">
        <f t="shared" si="32"/>
        <v>-0.497534046073565</v>
      </c>
      <c r="H64" s="144">
        <f t="shared" si="32"/>
        <v>-0.3288754895897753</v>
      </c>
      <c r="I64" s="144">
        <f t="shared" si="32"/>
        <v>0.59166796207057382</v>
      </c>
      <c r="J64" s="144">
        <f t="shared" si="32"/>
        <v>-0.44572982774252035</v>
      </c>
      <c r="K64" s="144">
        <f t="shared" si="32"/>
        <v>-0.58634401972872996</v>
      </c>
      <c r="L64" s="144">
        <f t="shared" si="32"/>
        <v>-0.28816088225754144</v>
      </c>
      <c r="M64" s="144">
        <f t="shared" si="32"/>
        <v>-0.30324638768999812</v>
      </c>
      <c r="N64" s="144"/>
      <c r="O64" s="144">
        <f t="shared" si="30"/>
        <v>-0.28745915768350083</v>
      </c>
      <c r="P64" s="144">
        <f t="shared" si="30"/>
        <v>-0.72684232908931534</v>
      </c>
      <c r="Q64" s="144">
        <f t="shared" si="30"/>
        <v>-0.18842425014096786</v>
      </c>
      <c r="R64" s="144">
        <f t="shared" si="30"/>
        <v>-0.43265241213803485</v>
      </c>
      <c r="S64" s="144">
        <f t="shared" si="30"/>
        <v>-0.43981856988846335</v>
      </c>
    </row>
    <row r="65" spans="1:19" s="481" customFormat="1">
      <c r="A65" s="480" t="s">
        <v>173</v>
      </c>
      <c r="B65" s="146">
        <f t="shared" ref="B65:M65" si="33">B59/B77-1</f>
        <v>2.907944388767314E-2</v>
      </c>
      <c r="C65" s="146">
        <f t="shared" si="33"/>
        <v>0.40029043421608557</v>
      </c>
      <c r="D65" s="146">
        <f t="shared" si="33"/>
        <v>-0.67722953196378266</v>
      </c>
      <c r="E65" s="146">
        <f t="shared" si="33"/>
        <v>-0.85092775166428092</v>
      </c>
      <c r="F65" s="146">
        <f t="shared" si="33"/>
        <v>-0.77156348505136629</v>
      </c>
      <c r="G65" s="146">
        <f t="shared" si="33"/>
        <v>-0.46181496782237796</v>
      </c>
      <c r="H65" s="146">
        <f t="shared" si="33"/>
        <v>-0.32472340138950251</v>
      </c>
      <c r="I65" s="146">
        <f t="shared" si="33"/>
        <v>0.64756495362025768</v>
      </c>
      <c r="J65" s="146">
        <f t="shared" si="33"/>
        <v>-0.36104311867466321</v>
      </c>
      <c r="K65" s="146">
        <f t="shared" si="33"/>
        <v>-0.55733406381703188</v>
      </c>
      <c r="L65" s="146">
        <f t="shared" si="33"/>
        <v>-0.3880206670648354</v>
      </c>
      <c r="M65" s="146">
        <f t="shared" si="33"/>
        <v>-0.31751976450358066</v>
      </c>
      <c r="N65" s="146"/>
      <c r="O65" s="146">
        <f t="shared" si="30"/>
        <v>-0.23706013976583329</v>
      </c>
      <c r="P65" s="146">
        <f t="shared" si="30"/>
        <v>-0.71431810938314255</v>
      </c>
      <c r="Q65" s="146">
        <f t="shared" si="30"/>
        <v>-0.14934195616388524</v>
      </c>
      <c r="R65" s="146">
        <f t="shared" si="30"/>
        <v>-0.44201738871140539</v>
      </c>
      <c r="S65" s="146">
        <f t="shared" si="30"/>
        <v>-0.4166043362492281</v>
      </c>
    </row>
    <row r="66" spans="1:19">
      <c r="A66" s="478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</row>
    <row r="67" spans="1:19">
      <c r="A67" s="479" t="s">
        <v>179</v>
      </c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</row>
    <row r="68" spans="1:19">
      <c r="A68" s="474" t="s">
        <v>22</v>
      </c>
      <c r="B68" s="144">
        <f t="shared" ref="B68:M68" si="34">B56/B$114-1</f>
        <v>-0.44269079428226243</v>
      </c>
      <c r="C68" s="144">
        <f t="shared" si="34"/>
        <v>-0.39944100520992953</v>
      </c>
      <c r="D68" s="144">
        <f t="shared" si="34"/>
        <v>-0.6647311021283806</v>
      </c>
      <c r="E68" s="144">
        <f t="shared" si="34"/>
        <v>-0.81203834721815216</v>
      </c>
      <c r="F68" s="144">
        <f t="shared" si="34"/>
        <v>-0.72216955728144927</v>
      </c>
      <c r="G68" s="144">
        <f t="shared" si="34"/>
        <v>-0.5093217225706439</v>
      </c>
      <c r="H68" s="144">
        <f t="shared" si="34"/>
        <v>-0.38368061245223406</v>
      </c>
      <c r="I68" s="144">
        <f t="shared" si="34"/>
        <v>-0.45966362106108993</v>
      </c>
      <c r="J68" s="144">
        <f t="shared" si="34"/>
        <v>-0.57599952647778396</v>
      </c>
      <c r="K68" s="144">
        <f t="shared" si="34"/>
        <v>-0.68813005580561581</v>
      </c>
      <c r="L68" s="144">
        <f t="shared" si="34"/>
        <v>-0.77082853527187056</v>
      </c>
      <c r="M68" s="144">
        <f t="shared" si="34"/>
        <v>-0.6519355545045995</v>
      </c>
      <c r="N68" s="144"/>
      <c r="O68" s="144">
        <f>O56/O$114-1</f>
        <v>-0.50234358227360609</v>
      </c>
      <c r="P68" s="144">
        <f>P56/P$114-1</f>
        <v>-0.6806599020895745</v>
      </c>
      <c r="Q68" s="144">
        <f>Q56/Q$114-1</f>
        <v>-0.47021178491767379</v>
      </c>
      <c r="R68" s="144">
        <f>R56/R$114-1</f>
        <v>-0.70354355141199865</v>
      </c>
      <c r="S68" s="144">
        <f>S56/S$114-1</f>
        <v>-0.58693245462829147</v>
      </c>
    </row>
    <row r="69" spans="1:19">
      <c r="A69" s="474" t="s">
        <v>175</v>
      </c>
      <c r="B69" s="144">
        <f t="shared" ref="B69:M69" si="35">B57/B$115-1</f>
        <v>-0.53041695721996107</v>
      </c>
      <c r="C69" s="144">
        <f t="shared" si="35"/>
        <v>-0.46855263894171084</v>
      </c>
      <c r="D69" s="144">
        <f t="shared" si="35"/>
        <v>-0.76444226943373117</v>
      </c>
      <c r="E69" s="144">
        <f t="shared" si="35"/>
        <v>-0.91760676070454372</v>
      </c>
      <c r="F69" s="144">
        <f t="shared" si="35"/>
        <v>-0.8608909447627493</v>
      </c>
      <c r="G69" s="144">
        <f t="shared" si="35"/>
        <v>-0.70525302625160768</v>
      </c>
      <c r="H69" s="144">
        <f t="shared" si="35"/>
        <v>-0.5593995712462575</v>
      </c>
      <c r="I69" s="144">
        <f t="shared" si="35"/>
        <v>-0.51121324100760823</v>
      </c>
      <c r="J69" s="144">
        <f t="shared" si="35"/>
        <v>-0.5965768911531526</v>
      </c>
      <c r="K69" s="144">
        <f t="shared" si="35"/>
        <v>-0.72495344135422257</v>
      </c>
      <c r="L69" s="144">
        <f t="shared" si="35"/>
        <v>-0.76343315365550257</v>
      </c>
      <c r="M69" s="144">
        <f t="shared" si="35"/>
        <v>-0.70090897418468001</v>
      </c>
      <c r="N69" s="144"/>
      <c r="O69" s="144">
        <f>O57/O$115-1</f>
        <v>-0.58809356631983789</v>
      </c>
      <c r="P69" s="144">
        <f>P57/P$115-1</f>
        <v>-0.82755192807225142</v>
      </c>
      <c r="Q69" s="144">
        <f>Q57/Q$115-1</f>
        <v>-0.55397560063646401</v>
      </c>
      <c r="R69" s="144">
        <f>R57/R$115-1</f>
        <v>-0.72976902509675823</v>
      </c>
      <c r="S69" s="144">
        <f>S57/S$115-1</f>
        <v>-0.67342265913707322</v>
      </c>
    </row>
    <row r="70" spans="1:19">
      <c r="A70" s="474" t="s">
        <v>172</v>
      </c>
      <c r="B70" s="144">
        <f t="shared" ref="B70:M70" si="36">B58/B$116-1</f>
        <v>-0.54102894595398499</v>
      </c>
      <c r="C70" s="144">
        <f t="shared" si="36"/>
        <v>-0.52963677239939044</v>
      </c>
      <c r="D70" s="144">
        <f t="shared" si="36"/>
        <v>-0.7609220868280846</v>
      </c>
      <c r="E70" s="144">
        <f t="shared" si="36"/>
        <v>-0.857905263045315</v>
      </c>
      <c r="F70" s="144">
        <f t="shared" si="36"/>
        <v>-0.80959101776855591</v>
      </c>
      <c r="G70" s="144">
        <f t="shared" si="36"/>
        <v>-0.65642269701057399</v>
      </c>
      <c r="H70" s="144">
        <f t="shared" si="36"/>
        <v>-0.48175342247691821</v>
      </c>
      <c r="I70" s="144">
        <f t="shared" si="36"/>
        <v>-0.51148854961832058</v>
      </c>
      <c r="J70" s="144">
        <f t="shared" si="36"/>
        <v>-0.6748569362009913</v>
      </c>
      <c r="K70" s="144">
        <f t="shared" si="36"/>
        <v>-0.72654745529573583</v>
      </c>
      <c r="L70" s="144">
        <f t="shared" si="36"/>
        <v>-0.76404687667992688</v>
      </c>
      <c r="M70" s="144">
        <f t="shared" si="36"/>
        <v>-0.6870298177220524</v>
      </c>
      <c r="N70" s="144"/>
      <c r="O70" s="144">
        <f>O58/O$116-1</f>
        <v>-0.61054228356380369</v>
      </c>
      <c r="P70" s="144">
        <f>P58/P$116-1</f>
        <v>-0.77548436340809224</v>
      </c>
      <c r="Q70" s="144">
        <f>Q58/Q$116-1</f>
        <v>-0.55281532509705134</v>
      </c>
      <c r="R70" s="144">
        <f>R58/R$116-1</f>
        <v>-0.72562879065946551</v>
      </c>
      <c r="S70" s="144">
        <f>S58/S$116-1</f>
        <v>-0.66434753200166763</v>
      </c>
    </row>
    <row r="71" spans="1:19" s="481" customFormat="1">
      <c r="A71" s="480" t="s">
        <v>173</v>
      </c>
      <c r="B71" s="146">
        <f t="shared" ref="B71:M71" si="37">B59/B$117-1</f>
        <v>-0.50098141038574873</v>
      </c>
      <c r="C71" s="146">
        <f t="shared" si="37"/>
        <v>-0.46008469981371258</v>
      </c>
      <c r="D71" s="146">
        <f t="shared" si="37"/>
        <v>-0.72585896372331504</v>
      </c>
      <c r="E71" s="146">
        <f t="shared" si="37"/>
        <v>-0.86045677978295798</v>
      </c>
      <c r="F71" s="146">
        <f t="shared" si="37"/>
        <v>-0.79372402197776637</v>
      </c>
      <c r="G71" s="146">
        <f t="shared" si="37"/>
        <v>-0.61704290174940657</v>
      </c>
      <c r="H71" s="146">
        <f t="shared" si="37"/>
        <v>-0.46896172213842158</v>
      </c>
      <c r="I71" s="146">
        <f t="shared" si="37"/>
        <v>-0.49108060682780408</v>
      </c>
      <c r="J71" s="146">
        <f t="shared" si="37"/>
        <v>-0.61117432212839551</v>
      </c>
      <c r="K71" s="146">
        <f t="shared" si="37"/>
        <v>-0.71109521298779632</v>
      </c>
      <c r="L71" s="146">
        <f t="shared" si="37"/>
        <v>-0.7664516407612626</v>
      </c>
      <c r="M71" s="146">
        <f t="shared" si="37"/>
        <v>-0.67825188062259745</v>
      </c>
      <c r="N71" s="146"/>
      <c r="O71" s="146">
        <f>O59/O$117-1</f>
        <v>-0.56244144310050426</v>
      </c>
      <c r="P71" s="146">
        <f>P59/P$117-1</f>
        <v>-0.75706957579593726</v>
      </c>
      <c r="Q71" s="146">
        <f>Q59/Q$117-1</f>
        <v>-0.52096656680653952</v>
      </c>
      <c r="R71" s="146">
        <f>R59/R$117-1</f>
        <v>-0.71849288373609543</v>
      </c>
      <c r="S71" s="146">
        <f>S59/S$117-1</f>
        <v>-0.63774884177717739</v>
      </c>
    </row>
    <row r="73" spans="1:19">
      <c r="A73" s="471" t="s">
        <v>157</v>
      </c>
      <c r="B73" s="472" t="s">
        <v>51</v>
      </c>
      <c r="C73" s="472" t="s">
        <v>52</v>
      </c>
      <c r="D73" s="472" t="s">
        <v>53</v>
      </c>
      <c r="E73" s="472" t="s">
        <v>54</v>
      </c>
      <c r="F73" s="472" t="s">
        <v>55</v>
      </c>
      <c r="G73" s="472" t="s">
        <v>77</v>
      </c>
      <c r="H73" s="472" t="s">
        <v>78</v>
      </c>
      <c r="I73" s="472" t="s">
        <v>79</v>
      </c>
      <c r="J73" s="472" t="s">
        <v>80</v>
      </c>
      <c r="K73" s="472" t="s">
        <v>81</v>
      </c>
      <c r="L73" s="472" t="s">
        <v>82</v>
      </c>
      <c r="M73" s="472" t="s">
        <v>44</v>
      </c>
      <c r="N73" s="473"/>
      <c r="O73" s="473" t="s">
        <v>129</v>
      </c>
      <c r="P73" s="473" t="s">
        <v>130</v>
      </c>
      <c r="Q73" s="473" t="s">
        <v>131</v>
      </c>
      <c r="R73" s="473" t="s">
        <v>132</v>
      </c>
      <c r="S73" s="445" t="s">
        <v>171</v>
      </c>
    </row>
    <row r="74" spans="1:19">
      <c r="A74" s="474" t="s">
        <v>22</v>
      </c>
      <c r="B74" s="15">
        <v>6074.61</v>
      </c>
      <c r="C74" s="15">
        <v>5003.3900000000003</v>
      </c>
      <c r="D74" s="15">
        <v>11204.55</v>
      </c>
      <c r="E74" s="15">
        <v>12046.24</v>
      </c>
      <c r="F74" s="15">
        <v>11848.02</v>
      </c>
      <c r="G74" s="15">
        <v>8499.4699999999993</v>
      </c>
      <c r="H74" s="15">
        <v>11195.01</v>
      </c>
      <c r="I74" s="15">
        <v>4599.0200000000004</v>
      </c>
      <c r="J74" s="15">
        <v>8165</v>
      </c>
      <c r="K74" s="15">
        <v>8647.18</v>
      </c>
      <c r="L74" s="34">
        <v>4990.03</v>
      </c>
      <c r="M74" s="15">
        <v>6182.38</v>
      </c>
      <c r="N74" s="15"/>
      <c r="O74" s="15">
        <f>SUM(B74:D74)</f>
        <v>22282.55</v>
      </c>
      <c r="P74" s="15">
        <f>SUM(E74:G74)</f>
        <v>32393.730000000003</v>
      </c>
      <c r="Q74" s="15">
        <f>SUM(H74:J74)</f>
        <v>23959.03</v>
      </c>
      <c r="R74" s="15">
        <f>SUM(K74:M74)</f>
        <v>19819.59</v>
      </c>
      <c r="S74" s="1">
        <f>SUM(B74:M74)</f>
        <v>98454.9</v>
      </c>
    </row>
    <row r="75" spans="1:19">
      <c r="A75" s="474" t="s">
        <v>25</v>
      </c>
      <c r="B75" s="15">
        <v>5141.6499999999996</v>
      </c>
      <c r="C75" s="15">
        <v>3884.33</v>
      </c>
      <c r="D75" s="15">
        <v>8609.5</v>
      </c>
      <c r="E75" s="15">
        <v>9313.91</v>
      </c>
      <c r="F75" s="15">
        <v>9335.09</v>
      </c>
      <c r="G75" s="15">
        <v>8024.26</v>
      </c>
      <c r="H75" s="15">
        <v>8810.16</v>
      </c>
      <c r="I75" s="15">
        <v>3557.98</v>
      </c>
      <c r="J75" s="15">
        <v>6130.21</v>
      </c>
      <c r="K75" s="15">
        <v>7133.17</v>
      </c>
      <c r="L75" s="15">
        <v>4300.28</v>
      </c>
      <c r="M75" s="15">
        <v>4814.1000000000004</v>
      </c>
      <c r="N75" s="15"/>
      <c r="O75" s="15">
        <f>SUM(B75:D75)</f>
        <v>17635.48</v>
      </c>
      <c r="P75" s="15">
        <f>SUM(E75:G75)</f>
        <v>26673.260000000002</v>
      </c>
      <c r="Q75" s="15">
        <f>SUM(H75:J75)</f>
        <v>18498.349999999999</v>
      </c>
      <c r="R75" s="15">
        <f>SUM(K75:M75)</f>
        <v>16247.550000000001</v>
      </c>
      <c r="S75" s="1">
        <f>SUM(B75:M75)</f>
        <v>79054.64</v>
      </c>
    </row>
    <row r="76" spans="1:19">
      <c r="A76" s="474" t="s">
        <v>172</v>
      </c>
      <c r="B76" s="15">
        <v>4429.5</v>
      </c>
      <c r="C76" s="15">
        <v>3514.4</v>
      </c>
      <c r="D76" s="15">
        <v>7603.7</v>
      </c>
      <c r="E76" s="15">
        <v>8435</v>
      </c>
      <c r="F76" s="15">
        <v>8323.6</v>
      </c>
      <c r="G76" s="15">
        <v>6285.6</v>
      </c>
      <c r="H76" s="15">
        <v>7761.6</v>
      </c>
      <c r="I76" s="15">
        <v>3216.5</v>
      </c>
      <c r="J76" s="15">
        <v>5515</v>
      </c>
      <c r="K76" s="15">
        <v>6488</v>
      </c>
      <c r="L76" s="15">
        <v>3083</v>
      </c>
      <c r="M76" s="15">
        <v>4263.2</v>
      </c>
      <c r="N76" s="15"/>
      <c r="O76" s="15">
        <f>SUM(B76:D76)</f>
        <v>15547.599999999999</v>
      </c>
      <c r="P76" s="15">
        <f>SUM(E76:G76)</f>
        <v>23044.199999999997</v>
      </c>
      <c r="Q76" s="15">
        <f>SUM(H76:J76)</f>
        <v>16493.099999999999</v>
      </c>
      <c r="R76" s="15">
        <f>SUM(K76:M76)</f>
        <v>13834.2</v>
      </c>
      <c r="S76" s="1">
        <f>SUM(B76:M76)</f>
        <v>68919.099999999991</v>
      </c>
    </row>
    <row r="77" spans="1:19">
      <c r="A77" s="478" t="s">
        <v>173</v>
      </c>
      <c r="B77" s="21">
        <f t="shared" ref="B77:M77" si="38">SUM(B74:B76)</f>
        <v>15645.759999999998</v>
      </c>
      <c r="C77" s="21">
        <f t="shared" si="38"/>
        <v>12402.12</v>
      </c>
      <c r="D77" s="21">
        <f t="shared" si="38"/>
        <v>27417.75</v>
      </c>
      <c r="E77" s="21">
        <f t="shared" si="38"/>
        <v>29795.15</v>
      </c>
      <c r="F77" s="21">
        <f t="shared" si="38"/>
        <v>29506.71</v>
      </c>
      <c r="G77" s="21">
        <f t="shared" si="38"/>
        <v>22809.33</v>
      </c>
      <c r="H77" s="21">
        <f t="shared" si="38"/>
        <v>27766.769999999997</v>
      </c>
      <c r="I77" s="21">
        <f t="shared" si="38"/>
        <v>11373.5</v>
      </c>
      <c r="J77" s="21">
        <f t="shared" si="38"/>
        <v>19810.21</v>
      </c>
      <c r="K77" s="21">
        <f t="shared" si="38"/>
        <v>22268.35</v>
      </c>
      <c r="L77" s="21">
        <f t="shared" si="38"/>
        <v>12373.31</v>
      </c>
      <c r="M77" s="21">
        <f t="shared" si="38"/>
        <v>15259.68</v>
      </c>
      <c r="N77" s="21"/>
      <c r="O77" s="21">
        <f>SUM(O74:O76)</f>
        <v>55465.63</v>
      </c>
      <c r="P77" s="21">
        <f>SUM(P74:P76)</f>
        <v>82111.19</v>
      </c>
      <c r="Q77" s="21">
        <f>SUM(Q74:Q76)</f>
        <v>58950.479999999996</v>
      </c>
      <c r="R77" s="21">
        <f>SUM(R74:R76)</f>
        <v>49901.34</v>
      </c>
      <c r="S77" s="21">
        <f>SUM(S74:S76)</f>
        <v>246428.63999999996</v>
      </c>
    </row>
    <row r="78" spans="1:19">
      <c r="A78" s="469" t="s">
        <v>181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52"/>
      <c r="O78" s="15"/>
      <c r="P78" s="15"/>
      <c r="Q78" s="15"/>
      <c r="R78" s="15"/>
      <c r="S78" s="1"/>
    </row>
    <row r="79" spans="1:19">
      <c r="A79" s="478" t="s">
        <v>182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52"/>
      <c r="O79" s="21"/>
      <c r="P79" s="21"/>
      <c r="Q79" s="21"/>
      <c r="R79" s="21"/>
      <c r="S79" s="44"/>
    </row>
    <row r="80" spans="1:19">
      <c r="A80" s="478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52"/>
      <c r="O80" s="21"/>
      <c r="P80" s="21"/>
      <c r="Q80" s="21"/>
      <c r="R80" s="21"/>
      <c r="S80" s="44"/>
    </row>
    <row r="81" spans="1:19">
      <c r="A81" s="479" t="s">
        <v>183</v>
      </c>
      <c r="B81" s="19"/>
      <c r="C81" s="483"/>
      <c r="D81" s="483"/>
      <c r="E81" s="19"/>
      <c r="F81" s="19"/>
      <c r="G81" s="19"/>
      <c r="H81" s="19"/>
      <c r="I81" s="483"/>
      <c r="J81" s="19"/>
      <c r="K81" s="19"/>
      <c r="L81" s="19"/>
      <c r="M81" s="15"/>
      <c r="N81" s="19"/>
      <c r="P81" s="19"/>
      <c r="Q81" s="19"/>
      <c r="R81" s="19"/>
      <c r="S81" s="19"/>
    </row>
    <row r="82" spans="1:19">
      <c r="A82" s="474" t="s">
        <v>22</v>
      </c>
      <c r="B82" s="24">
        <f t="shared" ref="B82:M82" si="39">B74/B98-1</f>
        <v>-0.46865659892150047</v>
      </c>
      <c r="C82" s="24">
        <f t="shared" si="39"/>
        <v>2.0159980710690499</v>
      </c>
      <c r="D82" s="24">
        <f t="shared" si="39"/>
        <v>1.9843385848792767</v>
      </c>
      <c r="E82" s="24">
        <f t="shared" si="39"/>
        <v>2.1139868111869675</v>
      </c>
      <c r="F82" s="24">
        <f t="shared" si="39"/>
        <v>1.0179998194567692</v>
      </c>
      <c r="G82" s="24">
        <f t="shared" si="39"/>
        <v>0.19063208295160683</v>
      </c>
      <c r="H82" s="24">
        <f t="shared" si="39"/>
        <v>0.23867791858037335</v>
      </c>
      <c r="I82" s="24">
        <f t="shared" si="39"/>
        <v>-0.55480544724482006</v>
      </c>
      <c r="J82" s="24">
        <f t="shared" si="39"/>
        <v>-0.27004232234716485</v>
      </c>
      <c r="K82" s="24">
        <f t="shared" si="39"/>
        <v>-0.27206591088359611</v>
      </c>
      <c r="L82" s="24">
        <f t="shared" si="39"/>
        <v>-0.53246141190183061</v>
      </c>
      <c r="M82" s="24">
        <f t="shared" si="39"/>
        <v>-0.38314745082544599</v>
      </c>
      <c r="N82" s="24"/>
      <c r="O82" s="24">
        <f t="shared" ref="O82:S85" si="40">O74/O98-1</f>
        <v>0.3227244530584501</v>
      </c>
      <c r="P82" s="24">
        <f t="shared" si="40"/>
        <v>0.91926222077920539</v>
      </c>
      <c r="Q82" s="24">
        <f t="shared" si="40"/>
        <v>-0.2158414940722615</v>
      </c>
      <c r="R82" s="24">
        <f t="shared" si="40"/>
        <v>-0.39156137728549101</v>
      </c>
      <c r="S82" s="24">
        <f t="shared" si="40"/>
        <v>1.6544850834500968E-2</v>
      </c>
    </row>
    <row r="83" spans="1:19">
      <c r="A83" s="474" t="s">
        <v>175</v>
      </c>
      <c r="B83" s="24">
        <f t="shared" ref="B83:M83" si="41">B75/B99-1</f>
        <v>-0.49253756385658232</v>
      </c>
      <c r="C83" s="24">
        <f t="shared" si="41"/>
        <v>1.9388670737151115</v>
      </c>
      <c r="D83" s="24">
        <f t="shared" si="41"/>
        <v>2.8055393482911648</v>
      </c>
      <c r="E83" s="24">
        <f t="shared" si="41"/>
        <v>2.4975910174806137</v>
      </c>
      <c r="F83" s="24">
        <f t="shared" si="41"/>
        <v>1.2409737759383912</v>
      </c>
      <c r="G83" s="24">
        <f t="shared" si="41"/>
        <v>0.54149649409278644</v>
      </c>
      <c r="H83" s="24">
        <f t="shared" si="41"/>
        <v>0.21714359132348493</v>
      </c>
      <c r="I83" s="24">
        <f t="shared" si="41"/>
        <v>-0.58377046648853792</v>
      </c>
      <c r="J83" s="24">
        <f t="shared" si="41"/>
        <v>-0.31758792851060036</v>
      </c>
      <c r="K83" s="24">
        <f t="shared" si="41"/>
        <v>-0.22143454333907453</v>
      </c>
      <c r="L83" s="24">
        <f t="shared" si="41"/>
        <v>-0.44479060285359051</v>
      </c>
      <c r="M83" s="24">
        <f t="shared" si="41"/>
        <v>-0.3204378243169228</v>
      </c>
      <c r="N83" s="24"/>
      <c r="O83" s="24">
        <f t="shared" si="40"/>
        <v>0.28574563561932442</v>
      </c>
      <c r="P83" s="24">
        <f t="shared" si="40"/>
        <v>1.2164750305174716</v>
      </c>
      <c r="Q83" s="24">
        <f t="shared" si="40"/>
        <v>-0.25318514666733427</v>
      </c>
      <c r="R83" s="24">
        <f t="shared" si="40"/>
        <v>-0.3227757958167492</v>
      </c>
      <c r="S83" s="24">
        <f t="shared" si="40"/>
        <v>6.0975323336906362E-2</v>
      </c>
    </row>
    <row r="84" spans="1:19">
      <c r="A84" s="474" t="s">
        <v>172</v>
      </c>
      <c r="B84" s="24">
        <f t="shared" ref="B84:M84" si="42">B76/B100-1</f>
        <v>-0.51794576005572002</v>
      </c>
      <c r="C84" s="24">
        <f t="shared" si="42"/>
        <v>1.1956766212670251</v>
      </c>
      <c r="D84" s="24">
        <f t="shared" si="42"/>
        <v>1.6002667396210932</v>
      </c>
      <c r="E84" s="24">
        <f t="shared" si="42"/>
        <v>2.1651031894934336</v>
      </c>
      <c r="F84" s="24">
        <f t="shared" si="42"/>
        <v>1.0450100732150758</v>
      </c>
      <c r="G84" s="24">
        <f t="shared" si="42"/>
        <v>0.41027597038366626</v>
      </c>
      <c r="H84" s="24">
        <f t="shared" si="42"/>
        <v>0.32954195073486581</v>
      </c>
      <c r="I84" s="24">
        <f t="shared" si="42"/>
        <v>-0.56038323811606494</v>
      </c>
      <c r="J84" s="24">
        <f t="shared" si="42"/>
        <v>-0.29511758691206547</v>
      </c>
      <c r="K84" s="24">
        <f t="shared" si="42"/>
        <v>-0.23340501453316631</v>
      </c>
      <c r="L84" s="24">
        <f t="shared" si="42"/>
        <v>-0.59188266130099809</v>
      </c>
      <c r="M84" s="24">
        <f t="shared" si="42"/>
        <v>-0.3721169990279537</v>
      </c>
      <c r="N84" s="24"/>
      <c r="O84" s="24">
        <f t="shared" si="40"/>
        <v>0.13373585345933958</v>
      </c>
      <c r="P84" s="24">
        <f t="shared" si="40"/>
        <v>1.058951769982666</v>
      </c>
      <c r="Q84" s="24">
        <f t="shared" si="40"/>
        <v>-0.21380562864660801</v>
      </c>
      <c r="R84" s="24">
        <f t="shared" si="40"/>
        <v>-0.39343371011163031</v>
      </c>
      <c r="S84" s="24">
        <f t="shared" si="40"/>
        <v>3.3119042211857685E-3</v>
      </c>
    </row>
    <row r="85" spans="1:19" s="445" customFormat="1">
      <c r="A85" s="478" t="s">
        <v>173</v>
      </c>
      <c r="B85" s="53">
        <f t="shared" ref="B85:M85" si="43">B77/B101-1</f>
        <v>-0.4912515449496202</v>
      </c>
      <c r="C85" s="53">
        <f t="shared" si="43"/>
        <v>1.7071417033741811</v>
      </c>
      <c r="D85" s="53">
        <f t="shared" si="43"/>
        <v>2.0665159752645401</v>
      </c>
      <c r="E85" s="53">
        <f t="shared" si="43"/>
        <v>2.2398780824628828</v>
      </c>
      <c r="F85" s="53">
        <f t="shared" si="43"/>
        <v>1.0916345845079856</v>
      </c>
      <c r="G85" s="53">
        <f t="shared" si="43"/>
        <v>0.35760770710524081</v>
      </c>
      <c r="H85" s="53">
        <f t="shared" si="43"/>
        <v>0.25561611029363207</v>
      </c>
      <c r="I85" s="53">
        <f t="shared" si="43"/>
        <v>-0.56581541266527924</v>
      </c>
      <c r="J85" s="53">
        <f t="shared" si="43"/>
        <v>-0.2923087530226598</v>
      </c>
      <c r="K85" s="53">
        <f t="shared" si="43"/>
        <v>-0.24525350617077257</v>
      </c>
      <c r="L85" s="53">
        <f t="shared" si="43"/>
        <v>-0.52359975989998653</v>
      </c>
      <c r="M85" s="53">
        <f t="shared" si="43"/>
        <v>-0.3614229435588151</v>
      </c>
      <c r="N85" s="484"/>
      <c r="O85" s="53">
        <f t="shared" si="40"/>
        <v>0.25273298897589425</v>
      </c>
      <c r="P85" s="53">
        <f t="shared" si="40"/>
        <v>1.0474303264146605</v>
      </c>
      <c r="Q85" s="53">
        <f t="shared" si="40"/>
        <v>-0.22740451839515863</v>
      </c>
      <c r="R85" s="53">
        <f t="shared" si="40"/>
        <v>-0.37130823589292616</v>
      </c>
      <c r="S85" s="53">
        <f t="shared" si="40"/>
        <v>2.6549123789685547E-2</v>
      </c>
    </row>
    <row r="86" spans="1:19">
      <c r="A86" s="469" t="s">
        <v>181</v>
      </c>
      <c r="B86" s="483"/>
      <c r="C86" s="483"/>
      <c r="D86" s="483"/>
      <c r="E86" s="483"/>
      <c r="F86" s="483"/>
      <c r="G86" s="483"/>
      <c r="H86" s="483"/>
      <c r="I86" s="483"/>
      <c r="J86" s="483"/>
      <c r="K86" s="483"/>
      <c r="L86" s="483"/>
      <c r="M86" s="483"/>
      <c r="N86" s="483"/>
      <c r="O86" s="483"/>
      <c r="P86" s="483"/>
      <c r="Q86" s="483"/>
      <c r="R86" s="483"/>
      <c r="S86" s="483"/>
    </row>
    <row r="87" spans="1:19">
      <c r="A87" s="485" t="s">
        <v>182</v>
      </c>
      <c r="B87" s="486"/>
      <c r="C87" s="486"/>
      <c r="D87" s="486"/>
      <c r="E87" s="486"/>
      <c r="F87" s="486"/>
      <c r="G87" s="486"/>
      <c r="H87" s="486"/>
      <c r="I87" s="486"/>
      <c r="J87" s="486"/>
      <c r="K87" s="486"/>
      <c r="L87" s="486"/>
      <c r="M87" s="486"/>
      <c r="N87" s="486"/>
      <c r="O87" s="486"/>
      <c r="P87" s="486"/>
      <c r="Q87" s="486"/>
      <c r="R87" s="486"/>
      <c r="S87" s="486"/>
    </row>
    <row r="88" spans="1:19">
      <c r="A88" s="478"/>
      <c r="B88" s="487"/>
      <c r="C88" s="487"/>
      <c r="D88" s="487"/>
      <c r="E88" s="487"/>
      <c r="F88" s="487"/>
      <c r="G88" s="487"/>
      <c r="H88" s="487"/>
      <c r="I88" s="487"/>
      <c r="J88" s="487"/>
      <c r="K88" s="487"/>
      <c r="L88" s="487"/>
      <c r="M88" s="487"/>
      <c r="N88" s="487"/>
      <c r="O88" s="487"/>
      <c r="P88" s="487"/>
      <c r="Q88" s="487"/>
      <c r="R88" s="487"/>
      <c r="S88" s="487"/>
    </row>
    <row r="89" spans="1:19">
      <c r="A89" s="479" t="s">
        <v>179</v>
      </c>
      <c r="B89" s="19"/>
      <c r="C89" s="483"/>
      <c r="D89" s="483"/>
      <c r="E89" s="19"/>
      <c r="F89" s="19"/>
      <c r="G89" s="19"/>
      <c r="H89" s="19"/>
      <c r="I89" s="483"/>
      <c r="J89" s="19"/>
      <c r="K89" s="19"/>
      <c r="L89" s="19"/>
      <c r="M89" s="15"/>
      <c r="N89" s="19"/>
      <c r="O89" s="488"/>
      <c r="P89" s="19"/>
      <c r="Q89" s="19"/>
      <c r="R89" s="19"/>
      <c r="S89" s="19"/>
    </row>
    <row r="90" spans="1:19">
      <c r="A90" s="474" t="s">
        <v>22</v>
      </c>
      <c r="B90" s="24">
        <f t="shared" ref="B90:M90" si="44">B74/B114-1</f>
        <v>-0.49315570255215624</v>
      </c>
      <c r="C90" s="24">
        <f t="shared" si="44"/>
        <v>-0.59110103177035445</v>
      </c>
      <c r="D90" s="24">
        <f t="shared" si="44"/>
        <v>-7.8320031982468952E-2</v>
      </c>
      <c r="E90" s="24">
        <f t="shared" si="44"/>
        <v>8.6021685435593298E-3</v>
      </c>
      <c r="F90" s="24">
        <f t="shared" si="44"/>
        <v>-3.7570275203423376E-2</v>
      </c>
      <c r="G90" s="24">
        <f t="shared" si="44"/>
        <v>-0.29990544015630383</v>
      </c>
      <c r="H90" s="24">
        <f t="shared" si="44"/>
        <v>-0.18469262684591037</v>
      </c>
      <c r="I90" s="24">
        <f t="shared" si="44"/>
        <v>-0.6814222677870061</v>
      </c>
      <c r="J90" s="24">
        <f t="shared" si="44"/>
        <v>-0.35561518427906247</v>
      </c>
      <c r="K90" s="24">
        <f t="shared" si="44"/>
        <v>-0.3481545249436705</v>
      </c>
      <c r="L90" s="24">
        <f t="shared" si="44"/>
        <v>-0.59956843526890147</v>
      </c>
      <c r="M90" s="24">
        <f t="shared" si="44"/>
        <v>-0.49675827078471424</v>
      </c>
      <c r="N90" s="24"/>
      <c r="O90" s="24">
        <f t="shared" ref="O90:S93" si="45">O74/O114-1</f>
        <v>-0.38747300227857062</v>
      </c>
      <c r="P90" s="24">
        <f t="shared" si="45"/>
        <v>-0.10992762915485266</v>
      </c>
      <c r="Q90" s="24">
        <f t="shared" si="45"/>
        <v>-0.41331716217172543</v>
      </c>
      <c r="R90" s="24">
        <f t="shared" si="45"/>
        <v>-0.4786023940063816</v>
      </c>
      <c r="S90" s="24">
        <f t="shared" si="45"/>
        <v>-0.35066037422261198</v>
      </c>
    </row>
    <row r="91" spans="1:19">
      <c r="A91" s="474" t="s">
        <v>175</v>
      </c>
      <c r="B91" s="24">
        <f t="shared" ref="B91:M91" si="46">B75/B115-1</f>
        <v>-0.51938122897967653</v>
      </c>
      <c r="C91" s="24">
        <f t="shared" si="46"/>
        <v>-0.63160091086618597</v>
      </c>
      <c r="D91" s="24">
        <f t="shared" si="46"/>
        <v>-0.19130617742702083</v>
      </c>
      <c r="E91" s="24">
        <f t="shared" si="46"/>
        <v>-0.11600693989662292</v>
      </c>
      <c r="F91" s="24">
        <f t="shared" si="46"/>
        <v>-0.14135062818311173</v>
      </c>
      <c r="G91" s="24">
        <f t="shared" si="46"/>
        <v>-0.25160860696828302</v>
      </c>
      <c r="H91" s="24">
        <f t="shared" si="46"/>
        <v>-0.23565579281703009</v>
      </c>
      <c r="I91" s="24">
        <f t="shared" si="46"/>
        <v>-0.70111632587744022</v>
      </c>
      <c r="J91" s="24">
        <f t="shared" si="46"/>
        <v>-0.4151511682265282</v>
      </c>
      <c r="K91" s="24">
        <f t="shared" si="46"/>
        <v>-0.35387016478499689</v>
      </c>
      <c r="L91" s="24">
        <f t="shared" si="46"/>
        <v>-0.59658981108499021</v>
      </c>
      <c r="M91" s="24">
        <f t="shared" si="46"/>
        <v>-0.54550346671500427</v>
      </c>
      <c r="N91" s="24"/>
      <c r="O91" s="24">
        <f t="shared" si="45"/>
        <v>-0.44695507428036341</v>
      </c>
      <c r="P91" s="24">
        <f t="shared" si="45"/>
        <v>-0.16983369447015595</v>
      </c>
      <c r="Q91" s="24">
        <f t="shared" si="45"/>
        <v>-0.45452483991087622</v>
      </c>
      <c r="R91" s="24">
        <f t="shared" si="45"/>
        <v>-0.49685245365544584</v>
      </c>
      <c r="S91" s="24">
        <f t="shared" si="45"/>
        <v>-0.39292487600229675</v>
      </c>
    </row>
    <row r="92" spans="1:19">
      <c r="A92" s="474" t="s">
        <v>172</v>
      </c>
      <c r="B92" s="24">
        <f t="shared" ref="B92:M92" si="47">B76/B116-1</f>
        <v>-0.53771010212228587</v>
      </c>
      <c r="C92" s="24">
        <f t="shared" si="47"/>
        <v>-0.62554207111120586</v>
      </c>
      <c r="D92" s="24">
        <f t="shared" si="47"/>
        <v>-0.19779500975892816</v>
      </c>
      <c r="E92" s="24">
        <f t="shared" si="47"/>
        <v>-9.7870611009508002E-2</v>
      </c>
      <c r="F92" s="24">
        <f t="shared" si="47"/>
        <v>-0.12330556228473921</v>
      </c>
      <c r="G92" s="24">
        <f t="shared" si="47"/>
        <v>-0.31621774509377309</v>
      </c>
      <c r="H92" s="24">
        <f t="shared" si="47"/>
        <v>-0.22779369627507162</v>
      </c>
      <c r="I92" s="24">
        <f t="shared" si="47"/>
        <v>-0.69308206106870229</v>
      </c>
      <c r="J92" s="24">
        <f t="shared" si="47"/>
        <v>-0.41338524049609626</v>
      </c>
      <c r="K92" s="24">
        <f t="shared" si="47"/>
        <v>-0.33893728666768552</v>
      </c>
      <c r="L92" s="24">
        <f t="shared" si="47"/>
        <v>-0.66853026556284267</v>
      </c>
      <c r="M92" s="24">
        <f t="shared" si="47"/>
        <v>-0.5508165630597408</v>
      </c>
      <c r="N92" s="24"/>
      <c r="O92" s="24">
        <f t="shared" si="45"/>
        <v>-0.45342400981527797</v>
      </c>
      <c r="P92" s="24">
        <f t="shared" si="45"/>
        <v>-0.17807310392056175</v>
      </c>
      <c r="Q92" s="24">
        <f t="shared" si="45"/>
        <v>-0.4489920688480119</v>
      </c>
      <c r="R92" s="24">
        <f t="shared" si="45"/>
        <v>-0.51639662314508938</v>
      </c>
      <c r="S92" s="24">
        <f t="shared" si="45"/>
        <v>-0.40081471831099191</v>
      </c>
    </row>
    <row r="93" spans="1:19" s="445" customFormat="1">
      <c r="A93" s="478" t="s">
        <v>173</v>
      </c>
      <c r="B93" s="53">
        <f t="shared" ref="B93:M93" si="48">B77/B117-1</f>
        <v>-0.51508254044114343</v>
      </c>
      <c r="C93" s="53">
        <f t="shared" si="48"/>
        <v>-0.61442620259807446</v>
      </c>
      <c r="D93" s="53">
        <f t="shared" si="48"/>
        <v>-0.15066258092136198</v>
      </c>
      <c r="E93" s="53">
        <f t="shared" si="48"/>
        <v>-6.3922213725636778E-2</v>
      </c>
      <c r="F93" s="53">
        <f t="shared" si="48"/>
        <v>-9.7009608693177318E-2</v>
      </c>
      <c r="G93" s="53">
        <f t="shared" si="48"/>
        <v>-0.28842856015326224</v>
      </c>
      <c r="H93" s="53">
        <f t="shared" si="48"/>
        <v>-0.21359887347749829</v>
      </c>
      <c r="I93" s="53">
        <f t="shared" si="48"/>
        <v>-0.6911081459617554</v>
      </c>
      <c r="J93" s="53">
        <f t="shared" si="48"/>
        <v>-0.3914680485714549</v>
      </c>
      <c r="K93" s="53">
        <f t="shared" si="48"/>
        <v>-0.34735256680606674</v>
      </c>
      <c r="L93" s="53">
        <f t="shared" si="48"/>
        <v>-0.61837214646024585</v>
      </c>
      <c r="M93" s="53">
        <f t="shared" si="48"/>
        <v>-0.52856053165646477</v>
      </c>
      <c r="N93" s="484"/>
      <c r="O93" s="53">
        <f t="shared" si="45"/>
        <v>-0.42648355433258234</v>
      </c>
      <c r="P93" s="53">
        <f t="shared" si="45"/>
        <v>-0.14964709985811087</v>
      </c>
      <c r="Q93" s="53">
        <f t="shared" si="45"/>
        <v>-0.43686721513474625</v>
      </c>
      <c r="R93" s="53">
        <f t="shared" si="45"/>
        <v>-0.49549123831332798</v>
      </c>
      <c r="S93" s="53">
        <f t="shared" si="45"/>
        <v>-0.37906436277939626</v>
      </c>
    </row>
    <row r="94" spans="1:19">
      <c r="A94" s="469" t="s">
        <v>181</v>
      </c>
      <c r="B94" s="483"/>
      <c r="C94" s="483"/>
      <c r="D94" s="483"/>
      <c r="E94" s="483"/>
      <c r="F94" s="483"/>
      <c r="G94" s="483"/>
      <c r="H94" s="483"/>
      <c r="I94" s="483"/>
      <c r="J94" s="483"/>
      <c r="K94" s="483"/>
      <c r="L94" s="483"/>
      <c r="M94" s="483"/>
      <c r="N94" s="483"/>
      <c r="O94" s="483"/>
      <c r="P94" s="483"/>
      <c r="Q94" s="483"/>
      <c r="R94" s="483"/>
      <c r="S94" s="483"/>
    </row>
    <row r="95" spans="1:19">
      <c r="A95" s="485" t="s">
        <v>182</v>
      </c>
      <c r="B95" s="486"/>
      <c r="C95" s="486"/>
      <c r="D95" s="486"/>
      <c r="E95" s="486"/>
      <c r="F95" s="486"/>
      <c r="G95" s="486"/>
      <c r="H95" s="486"/>
      <c r="I95" s="486"/>
      <c r="J95" s="486"/>
      <c r="K95" s="486"/>
      <c r="L95" s="486"/>
      <c r="M95" s="486"/>
      <c r="N95" s="486"/>
      <c r="O95" s="486"/>
      <c r="P95" s="486"/>
      <c r="Q95" s="486"/>
      <c r="R95" s="486"/>
      <c r="S95" s="486"/>
    </row>
    <row r="97" spans="1:19">
      <c r="A97" s="471" t="s">
        <v>159</v>
      </c>
      <c r="B97" s="472" t="s">
        <v>51</v>
      </c>
      <c r="C97" s="472" t="s">
        <v>52</v>
      </c>
      <c r="D97" s="472" t="s">
        <v>53</v>
      </c>
      <c r="E97" s="472" t="s">
        <v>54</v>
      </c>
      <c r="F97" s="472" t="s">
        <v>55</v>
      </c>
      <c r="G97" s="472" t="s">
        <v>77</v>
      </c>
      <c r="H97" s="472" t="s">
        <v>78</v>
      </c>
      <c r="I97" s="472" t="s">
        <v>79</v>
      </c>
      <c r="J97" s="472" t="s">
        <v>80</v>
      </c>
      <c r="K97" s="472" t="s">
        <v>81</v>
      </c>
      <c r="L97" s="472" t="s">
        <v>82</v>
      </c>
      <c r="M97" s="472" t="s">
        <v>44</v>
      </c>
      <c r="N97" s="473"/>
      <c r="O97" s="473" t="s">
        <v>129</v>
      </c>
      <c r="P97" s="473" t="s">
        <v>130</v>
      </c>
      <c r="Q97" s="473" t="s">
        <v>131</v>
      </c>
      <c r="R97" s="473" t="s">
        <v>132</v>
      </c>
      <c r="S97" s="445" t="s">
        <v>171</v>
      </c>
    </row>
    <row r="98" spans="1:19">
      <c r="A98" s="474" t="s">
        <v>22</v>
      </c>
      <c r="B98" s="15">
        <v>11432.55</v>
      </c>
      <c r="C98" s="15">
        <v>1658.95</v>
      </c>
      <c r="D98" s="15">
        <v>3754.45</v>
      </c>
      <c r="E98" s="15">
        <v>3868.43</v>
      </c>
      <c r="F98" s="15">
        <v>5871.17</v>
      </c>
      <c r="G98" s="15">
        <v>7138.62</v>
      </c>
      <c r="H98" s="15">
        <v>9037.8700000000008</v>
      </c>
      <c r="I98" s="15">
        <v>10330.36</v>
      </c>
      <c r="J98" s="15">
        <v>11185.58</v>
      </c>
      <c r="K98" s="15">
        <v>11879.07</v>
      </c>
      <c r="L98" s="34">
        <v>10672.98</v>
      </c>
      <c r="M98" s="15">
        <v>10022.459999999999</v>
      </c>
      <c r="N98" s="15"/>
      <c r="O98" s="15">
        <f>SUM(B98:D98)</f>
        <v>16845.95</v>
      </c>
      <c r="P98" s="15">
        <f t="shared" ref="P98:P103" si="49">SUM(E98:G98)</f>
        <v>16878.22</v>
      </c>
      <c r="Q98" s="15">
        <f t="shared" ref="Q98:Q103" si="50">SUM(H98:J98)</f>
        <v>30553.810000000005</v>
      </c>
      <c r="R98" s="15">
        <f t="shared" ref="R98:R103" si="51">SUM(K98:M98)</f>
        <v>32574.51</v>
      </c>
      <c r="S98" s="1">
        <f t="shared" ref="S98:S103" si="52">SUM(O98:R98)</f>
        <v>96852.49</v>
      </c>
    </row>
    <row r="99" spans="1:19">
      <c r="A99" s="474" t="s">
        <v>25</v>
      </c>
      <c r="B99" s="15">
        <v>10132.08</v>
      </c>
      <c r="C99" s="15">
        <v>1321.71</v>
      </c>
      <c r="D99" s="15">
        <v>2262.36</v>
      </c>
      <c r="E99" s="15">
        <v>2662.95</v>
      </c>
      <c r="F99" s="15">
        <v>4165.6400000000003</v>
      </c>
      <c r="G99" s="15">
        <v>5205.5</v>
      </c>
      <c r="H99" s="15">
        <v>7238.39</v>
      </c>
      <c r="I99" s="15">
        <v>8548.1200000000008</v>
      </c>
      <c r="J99" s="15">
        <v>8983.15</v>
      </c>
      <c r="K99" s="15">
        <v>9161.94</v>
      </c>
      <c r="L99" s="15">
        <v>7745.33</v>
      </c>
      <c r="M99" s="15">
        <v>7084.12</v>
      </c>
      <c r="N99" s="15"/>
      <c r="O99" s="15">
        <f>SUM(B99:D99)</f>
        <v>13716.150000000001</v>
      </c>
      <c r="P99" s="15">
        <f t="shared" si="49"/>
        <v>12034.09</v>
      </c>
      <c r="Q99" s="15">
        <f t="shared" si="50"/>
        <v>24769.660000000003</v>
      </c>
      <c r="R99" s="15">
        <f t="shared" si="51"/>
        <v>23991.39</v>
      </c>
      <c r="S99" s="1">
        <f t="shared" si="52"/>
        <v>74511.290000000008</v>
      </c>
    </row>
    <row r="100" spans="1:19">
      <c r="A100" s="474" t="s">
        <v>172</v>
      </c>
      <c r="B100" s="15">
        <v>9188.7999999999993</v>
      </c>
      <c r="C100" s="15">
        <v>1600.6</v>
      </c>
      <c r="D100" s="15">
        <v>2924.2</v>
      </c>
      <c r="E100" s="15">
        <v>2665</v>
      </c>
      <c r="F100" s="15">
        <v>4070.2</v>
      </c>
      <c r="G100" s="15">
        <v>4457</v>
      </c>
      <c r="H100" s="15">
        <v>5837.8</v>
      </c>
      <c r="I100" s="15">
        <v>7316.6</v>
      </c>
      <c r="J100" s="15">
        <v>7824</v>
      </c>
      <c r="K100" s="15">
        <v>8463.4</v>
      </c>
      <c r="L100" s="15">
        <v>7554.2</v>
      </c>
      <c r="M100" s="15">
        <v>6789.8</v>
      </c>
      <c r="N100" s="15"/>
      <c r="O100" s="15">
        <f>SUM(B100:D100)</f>
        <v>13713.599999999999</v>
      </c>
      <c r="P100" s="15">
        <f t="shared" si="49"/>
        <v>11192.2</v>
      </c>
      <c r="Q100" s="15">
        <f t="shared" si="50"/>
        <v>20978.400000000001</v>
      </c>
      <c r="R100" s="15">
        <f t="shared" si="51"/>
        <v>22807.399999999998</v>
      </c>
      <c r="S100" s="1">
        <f t="shared" si="52"/>
        <v>68691.599999999991</v>
      </c>
    </row>
    <row r="101" spans="1:19">
      <c r="A101" s="478" t="s">
        <v>173</v>
      </c>
      <c r="B101" s="21">
        <f t="shared" ref="B101:M101" si="53">SUM(B98:B100)</f>
        <v>30753.429999999997</v>
      </c>
      <c r="C101" s="21">
        <f t="shared" si="53"/>
        <v>4581.26</v>
      </c>
      <c r="D101" s="21">
        <f t="shared" si="53"/>
        <v>8941.0099999999984</v>
      </c>
      <c r="E101" s="21">
        <f t="shared" si="53"/>
        <v>9196.3799999999992</v>
      </c>
      <c r="F101" s="21">
        <f t="shared" si="53"/>
        <v>14107.010000000002</v>
      </c>
      <c r="G101" s="21">
        <f t="shared" si="53"/>
        <v>16801.12</v>
      </c>
      <c r="H101" s="21">
        <f t="shared" si="53"/>
        <v>22114.06</v>
      </c>
      <c r="I101" s="21">
        <f t="shared" si="53"/>
        <v>26195.08</v>
      </c>
      <c r="J101" s="21">
        <f t="shared" si="53"/>
        <v>27992.73</v>
      </c>
      <c r="K101" s="21">
        <f t="shared" si="53"/>
        <v>29504.410000000003</v>
      </c>
      <c r="L101" s="21">
        <f t="shared" si="53"/>
        <v>25972.51</v>
      </c>
      <c r="M101" s="21">
        <f t="shared" si="53"/>
        <v>23896.379999999997</v>
      </c>
      <c r="N101" s="21"/>
      <c r="O101" s="21">
        <f>SUM(B101:D101)</f>
        <v>44275.7</v>
      </c>
      <c r="P101" s="21">
        <f t="shared" si="49"/>
        <v>40104.509999999995</v>
      </c>
      <c r="Q101" s="21">
        <f t="shared" si="50"/>
        <v>76301.87</v>
      </c>
      <c r="R101" s="21">
        <f t="shared" si="51"/>
        <v>79373.299999999988</v>
      </c>
      <c r="S101" s="44">
        <f t="shared" si="52"/>
        <v>240055.37999999998</v>
      </c>
    </row>
    <row r="102" spans="1:19">
      <c r="A102" s="469" t="s">
        <v>181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52"/>
      <c r="O102" s="15">
        <f>SUM(B102:G102)</f>
        <v>0</v>
      </c>
      <c r="P102" s="15">
        <f t="shared" si="49"/>
        <v>0</v>
      </c>
      <c r="Q102" s="15">
        <f t="shared" si="50"/>
        <v>0</v>
      </c>
      <c r="R102" s="15">
        <f t="shared" si="51"/>
        <v>0</v>
      </c>
      <c r="S102" s="1">
        <f t="shared" si="52"/>
        <v>0</v>
      </c>
    </row>
    <row r="103" spans="1:19">
      <c r="A103" s="478" t="s">
        <v>182</v>
      </c>
      <c r="B103" s="21">
        <f>B101+B102</f>
        <v>30753.429999999997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52"/>
      <c r="O103" s="21">
        <f>SUM(B103:D103)</f>
        <v>30753.429999999997</v>
      </c>
      <c r="P103" s="21">
        <f t="shared" si="49"/>
        <v>0</v>
      </c>
      <c r="Q103" s="21">
        <f t="shared" si="50"/>
        <v>0</v>
      </c>
      <c r="R103" s="21">
        <f t="shared" si="51"/>
        <v>0</v>
      </c>
      <c r="S103" s="44">
        <f t="shared" si="52"/>
        <v>30753.429999999997</v>
      </c>
    </row>
    <row r="104" spans="1:19">
      <c r="A104" s="474"/>
      <c r="B104" s="19"/>
      <c r="C104" s="483"/>
      <c r="D104" s="483"/>
      <c r="E104" s="24"/>
      <c r="F104" s="15"/>
      <c r="G104" s="483"/>
      <c r="H104" s="19"/>
      <c r="I104" s="19"/>
      <c r="J104" s="19"/>
      <c r="K104" s="19"/>
      <c r="L104" s="19"/>
      <c r="M104" s="15"/>
      <c r="N104" s="19"/>
      <c r="O104" s="15"/>
      <c r="P104" s="19"/>
      <c r="Q104" s="19"/>
      <c r="R104" s="19"/>
      <c r="S104" s="19"/>
    </row>
    <row r="105" spans="1:19">
      <c r="A105" s="479" t="s">
        <v>184</v>
      </c>
      <c r="B105" s="19"/>
      <c r="C105" s="483"/>
      <c r="D105" s="483"/>
      <c r="E105" s="19"/>
      <c r="F105" s="19"/>
      <c r="G105" s="19"/>
      <c r="H105" s="19"/>
      <c r="I105" s="483"/>
      <c r="J105" s="19"/>
      <c r="K105" s="19"/>
      <c r="L105" s="19"/>
      <c r="M105" s="15"/>
      <c r="N105" s="19"/>
      <c r="O105" s="488"/>
      <c r="P105" s="19"/>
      <c r="Q105" s="19"/>
      <c r="R105" s="19"/>
      <c r="S105" s="19"/>
    </row>
    <row r="106" spans="1:19">
      <c r="A106" s="474" t="s">
        <v>22</v>
      </c>
      <c r="B106" s="24">
        <f t="shared" ref="B106:M106" si="54">B98/B114-1</f>
        <v>-4.6107853378678398E-2</v>
      </c>
      <c r="C106" s="24">
        <f t="shared" si="54"/>
        <v>-0.86442333231177848</v>
      </c>
      <c r="D106" s="24">
        <f t="shared" si="54"/>
        <v>-0.69116105904088787</v>
      </c>
      <c r="E106" s="24">
        <f t="shared" si="54"/>
        <v>-0.67610583162389593</v>
      </c>
      <c r="F106" s="24">
        <f t="shared" si="54"/>
        <v>-0.52307739796743113</v>
      </c>
      <c r="G106" s="24">
        <f t="shared" si="54"/>
        <v>-0.41199756846116209</v>
      </c>
      <c r="H106" s="24">
        <f t="shared" si="54"/>
        <v>-0.34179227632595655</v>
      </c>
      <c r="I106" s="24">
        <f t="shared" si="54"/>
        <v>-0.28440783868219255</v>
      </c>
      <c r="J106" s="24">
        <f t="shared" si="54"/>
        <v>-0.11722989503590875</v>
      </c>
      <c r="K106" s="24">
        <f t="shared" si="54"/>
        <v>-0.10452679054010761</v>
      </c>
      <c r="L106" s="24">
        <f t="shared" si="54"/>
        <v>-0.14353258763099208</v>
      </c>
      <c r="M106" s="24">
        <f t="shared" si="54"/>
        <v>-0.18417824504623903</v>
      </c>
      <c r="N106" s="24"/>
      <c r="O106" s="24">
        <f t="shared" ref="O106:S111" si="55">O98/O114-1</f>
        <v>-0.53692018295638</v>
      </c>
      <c r="P106" s="24">
        <f t="shared" si="55"/>
        <v>-0.53624243669852212</v>
      </c>
      <c r="Q106" s="24">
        <f t="shared" si="55"/>
        <v>-0.25183131548873561</v>
      </c>
      <c r="R106" s="24">
        <f t="shared" si="55"/>
        <v>-0.14305636340533878</v>
      </c>
      <c r="S106" s="24">
        <f t="shared" si="55"/>
        <v>-0.36122874928309079</v>
      </c>
    </row>
    <row r="107" spans="1:19">
      <c r="A107" s="474" t="s">
        <v>175</v>
      </c>
      <c r="B107" s="24">
        <f t="shared" ref="B107:M107" si="56">B99/B115-1</f>
        <v>-5.2897836787879515E-2</v>
      </c>
      <c r="C107" s="24">
        <f t="shared" si="56"/>
        <v>-0.87464588227595153</v>
      </c>
      <c r="D107" s="24">
        <f t="shared" si="56"/>
        <v>-0.78749560875356228</v>
      </c>
      <c r="E107" s="24">
        <f t="shared" si="56"/>
        <v>-0.74725659584403459</v>
      </c>
      <c r="F107" s="24">
        <f t="shared" si="56"/>
        <v>-0.61684095501861225</v>
      </c>
      <c r="G107" s="24">
        <f t="shared" si="56"/>
        <v>-0.51450334405582532</v>
      </c>
      <c r="H107" s="24">
        <f t="shared" si="56"/>
        <v>-0.37201804895357882</v>
      </c>
      <c r="I107" s="24">
        <f t="shared" si="56"/>
        <v>-0.28192583644637237</v>
      </c>
      <c r="J107" s="24">
        <f t="shared" si="56"/>
        <v>-0.14296822080387728</v>
      </c>
      <c r="K107" s="24">
        <f t="shared" si="56"/>
        <v>-0.17010210292902794</v>
      </c>
      <c r="L107" s="24">
        <f t="shared" si="56"/>
        <v>-0.27340893185813642</v>
      </c>
      <c r="M107" s="24">
        <f t="shared" si="56"/>
        <v>-0.33119212700714495</v>
      </c>
      <c r="N107" s="24"/>
      <c r="O107" s="24">
        <f t="shared" si="55"/>
        <v>-0.56986443476960114</v>
      </c>
      <c r="P107" s="24">
        <f t="shared" si="55"/>
        <v>-0.62545650453999091</v>
      </c>
      <c r="Q107" s="24">
        <f t="shared" si="55"/>
        <v>-0.26959786933141772</v>
      </c>
      <c r="R107" s="24">
        <f t="shared" si="55"/>
        <v>-0.25704435364745626</v>
      </c>
      <c r="S107" s="24">
        <f t="shared" si="55"/>
        <v>-0.42781409647834923</v>
      </c>
    </row>
    <row r="108" spans="1:19">
      <c r="A108" s="474" t="s">
        <v>172</v>
      </c>
      <c r="B108" s="24">
        <f t="shared" ref="B108:M108" si="57">B100/B116-1</f>
        <v>-4.1000245260471857E-2</v>
      </c>
      <c r="C108" s="24">
        <f t="shared" si="57"/>
        <v>-0.82945670356834622</v>
      </c>
      <c r="D108" s="24">
        <f t="shared" si="57"/>
        <v>-0.69149126971567232</v>
      </c>
      <c r="E108" s="24">
        <f t="shared" si="57"/>
        <v>-0.71497631041379239</v>
      </c>
      <c r="F108" s="24">
        <f t="shared" si="57"/>
        <v>-0.57130067514192717</v>
      </c>
      <c r="G108" s="24">
        <f t="shared" si="57"/>
        <v>-0.51514294417127182</v>
      </c>
      <c r="H108" s="24">
        <f t="shared" si="57"/>
        <v>-0.41919372811206623</v>
      </c>
      <c r="I108" s="24">
        <f t="shared" si="57"/>
        <v>-0.3018511450381679</v>
      </c>
      <c r="J108" s="24">
        <f t="shared" si="57"/>
        <v>-0.16778352160316545</v>
      </c>
      <c r="K108" s="24">
        <f t="shared" si="57"/>
        <v>-0.13766366090987825</v>
      </c>
      <c r="L108" s="24">
        <f t="shared" si="57"/>
        <v>-0.18780776260617138</v>
      </c>
      <c r="M108" s="24">
        <f t="shared" si="57"/>
        <v>-0.28460646928669264</v>
      </c>
      <c r="N108" s="24"/>
      <c r="O108" s="24">
        <f t="shared" si="55"/>
        <v>-0.51789829304862467</v>
      </c>
      <c r="P108" s="24">
        <f t="shared" si="55"/>
        <v>-0.60080323004051817</v>
      </c>
      <c r="Q108" s="24">
        <f t="shared" si="55"/>
        <v>-0.29914541336201994</v>
      </c>
      <c r="R108" s="24">
        <f t="shared" si="55"/>
        <v>-0.20271966161536725</v>
      </c>
      <c r="S108" s="24">
        <f t="shared" si="55"/>
        <v>-0.4027926119802977</v>
      </c>
    </row>
    <row r="109" spans="1:19">
      <c r="A109" s="478" t="s">
        <v>173</v>
      </c>
      <c r="B109" s="484">
        <f t="shared" ref="B109:M109" si="58">B101/B117-1</f>
        <v>-4.6842393829310658E-2</v>
      </c>
      <c r="C109" s="484">
        <f t="shared" si="58"/>
        <v>-0.85757162363486683</v>
      </c>
      <c r="D109" s="484">
        <f t="shared" si="58"/>
        <v>-0.72302853599014172</v>
      </c>
      <c r="E109" s="484">
        <f t="shared" si="58"/>
        <v>-0.71107623112695095</v>
      </c>
      <c r="F109" s="484">
        <f t="shared" si="58"/>
        <v>-0.56828482470362629</v>
      </c>
      <c r="G109" s="484">
        <f t="shared" si="58"/>
        <v>-0.47586372991061898</v>
      </c>
      <c r="H109" s="484">
        <f t="shared" si="58"/>
        <v>-0.37369302601684684</v>
      </c>
      <c r="I109" s="484">
        <f t="shared" si="58"/>
        <v>-0.28857020021276292</v>
      </c>
      <c r="J109" s="484">
        <f t="shared" si="58"/>
        <v>-0.14011660589603148</v>
      </c>
      <c r="K109" s="484">
        <f t="shared" si="58"/>
        <v>-0.1352759654666188</v>
      </c>
      <c r="L109" s="484">
        <f t="shared" si="58"/>
        <v>-0.19893438034448352</v>
      </c>
      <c r="M109" s="484">
        <f t="shared" si="58"/>
        <v>-0.26173440841910933</v>
      </c>
      <c r="N109" s="484"/>
      <c r="O109" s="484">
        <f t="shared" si="55"/>
        <v>-0.54218780002252065</v>
      </c>
      <c r="P109" s="484">
        <f t="shared" si="55"/>
        <v>-0.58467309525937461</v>
      </c>
      <c r="Q109" s="484">
        <f t="shared" si="55"/>
        <v>-0.27111561189108957</v>
      </c>
      <c r="R109" s="484">
        <f t="shared" si="55"/>
        <v>-0.19752605252715216</v>
      </c>
      <c r="S109" s="484">
        <f t="shared" si="55"/>
        <v>-0.39512330892815795</v>
      </c>
    </row>
    <row r="110" spans="1:19">
      <c r="A110" s="469" t="s">
        <v>181</v>
      </c>
      <c r="B110" s="483">
        <f t="shared" ref="B110:M110" si="59">B102/B118-1</f>
        <v>-1</v>
      </c>
      <c r="C110" s="483">
        <f t="shared" si="59"/>
        <v>-1</v>
      </c>
      <c r="D110" s="483">
        <f t="shared" si="59"/>
        <v>-1</v>
      </c>
      <c r="E110" s="483">
        <f t="shared" si="59"/>
        <v>-1</v>
      </c>
      <c r="F110" s="483">
        <f t="shared" si="59"/>
        <v>-1</v>
      </c>
      <c r="G110" s="483">
        <f t="shared" si="59"/>
        <v>-1</v>
      </c>
      <c r="H110" s="483">
        <f t="shared" si="59"/>
        <v>-1</v>
      </c>
      <c r="I110" s="483">
        <f t="shared" si="59"/>
        <v>-1</v>
      </c>
      <c r="J110" s="483">
        <f t="shared" si="59"/>
        <v>-1</v>
      </c>
      <c r="K110" s="483">
        <f t="shared" si="59"/>
        <v>-1</v>
      </c>
      <c r="L110" s="483">
        <f t="shared" si="59"/>
        <v>-1</v>
      </c>
      <c r="M110" s="483">
        <f t="shared" si="59"/>
        <v>-1</v>
      </c>
      <c r="N110" s="483"/>
      <c r="O110" s="483">
        <f t="shared" si="55"/>
        <v>-1</v>
      </c>
      <c r="P110" s="483">
        <f t="shared" si="55"/>
        <v>-1</v>
      </c>
      <c r="Q110" s="483">
        <f t="shared" si="55"/>
        <v>-1</v>
      </c>
      <c r="R110" s="483">
        <f t="shared" si="55"/>
        <v>-1</v>
      </c>
      <c r="S110" s="483">
        <f t="shared" si="55"/>
        <v>-1</v>
      </c>
    </row>
    <row r="111" spans="1:19" s="489" customFormat="1">
      <c r="A111" s="485" t="s">
        <v>182</v>
      </c>
      <c r="B111" s="486">
        <f t="shared" ref="B111:M111" si="60">B103/B119-1</f>
        <v>-0.21862573247255412</v>
      </c>
      <c r="C111" s="486">
        <f t="shared" si="60"/>
        <v>-1</v>
      </c>
      <c r="D111" s="486">
        <f t="shared" si="60"/>
        <v>-1</v>
      </c>
      <c r="E111" s="486">
        <f t="shared" si="60"/>
        <v>-1</v>
      </c>
      <c r="F111" s="486">
        <f t="shared" si="60"/>
        <v>-1</v>
      </c>
      <c r="G111" s="486">
        <f t="shared" si="60"/>
        <v>-1</v>
      </c>
      <c r="H111" s="486">
        <f t="shared" si="60"/>
        <v>-1</v>
      </c>
      <c r="I111" s="486">
        <f t="shared" si="60"/>
        <v>-1</v>
      </c>
      <c r="J111" s="486">
        <f t="shared" si="60"/>
        <v>-1</v>
      </c>
      <c r="K111" s="486">
        <f t="shared" si="60"/>
        <v>-1</v>
      </c>
      <c r="L111" s="486">
        <f t="shared" si="60"/>
        <v>-1</v>
      </c>
      <c r="M111" s="486">
        <f t="shared" si="60"/>
        <v>-1</v>
      </c>
      <c r="N111" s="486"/>
      <c r="O111" s="486">
        <f t="shared" si="55"/>
        <v>-0.73986610223483806</v>
      </c>
      <c r="P111" s="486">
        <f t="shared" si="55"/>
        <v>-1</v>
      </c>
      <c r="Q111" s="486">
        <f t="shared" si="55"/>
        <v>-1</v>
      </c>
      <c r="R111" s="486">
        <f t="shared" si="55"/>
        <v>-1</v>
      </c>
      <c r="S111" s="486">
        <f t="shared" si="55"/>
        <v>-0.93573724055812135</v>
      </c>
    </row>
    <row r="113" spans="1:19">
      <c r="A113" s="471" t="s">
        <v>160</v>
      </c>
      <c r="B113" s="472" t="s">
        <v>51</v>
      </c>
      <c r="C113" s="472" t="s">
        <v>52</v>
      </c>
      <c r="D113" s="472" t="s">
        <v>53</v>
      </c>
      <c r="E113" s="472" t="s">
        <v>54</v>
      </c>
      <c r="F113" s="472" t="s">
        <v>55</v>
      </c>
      <c r="G113" s="472" t="s">
        <v>77</v>
      </c>
      <c r="H113" s="472" t="s">
        <v>78</v>
      </c>
      <c r="I113" s="472" t="s">
        <v>79</v>
      </c>
      <c r="J113" s="472" t="s">
        <v>80</v>
      </c>
      <c r="K113" s="472" t="s">
        <v>81</v>
      </c>
      <c r="L113" s="472" t="s">
        <v>82</v>
      </c>
      <c r="M113" s="472" t="s">
        <v>44</v>
      </c>
      <c r="N113" s="473"/>
      <c r="O113" s="473" t="s">
        <v>129</v>
      </c>
      <c r="P113" s="473" t="s">
        <v>130</v>
      </c>
      <c r="Q113" s="473" t="s">
        <v>131</v>
      </c>
      <c r="R113" s="473" t="s">
        <v>132</v>
      </c>
      <c r="S113" s="445" t="s">
        <v>171</v>
      </c>
    </row>
    <row r="114" spans="1:19">
      <c r="A114" s="474" t="s">
        <v>22</v>
      </c>
      <c r="B114" s="15">
        <v>11985.16</v>
      </c>
      <c r="C114" s="15">
        <v>12236.25</v>
      </c>
      <c r="D114" s="15">
        <v>12156.66</v>
      </c>
      <c r="E114" s="15">
        <v>11943.5</v>
      </c>
      <c r="F114" s="15">
        <v>12310.53</v>
      </c>
      <c r="G114" s="15">
        <v>12140.46</v>
      </c>
      <c r="H114" s="15">
        <v>13731.03</v>
      </c>
      <c r="I114" s="15">
        <v>14436.1</v>
      </c>
      <c r="J114" s="15">
        <v>12671</v>
      </c>
      <c r="K114" s="15">
        <v>13265.69</v>
      </c>
      <c r="L114" s="34">
        <v>12461.63</v>
      </c>
      <c r="M114" s="15">
        <v>12285.11</v>
      </c>
      <c r="N114" s="15"/>
      <c r="O114" s="15">
        <f t="shared" ref="O114:O119" si="61">SUM(B114:D114)</f>
        <v>36378.07</v>
      </c>
      <c r="P114" s="15">
        <f t="shared" ref="P114:P119" si="62">SUM(E114:G114)</f>
        <v>36394.49</v>
      </c>
      <c r="Q114" s="15">
        <f t="shared" ref="Q114:Q119" si="63">SUM(H114:J114)</f>
        <v>40838.130000000005</v>
      </c>
      <c r="R114" s="15">
        <f t="shared" ref="R114:R119" si="64">SUM(K114:M114)</f>
        <v>38012.43</v>
      </c>
      <c r="S114" s="1">
        <f t="shared" ref="S114:S119" si="65">SUM(O114:R114)</f>
        <v>151623.12</v>
      </c>
    </row>
    <row r="115" spans="1:19">
      <c r="A115" s="474" t="s">
        <v>25</v>
      </c>
      <c r="B115" s="15">
        <v>10697.98</v>
      </c>
      <c r="C115" s="15">
        <v>10543.81</v>
      </c>
      <c r="D115" s="15">
        <v>10646.18</v>
      </c>
      <c r="E115" s="15">
        <v>10536.18</v>
      </c>
      <c r="F115" s="15">
        <v>10871.83</v>
      </c>
      <c r="G115" s="15">
        <v>10722.01</v>
      </c>
      <c r="H115" s="15">
        <v>11526.43</v>
      </c>
      <c r="I115" s="15">
        <v>11904.23</v>
      </c>
      <c r="J115" s="15">
        <v>10481.700000000001</v>
      </c>
      <c r="K115" s="15">
        <v>11039.84</v>
      </c>
      <c r="L115" s="15">
        <v>10659.82</v>
      </c>
      <c r="M115" s="15">
        <v>10592.16</v>
      </c>
      <c r="N115" s="15"/>
      <c r="O115" s="15">
        <f t="shared" si="61"/>
        <v>31887.97</v>
      </c>
      <c r="P115" s="15">
        <f t="shared" si="62"/>
        <v>32130.020000000004</v>
      </c>
      <c r="Q115" s="15">
        <f t="shared" si="63"/>
        <v>33912.36</v>
      </c>
      <c r="R115" s="15">
        <f t="shared" si="64"/>
        <v>32291.82</v>
      </c>
      <c r="S115" s="1">
        <f t="shared" si="65"/>
        <v>130222.17000000001</v>
      </c>
    </row>
    <row r="116" spans="1:19">
      <c r="A116" s="474" t="s">
        <v>172</v>
      </c>
      <c r="B116" s="15">
        <v>9581.65</v>
      </c>
      <c r="C116" s="15">
        <v>9385.2999999999993</v>
      </c>
      <c r="D116" s="15">
        <v>9478.5</v>
      </c>
      <c r="E116" s="15">
        <v>9350.1</v>
      </c>
      <c r="F116" s="15">
        <v>9494.2999999999993</v>
      </c>
      <c r="G116" s="15">
        <v>9192.4</v>
      </c>
      <c r="H116" s="15">
        <v>10051.200000000001</v>
      </c>
      <c r="I116" s="15">
        <v>10480</v>
      </c>
      <c r="J116" s="15">
        <v>9401.4</v>
      </c>
      <c r="K116" s="15">
        <v>9814.5</v>
      </c>
      <c r="L116" s="15">
        <v>9301</v>
      </c>
      <c r="M116" s="15">
        <v>9491</v>
      </c>
      <c r="N116" s="15"/>
      <c r="O116" s="15">
        <f t="shared" si="61"/>
        <v>28445.449999999997</v>
      </c>
      <c r="P116" s="15">
        <f t="shared" si="62"/>
        <v>28036.800000000003</v>
      </c>
      <c r="Q116" s="15">
        <f t="shared" si="63"/>
        <v>29932.6</v>
      </c>
      <c r="R116" s="15">
        <f t="shared" si="64"/>
        <v>28606.5</v>
      </c>
      <c r="S116" s="1">
        <f t="shared" si="65"/>
        <v>115021.35</v>
      </c>
    </row>
    <row r="117" spans="1:19">
      <c r="A117" s="478" t="s">
        <v>173</v>
      </c>
      <c r="B117" s="21">
        <f t="shared" ref="B117:M117" si="66">SUM(B114:B116)</f>
        <v>32264.79</v>
      </c>
      <c r="C117" s="21">
        <f t="shared" si="66"/>
        <v>32165.359999999997</v>
      </c>
      <c r="D117" s="21">
        <f t="shared" si="66"/>
        <v>32281.34</v>
      </c>
      <c r="E117" s="21">
        <f t="shared" si="66"/>
        <v>31829.78</v>
      </c>
      <c r="F117" s="21">
        <f t="shared" si="66"/>
        <v>32676.66</v>
      </c>
      <c r="G117" s="21">
        <f t="shared" si="66"/>
        <v>32054.870000000003</v>
      </c>
      <c r="H117" s="21">
        <f t="shared" si="66"/>
        <v>35308.660000000003</v>
      </c>
      <c r="I117" s="21">
        <f t="shared" si="66"/>
        <v>36820.33</v>
      </c>
      <c r="J117" s="21">
        <f t="shared" si="66"/>
        <v>32554.1</v>
      </c>
      <c r="K117" s="21">
        <f t="shared" si="66"/>
        <v>34120.03</v>
      </c>
      <c r="L117" s="21">
        <f t="shared" si="66"/>
        <v>32422.449999999997</v>
      </c>
      <c r="M117" s="21">
        <f t="shared" si="66"/>
        <v>32368.27</v>
      </c>
      <c r="N117" s="21"/>
      <c r="O117" s="21">
        <f t="shared" si="61"/>
        <v>96711.489999999991</v>
      </c>
      <c r="P117" s="21">
        <f t="shared" si="62"/>
        <v>96561.31</v>
      </c>
      <c r="Q117" s="21">
        <f t="shared" si="63"/>
        <v>104683.09</v>
      </c>
      <c r="R117" s="21">
        <f t="shared" si="64"/>
        <v>98910.75</v>
      </c>
      <c r="S117" s="44">
        <f t="shared" si="65"/>
        <v>396866.64</v>
      </c>
    </row>
    <row r="118" spans="1:19">
      <c r="A118" s="469" t="s">
        <v>181</v>
      </c>
      <c r="B118" s="15">
        <v>7093.34</v>
      </c>
      <c r="C118" s="15">
        <v>7382.84</v>
      </c>
      <c r="D118" s="15">
        <v>7033.87</v>
      </c>
      <c r="E118" s="15">
        <v>6851.55</v>
      </c>
      <c r="F118" s="15">
        <v>7046.96</v>
      </c>
      <c r="G118" s="15">
        <v>6896.47</v>
      </c>
      <c r="H118" s="15">
        <v>7664.82</v>
      </c>
      <c r="I118" s="15">
        <v>7707.01</v>
      </c>
      <c r="J118" s="15">
        <v>6998.17</v>
      </c>
      <c r="K118" s="15">
        <v>7072.85</v>
      </c>
      <c r="L118" s="15">
        <v>5088.75</v>
      </c>
      <c r="M118" s="15">
        <v>4854.3</v>
      </c>
      <c r="N118" s="52"/>
      <c r="O118" s="15">
        <f t="shared" si="61"/>
        <v>21510.05</v>
      </c>
      <c r="P118" s="15">
        <f t="shared" si="62"/>
        <v>20794.98</v>
      </c>
      <c r="Q118" s="15">
        <f t="shared" si="63"/>
        <v>22370</v>
      </c>
      <c r="R118" s="15">
        <f t="shared" si="64"/>
        <v>17015.900000000001</v>
      </c>
      <c r="S118" s="1">
        <f t="shared" si="65"/>
        <v>81690.929999999993</v>
      </c>
    </row>
    <row r="119" spans="1:19">
      <c r="A119" s="478" t="s">
        <v>182</v>
      </c>
      <c r="B119" s="21">
        <f t="shared" ref="B119:M119" si="67">B117+B118</f>
        <v>39358.130000000005</v>
      </c>
      <c r="C119" s="21">
        <f t="shared" si="67"/>
        <v>39548.199999999997</v>
      </c>
      <c r="D119" s="21">
        <f t="shared" si="67"/>
        <v>39315.21</v>
      </c>
      <c r="E119" s="21">
        <f t="shared" si="67"/>
        <v>38681.33</v>
      </c>
      <c r="F119" s="21">
        <f t="shared" si="67"/>
        <v>39723.620000000003</v>
      </c>
      <c r="G119" s="21">
        <f t="shared" si="67"/>
        <v>38951.340000000004</v>
      </c>
      <c r="H119" s="21">
        <f t="shared" si="67"/>
        <v>42973.48</v>
      </c>
      <c r="I119" s="21">
        <f t="shared" si="67"/>
        <v>44527.340000000004</v>
      </c>
      <c r="J119" s="21">
        <f t="shared" si="67"/>
        <v>39552.269999999997</v>
      </c>
      <c r="K119" s="21">
        <f t="shared" si="67"/>
        <v>41192.879999999997</v>
      </c>
      <c r="L119" s="21">
        <f t="shared" si="67"/>
        <v>37511.199999999997</v>
      </c>
      <c r="M119" s="21">
        <f t="shared" si="67"/>
        <v>37222.57</v>
      </c>
      <c r="N119" s="52"/>
      <c r="O119" s="21">
        <f t="shared" si="61"/>
        <v>118221.54000000001</v>
      </c>
      <c r="P119" s="21">
        <f t="shared" si="62"/>
        <v>117356.29000000001</v>
      </c>
      <c r="Q119" s="21">
        <f t="shared" si="63"/>
        <v>127053.09</v>
      </c>
      <c r="R119" s="21">
        <f t="shared" si="64"/>
        <v>115926.65</v>
      </c>
      <c r="S119" s="44">
        <f t="shared" si="65"/>
        <v>478557.57000000007</v>
      </c>
    </row>
    <row r="120" spans="1:19">
      <c r="A120" s="474"/>
      <c r="B120" s="19"/>
      <c r="C120" s="483">
        <f>SUM(B117:C117)/SUM(B134:C134)-1</f>
        <v>0.1190600334449321</v>
      </c>
      <c r="D120" s="483"/>
      <c r="E120" s="24"/>
      <c r="F120" s="15"/>
      <c r="G120" s="483"/>
      <c r="H120" s="19"/>
      <c r="I120" s="19"/>
      <c r="J120" s="19"/>
      <c r="K120" s="19"/>
      <c r="L120" s="19"/>
      <c r="M120" s="15"/>
      <c r="N120" s="19"/>
      <c r="O120" s="15"/>
      <c r="P120" s="19"/>
      <c r="Q120" s="19"/>
      <c r="R120" s="19"/>
      <c r="S120" s="19"/>
    </row>
    <row r="121" spans="1:19">
      <c r="A121" s="479" t="s">
        <v>184</v>
      </c>
      <c r="B121" s="19"/>
      <c r="C121" s="483">
        <f>SUM(B119:C119)/SUM(B136:C136)-1</f>
        <v>0.12037037694386044</v>
      </c>
      <c r="D121" s="483"/>
      <c r="E121" s="19"/>
      <c r="F121" s="19"/>
      <c r="G121" s="19"/>
      <c r="H121" s="19"/>
      <c r="I121" s="483"/>
      <c r="J121" s="19"/>
      <c r="K121" s="19"/>
      <c r="L121" s="19"/>
      <c r="M121" s="15"/>
      <c r="N121" s="19"/>
      <c r="O121" s="488"/>
      <c r="P121" s="19"/>
      <c r="Q121" s="19"/>
      <c r="R121" s="19"/>
      <c r="S121" s="19"/>
    </row>
    <row r="122" spans="1:19">
      <c r="A122" s="474" t="s">
        <v>22</v>
      </c>
      <c r="B122" s="24">
        <f t="shared" ref="B122:M122" si="68">B114/B131-1</f>
        <v>0.14008222560865402</v>
      </c>
      <c r="C122" s="24">
        <f t="shared" si="68"/>
        <v>0.10596073178469467</v>
      </c>
      <c r="D122" s="24">
        <f t="shared" si="68"/>
        <v>4.1354681258775061E-2</v>
      </c>
      <c r="E122" s="24">
        <f t="shared" si="68"/>
        <v>3.2134570264396256E-2</v>
      </c>
      <c r="F122" s="24">
        <f t="shared" si="68"/>
        <v>7.7616565343557653E-2</v>
      </c>
      <c r="G122" s="24">
        <f t="shared" si="68"/>
        <v>9.3225947914349794E-2</v>
      </c>
      <c r="H122" s="24">
        <f t="shared" si="68"/>
        <v>0.10403791880743896</v>
      </c>
      <c r="I122" s="24">
        <f t="shared" si="68"/>
        <v>8.6330139432472475E-2</v>
      </c>
      <c r="J122" s="24">
        <f t="shared" si="68"/>
        <v>0.10120271046564078</v>
      </c>
      <c r="K122" s="24">
        <f t="shared" si="68"/>
        <v>7.343482085130737E-2</v>
      </c>
      <c r="L122" s="24">
        <f t="shared" si="68"/>
        <v>9.067238246610243E-2</v>
      </c>
      <c r="M122" s="24">
        <f t="shared" si="68"/>
        <v>6.6940933601868258E-2</v>
      </c>
      <c r="N122" s="24"/>
      <c r="O122" s="24">
        <f t="shared" ref="O122:S127" si="69">O114/O131-1</f>
        <v>9.4066105790196586E-2</v>
      </c>
      <c r="P122" s="24">
        <f t="shared" si="69"/>
        <v>6.7266127029175671E-2</v>
      </c>
      <c r="Q122" s="24">
        <f t="shared" si="69"/>
        <v>9.6841521166465494E-2</v>
      </c>
      <c r="R122" s="24">
        <f t="shared" si="69"/>
        <v>7.6896119738887103E-2</v>
      </c>
      <c r="S122" s="24">
        <f t="shared" si="69"/>
        <v>8.3938755932426501E-2</v>
      </c>
    </row>
    <row r="123" spans="1:19">
      <c r="A123" s="474" t="s">
        <v>175</v>
      </c>
      <c r="B123" s="24">
        <f t="shared" ref="B123:M123" si="70">B115/B132-1</f>
        <v>0.17353754548316624</v>
      </c>
      <c r="C123" s="24">
        <f t="shared" si="70"/>
        <v>0.10713835698715179</v>
      </c>
      <c r="D123" s="24">
        <f t="shared" si="70"/>
        <v>5.4549164576622511E-2</v>
      </c>
      <c r="E123" s="24">
        <f t="shared" si="70"/>
        <v>2.51216678763726E-2</v>
      </c>
      <c r="F123" s="24">
        <f t="shared" si="70"/>
        <v>8.4732589081265353E-2</v>
      </c>
      <c r="G123" s="24">
        <f t="shared" si="70"/>
        <v>8.3547913752819447E-2</v>
      </c>
      <c r="H123" s="24">
        <f t="shared" si="70"/>
        <v>8.1842874895348805E-2</v>
      </c>
      <c r="I123" s="24">
        <f t="shared" si="70"/>
        <v>6.5621654331331714E-2</v>
      </c>
      <c r="J123" s="24">
        <f t="shared" si="70"/>
        <v>6.3707036833508868E-2</v>
      </c>
      <c r="K123" s="24">
        <f t="shared" si="70"/>
        <v>4.2970240906943902E-2</v>
      </c>
      <c r="L123" s="24">
        <f t="shared" si="70"/>
        <v>6.9441643717425894E-2</v>
      </c>
      <c r="M123" s="24">
        <f t="shared" si="70"/>
        <v>5.6286916380875907E-2</v>
      </c>
      <c r="N123" s="24"/>
      <c r="O123" s="24">
        <f t="shared" si="69"/>
        <v>0.10972692854734167</v>
      </c>
      <c r="P123" s="24">
        <f t="shared" si="69"/>
        <v>6.4054166383791244E-2</v>
      </c>
      <c r="Q123" s="24">
        <f t="shared" si="69"/>
        <v>7.0481621652590754E-2</v>
      </c>
      <c r="R123" s="24">
        <f t="shared" si="69"/>
        <v>5.5965295395282721E-2</v>
      </c>
      <c r="S123" s="24">
        <f t="shared" si="69"/>
        <v>7.4522487218185773E-2</v>
      </c>
    </row>
    <row r="124" spans="1:19">
      <c r="A124" s="474" t="s">
        <v>172</v>
      </c>
      <c r="B124" s="24">
        <f t="shared" ref="B124:M124" si="71">B116/B133-1</f>
        <v>0.11539043583535102</v>
      </c>
      <c r="C124" s="24">
        <f t="shared" si="71"/>
        <v>7.0293879505981316E-2</v>
      </c>
      <c r="D124" s="24">
        <f t="shared" si="71"/>
        <v>1.0996864133796969E-2</v>
      </c>
      <c r="E124" s="24">
        <f t="shared" si="71"/>
        <v>2.0864723223059434E-2</v>
      </c>
      <c r="F124" s="24">
        <f t="shared" si="71"/>
        <v>6.665543197393542E-2</v>
      </c>
      <c r="G124" s="24">
        <f t="shared" si="71"/>
        <v>2.7198569672589157E-2</v>
      </c>
      <c r="H124" s="24">
        <f t="shared" si="71"/>
        <v>6.9344851799051144E-2</v>
      </c>
      <c r="I124" s="24">
        <f t="shared" si="71"/>
        <v>5.903514622365047E-2</v>
      </c>
      <c r="J124" s="24">
        <f t="shared" si="71"/>
        <v>5.5033105150936956E-2</v>
      </c>
      <c r="K124" s="24">
        <f t="shared" si="71"/>
        <v>1.2252854358117515E-2</v>
      </c>
      <c r="L124" s="24">
        <f t="shared" si="71"/>
        <v>3.1644797408964198E-2</v>
      </c>
      <c r="M124" s="24">
        <f t="shared" si="71"/>
        <v>4.984292730410167E-2</v>
      </c>
      <c r="N124" s="24"/>
      <c r="O124" s="24">
        <f t="shared" si="69"/>
        <v>6.3989870842014351E-2</v>
      </c>
      <c r="P124" s="24">
        <f t="shared" si="69"/>
        <v>3.8053982005998188E-2</v>
      </c>
      <c r="Q124" s="24">
        <f t="shared" si="69"/>
        <v>6.120640142947309E-2</v>
      </c>
      <c r="R124" s="24">
        <f t="shared" si="69"/>
        <v>3.0798002291743121E-2</v>
      </c>
      <c r="S124" s="24">
        <f t="shared" si="69"/>
        <v>4.8491955913171791E-2</v>
      </c>
    </row>
    <row r="125" spans="1:19">
      <c r="A125" s="478" t="s">
        <v>173</v>
      </c>
      <c r="B125" s="484">
        <f t="shared" ref="B125:M125" si="72">B117/B134-1</f>
        <v>0.14337315881703594</v>
      </c>
      <c r="C125" s="484">
        <f t="shared" si="72"/>
        <v>9.5688862591287727E-2</v>
      </c>
      <c r="D125" s="484">
        <f t="shared" si="72"/>
        <v>3.6493125491053657E-2</v>
      </c>
      <c r="E125" s="484">
        <f t="shared" si="72"/>
        <v>2.6481337614722156E-2</v>
      </c>
      <c r="F125" s="484">
        <f t="shared" si="72"/>
        <v>7.6751778733230802E-2</v>
      </c>
      <c r="G125" s="484">
        <f t="shared" si="72"/>
        <v>7.0299120685020977E-2</v>
      </c>
      <c r="H125" s="484">
        <f t="shared" si="72"/>
        <v>8.6723252697521236E-2</v>
      </c>
      <c r="I125" s="484">
        <f t="shared" si="72"/>
        <v>7.1734549856603769E-2</v>
      </c>
      <c r="J125" s="484">
        <f t="shared" si="72"/>
        <v>7.540621202588782E-2</v>
      </c>
      <c r="K125" s="484">
        <f t="shared" si="72"/>
        <v>4.5380247539207108E-2</v>
      </c>
      <c r="L125" s="484">
        <f t="shared" si="72"/>
        <v>6.6212656191474872E-2</v>
      </c>
      <c r="M125" s="484">
        <f t="shared" si="72"/>
        <v>5.8393275099517972E-2</v>
      </c>
      <c r="N125" s="484"/>
      <c r="O125" s="484">
        <f t="shared" si="69"/>
        <v>9.0075282904048093E-2</v>
      </c>
      <c r="P125" s="484">
        <f t="shared" si="69"/>
        <v>5.7562675290606657E-2</v>
      </c>
      <c r="Q125" s="484">
        <f t="shared" si="69"/>
        <v>7.7893472403709252E-2</v>
      </c>
      <c r="R125" s="484">
        <f t="shared" si="69"/>
        <v>5.6396581791026579E-2</v>
      </c>
      <c r="S125" s="484">
        <f t="shared" si="69"/>
        <v>7.0373247384495574E-2</v>
      </c>
    </row>
    <row r="126" spans="1:19">
      <c r="A126" s="469" t="s">
        <v>181</v>
      </c>
      <c r="B126" s="483">
        <f t="shared" ref="B126:M126" si="73">B118/B135-1</f>
        <v>0.13458222567714984</v>
      </c>
      <c r="C126" s="483">
        <f t="shared" si="73"/>
        <v>0.11833931419759725</v>
      </c>
      <c r="D126" s="483">
        <f t="shared" si="73"/>
        <v>2.5249830919564342E-2</v>
      </c>
      <c r="E126" s="483">
        <f t="shared" si="73"/>
        <v>3.3946518576645657E-2</v>
      </c>
      <c r="F126" s="483">
        <f t="shared" si="73"/>
        <v>7.096493774325574E-2</v>
      </c>
      <c r="G126" s="483">
        <f t="shared" si="73"/>
        <v>8.4299482728802166E-2</v>
      </c>
      <c r="H126" s="483">
        <f t="shared" si="73"/>
        <v>0.11674604758775731</v>
      </c>
      <c r="I126" s="483">
        <f t="shared" si="73"/>
        <v>7.5783525890936509E-2</v>
      </c>
      <c r="J126" s="483">
        <f t="shared" si="73"/>
        <v>6.7927252084528655E-2</v>
      </c>
      <c r="K126" s="483">
        <f t="shared" si="73"/>
        <v>7.7822663374527146E-4</v>
      </c>
      <c r="L126" s="483">
        <f t="shared" si="73"/>
        <v>-0.21990691770679083</v>
      </c>
      <c r="M126" s="483">
        <f t="shared" si="73"/>
        <v>-0.24437166397631449</v>
      </c>
      <c r="N126" s="483"/>
      <c r="O126" s="483">
        <f t="shared" si="69"/>
        <v>9.1094790097894007E-2</v>
      </c>
      <c r="P126" s="483">
        <f t="shared" si="69"/>
        <v>6.2762592560603681E-2</v>
      </c>
      <c r="Q126" s="483">
        <f t="shared" si="69"/>
        <v>8.6942789978552648E-2</v>
      </c>
      <c r="R126" s="483">
        <f t="shared" si="69"/>
        <v>-0.14983412274916552</v>
      </c>
      <c r="S126" s="483">
        <f t="shared" si="69"/>
        <v>2.2714673741583313E-2</v>
      </c>
    </row>
    <row r="127" spans="1:19" s="489" customFormat="1">
      <c r="A127" s="485" t="s">
        <v>182</v>
      </c>
      <c r="B127" s="486">
        <f t="shared" ref="B127:M127" si="74">B119/B136-1</f>
        <v>0.14177875883100199</v>
      </c>
      <c r="C127" s="486">
        <f t="shared" si="74"/>
        <v>9.9847321450918791E-2</v>
      </c>
      <c r="D127" s="486">
        <f t="shared" si="74"/>
        <v>3.4463514536483109E-2</v>
      </c>
      <c r="E127" s="486">
        <f t="shared" si="74"/>
        <v>2.7795764766151532E-2</v>
      </c>
      <c r="F127" s="486">
        <f t="shared" si="74"/>
        <v>7.5720636003839825E-2</v>
      </c>
      <c r="G127" s="486">
        <f t="shared" si="74"/>
        <v>7.2751533678970581E-2</v>
      </c>
      <c r="H127" s="486">
        <f t="shared" si="74"/>
        <v>9.1959312372902113E-2</v>
      </c>
      <c r="I127" s="486">
        <f t="shared" si="74"/>
        <v>7.2433183878967133E-2</v>
      </c>
      <c r="J127" s="486">
        <f t="shared" si="74"/>
        <v>7.4075306144810948E-2</v>
      </c>
      <c r="K127" s="486">
        <f t="shared" si="74"/>
        <v>3.7441489016078577E-2</v>
      </c>
      <c r="L127" s="486">
        <f t="shared" si="74"/>
        <v>1.5676001326753619E-2</v>
      </c>
      <c r="M127" s="486">
        <f t="shared" si="74"/>
        <v>5.8346270197382477E-3</v>
      </c>
      <c r="N127" s="486"/>
      <c r="O127" s="486">
        <f t="shared" si="69"/>
        <v>9.0260637326599946E-2</v>
      </c>
      <c r="P127" s="486">
        <f t="shared" si="69"/>
        <v>5.8480363423080162E-2</v>
      </c>
      <c r="Q127" s="486">
        <f t="shared" si="69"/>
        <v>7.9475823367045839E-2</v>
      </c>
      <c r="R127" s="486">
        <f t="shared" si="69"/>
        <v>2.0075917030137225E-2</v>
      </c>
      <c r="S127" s="486">
        <f t="shared" si="69"/>
        <v>6.1925898804645163E-2</v>
      </c>
    </row>
    <row r="128" spans="1:19">
      <c r="A128" s="478"/>
      <c r="B128" s="490"/>
      <c r="C128" s="484"/>
      <c r="D128" s="484"/>
      <c r="E128" s="484"/>
      <c r="F128" s="484"/>
      <c r="G128" s="484"/>
      <c r="H128" s="484"/>
      <c r="I128" s="484"/>
      <c r="J128" s="484"/>
      <c r="K128" s="484"/>
      <c r="L128" s="484"/>
      <c r="M128" s="484"/>
      <c r="N128" s="52"/>
      <c r="O128" s="53"/>
      <c r="P128" s="53"/>
      <c r="Q128" s="53"/>
      <c r="R128" s="53"/>
      <c r="S128" s="54"/>
    </row>
    <row r="129" spans="1:20">
      <c r="A129" s="478"/>
      <c r="B129" s="490"/>
      <c r="C129" s="484"/>
      <c r="D129" s="484"/>
      <c r="E129" s="484"/>
      <c r="F129" s="484"/>
      <c r="G129" s="484"/>
      <c r="H129" s="484"/>
      <c r="I129" s="484"/>
      <c r="J129" s="484"/>
      <c r="K129" s="484"/>
      <c r="L129" s="484"/>
      <c r="M129" s="484"/>
      <c r="N129" s="52"/>
      <c r="O129" s="53"/>
      <c r="P129" s="53"/>
      <c r="Q129" s="53"/>
      <c r="R129" s="53"/>
      <c r="S129" s="54"/>
    </row>
    <row r="130" spans="1:20">
      <c r="A130" s="471" t="s">
        <v>161</v>
      </c>
      <c r="B130" s="472" t="s">
        <v>51</v>
      </c>
      <c r="C130" s="472" t="s">
        <v>52</v>
      </c>
      <c r="D130" s="472" t="s">
        <v>53</v>
      </c>
      <c r="E130" s="472" t="s">
        <v>54</v>
      </c>
      <c r="F130" s="472" t="s">
        <v>55</v>
      </c>
      <c r="G130" s="472" t="s">
        <v>77</v>
      </c>
      <c r="H130" s="472" t="s">
        <v>78</v>
      </c>
      <c r="I130" s="472" t="s">
        <v>79</v>
      </c>
      <c r="J130" s="472" t="s">
        <v>80</v>
      </c>
      <c r="K130" s="472" t="s">
        <v>81</v>
      </c>
      <c r="L130" s="472" t="s">
        <v>82</v>
      </c>
      <c r="M130" s="472" t="s">
        <v>44</v>
      </c>
      <c r="N130" s="473"/>
      <c r="O130" s="473" t="s">
        <v>129</v>
      </c>
      <c r="P130" s="473" t="s">
        <v>130</v>
      </c>
      <c r="Q130" s="473" t="s">
        <v>131</v>
      </c>
      <c r="R130" s="473" t="s">
        <v>132</v>
      </c>
      <c r="S130" s="445" t="s">
        <v>171</v>
      </c>
    </row>
    <row r="131" spans="1:20">
      <c r="A131" s="474" t="s">
        <v>22</v>
      </c>
      <c r="B131" s="15">
        <v>10512.54</v>
      </c>
      <c r="C131" s="15">
        <v>11063.91</v>
      </c>
      <c r="D131" s="15">
        <v>11673.89</v>
      </c>
      <c r="E131" s="15">
        <v>11571.65</v>
      </c>
      <c r="F131" s="15">
        <v>11423.85</v>
      </c>
      <c r="G131" s="15">
        <v>11105.17</v>
      </c>
      <c r="H131" s="15">
        <v>12437.1</v>
      </c>
      <c r="I131" s="15">
        <v>13288.87</v>
      </c>
      <c r="J131" s="15">
        <v>11506.51</v>
      </c>
      <c r="K131" s="15">
        <v>12358.17</v>
      </c>
      <c r="L131" s="34">
        <v>11425.64</v>
      </c>
      <c r="M131" s="15">
        <v>11514.33</v>
      </c>
      <c r="N131" s="15"/>
      <c r="O131" s="15">
        <f t="shared" ref="O131:O136" si="75">SUM(B131:D131)</f>
        <v>33250.339999999997</v>
      </c>
      <c r="P131" s="15">
        <f t="shared" ref="P131:P136" si="76">SUM(E131:G131)</f>
        <v>34100.67</v>
      </c>
      <c r="Q131" s="15">
        <f t="shared" ref="Q131:Q136" si="77">SUM(H131:J131)</f>
        <v>37232.480000000003</v>
      </c>
      <c r="R131" s="15">
        <f t="shared" ref="R131:R136" si="78">SUM(K131:M131)</f>
        <v>35298.14</v>
      </c>
      <c r="S131" s="1">
        <f t="shared" ref="S131:S136" si="79">SUM(O131:R131)</f>
        <v>139881.63</v>
      </c>
    </row>
    <row r="132" spans="1:20">
      <c r="A132" s="474" t="s">
        <v>25</v>
      </c>
      <c r="B132" s="15">
        <v>9116.01</v>
      </c>
      <c r="C132" s="15">
        <v>9523.48</v>
      </c>
      <c r="D132" s="15">
        <v>10095.48</v>
      </c>
      <c r="E132" s="15">
        <v>10277.98</v>
      </c>
      <c r="F132" s="15">
        <v>10022.59</v>
      </c>
      <c r="G132" s="15">
        <v>9895.2800000000007</v>
      </c>
      <c r="H132" s="15">
        <v>10654.44</v>
      </c>
      <c r="I132" s="15">
        <v>11171.16</v>
      </c>
      <c r="J132" s="15">
        <v>9853.9349999999995</v>
      </c>
      <c r="K132" s="15">
        <v>10585</v>
      </c>
      <c r="L132" s="15">
        <v>9967.65</v>
      </c>
      <c r="M132" s="15">
        <v>10027.73</v>
      </c>
      <c r="N132" s="15"/>
      <c r="O132" s="15">
        <f t="shared" si="75"/>
        <v>28734.969999999998</v>
      </c>
      <c r="P132" s="15">
        <f t="shared" si="76"/>
        <v>30195.85</v>
      </c>
      <c r="Q132" s="15">
        <f t="shared" si="77"/>
        <v>31679.534999999996</v>
      </c>
      <c r="R132" s="15">
        <f t="shared" si="78"/>
        <v>30580.38</v>
      </c>
      <c r="S132" s="1">
        <f t="shared" si="79"/>
        <v>121190.73499999999</v>
      </c>
    </row>
    <row r="133" spans="1:20">
      <c r="A133" s="474" t="s">
        <v>172</v>
      </c>
      <c r="B133" s="15">
        <f>17359.3-C133</f>
        <v>8590.4</v>
      </c>
      <c r="C133" s="15">
        <v>8768.9</v>
      </c>
      <c r="D133" s="15">
        <v>9375.4</v>
      </c>
      <c r="E133" s="15">
        <v>9159</v>
      </c>
      <c r="F133" s="15">
        <v>8901</v>
      </c>
      <c r="G133" s="15">
        <v>8949</v>
      </c>
      <c r="H133" s="15">
        <v>9399.4</v>
      </c>
      <c r="I133" s="15">
        <v>9895.7999999999993</v>
      </c>
      <c r="J133" s="15">
        <v>8911</v>
      </c>
      <c r="K133" s="15">
        <v>9695.7000000000007</v>
      </c>
      <c r="L133" s="15">
        <v>9015.7000000000007</v>
      </c>
      <c r="M133" s="15">
        <v>9040.4</v>
      </c>
      <c r="N133" s="15"/>
      <c r="O133" s="15">
        <f t="shared" si="75"/>
        <v>26734.699999999997</v>
      </c>
      <c r="P133" s="15">
        <f t="shared" si="76"/>
        <v>27009</v>
      </c>
      <c r="Q133" s="15">
        <f t="shared" si="77"/>
        <v>28206.199999999997</v>
      </c>
      <c r="R133" s="15">
        <f t="shared" si="78"/>
        <v>27751.800000000003</v>
      </c>
      <c r="S133" s="1">
        <f t="shared" si="79"/>
        <v>109701.7</v>
      </c>
    </row>
    <row r="134" spans="1:20">
      <c r="A134" s="478" t="s">
        <v>173</v>
      </c>
      <c r="B134" s="21">
        <f t="shared" ref="B134:M134" si="80">SUM(B131:B133)</f>
        <v>28218.950000000004</v>
      </c>
      <c r="C134" s="21">
        <f t="shared" si="80"/>
        <v>29356.29</v>
      </c>
      <c r="D134" s="21">
        <f t="shared" si="80"/>
        <v>31144.769999999997</v>
      </c>
      <c r="E134" s="21">
        <f t="shared" si="80"/>
        <v>31008.629999999997</v>
      </c>
      <c r="F134" s="21">
        <f t="shared" si="80"/>
        <v>30347.440000000002</v>
      </c>
      <c r="G134" s="21">
        <f t="shared" si="80"/>
        <v>29949.45</v>
      </c>
      <c r="H134" s="21">
        <f t="shared" si="80"/>
        <v>32490.940000000002</v>
      </c>
      <c r="I134" s="21">
        <f t="shared" si="80"/>
        <v>34355.83</v>
      </c>
      <c r="J134" s="21">
        <f t="shared" si="80"/>
        <v>30271.445</v>
      </c>
      <c r="K134" s="21">
        <f t="shared" si="80"/>
        <v>32638.87</v>
      </c>
      <c r="L134" s="21">
        <f t="shared" si="80"/>
        <v>30408.99</v>
      </c>
      <c r="M134" s="21">
        <f t="shared" si="80"/>
        <v>30582.46</v>
      </c>
      <c r="N134" s="21"/>
      <c r="O134" s="21">
        <f t="shared" si="75"/>
        <v>88720.010000000009</v>
      </c>
      <c r="P134" s="21">
        <f t="shared" si="76"/>
        <v>91305.52</v>
      </c>
      <c r="Q134" s="21">
        <f t="shared" si="77"/>
        <v>97118.214999999997</v>
      </c>
      <c r="R134" s="21">
        <f t="shared" si="78"/>
        <v>93630.32</v>
      </c>
      <c r="S134" s="44">
        <f t="shared" si="79"/>
        <v>370774.065</v>
      </c>
      <c r="T134" s="186"/>
    </row>
    <row r="135" spans="1:20">
      <c r="A135" s="469" t="s">
        <v>181</v>
      </c>
      <c r="B135" s="15">
        <v>6251.94</v>
      </c>
      <c r="C135" s="15">
        <v>6601.61</v>
      </c>
      <c r="D135" s="15">
        <v>6860.64</v>
      </c>
      <c r="E135" s="15">
        <v>6626.6</v>
      </c>
      <c r="F135" s="15">
        <v>6580.01</v>
      </c>
      <c r="G135" s="15">
        <v>6360.3</v>
      </c>
      <c r="H135" s="15">
        <v>6863.53</v>
      </c>
      <c r="I135" s="15">
        <v>7164.09</v>
      </c>
      <c r="J135" s="15">
        <v>6553.04</v>
      </c>
      <c r="K135" s="15">
        <v>7067.35</v>
      </c>
      <c r="L135" s="15">
        <v>6523.26</v>
      </c>
      <c r="M135" s="15">
        <v>6424.19</v>
      </c>
      <c r="N135" s="52"/>
      <c r="O135" s="15">
        <f t="shared" si="75"/>
        <v>19714.189999999999</v>
      </c>
      <c r="P135" s="15">
        <f t="shared" si="76"/>
        <v>19566.91</v>
      </c>
      <c r="Q135" s="15">
        <f t="shared" si="77"/>
        <v>20580.66</v>
      </c>
      <c r="R135" s="15">
        <f t="shared" si="78"/>
        <v>20014.8</v>
      </c>
      <c r="S135" s="1">
        <f t="shared" si="79"/>
        <v>79876.56</v>
      </c>
    </row>
    <row r="136" spans="1:20">
      <c r="A136" s="478" t="s">
        <v>182</v>
      </c>
      <c r="B136" s="21">
        <f t="shared" ref="B136:M136" si="81">B134+B135</f>
        <v>34470.890000000007</v>
      </c>
      <c r="C136" s="21">
        <f t="shared" si="81"/>
        <v>35957.9</v>
      </c>
      <c r="D136" s="21">
        <f t="shared" si="81"/>
        <v>38005.409999999996</v>
      </c>
      <c r="E136" s="21">
        <f t="shared" si="81"/>
        <v>37635.229999999996</v>
      </c>
      <c r="F136" s="21">
        <f t="shared" si="81"/>
        <v>36927.450000000004</v>
      </c>
      <c r="G136" s="21">
        <f t="shared" si="81"/>
        <v>36309.75</v>
      </c>
      <c r="H136" s="21">
        <f t="shared" si="81"/>
        <v>39354.47</v>
      </c>
      <c r="I136" s="21">
        <f t="shared" si="81"/>
        <v>41519.919999999998</v>
      </c>
      <c r="J136" s="21">
        <f t="shared" si="81"/>
        <v>36824.485000000001</v>
      </c>
      <c r="K136" s="21">
        <f t="shared" si="81"/>
        <v>39706.22</v>
      </c>
      <c r="L136" s="21">
        <f t="shared" si="81"/>
        <v>36932.25</v>
      </c>
      <c r="M136" s="21">
        <f t="shared" si="81"/>
        <v>37006.65</v>
      </c>
      <c r="N136" s="52"/>
      <c r="O136" s="21">
        <f t="shared" si="75"/>
        <v>108434.20000000001</v>
      </c>
      <c r="P136" s="21">
        <f t="shared" si="76"/>
        <v>110872.43</v>
      </c>
      <c r="Q136" s="21">
        <f t="shared" si="77"/>
        <v>117698.875</v>
      </c>
      <c r="R136" s="21">
        <f t="shared" si="78"/>
        <v>113645.12</v>
      </c>
      <c r="S136" s="44">
        <f t="shared" si="79"/>
        <v>450650.625</v>
      </c>
    </row>
    <row r="137" spans="1:20">
      <c r="A137" s="474"/>
      <c r="B137" s="19"/>
      <c r="C137" s="19"/>
      <c r="D137" s="19"/>
      <c r="E137" s="24"/>
      <c r="F137" s="15"/>
      <c r="G137" s="483">
        <f>(F136+G136)/(F153+G153)-1</f>
        <v>0.11600360834644774</v>
      </c>
      <c r="H137" s="19"/>
      <c r="I137" s="19"/>
      <c r="J137" s="19"/>
      <c r="K137" s="19"/>
      <c r="L137" s="19"/>
      <c r="M137" s="15"/>
      <c r="N137" s="19"/>
      <c r="O137" s="15"/>
      <c r="P137" s="19"/>
      <c r="Q137" s="19"/>
      <c r="R137" s="19"/>
      <c r="S137" s="19"/>
    </row>
    <row r="138" spans="1:20">
      <c r="A138" s="479" t="s">
        <v>184</v>
      </c>
      <c r="B138" s="19"/>
      <c r="C138" s="19"/>
      <c r="D138" s="19"/>
      <c r="E138" s="19"/>
      <c r="F138" s="19"/>
      <c r="G138" s="19"/>
      <c r="H138" s="19"/>
      <c r="I138" s="483"/>
      <c r="J138" s="19"/>
      <c r="K138" s="19"/>
      <c r="L138" s="19"/>
      <c r="M138" s="15"/>
      <c r="N138" s="19"/>
      <c r="O138" s="488"/>
      <c r="P138" s="19"/>
      <c r="Q138" s="19"/>
      <c r="R138" s="19"/>
      <c r="S138" s="19"/>
    </row>
    <row r="139" spans="1:20">
      <c r="A139" s="474" t="s">
        <v>22</v>
      </c>
      <c r="B139" s="24">
        <f t="shared" ref="B139:M139" si="82">B131/B148-1</f>
        <v>2.5823827320719417E-2</v>
      </c>
      <c r="C139" s="24">
        <f t="shared" si="82"/>
        <v>0.11465842151235717</v>
      </c>
      <c r="D139" s="24">
        <f t="shared" si="82"/>
        <v>0.15452527933762017</v>
      </c>
      <c r="E139" s="24">
        <f t="shared" si="82"/>
        <v>0.14471734360563238</v>
      </c>
      <c r="F139" s="24">
        <f t="shared" si="82"/>
        <v>0.1137993399404289</v>
      </c>
      <c r="G139" s="24">
        <f t="shared" si="82"/>
        <v>0.11749913459293659</v>
      </c>
      <c r="H139" s="24">
        <f t="shared" si="82"/>
        <v>0.1138356494396835</v>
      </c>
      <c r="I139" s="24">
        <f t="shared" si="82"/>
        <v>0.14356930670916612</v>
      </c>
      <c r="J139" s="24">
        <f t="shared" si="82"/>
        <v>9.7597525984035594E-2</v>
      </c>
      <c r="K139" s="24">
        <f t="shared" si="82"/>
        <v>0.12046613216023583</v>
      </c>
      <c r="L139" s="24">
        <f t="shared" si="82"/>
        <v>7.3873670656459556E-2</v>
      </c>
      <c r="M139" s="24">
        <f t="shared" si="82"/>
        <v>6.9344750247268383E-2</v>
      </c>
      <c r="N139" s="483"/>
      <c r="O139" s="24">
        <f t="shared" ref="O139:S144" si="83">O131/O148-1</f>
        <v>9.7909041229777394E-2</v>
      </c>
      <c r="P139" s="24">
        <f t="shared" si="83"/>
        <v>0.12532657754651289</v>
      </c>
      <c r="Q139" s="24">
        <f t="shared" si="83"/>
        <v>0.11910439138812912</v>
      </c>
      <c r="R139" s="24">
        <f t="shared" si="83"/>
        <v>8.8213106167410515E-2</v>
      </c>
      <c r="S139" s="24">
        <f t="shared" si="83"/>
        <v>0.10758080661158198</v>
      </c>
    </row>
    <row r="140" spans="1:20">
      <c r="A140" s="474" t="s">
        <v>175</v>
      </c>
      <c r="B140" s="24">
        <f t="shared" ref="B140:M140" si="84">B132/B149-1</f>
        <v>2.1945458709625942E-2</v>
      </c>
      <c r="C140" s="24">
        <f t="shared" si="84"/>
        <v>0.10872798416215956</v>
      </c>
      <c r="D140" s="24">
        <f t="shared" si="84"/>
        <v>0.10707997441829242</v>
      </c>
      <c r="E140" s="24">
        <f t="shared" si="84"/>
        <v>0.15191344874457102</v>
      </c>
      <c r="F140" s="24">
        <f t="shared" si="84"/>
        <v>0.10047665116405735</v>
      </c>
      <c r="G140" s="24">
        <f t="shared" si="84"/>
        <v>0.14239798657330716</v>
      </c>
      <c r="H140" s="24">
        <f t="shared" si="84"/>
        <v>9.0230387868183159E-2</v>
      </c>
      <c r="I140" s="24">
        <f t="shared" si="84"/>
        <v>9.5487784667313225E-2</v>
      </c>
      <c r="J140" s="24">
        <f t="shared" si="84"/>
        <v>6.1552229274386416E-2</v>
      </c>
      <c r="K140" s="24">
        <f t="shared" si="84"/>
        <v>9.9330908885460145E-2</v>
      </c>
      <c r="L140" s="24">
        <f t="shared" si="84"/>
        <v>7.2079668813841202E-2</v>
      </c>
      <c r="M140" s="24">
        <f t="shared" si="84"/>
        <v>8.8447653625530309E-2</v>
      </c>
      <c r="N140" s="483"/>
      <c r="O140" s="24">
        <f t="shared" si="83"/>
        <v>7.9092796519500519E-2</v>
      </c>
      <c r="P140" s="24">
        <f t="shared" si="83"/>
        <v>0.13127488186761838</v>
      </c>
      <c r="Q140" s="24">
        <f t="shared" si="83"/>
        <v>8.2962837010469803E-2</v>
      </c>
      <c r="R140" s="24">
        <f t="shared" si="83"/>
        <v>8.6763481234745532E-2</v>
      </c>
      <c r="S140" s="24">
        <f t="shared" si="83"/>
        <v>9.4645646321964927E-2</v>
      </c>
    </row>
    <row r="141" spans="1:20">
      <c r="A141" s="474" t="s">
        <v>172</v>
      </c>
      <c r="B141" s="24">
        <f t="shared" ref="B141:M141" si="85">B133/B150-1</f>
        <v>2.1304926764314169E-2</v>
      </c>
      <c r="C141" s="24">
        <f t="shared" si="85"/>
        <v>9.7951568877870265E-2</v>
      </c>
      <c r="D141" s="24">
        <f t="shared" si="85"/>
        <v>0.11513666531864786</v>
      </c>
      <c r="E141" s="24">
        <f t="shared" si="85"/>
        <v>0.12097030817810195</v>
      </c>
      <c r="F141" s="24">
        <f t="shared" si="85"/>
        <v>8.0638111888111874E-2</v>
      </c>
      <c r="G141" s="24">
        <f t="shared" si="85"/>
        <v>0.12058602554470332</v>
      </c>
      <c r="H141" s="24">
        <f t="shared" si="85"/>
        <v>8.8120210228982865E-2</v>
      </c>
      <c r="I141" s="24">
        <f t="shared" si="85"/>
        <v>9.4329190073870972E-2</v>
      </c>
      <c r="J141" s="24">
        <f t="shared" si="85"/>
        <v>4.9044076097193523E-2</v>
      </c>
      <c r="K141" s="24">
        <f t="shared" si="85"/>
        <v>7.8906371708989065E-2</v>
      </c>
      <c r="L141" s="24">
        <f t="shared" si="85"/>
        <v>4.002907010278367E-2</v>
      </c>
      <c r="M141" s="24">
        <f t="shared" si="85"/>
        <v>5.7901142108219394E-2</v>
      </c>
      <c r="N141" s="483"/>
      <c r="O141" s="24">
        <f t="shared" si="83"/>
        <v>7.778610936416519E-2</v>
      </c>
      <c r="P141" s="24">
        <f t="shared" si="83"/>
        <v>0.1072257249911861</v>
      </c>
      <c r="Q141" s="24">
        <f t="shared" si="83"/>
        <v>7.7584296706067368E-2</v>
      </c>
      <c r="R141" s="24">
        <f t="shared" si="83"/>
        <v>5.9192623154166402E-2</v>
      </c>
      <c r="S141" s="24">
        <f t="shared" si="83"/>
        <v>8.0007954721097452E-2</v>
      </c>
    </row>
    <row r="142" spans="1:20">
      <c r="A142" s="478" t="s">
        <v>173</v>
      </c>
      <c r="B142" s="484">
        <f t="shared" ref="B142:M142" si="86">B134/B151-1</f>
        <v>2.3191227378773549E-2</v>
      </c>
      <c r="C142" s="484">
        <f t="shared" si="86"/>
        <v>0.10770155518539459</v>
      </c>
      <c r="D142" s="484">
        <f t="shared" si="86"/>
        <v>0.12688887798596071</v>
      </c>
      <c r="E142" s="484">
        <f t="shared" si="86"/>
        <v>0.13994487437406855</v>
      </c>
      <c r="F142" s="484">
        <f t="shared" si="86"/>
        <v>9.9507122019609096E-2</v>
      </c>
      <c r="G142" s="484">
        <f t="shared" si="86"/>
        <v>0.12653876925542118</v>
      </c>
      <c r="H142" s="484">
        <f t="shared" si="86"/>
        <v>9.8525671758259659E-2</v>
      </c>
      <c r="I142" s="484">
        <f t="shared" si="86"/>
        <v>0.1132532423871746</v>
      </c>
      <c r="J142" s="484">
        <f t="shared" si="86"/>
        <v>7.1163813645218177E-2</v>
      </c>
      <c r="K142" s="484">
        <f t="shared" si="86"/>
        <v>0.10100283106503372</v>
      </c>
      <c r="L142" s="484">
        <f t="shared" si="86"/>
        <v>6.3034331451200298E-2</v>
      </c>
      <c r="M142" s="484">
        <f t="shared" si="86"/>
        <v>7.2086101570830285E-2</v>
      </c>
      <c r="N142" s="484"/>
      <c r="O142" s="53">
        <f t="shared" si="83"/>
        <v>8.5669468114532688E-2</v>
      </c>
      <c r="P142" s="53">
        <f t="shared" si="83"/>
        <v>0.12185224128410677</v>
      </c>
      <c r="Q142" s="53">
        <f t="shared" si="83"/>
        <v>9.4931999662404731E-2</v>
      </c>
      <c r="R142" s="53">
        <f t="shared" si="83"/>
        <v>7.8980739942710931E-2</v>
      </c>
      <c r="S142" s="53">
        <f t="shared" si="83"/>
        <v>9.5079280336566763E-2</v>
      </c>
    </row>
    <row r="143" spans="1:20">
      <c r="A143" s="469" t="s">
        <v>181</v>
      </c>
      <c r="B143" s="483">
        <f t="shared" ref="B143:M143" si="87">B135/B152-1</f>
        <v>9.1776843700830613E-2</v>
      </c>
      <c r="C143" s="483">
        <f t="shared" si="87"/>
        <v>0.19040801201658231</v>
      </c>
      <c r="D143" s="483">
        <f t="shared" si="87"/>
        <v>0.19851998336902943</v>
      </c>
      <c r="E143" s="483">
        <f t="shared" si="87"/>
        <v>0.15249626942248229</v>
      </c>
      <c r="F143" s="483">
        <f t="shared" si="87"/>
        <v>0.13178965256862529</v>
      </c>
      <c r="G143" s="483">
        <f t="shared" si="87"/>
        <v>0.130842633601155</v>
      </c>
      <c r="H143" s="483">
        <f t="shared" si="87"/>
        <v>0.11566920353579535</v>
      </c>
      <c r="I143" s="483">
        <f t="shared" si="87"/>
        <v>0.11498660756668588</v>
      </c>
      <c r="J143" s="483">
        <f t="shared" si="87"/>
        <v>5.8586158824109003E-2</v>
      </c>
      <c r="K143" s="483">
        <f t="shared" si="87"/>
        <v>9.5956157721789559E-2</v>
      </c>
      <c r="L143" s="483">
        <f t="shared" si="87"/>
        <v>7.5719522632414771E-2</v>
      </c>
      <c r="M143" s="483">
        <f t="shared" si="87"/>
        <v>3.6778400012910772E-2</v>
      </c>
      <c r="N143" s="52"/>
      <c r="O143" s="24">
        <f t="shared" si="83"/>
        <v>0.15990932154725246</v>
      </c>
      <c r="P143" s="24">
        <f t="shared" si="83"/>
        <v>0.13840660740820043</v>
      </c>
      <c r="Q143" s="24">
        <f t="shared" si="83"/>
        <v>9.6607021256869707E-2</v>
      </c>
      <c r="R143" s="24">
        <f t="shared" si="83"/>
        <v>6.9797572927623897E-2</v>
      </c>
      <c r="S143" s="24">
        <f t="shared" si="83"/>
        <v>0.11464727457841684</v>
      </c>
    </row>
    <row r="144" spans="1:20" s="489" customFormat="1">
      <c r="A144" s="485" t="s">
        <v>182</v>
      </c>
      <c r="B144" s="486">
        <f t="shared" ref="B144:M144" si="88">B136/B153-1</f>
        <v>3.4983428232387981E-2</v>
      </c>
      <c r="C144" s="491">
        <f t="shared" si="88"/>
        <v>0.12201345153022913</v>
      </c>
      <c r="D144" s="491">
        <f t="shared" si="88"/>
        <v>0.13917932494409202</v>
      </c>
      <c r="E144" s="491">
        <f t="shared" si="88"/>
        <v>0.1421349851758551</v>
      </c>
      <c r="F144" s="491">
        <f t="shared" si="88"/>
        <v>0.10512393640187567</v>
      </c>
      <c r="G144" s="491">
        <f t="shared" si="88"/>
        <v>0.12729029958621241</v>
      </c>
      <c r="H144" s="491">
        <f t="shared" si="88"/>
        <v>0.10147751953606043</v>
      </c>
      <c r="I144" s="491">
        <f t="shared" si="88"/>
        <v>0.11355194252430256</v>
      </c>
      <c r="J144" s="491">
        <f t="shared" si="88"/>
        <v>6.8903762831886484E-2</v>
      </c>
      <c r="K144" s="491">
        <f t="shared" si="88"/>
        <v>0.10010117128845497</v>
      </c>
      <c r="L144" s="491">
        <f t="shared" si="88"/>
        <v>6.5253088194870967E-2</v>
      </c>
      <c r="M144" s="491">
        <f t="shared" si="88"/>
        <v>6.5785357202750472E-2</v>
      </c>
      <c r="N144" s="50"/>
      <c r="O144" s="51">
        <f t="shared" si="83"/>
        <v>9.8451699962149863E-2</v>
      </c>
      <c r="P144" s="51">
        <f t="shared" si="83"/>
        <v>0.12473870078555582</v>
      </c>
      <c r="Q144" s="51">
        <f t="shared" si="83"/>
        <v>9.5224522335637829E-2</v>
      </c>
      <c r="R144" s="51">
        <f t="shared" si="83"/>
        <v>7.7352010436078533E-2</v>
      </c>
      <c r="S144" s="51">
        <f t="shared" si="83"/>
        <v>9.8497399995667756E-2</v>
      </c>
    </row>
    <row r="145" spans="1:19">
      <c r="A145" s="478"/>
      <c r="B145" s="337"/>
      <c r="C145" s="337"/>
      <c r="D145" s="337"/>
      <c r="E145" s="337"/>
      <c r="F145" s="337"/>
      <c r="G145" s="337"/>
      <c r="H145" s="337"/>
      <c r="I145" s="337"/>
      <c r="J145" s="337"/>
      <c r="K145" s="337"/>
      <c r="L145" s="337"/>
      <c r="M145" s="337"/>
      <c r="N145" s="36"/>
      <c r="O145" s="337"/>
      <c r="P145" s="19"/>
      <c r="Q145" s="19"/>
      <c r="R145" s="19"/>
    </row>
    <row r="147" spans="1:19" s="445" customFormat="1">
      <c r="A147" s="471" t="s">
        <v>162</v>
      </c>
      <c r="B147" s="472" t="s">
        <v>51</v>
      </c>
      <c r="C147" s="472" t="s">
        <v>52</v>
      </c>
      <c r="D147" s="472" t="s">
        <v>53</v>
      </c>
      <c r="E147" s="472" t="s">
        <v>54</v>
      </c>
      <c r="F147" s="472" t="s">
        <v>55</v>
      </c>
      <c r="G147" s="472" t="s">
        <v>77</v>
      </c>
      <c r="H147" s="472" t="s">
        <v>78</v>
      </c>
      <c r="I147" s="472" t="s">
        <v>79</v>
      </c>
      <c r="J147" s="472" t="s">
        <v>80</v>
      </c>
      <c r="K147" s="472" t="s">
        <v>81</v>
      </c>
      <c r="L147" s="472" t="s">
        <v>82</v>
      </c>
      <c r="M147" s="472" t="s">
        <v>44</v>
      </c>
      <c r="N147" s="473"/>
      <c r="O147" s="473" t="s">
        <v>129</v>
      </c>
      <c r="P147" s="473" t="s">
        <v>130</v>
      </c>
      <c r="Q147" s="473" t="s">
        <v>131</v>
      </c>
      <c r="R147" s="473" t="s">
        <v>132</v>
      </c>
      <c r="S147" s="445" t="s">
        <v>171</v>
      </c>
    </row>
    <row r="148" spans="1:19">
      <c r="A148" s="474" t="s">
        <v>22</v>
      </c>
      <c r="B148" s="15">
        <v>10247.9</v>
      </c>
      <c r="C148" s="15">
        <v>9925.83</v>
      </c>
      <c r="D148" s="15">
        <v>10111.42</v>
      </c>
      <c r="E148" s="15">
        <f>'Top4 Domestic'!E175+'Top4 Intl.+Reg'!E532</f>
        <v>10108.74</v>
      </c>
      <c r="F148" s="15">
        <v>10256.65</v>
      </c>
      <c r="G148" s="15">
        <v>9937.52</v>
      </c>
      <c r="H148" s="15">
        <v>11166.01</v>
      </c>
      <c r="I148" s="15">
        <v>11620.52</v>
      </c>
      <c r="J148" s="15">
        <v>10483.36</v>
      </c>
      <c r="K148" s="15">
        <v>11029.49</v>
      </c>
      <c r="L148" s="34">
        <v>10639.65</v>
      </c>
      <c r="M148" s="15">
        <v>10767.65</v>
      </c>
      <c r="N148" s="15"/>
      <c r="O148" s="15">
        <f t="shared" ref="O148:O153" si="89">SUM(B148:D148)</f>
        <v>30285.15</v>
      </c>
      <c r="P148" s="15">
        <f t="shared" ref="P148:P153" si="90">SUM(E148:G148)</f>
        <v>30302.91</v>
      </c>
      <c r="Q148" s="15">
        <f t="shared" ref="Q148:Q153" si="91">SUM(H148:J148)</f>
        <v>33269.89</v>
      </c>
      <c r="R148" s="15">
        <f t="shared" ref="R148:R153" si="92">SUM(K148:M148)</f>
        <v>32436.79</v>
      </c>
      <c r="S148" s="1">
        <f t="shared" ref="S148:S153" si="93">SUM(O148:R148)</f>
        <v>126294.73999999999</v>
      </c>
    </row>
    <row r="149" spans="1:19">
      <c r="A149" s="474" t="s">
        <v>25</v>
      </c>
      <c r="B149" s="15">
        <v>8920.2510000000002</v>
      </c>
      <c r="C149" s="15">
        <v>8589.5550000000003</v>
      </c>
      <c r="D149" s="15">
        <v>9119.0159999999996</v>
      </c>
      <c r="E149" s="15">
        <f>'Top4 Domestic'!E176+'Top4 Intl.+Reg'!E533</f>
        <v>8922.5280000000002</v>
      </c>
      <c r="F149" s="15">
        <v>9107.4989999999998</v>
      </c>
      <c r="G149" s="15">
        <v>8661.85</v>
      </c>
      <c r="H149" s="15">
        <v>9772.65</v>
      </c>
      <c r="I149" s="470">
        <v>10197.43</v>
      </c>
      <c r="J149" s="15">
        <v>9282.5720000000001</v>
      </c>
      <c r="K149" s="15">
        <v>9628.5840000000007</v>
      </c>
      <c r="L149" s="15">
        <v>9297.49</v>
      </c>
      <c r="M149" s="15">
        <v>9212.8729999999996</v>
      </c>
      <c r="N149" s="15"/>
      <c r="O149" s="15">
        <f t="shared" si="89"/>
        <v>26628.822</v>
      </c>
      <c r="P149" s="15">
        <f t="shared" si="90"/>
        <v>26691.877</v>
      </c>
      <c r="Q149" s="15">
        <f t="shared" si="91"/>
        <v>29252.652000000002</v>
      </c>
      <c r="R149" s="15">
        <f t="shared" si="92"/>
        <v>28138.947</v>
      </c>
      <c r="S149" s="1">
        <f t="shared" si="93"/>
        <v>110712.298</v>
      </c>
    </row>
    <row r="150" spans="1:19">
      <c r="A150" s="474" t="s">
        <v>172</v>
      </c>
      <c r="B150" s="15">
        <v>8411.2000000000007</v>
      </c>
      <c r="C150" s="15">
        <v>7986.6</v>
      </c>
      <c r="D150" s="15">
        <v>8407.4</v>
      </c>
      <c r="E150" s="15">
        <f>'Top4 Domestic'!E177+'Top4 Intl.+Reg'!E534</f>
        <v>8170.6</v>
      </c>
      <c r="F150" s="15">
        <v>8236.7999999999993</v>
      </c>
      <c r="G150" s="15">
        <v>7986</v>
      </c>
      <c r="H150" s="15">
        <v>8638.2000000000007</v>
      </c>
      <c r="I150" s="15">
        <v>9042.7999999999993</v>
      </c>
      <c r="J150" s="15">
        <v>8494.4</v>
      </c>
      <c r="K150" s="15">
        <v>8986.6</v>
      </c>
      <c r="L150" s="15">
        <v>8668.7000000000007</v>
      </c>
      <c r="M150" s="15">
        <v>8545.6</v>
      </c>
      <c r="N150" s="15"/>
      <c r="O150" s="15">
        <f t="shared" si="89"/>
        <v>24805.200000000004</v>
      </c>
      <c r="P150" s="15">
        <f t="shared" si="90"/>
        <v>24393.4</v>
      </c>
      <c r="Q150" s="15">
        <f t="shared" si="91"/>
        <v>26175.4</v>
      </c>
      <c r="R150" s="15">
        <f t="shared" si="92"/>
        <v>26200.9</v>
      </c>
      <c r="S150" s="1">
        <f t="shared" si="93"/>
        <v>101574.9</v>
      </c>
    </row>
    <row r="151" spans="1:19" s="445" customFormat="1">
      <c r="A151" s="478" t="s">
        <v>173</v>
      </c>
      <c r="B151" s="21">
        <f t="shared" ref="B151:M151" si="94">SUM(B148:B150)</f>
        <v>27579.350999999999</v>
      </c>
      <c r="C151" s="21">
        <f t="shared" si="94"/>
        <v>26501.985000000001</v>
      </c>
      <c r="D151" s="21">
        <f t="shared" si="94"/>
        <v>27637.836000000003</v>
      </c>
      <c r="E151" s="21">
        <f t="shared" si="94"/>
        <v>27201.868000000002</v>
      </c>
      <c r="F151" s="21">
        <f t="shared" si="94"/>
        <v>27600.948999999997</v>
      </c>
      <c r="G151" s="21">
        <f t="shared" si="94"/>
        <v>26585.370000000003</v>
      </c>
      <c r="H151" s="21">
        <f t="shared" si="94"/>
        <v>29576.86</v>
      </c>
      <c r="I151" s="21">
        <f t="shared" si="94"/>
        <v>30860.75</v>
      </c>
      <c r="J151" s="21">
        <f t="shared" si="94"/>
        <v>28260.332000000002</v>
      </c>
      <c r="K151" s="21">
        <f t="shared" si="94"/>
        <v>29644.673999999999</v>
      </c>
      <c r="L151" s="21">
        <f t="shared" si="94"/>
        <v>28605.84</v>
      </c>
      <c r="M151" s="21">
        <f t="shared" si="94"/>
        <v>28526.123</v>
      </c>
      <c r="N151" s="21"/>
      <c r="O151" s="21">
        <f t="shared" si="89"/>
        <v>81719.171999999991</v>
      </c>
      <c r="P151" s="21">
        <f t="shared" si="90"/>
        <v>81388.187000000005</v>
      </c>
      <c r="Q151" s="21">
        <f t="shared" si="91"/>
        <v>88697.94200000001</v>
      </c>
      <c r="R151" s="21">
        <f t="shared" si="92"/>
        <v>86776.636999999988</v>
      </c>
      <c r="S151" s="44">
        <f t="shared" si="93"/>
        <v>338581.93799999997</v>
      </c>
    </row>
    <row r="152" spans="1:19" s="492" customFormat="1">
      <c r="A152" s="469" t="s">
        <v>181</v>
      </c>
      <c r="B152" s="15">
        <v>5726.39</v>
      </c>
      <c r="C152" s="15">
        <v>5545.67</v>
      </c>
      <c r="D152" s="15">
        <v>5724.26</v>
      </c>
      <c r="E152" s="15">
        <v>5749.78</v>
      </c>
      <c r="F152" s="15">
        <v>5813.81</v>
      </c>
      <c r="G152" s="15">
        <v>5624.39</v>
      </c>
      <c r="H152" s="15">
        <v>6151.94</v>
      </c>
      <c r="I152" s="15">
        <v>6425.27</v>
      </c>
      <c r="J152" s="15">
        <v>6190.37</v>
      </c>
      <c r="K152" s="15">
        <v>6448.57</v>
      </c>
      <c r="L152" s="15">
        <v>6064.09</v>
      </c>
      <c r="M152" s="15">
        <v>6196.3</v>
      </c>
      <c r="N152" s="52"/>
      <c r="O152" s="15">
        <f t="shared" si="89"/>
        <v>16996.32</v>
      </c>
      <c r="P152" s="15">
        <f t="shared" si="90"/>
        <v>17187.98</v>
      </c>
      <c r="Q152" s="15">
        <f t="shared" si="91"/>
        <v>18767.579999999998</v>
      </c>
      <c r="R152" s="15">
        <f t="shared" si="92"/>
        <v>18708.96</v>
      </c>
      <c r="S152" s="1">
        <f t="shared" si="93"/>
        <v>71660.84</v>
      </c>
    </row>
    <row r="153" spans="1:19" s="492" customFormat="1">
      <c r="A153" s="478" t="s">
        <v>182</v>
      </c>
      <c r="B153" s="21">
        <f t="shared" ref="B153:M153" si="95">B151+B152</f>
        <v>33305.741000000002</v>
      </c>
      <c r="C153" s="21">
        <f t="shared" si="95"/>
        <v>32047.654999999999</v>
      </c>
      <c r="D153" s="21">
        <f t="shared" si="95"/>
        <v>33362.096000000005</v>
      </c>
      <c r="E153" s="21">
        <f t="shared" si="95"/>
        <v>32951.648000000001</v>
      </c>
      <c r="F153" s="21">
        <f t="shared" si="95"/>
        <v>33414.758999999998</v>
      </c>
      <c r="G153" s="21">
        <f t="shared" si="95"/>
        <v>32209.760000000002</v>
      </c>
      <c r="H153" s="21">
        <f t="shared" si="95"/>
        <v>35728.800000000003</v>
      </c>
      <c r="I153" s="21">
        <f t="shared" si="95"/>
        <v>37286.020000000004</v>
      </c>
      <c r="J153" s="21">
        <f t="shared" si="95"/>
        <v>34450.702000000005</v>
      </c>
      <c r="K153" s="21">
        <f t="shared" si="95"/>
        <v>36093.243999999999</v>
      </c>
      <c r="L153" s="21">
        <f t="shared" si="95"/>
        <v>34669.93</v>
      </c>
      <c r="M153" s="21">
        <f t="shared" si="95"/>
        <v>34722.423000000003</v>
      </c>
      <c r="N153" s="52"/>
      <c r="O153" s="21">
        <f t="shared" si="89"/>
        <v>98715.491999999998</v>
      </c>
      <c r="P153" s="21">
        <f t="shared" si="90"/>
        <v>98576.167000000016</v>
      </c>
      <c r="Q153" s="21">
        <f t="shared" si="91"/>
        <v>107465.52200000001</v>
      </c>
      <c r="R153" s="21">
        <f t="shared" si="92"/>
        <v>105485.59700000001</v>
      </c>
      <c r="S153" s="44">
        <f t="shared" si="93"/>
        <v>410242.77800000005</v>
      </c>
    </row>
    <row r="154" spans="1:19">
      <c r="A154" s="474"/>
      <c r="B154" s="19"/>
      <c r="C154" s="19"/>
      <c r="D154" s="19"/>
      <c r="E154" s="24"/>
      <c r="F154" s="15"/>
      <c r="G154" s="19"/>
      <c r="H154" s="19"/>
      <c r="I154" s="19"/>
      <c r="J154" s="19"/>
      <c r="K154" s="19"/>
      <c r="L154" s="19"/>
      <c r="M154" s="15"/>
      <c r="N154" s="19"/>
      <c r="O154" s="15"/>
      <c r="P154" s="19"/>
      <c r="Q154" s="19"/>
      <c r="R154" s="19"/>
      <c r="S154" s="19"/>
    </row>
    <row r="155" spans="1:19">
      <c r="A155" s="479" t="s">
        <v>184</v>
      </c>
      <c r="B155" s="19"/>
      <c r="C155" s="19"/>
      <c r="D155" s="19"/>
      <c r="E155" s="19"/>
      <c r="F155" s="19"/>
      <c r="G155" s="19"/>
      <c r="H155" s="19"/>
      <c r="I155" s="483"/>
      <c r="J155" s="19"/>
      <c r="K155" s="19"/>
      <c r="L155" s="19"/>
      <c r="M155" s="15"/>
      <c r="N155" s="19"/>
      <c r="O155" s="488"/>
      <c r="P155" s="19"/>
      <c r="Q155" s="19"/>
      <c r="R155" s="19"/>
      <c r="S155" s="19"/>
    </row>
    <row r="156" spans="1:19">
      <c r="A156" s="474" t="s">
        <v>22</v>
      </c>
      <c r="B156" s="24">
        <f t="shared" ref="B156:M156" si="96">B148/B172-1</f>
        <v>0.16407639723472367</v>
      </c>
      <c r="C156" s="24">
        <f t="shared" si="96"/>
        <v>6.825152879033447E-2</v>
      </c>
      <c r="D156" s="24">
        <f t="shared" si="96"/>
        <v>0.10125433877929324</v>
      </c>
      <c r="E156" s="24">
        <f t="shared" si="96"/>
        <v>7.0824086481676707E-2</v>
      </c>
      <c r="F156" s="24">
        <f t="shared" si="96"/>
        <v>0.1299341978427293</v>
      </c>
      <c r="G156" s="24">
        <f t="shared" si="96"/>
        <v>0.12033027551895858</v>
      </c>
      <c r="H156" s="24">
        <f t="shared" si="96"/>
        <v>8.8751817266149002E-2</v>
      </c>
      <c r="I156" s="24">
        <f t="shared" si="96"/>
        <v>5.206206707365113E-2</v>
      </c>
      <c r="J156" s="24">
        <f t="shared" si="96"/>
        <v>8.36667882989095E-2</v>
      </c>
      <c r="K156" s="24">
        <f t="shared" si="96"/>
        <v>7.9221241778262952E-2</v>
      </c>
      <c r="L156" s="24">
        <f t="shared" si="96"/>
        <v>0.14447418071669671</v>
      </c>
      <c r="M156" s="24">
        <f t="shared" si="96"/>
        <v>0.13818126083463711</v>
      </c>
      <c r="N156" s="483"/>
      <c r="O156" s="24">
        <f t="shared" ref="O156:S161" si="97">O148/O172-1</f>
        <v>0.11028766151516778</v>
      </c>
      <c r="P156" s="24">
        <f t="shared" si="97"/>
        <v>0.10644917595708714</v>
      </c>
      <c r="Q156" s="24">
        <f t="shared" si="97"/>
        <v>7.4080483018205134E-2</v>
      </c>
      <c r="R156" s="24">
        <f t="shared" si="97"/>
        <v>0.11940552441953556</v>
      </c>
      <c r="S156" s="24">
        <f t="shared" si="97"/>
        <v>0.10189055825426729</v>
      </c>
    </row>
    <row r="157" spans="1:19">
      <c r="A157" s="474" t="s">
        <v>175</v>
      </c>
      <c r="B157" s="24">
        <f t="shared" ref="B157:M157" si="98">B149/B173-1</f>
        <v>0.12550333944604097</v>
      </c>
      <c r="C157" s="24">
        <f t="shared" si="98"/>
        <v>5.6480348324487784E-2</v>
      </c>
      <c r="D157" s="24">
        <f t="shared" si="98"/>
        <v>9.6233215122918825E-2</v>
      </c>
      <c r="E157" s="24">
        <f t="shared" si="98"/>
        <v>6.719995598449402E-2</v>
      </c>
      <c r="F157" s="24">
        <f t="shared" si="98"/>
        <v>0.11115314833673495</v>
      </c>
      <c r="G157" s="24">
        <f t="shared" si="98"/>
        <v>9.4510094004149225E-2</v>
      </c>
      <c r="H157" s="24">
        <f t="shared" si="98"/>
        <v>7.508245197543717E-2</v>
      </c>
      <c r="I157" s="24">
        <f t="shared" si="98"/>
        <v>4.9724172078740914E-2</v>
      </c>
      <c r="J157" s="24">
        <f t="shared" si="98"/>
        <v>7.6604717191211424E-2</v>
      </c>
      <c r="K157" s="24">
        <f t="shared" si="98"/>
        <v>7.5674856217650355E-2</v>
      </c>
      <c r="L157" s="24">
        <f t="shared" si="98"/>
        <v>0.13243560944102128</v>
      </c>
      <c r="M157" s="24">
        <f t="shared" si="98"/>
        <v>0.11092805071101353</v>
      </c>
      <c r="N157" s="483"/>
      <c r="O157" s="24">
        <f t="shared" si="97"/>
        <v>9.2490667263576576E-2</v>
      </c>
      <c r="P157" s="24">
        <f t="shared" si="97"/>
        <v>9.0753905586747674E-2</v>
      </c>
      <c r="Q157" s="24">
        <f t="shared" si="97"/>
        <v>6.6579209023645225E-2</v>
      </c>
      <c r="R157" s="24">
        <f t="shared" si="97"/>
        <v>0.10546816285766125</v>
      </c>
      <c r="S157" s="24">
        <f t="shared" si="97"/>
        <v>8.8334121214783679E-2</v>
      </c>
    </row>
    <row r="158" spans="1:19">
      <c r="A158" s="474" t="s">
        <v>172</v>
      </c>
      <c r="B158" s="24">
        <f t="shared" ref="B158:M158" si="99">B150/B174-1</f>
        <v>0.11796057790714687</v>
      </c>
      <c r="C158" s="24">
        <f t="shared" si="99"/>
        <v>2.8392629505157085E-2</v>
      </c>
      <c r="D158" s="24">
        <f t="shared" si="99"/>
        <v>8.2451396935753873E-2</v>
      </c>
      <c r="E158" s="24">
        <f t="shared" si="99"/>
        <v>1.7522011482085764E-2</v>
      </c>
      <c r="F158" s="24">
        <f t="shared" si="99"/>
        <v>3.9330733997047229E-2</v>
      </c>
      <c r="G158" s="24">
        <f t="shared" si="99"/>
        <v>1.7986207599842041E-2</v>
      </c>
      <c r="H158" s="24">
        <f t="shared" si="99"/>
        <v>1.1309356560831763E-2</v>
      </c>
      <c r="I158" s="24">
        <f t="shared" si="99"/>
        <v>2.2282012729348599E-2</v>
      </c>
      <c r="J158" s="24">
        <f t="shared" si="99"/>
        <v>3.8447902786097554E-2</v>
      </c>
      <c r="K158" s="24">
        <f t="shared" si="99"/>
        <v>5.4282664038761697E-2</v>
      </c>
      <c r="L158" s="24">
        <f t="shared" si="99"/>
        <v>0.1204647976527462</v>
      </c>
      <c r="M158" s="24">
        <f t="shared" si="99"/>
        <v>8.0517904106817806E-2</v>
      </c>
      <c r="N158" s="483"/>
      <c r="O158" s="24">
        <f t="shared" si="97"/>
        <v>7.5830123868013022E-2</v>
      </c>
      <c r="P158" s="24">
        <f t="shared" si="97"/>
        <v>2.4937079567561193E-2</v>
      </c>
      <c r="Q158" s="24">
        <f t="shared" si="97"/>
        <v>2.3788291248161508E-2</v>
      </c>
      <c r="R158" s="24">
        <f t="shared" si="97"/>
        <v>8.4052562330881431E-2</v>
      </c>
      <c r="S158" s="24">
        <f t="shared" si="97"/>
        <v>5.157293518287509E-2</v>
      </c>
    </row>
    <row r="159" spans="1:19" s="445" customFormat="1">
      <c r="A159" s="478" t="s">
        <v>173</v>
      </c>
      <c r="B159" s="484">
        <f t="shared" ref="B159:M159" si="100">B151/B175-1</f>
        <v>0.13716499332899734</v>
      </c>
      <c r="C159" s="484">
        <f t="shared" si="100"/>
        <v>5.216250842163217E-2</v>
      </c>
      <c r="D159" s="484">
        <f t="shared" si="100"/>
        <v>9.3821364668782659E-2</v>
      </c>
      <c r="E159" s="484">
        <f t="shared" si="100"/>
        <v>5.3081251253351835E-2</v>
      </c>
      <c r="F159" s="484">
        <f t="shared" si="100"/>
        <v>9.5330129285386311E-2</v>
      </c>
      <c r="G159" s="484">
        <f t="shared" si="100"/>
        <v>7.9434646409984655E-2</v>
      </c>
      <c r="H159" s="484">
        <f t="shared" si="100"/>
        <v>6.0576537255181861E-2</v>
      </c>
      <c r="I159" s="484">
        <f t="shared" si="100"/>
        <v>4.239710378726147E-2</v>
      </c>
      <c r="J159" s="484">
        <f t="shared" si="100"/>
        <v>6.7396335164555232E-2</v>
      </c>
      <c r="K159" s="484">
        <f t="shared" si="100"/>
        <v>7.0399480223172439E-2</v>
      </c>
      <c r="L159" s="484">
        <f t="shared" si="100"/>
        <v>0.13320026362522852</v>
      </c>
      <c r="M159" s="484">
        <f t="shared" si="100"/>
        <v>0.11160291623243457</v>
      </c>
      <c r="N159" s="484"/>
      <c r="O159" s="484">
        <f t="shared" si="97"/>
        <v>9.384670726183697E-2</v>
      </c>
      <c r="P159" s="484">
        <f t="shared" si="97"/>
        <v>7.5731406921882627E-2</v>
      </c>
      <c r="Q159" s="484">
        <f t="shared" si="97"/>
        <v>5.6317209295235759E-2</v>
      </c>
      <c r="R159" s="484">
        <f t="shared" si="97"/>
        <v>0.10402107232717461</v>
      </c>
      <c r="S159" s="484">
        <f t="shared" si="97"/>
        <v>8.1952325876934351E-2</v>
      </c>
    </row>
    <row r="160" spans="1:19" s="492" customFormat="1">
      <c r="A160" s="469" t="s">
        <v>181</v>
      </c>
      <c r="B160" s="483">
        <f t="shared" ref="B160:M160" si="101">B152/B176-1</f>
        <v>0.53025576726304102</v>
      </c>
      <c r="C160" s="483">
        <f t="shared" si="101"/>
        <v>0.4184920884817267</v>
      </c>
      <c r="D160" s="483">
        <f t="shared" si="101"/>
        <v>0.50844681306333617</v>
      </c>
      <c r="E160" s="483">
        <f t="shared" si="101"/>
        <v>0.55606710775865786</v>
      </c>
      <c r="F160" s="483">
        <f t="shared" si="101"/>
        <v>0.59028368918484242</v>
      </c>
      <c r="G160" s="483">
        <f t="shared" si="101"/>
        <v>0.57011571263068284</v>
      </c>
      <c r="H160" s="483">
        <f t="shared" si="101"/>
        <v>0.50837558722281595</v>
      </c>
      <c r="I160" s="483">
        <f t="shared" si="101"/>
        <v>0.49615904957725099</v>
      </c>
      <c r="J160" s="483">
        <f t="shared" si="101"/>
        <v>0.5453787449478622</v>
      </c>
      <c r="K160" s="483">
        <f t="shared" si="101"/>
        <v>0.5058941390213485</v>
      </c>
      <c r="L160" s="483">
        <f t="shared" si="101"/>
        <v>0.51899973948939926</v>
      </c>
      <c r="M160" s="483">
        <f t="shared" si="101"/>
        <v>0.52835056632069155</v>
      </c>
      <c r="N160" s="52"/>
      <c r="O160" s="483">
        <f t="shared" si="97"/>
        <v>0.48485253532311723</v>
      </c>
      <c r="P160" s="483">
        <f t="shared" si="97"/>
        <v>0.57211150699520918</v>
      </c>
      <c r="Q160" s="483">
        <f t="shared" si="97"/>
        <v>0.51611146835385746</v>
      </c>
      <c r="R160" s="483">
        <f t="shared" si="97"/>
        <v>0.51752264243686619</v>
      </c>
      <c r="S160" s="483">
        <f t="shared" si="97"/>
        <v>0.52188472616504988</v>
      </c>
    </row>
    <row r="161" spans="1:19" s="492" customFormat="1">
      <c r="A161" s="478" t="s">
        <v>182</v>
      </c>
      <c r="B161" s="484">
        <f t="shared" ref="B161:M161" si="102">B153/B177-1</f>
        <v>0.18971003905398431</v>
      </c>
      <c r="C161" s="484">
        <f t="shared" si="102"/>
        <v>0.10138243748303766</v>
      </c>
      <c r="D161" s="484">
        <f t="shared" si="102"/>
        <v>0.14796149505571443</v>
      </c>
      <c r="E161" s="484">
        <f t="shared" si="102"/>
        <v>0.11602851091783695</v>
      </c>
      <c r="F161" s="484">
        <f t="shared" si="102"/>
        <v>0.15804000065015678</v>
      </c>
      <c r="G161" s="484">
        <f t="shared" si="102"/>
        <v>0.14173961010985514</v>
      </c>
      <c r="H161" s="484">
        <f t="shared" si="102"/>
        <v>0.11771082132449906</v>
      </c>
      <c r="I161" s="484">
        <f t="shared" si="102"/>
        <v>9.9880324730893033E-2</v>
      </c>
      <c r="J161" s="484">
        <f t="shared" si="102"/>
        <v>0.13021008028428915</v>
      </c>
      <c r="K161" s="484">
        <f t="shared" si="102"/>
        <v>0.128718686696073</v>
      </c>
      <c r="L161" s="484">
        <f t="shared" si="102"/>
        <v>0.1858817465887701</v>
      </c>
      <c r="M161" s="484">
        <f t="shared" si="102"/>
        <v>0.16846025587493951</v>
      </c>
      <c r="N161" s="52"/>
      <c r="O161" s="484">
        <f t="shared" si="97"/>
        <v>0.14579564330774186</v>
      </c>
      <c r="P161" s="484">
        <f t="shared" si="97"/>
        <v>0.13840440886595395</v>
      </c>
      <c r="Q161" s="484">
        <f t="shared" si="97"/>
        <v>0.11539155019626834</v>
      </c>
      <c r="R161" s="484">
        <f t="shared" si="97"/>
        <v>0.16008564514616697</v>
      </c>
      <c r="S161" s="484">
        <f t="shared" si="97"/>
        <v>0.13949046827705347</v>
      </c>
    </row>
    <row r="162" spans="1:19">
      <c r="A162" s="493"/>
      <c r="B162" s="18"/>
      <c r="C162" s="18"/>
      <c r="D162" s="19"/>
      <c r="E162" s="18"/>
      <c r="F162" s="24"/>
      <c r="G162" s="18"/>
      <c r="H162" s="18"/>
      <c r="I162" s="18"/>
      <c r="J162" s="18"/>
      <c r="K162" s="18"/>
      <c r="L162" s="18"/>
      <c r="M162" s="19"/>
      <c r="N162" s="488"/>
      <c r="O162" s="19"/>
      <c r="P162" s="19"/>
      <c r="Q162" s="19"/>
      <c r="R162" s="19"/>
    </row>
    <row r="163" spans="1:19" outlineLevel="1">
      <c r="A163" s="479" t="s">
        <v>185</v>
      </c>
      <c r="B163" s="488"/>
      <c r="C163" s="488"/>
      <c r="D163" s="19"/>
      <c r="E163" s="488"/>
      <c r="F163" s="488"/>
      <c r="G163" s="488"/>
      <c r="H163" s="488"/>
      <c r="I163" s="488"/>
      <c r="J163" s="488"/>
      <c r="K163" s="488"/>
      <c r="L163" s="488"/>
      <c r="M163" s="488"/>
      <c r="N163" s="488"/>
      <c r="O163" s="488"/>
      <c r="P163" s="488"/>
      <c r="Q163" s="488"/>
      <c r="R163" s="488"/>
    </row>
    <row r="164" spans="1:19" outlineLevel="1">
      <c r="A164" s="474" t="s">
        <v>22</v>
      </c>
      <c r="B164" s="483"/>
      <c r="C164" s="483"/>
      <c r="D164" s="483"/>
      <c r="E164" s="483"/>
      <c r="F164" s="483"/>
      <c r="G164" s="483"/>
      <c r="H164" s="483"/>
      <c r="I164" s="483"/>
      <c r="J164" s="483"/>
      <c r="K164" s="483"/>
      <c r="L164" s="483"/>
      <c r="M164" s="483"/>
      <c r="N164" s="19"/>
      <c r="O164" s="19"/>
      <c r="P164" s="19"/>
      <c r="Q164" s="19"/>
      <c r="R164" s="19"/>
    </row>
    <row r="165" spans="1:19" outlineLevel="1">
      <c r="A165" s="474" t="s">
        <v>25</v>
      </c>
      <c r="B165" s="483"/>
      <c r="C165" s="483"/>
      <c r="D165" s="483"/>
      <c r="E165" s="483"/>
      <c r="F165" s="483"/>
      <c r="G165" s="483"/>
      <c r="H165" s="483"/>
      <c r="I165" s="483"/>
      <c r="J165" s="483"/>
      <c r="K165" s="483"/>
      <c r="L165" s="483"/>
      <c r="M165" s="483"/>
      <c r="N165" s="19"/>
      <c r="O165" s="19"/>
      <c r="P165" s="19"/>
      <c r="Q165" s="19"/>
      <c r="R165" s="19"/>
    </row>
    <row r="166" spans="1:19" outlineLevel="1">
      <c r="A166" s="474" t="s">
        <v>172</v>
      </c>
      <c r="B166" s="483"/>
      <c r="C166" s="483"/>
      <c r="D166" s="483"/>
      <c r="E166" s="483"/>
      <c r="F166" s="483"/>
      <c r="G166" s="483"/>
      <c r="H166" s="483"/>
      <c r="I166" s="483"/>
      <c r="J166" s="483"/>
      <c r="K166" s="483"/>
      <c r="L166" s="483"/>
      <c r="M166" s="483"/>
      <c r="N166" s="488"/>
      <c r="O166" s="19"/>
      <c r="P166" s="19"/>
      <c r="Q166" s="19"/>
      <c r="R166" s="19"/>
    </row>
    <row r="167" spans="1:19" s="445" customFormat="1" outlineLevel="1">
      <c r="A167" s="478" t="s">
        <v>173</v>
      </c>
      <c r="B167" s="483"/>
      <c r="C167" s="483"/>
      <c r="D167" s="483"/>
      <c r="E167" s="483"/>
      <c r="F167" s="483"/>
      <c r="G167" s="483"/>
      <c r="H167" s="483"/>
      <c r="I167" s="483"/>
      <c r="J167" s="483"/>
      <c r="K167" s="483"/>
      <c r="L167" s="483"/>
      <c r="M167" s="483"/>
      <c r="N167" s="494"/>
      <c r="O167" s="23"/>
      <c r="P167" s="23"/>
      <c r="Q167" s="23"/>
      <c r="R167" s="23"/>
    </row>
    <row r="168" spans="1:19" s="492" customFormat="1" outlineLevel="1">
      <c r="A168" s="469" t="s">
        <v>181</v>
      </c>
      <c r="B168" s="483"/>
      <c r="C168" s="483"/>
      <c r="D168" s="483"/>
      <c r="E168" s="483"/>
      <c r="F168" s="483"/>
      <c r="G168" s="483"/>
      <c r="H168" s="483"/>
      <c r="I168" s="483"/>
      <c r="J168" s="483"/>
      <c r="K168" s="483"/>
      <c r="L168" s="483"/>
      <c r="M168" s="483"/>
      <c r="N168" s="52"/>
      <c r="O168" s="52"/>
      <c r="P168" s="52"/>
      <c r="Q168" s="52"/>
      <c r="R168" s="52"/>
      <c r="S168" s="36"/>
    </row>
    <row r="169" spans="1:19" s="492" customFormat="1" outlineLevel="1">
      <c r="A169" s="478" t="s">
        <v>182</v>
      </c>
      <c r="B169" s="483"/>
      <c r="C169" s="483"/>
      <c r="D169" s="483"/>
      <c r="E169" s="483"/>
      <c r="F169" s="483"/>
      <c r="G169" s="483"/>
      <c r="H169" s="483"/>
      <c r="I169" s="483"/>
      <c r="J169" s="483"/>
      <c r="K169" s="483"/>
      <c r="L169" s="483"/>
      <c r="M169" s="483"/>
      <c r="N169" s="36"/>
      <c r="O169" s="36"/>
      <c r="P169" s="36"/>
      <c r="Q169" s="36"/>
      <c r="R169" s="36"/>
      <c r="S169" s="36"/>
    </row>
    <row r="170" spans="1:19"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O170" s="151"/>
      <c r="P170" s="151"/>
      <c r="Q170" s="151"/>
      <c r="R170" s="151"/>
    </row>
    <row r="171" spans="1:19" s="445" customFormat="1">
      <c r="A171" s="471" t="s">
        <v>163</v>
      </c>
      <c r="B171" s="472" t="s">
        <v>51</v>
      </c>
      <c r="C171" s="472" t="s">
        <v>52</v>
      </c>
      <c r="D171" s="472" t="s">
        <v>53</v>
      </c>
      <c r="E171" s="472" t="s">
        <v>54</v>
      </c>
      <c r="F171" s="472" t="s">
        <v>55</v>
      </c>
      <c r="G171" s="472" t="s">
        <v>77</v>
      </c>
      <c r="H171" s="472" t="s">
        <v>78</v>
      </c>
      <c r="I171" s="472" t="s">
        <v>79</v>
      </c>
      <c r="J171" s="472" t="s">
        <v>80</v>
      </c>
      <c r="K171" s="472" t="s">
        <v>81</v>
      </c>
      <c r="L171" s="472" t="s">
        <v>82</v>
      </c>
      <c r="M171" s="472" t="s">
        <v>44</v>
      </c>
      <c r="N171" s="473"/>
      <c r="O171" s="473" t="s">
        <v>129</v>
      </c>
      <c r="P171" s="473" t="s">
        <v>130</v>
      </c>
      <c r="Q171" s="473" t="s">
        <v>131</v>
      </c>
      <c r="R171" s="473" t="s">
        <v>132</v>
      </c>
      <c r="S171" s="445" t="s">
        <v>171</v>
      </c>
    </row>
    <row r="172" spans="1:19">
      <c r="A172" s="474" t="s">
        <v>22</v>
      </c>
      <c r="B172" s="15">
        <v>8803.4599999999991</v>
      </c>
      <c r="C172" s="15">
        <v>9291.66</v>
      </c>
      <c r="D172" s="15">
        <v>9181.73</v>
      </c>
      <c r="E172" s="15">
        <v>9440.15</v>
      </c>
      <c r="F172" s="15">
        <v>9077.2099999999991</v>
      </c>
      <c r="G172" s="15">
        <v>8870.17</v>
      </c>
      <c r="H172" s="15">
        <v>10255.790000000001</v>
      </c>
      <c r="I172" s="15">
        <v>11045.47</v>
      </c>
      <c r="J172" s="15">
        <v>9673.9699999999993</v>
      </c>
      <c r="K172" s="15">
        <v>10219.86</v>
      </c>
      <c r="L172" s="34">
        <v>9296.5400000000009</v>
      </c>
      <c r="M172" s="15">
        <v>9460.4</v>
      </c>
      <c r="N172" s="15"/>
      <c r="O172" s="15">
        <f t="shared" ref="O172:O177" si="103">SUM(B172:D172)</f>
        <v>27276.85</v>
      </c>
      <c r="P172" s="15">
        <f t="shared" ref="P172:P177" si="104">SUM(E172:G172)</f>
        <v>27387.53</v>
      </c>
      <c r="Q172" s="15">
        <f t="shared" ref="Q172:Q177" si="105">SUM(H172:J172)</f>
        <v>30975.230000000003</v>
      </c>
      <c r="R172" s="15">
        <f t="shared" ref="R172:R177" si="106">SUM(K172:M172)</f>
        <v>28976.800000000003</v>
      </c>
      <c r="S172" s="1">
        <f t="shared" ref="S172:S177" si="107">SUM(O172:R172)</f>
        <v>114616.41</v>
      </c>
    </row>
    <row r="173" spans="1:19">
      <c r="A173" s="474" t="s">
        <v>25</v>
      </c>
      <c r="B173" s="15">
        <v>7925.5659999999998</v>
      </c>
      <c r="C173" s="15">
        <v>8130.35</v>
      </c>
      <c r="D173" s="15">
        <v>8318.5</v>
      </c>
      <c r="E173" s="15">
        <v>8360.69</v>
      </c>
      <c r="F173" s="15">
        <v>8196.4390000000003</v>
      </c>
      <c r="G173" s="15">
        <v>7913.9059999999999</v>
      </c>
      <c r="H173" s="15">
        <v>9090.14</v>
      </c>
      <c r="I173" s="15">
        <v>9714.39</v>
      </c>
      <c r="J173" s="15">
        <v>8622.08</v>
      </c>
      <c r="K173" s="15">
        <v>8951.2029999999995</v>
      </c>
      <c r="L173" s="15">
        <v>8210.1710000000003</v>
      </c>
      <c r="M173" s="15">
        <v>8292.9519999999993</v>
      </c>
      <c r="N173" s="15"/>
      <c r="O173" s="15">
        <f t="shared" si="103"/>
        <v>24374.416000000001</v>
      </c>
      <c r="P173" s="15">
        <f t="shared" si="104"/>
        <v>24471.035</v>
      </c>
      <c r="Q173" s="15">
        <f t="shared" si="105"/>
        <v>27426.61</v>
      </c>
      <c r="R173" s="15">
        <f t="shared" si="106"/>
        <v>25454.326000000001</v>
      </c>
      <c r="S173" s="1">
        <f t="shared" si="107"/>
        <v>101726.387</v>
      </c>
    </row>
    <row r="174" spans="1:19">
      <c r="A174" s="474" t="s">
        <v>172</v>
      </c>
      <c r="B174" s="15">
        <v>7523.7</v>
      </c>
      <c r="C174" s="15">
        <v>7766.1</v>
      </c>
      <c r="D174" s="15">
        <v>7767</v>
      </c>
      <c r="E174" s="15">
        <v>8029.9</v>
      </c>
      <c r="F174" s="15">
        <v>7925.1</v>
      </c>
      <c r="G174" s="15">
        <v>7844.9</v>
      </c>
      <c r="H174" s="15">
        <v>8541.6</v>
      </c>
      <c r="I174" s="15">
        <v>8845.7000000000007</v>
      </c>
      <c r="J174" s="15">
        <v>8179.9</v>
      </c>
      <c r="K174" s="15">
        <v>8523.9</v>
      </c>
      <c r="L174" s="15">
        <v>7736.7</v>
      </c>
      <c r="M174" s="15">
        <v>7908.8</v>
      </c>
      <c r="N174" s="15"/>
      <c r="O174" s="15">
        <f t="shared" si="103"/>
        <v>23056.799999999999</v>
      </c>
      <c r="P174" s="15">
        <f t="shared" si="104"/>
        <v>23799.9</v>
      </c>
      <c r="Q174" s="15">
        <f t="shared" si="105"/>
        <v>25567.200000000004</v>
      </c>
      <c r="R174" s="15">
        <f t="shared" si="106"/>
        <v>24169.399999999998</v>
      </c>
      <c r="S174" s="1">
        <f t="shared" si="107"/>
        <v>96593.299999999988</v>
      </c>
    </row>
    <row r="175" spans="1:19" s="445" customFormat="1">
      <c r="A175" s="478" t="s">
        <v>173</v>
      </c>
      <c r="B175" s="21">
        <f t="shared" ref="B175:M175" si="108">SUM(B172:B174)</f>
        <v>24252.725999999999</v>
      </c>
      <c r="C175" s="21">
        <f t="shared" si="108"/>
        <v>25188.11</v>
      </c>
      <c r="D175" s="21">
        <f t="shared" si="108"/>
        <v>25267.23</v>
      </c>
      <c r="E175" s="21">
        <f t="shared" si="108"/>
        <v>25830.739999999998</v>
      </c>
      <c r="F175" s="21">
        <f t="shared" si="108"/>
        <v>25198.748999999996</v>
      </c>
      <c r="G175" s="21">
        <f t="shared" si="108"/>
        <v>24628.976000000002</v>
      </c>
      <c r="H175" s="21">
        <f t="shared" si="108"/>
        <v>27887.53</v>
      </c>
      <c r="I175" s="21">
        <f t="shared" si="108"/>
        <v>29605.56</v>
      </c>
      <c r="J175" s="21">
        <f t="shared" si="108"/>
        <v>26475.949999999997</v>
      </c>
      <c r="K175" s="21">
        <f t="shared" si="108"/>
        <v>27694.963000000003</v>
      </c>
      <c r="L175" s="21">
        <f t="shared" si="108"/>
        <v>25243.411000000004</v>
      </c>
      <c r="M175" s="21">
        <f t="shared" si="108"/>
        <v>25662.151999999998</v>
      </c>
      <c r="N175" s="21"/>
      <c r="O175" s="21">
        <f t="shared" si="103"/>
        <v>74708.065999999992</v>
      </c>
      <c r="P175" s="21">
        <f t="shared" si="104"/>
        <v>75658.464999999997</v>
      </c>
      <c r="Q175" s="21">
        <f t="shared" si="105"/>
        <v>83969.04</v>
      </c>
      <c r="R175" s="21">
        <f t="shared" si="106"/>
        <v>78600.526000000013</v>
      </c>
      <c r="S175" s="44">
        <f t="shared" si="107"/>
        <v>312936.09700000001</v>
      </c>
    </row>
    <row r="176" spans="1:19" s="492" customFormat="1">
      <c r="A176" s="469" t="s">
        <v>181</v>
      </c>
      <c r="B176" s="15">
        <f>3742113/1000</f>
        <v>3742.1129999999998</v>
      </c>
      <c r="C176" s="15">
        <f>3909553/1000</f>
        <v>3909.5529999999999</v>
      </c>
      <c r="D176" s="15">
        <v>3794.8040000000001</v>
      </c>
      <c r="E176" s="15">
        <v>3695.0720000000001</v>
      </c>
      <c r="F176" s="15">
        <v>3655.8319999999999</v>
      </c>
      <c r="G176" s="15">
        <v>3582.15</v>
      </c>
      <c r="H176" s="15">
        <v>4078.52</v>
      </c>
      <c r="I176" s="15">
        <v>4294.51</v>
      </c>
      <c r="J176" s="15">
        <v>4005.73</v>
      </c>
      <c r="K176" s="15">
        <v>4282.22</v>
      </c>
      <c r="L176" s="15">
        <v>3992.16</v>
      </c>
      <c r="M176" s="15">
        <v>4054.24</v>
      </c>
      <c r="N176" s="52"/>
      <c r="O176" s="15">
        <f t="shared" si="103"/>
        <v>11446.47</v>
      </c>
      <c r="P176" s="15">
        <f t="shared" si="104"/>
        <v>10933.054</v>
      </c>
      <c r="Q176" s="15">
        <f t="shared" si="105"/>
        <v>12378.76</v>
      </c>
      <c r="R176" s="15">
        <f t="shared" si="106"/>
        <v>12328.62</v>
      </c>
      <c r="S176" s="1">
        <f t="shared" si="107"/>
        <v>47086.904000000002</v>
      </c>
    </row>
    <row r="177" spans="1:19" s="492" customFormat="1" ht="12" customHeight="1">
      <c r="A177" s="478" t="s">
        <v>182</v>
      </c>
      <c r="B177" s="15">
        <f t="shared" ref="B177:M177" si="109">SUM(B175:B176)</f>
        <v>27994.839</v>
      </c>
      <c r="C177" s="15">
        <f t="shared" si="109"/>
        <v>29097.663</v>
      </c>
      <c r="D177" s="15">
        <f t="shared" si="109"/>
        <v>29062.034</v>
      </c>
      <c r="E177" s="15">
        <f t="shared" si="109"/>
        <v>29525.811999999998</v>
      </c>
      <c r="F177" s="15">
        <f t="shared" si="109"/>
        <v>28854.580999999995</v>
      </c>
      <c r="G177" s="15">
        <f t="shared" si="109"/>
        <v>28211.126000000004</v>
      </c>
      <c r="H177" s="15">
        <f t="shared" si="109"/>
        <v>31966.05</v>
      </c>
      <c r="I177" s="15">
        <f t="shared" si="109"/>
        <v>33900.07</v>
      </c>
      <c r="J177" s="15">
        <f t="shared" si="109"/>
        <v>30481.679999999997</v>
      </c>
      <c r="K177" s="15">
        <f t="shared" si="109"/>
        <v>31977.183000000005</v>
      </c>
      <c r="L177" s="15">
        <f t="shared" si="109"/>
        <v>29235.571000000004</v>
      </c>
      <c r="M177" s="15">
        <f t="shared" si="109"/>
        <v>29716.392</v>
      </c>
      <c r="N177" s="52"/>
      <c r="O177" s="21">
        <f t="shared" si="103"/>
        <v>86154.535999999993</v>
      </c>
      <c r="P177" s="21">
        <f t="shared" si="104"/>
        <v>86591.519</v>
      </c>
      <c r="Q177" s="21">
        <f t="shared" si="105"/>
        <v>96347.799999999988</v>
      </c>
      <c r="R177" s="21">
        <f t="shared" si="106"/>
        <v>90929.146000000008</v>
      </c>
      <c r="S177" s="44">
        <f t="shared" si="107"/>
        <v>360023.00099999999</v>
      </c>
    </row>
    <row r="178" spans="1:19">
      <c r="A178" s="474"/>
      <c r="B178" s="19"/>
      <c r="C178" s="19"/>
      <c r="D178" s="19"/>
      <c r="E178" s="24"/>
      <c r="F178" s="15"/>
      <c r="G178" s="19"/>
      <c r="H178" s="19"/>
      <c r="I178" s="19"/>
      <c r="J178" s="19"/>
      <c r="K178" s="19"/>
      <c r="L178" s="19"/>
      <c r="M178" s="15"/>
      <c r="N178" s="19"/>
      <c r="O178" s="15"/>
      <c r="P178" s="19"/>
      <c r="Q178" s="19"/>
      <c r="R178" s="19"/>
      <c r="S178" s="19"/>
    </row>
    <row r="179" spans="1:19">
      <c r="A179" s="479" t="s">
        <v>184</v>
      </c>
      <c r="B179" s="19"/>
      <c r="C179" s="19"/>
      <c r="D179" s="19"/>
      <c r="E179" s="19"/>
      <c r="F179" s="19"/>
      <c r="G179" s="19"/>
      <c r="H179" s="19"/>
      <c r="I179" s="483"/>
      <c r="J179" s="19"/>
      <c r="K179" s="19"/>
      <c r="L179" s="19"/>
      <c r="M179" s="15"/>
      <c r="N179" s="19"/>
      <c r="O179" s="488"/>
      <c r="P179" s="19"/>
      <c r="Q179" s="19"/>
      <c r="R179" s="19"/>
      <c r="S179" s="19"/>
    </row>
    <row r="180" spans="1:19">
      <c r="A180" s="474" t="s">
        <v>22</v>
      </c>
      <c r="B180" s="24">
        <f t="shared" ref="B180:M180" si="110">B172/B196-1</f>
        <v>5.072656636967432E-2</v>
      </c>
      <c r="C180" s="24">
        <f t="shared" si="110"/>
        <v>2.5064923889564383E-2</v>
      </c>
      <c r="D180" s="24">
        <f t="shared" si="110"/>
        <v>-2.3159939655851169E-2</v>
      </c>
      <c r="E180" s="24">
        <f t="shared" si="110"/>
        <v>1.9011164687506188E-2</v>
      </c>
      <c r="F180" s="24">
        <f t="shared" si="110"/>
        <v>3.4045122374933623E-2</v>
      </c>
      <c r="G180" s="24">
        <f t="shared" si="110"/>
        <v>3.2195263862221379E-2</v>
      </c>
      <c r="H180" s="24">
        <f t="shared" si="110"/>
        <v>3.0708837886159523E-2</v>
      </c>
      <c r="I180" s="24">
        <f t="shared" si="110"/>
        <v>4.5155020788663291E-2</v>
      </c>
      <c r="J180" s="24">
        <f t="shared" si="110"/>
        <v>5.2267647074819346E-2</v>
      </c>
      <c r="K180" s="24">
        <f t="shared" si="110"/>
        <v>7.060764625465521E-2</v>
      </c>
      <c r="L180" s="24">
        <f t="shared" si="110"/>
        <v>0.10296642293505398</v>
      </c>
      <c r="M180" s="24">
        <f t="shared" si="110"/>
        <v>0.14630942745113229</v>
      </c>
      <c r="N180" s="483"/>
      <c r="O180" s="483">
        <f>O172/O196-1</f>
        <v>1.6187864466311153E-2</v>
      </c>
      <c r="P180" s="483">
        <f>P172/P196-1</f>
        <v>2.8219454360058682E-2</v>
      </c>
      <c r="Q180" s="483">
        <f>Q172/Q196-1</f>
        <v>4.2517923770713173E-2</v>
      </c>
      <c r="R180" s="483">
        <f>R172/R196-1</f>
        <v>0.10482761565749454</v>
      </c>
      <c r="S180" s="483">
        <f>S172/S196-1</f>
        <v>4.751356705992138E-2</v>
      </c>
    </row>
    <row r="181" spans="1:19">
      <c r="A181" s="474" t="s">
        <v>175</v>
      </c>
      <c r="B181" s="24">
        <f t="shared" ref="B181:M181" si="111">B173/B198-1</f>
        <v>0.18562422958628022</v>
      </c>
      <c r="C181" s="24">
        <f t="shared" si="111"/>
        <v>0.10730449017837329</v>
      </c>
      <c r="D181" s="24">
        <f t="shared" si="111"/>
        <v>5.3704273718638174E-2</v>
      </c>
      <c r="E181" s="24">
        <f t="shared" si="111"/>
        <v>5.5829313262445446E-2</v>
      </c>
      <c r="F181" s="24">
        <f t="shared" si="111"/>
        <v>5.471864159103168E-2</v>
      </c>
      <c r="G181" s="24">
        <f t="shared" si="111"/>
        <v>9.669381826788781E-2</v>
      </c>
      <c r="H181" s="24">
        <f t="shared" si="111"/>
        <v>5.4311394483380182E-2</v>
      </c>
      <c r="I181" s="24">
        <f t="shared" si="111"/>
        <v>5.8204579748211138E-2</v>
      </c>
      <c r="J181" s="24">
        <f t="shared" si="111"/>
        <v>9.0382678783097692E-2</v>
      </c>
      <c r="K181" s="24">
        <f t="shared" si="111"/>
        <v>8.0347368880956171E-2</v>
      </c>
      <c r="L181" s="24">
        <f t="shared" si="111"/>
        <v>9.12507174059769E-2</v>
      </c>
      <c r="M181" s="24">
        <f t="shared" si="111"/>
        <v>0.11193866750548587</v>
      </c>
      <c r="N181" s="483"/>
      <c r="O181" s="483">
        <f>O173/O198-1</f>
        <v>0.11188428645197557</v>
      </c>
      <c r="P181" s="483">
        <f>P173/P198-1</f>
        <v>6.8326197053185878E-2</v>
      </c>
      <c r="Q181" s="483">
        <f>Q173/Q198-1</f>
        <v>6.6795942687112309E-2</v>
      </c>
      <c r="R181" s="483">
        <f>R173/R198-1</f>
        <v>9.3999360989464043E-2</v>
      </c>
      <c r="S181" s="483">
        <f>S173/S198-1</f>
        <v>8.4454143651579994E-2</v>
      </c>
    </row>
    <row r="182" spans="1:19">
      <c r="A182" s="474" t="s">
        <v>172</v>
      </c>
      <c r="B182" s="24">
        <f t="shared" ref="B182:M182" si="112">B174/B200-1</f>
        <v>0.11775192761955688</v>
      </c>
      <c r="C182" s="24">
        <f t="shared" si="112"/>
        <v>6.8283422974813268E-2</v>
      </c>
      <c r="D182" s="24">
        <f t="shared" si="112"/>
        <v>7.1317427385892973E-3</v>
      </c>
      <c r="E182" s="24">
        <f t="shared" si="112"/>
        <v>8.4403570608651002E-2</v>
      </c>
      <c r="F182" s="24">
        <f t="shared" si="112"/>
        <v>7.0337506584011944E-2</v>
      </c>
      <c r="G182" s="24">
        <f t="shared" si="112"/>
        <v>9.6974019073188478E-2</v>
      </c>
      <c r="H182" s="24">
        <f t="shared" si="112"/>
        <v>6.6540137600359595E-2</v>
      </c>
      <c r="I182" s="24">
        <f t="shared" si="112"/>
        <v>5.1757348045277318E-2</v>
      </c>
      <c r="J182" s="24">
        <f t="shared" si="112"/>
        <v>9.1147987087479621E-2</v>
      </c>
      <c r="K182" s="24">
        <f t="shared" si="112"/>
        <v>0.13703545607341994</v>
      </c>
      <c r="L182" s="24">
        <f t="shared" si="112"/>
        <v>8.7210691249420158E-2</v>
      </c>
      <c r="M182" s="24">
        <f t="shared" si="112"/>
        <v>0.10424171344000444</v>
      </c>
      <c r="N182" s="483"/>
      <c r="O182" s="483">
        <f>O174/O200-1</f>
        <v>6.1898972034928779E-2</v>
      </c>
      <c r="P182" s="483">
        <f>P174/P200-1</f>
        <v>8.3754542225622286E-2</v>
      </c>
      <c r="Q182" s="483">
        <f>Q174/Q200-1</f>
        <v>6.9055055883792127E-2</v>
      </c>
      <c r="R182" s="483">
        <f>R174/R200-1</f>
        <v>0.10996606184184521</v>
      </c>
      <c r="S182" s="483">
        <f>S174/S200-1</f>
        <v>8.0897229309341512E-2</v>
      </c>
    </row>
    <row r="183" spans="1:19" s="445" customFormat="1">
      <c r="A183" s="478" t="s">
        <v>173</v>
      </c>
      <c r="B183" s="484">
        <f t="shared" ref="B183:M183" si="113">B175/B202-1</f>
        <v>0.11280286056839683</v>
      </c>
      <c r="C183" s="484">
        <f t="shared" si="113"/>
        <v>6.3838477012986949E-2</v>
      </c>
      <c r="D183" s="484">
        <f t="shared" si="113"/>
        <v>1.0448713206256954E-2</v>
      </c>
      <c r="E183" s="484">
        <f t="shared" si="113"/>
        <v>5.0562622597715157E-2</v>
      </c>
      <c r="F183" s="484">
        <f t="shared" si="113"/>
        <v>5.1970331794972902E-2</v>
      </c>
      <c r="G183" s="484">
        <f t="shared" si="113"/>
        <v>7.2641585321298052E-2</v>
      </c>
      <c r="H183" s="484">
        <f t="shared" si="113"/>
        <v>4.916051448255665E-2</v>
      </c>
      <c r="I183" s="484">
        <f t="shared" si="113"/>
        <v>5.1381298189321578E-2</v>
      </c>
      <c r="J183" s="484">
        <f t="shared" si="113"/>
        <v>7.6370186343382995E-2</v>
      </c>
      <c r="K183" s="484">
        <f t="shared" si="113"/>
        <v>9.3455187189354971E-2</v>
      </c>
      <c r="L183" s="484">
        <f t="shared" si="113"/>
        <v>9.4285109624402397E-2</v>
      </c>
      <c r="M183" s="484">
        <f t="shared" si="113"/>
        <v>0.12192991437760692</v>
      </c>
      <c r="N183" s="484"/>
      <c r="O183" s="484">
        <f t="shared" ref="O183:S184" si="114">O175/O202-1</f>
        <v>6.0036962491938572E-2</v>
      </c>
      <c r="P183" s="484">
        <f t="shared" si="114"/>
        <v>5.8124269832589448E-2</v>
      </c>
      <c r="Q183" s="484">
        <f t="shared" si="114"/>
        <v>5.8384747257366199E-2</v>
      </c>
      <c r="R183" s="484">
        <f t="shared" si="114"/>
        <v>0.10286248146158106</v>
      </c>
      <c r="S183" s="484">
        <f t="shared" si="114"/>
        <v>6.9553185900966819E-2</v>
      </c>
    </row>
    <row r="184" spans="1:19" s="492" customFormat="1">
      <c r="A184" s="469" t="s">
        <v>181</v>
      </c>
      <c r="B184" s="483">
        <f t="shared" ref="B184:M184" si="115">B176/B203-1</f>
        <v>0.20306840693733474</v>
      </c>
      <c r="C184" s="483">
        <f t="shared" si="115"/>
        <v>0.17253606560474521</v>
      </c>
      <c r="D184" s="483" t="e">
        <f t="shared" si="115"/>
        <v>#DIV/0!</v>
      </c>
      <c r="E184" s="483" t="e">
        <f t="shared" si="115"/>
        <v>#DIV/0!</v>
      </c>
      <c r="F184" s="483" t="e">
        <f t="shared" si="115"/>
        <v>#DIV/0!</v>
      </c>
      <c r="G184" s="483" t="e">
        <f t="shared" si="115"/>
        <v>#DIV/0!</v>
      </c>
      <c r="H184" s="483" t="e">
        <f t="shared" si="115"/>
        <v>#DIV/0!</v>
      </c>
      <c r="I184" s="483" t="e">
        <f t="shared" si="115"/>
        <v>#DIV/0!</v>
      </c>
      <c r="J184" s="483" t="e">
        <f t="shared" si="115"/>
        <v>#DIV/0!</v>
      </c>
      <c r="K184" s="483" t="e">
        <f t="shared" si="115"/>
        <v>#DIV/0!</v>
      </c>
      <c r="L184" s="483" t="e">
        <f t="shared" si="115"/>
        <v>#DIV/0!</v>
      </c>
      <c r="M184" s="483">
        <f t="shared" si="115"/>
        <v>0.15558451471601353</v>
      </c>
      <c r="N184" s="52"/>
      <c r="O184" s="483">
        <f t="shared" si="114"/>
        <v>0.77609354598203617</v>
      </c>
      <c r="P184" s="483" t="e">
        <f t="shared" si="114"/>
        <v>#DIV/0!</v>
      </c>
      <c r="Q184" s="483" t="e">
        <f t="shared" si="114"/>
        <v>#DIV/0!</v>
      </c>
      <c r="R184" s="483">
        <f t="shared" si="114"/>
        <v>2.5140402047777486</v>
      </c>
      <c r="S184" s="483">
        <f t="shared" si="114"/>
        <v>3.7308620581215921</v>
      </c>
    </row>
    <row r="185" spans="1:19" s="492" customFormat="1">
      <c r="A185" s="478" t="s">
        <v>182</v>
      </c>
      <c r="B185" s="495">
        <f t="shared" ref="B185:M185" si="116">B177/B204-1</f>
        <v>0.12407656147760404</v>
      </c>
      <c r="C185" s="495">
        <f t="shared" si="116"/>
        <v>7.7256289969742209E-2</v>
      </c>
      <c r="D185" s="495">
        <f t="shared" si="116"/>
        <v>0.16220475526824618</v>
      </c>
      <c r="E185" s="495">
        <f t="shared" si="116"/>
        <v>0.20084498117541694</v>
      </c>
      <c r="F185" s="495">
        <f t="shared" si="116"/>
        <v>0.20459008295907544</v>
      </c>
      <c r="G185" s="495">
        <f t="shared" si="116"/>
        <v>0.22865144358169376</v>
      </c>
      <c r="H185" s="495">
        <f t="shared" si="116"/>
        <v>0.20259906359491597</v>
      </c>
      <c r="I185" s="495">
        <f t="shared" si="116"/>
        <v>0.20389209342126513</v>
      </c>
      <c r="J185" s="495">
        <f t="shared" si="116"/>
        <v>0.23922169295754725</v>
      </c>
      <c r="K185" s="495">
        <f t="shared" si="116"/>
        <v>0.26252620821530837</v>
      </c>
      <c r="L185" s="495">
        <f t="shared" si="116"/>
        <v>0.26734259552589767</v>
      </c>
      <c r="M185" s="495">
        <f t="shared" si="116"/>
        <v>0.12640551026243241</v>
      </c>
      <c r="N185" s="52"/>
      <c r="O185" s="483"/>
      <c r="P185" s="483"/>
      <c r="Q185" s="483"/>
      <c r="R185" s="483"/>
      <c r="S185" s="337"/>
    </row>
    <row r="186" spans="1:19">
      <c r="A186" s="493"/>
      <c r="B186" s="18"/>
      <c r="C186" s="18"/>
      <c r="D186" s="19"/>
      <c r="E186" s="18"/>
      <c r="F186" s="24"/>
      <c r="G186" s="18"/>
      <c r="H186" s="18"/>
      <c r="I186" s="18"/>
      <c r="J186" s="18"/>
      <c r="K186" s="18"/>
      <c r="L186" s="18"/>
      <c r="M186" s="19"/>
      <c r="N186" s="488"/>
      <c r="O186" s="19"/>
      <c r="P186" s="19"/>
      <c r="Q186" s="19"/>
      <c r="R186" s="19"/>
    </row>
    <row r="187" spans="1:19">
      <c r="A187" s="479" t="s">
        <v>185</v>
      </c>
      <c r="B187" s="488"/>
      <c r="C187" s="488"/>
      <c r="D187" s="19"/>
      <c r="E187" s="488"/>
      <c r="F187" s="488"/>
      <c r="G187" s="488"/>
      <c r="H187" s="488"/>
      <c r="I187" s="488"/>
      <c r="J187" s="488"/>
      <c r="K187" s="488"/>
      <c r="L187" s="488"/>
      <c r="M187" s="488"/>
      <c r="N187" s="488"/>
      <c r="O187" s="488"/>
      <c r="P187" s="488"/>
      <c r="Q187" s="488"/>
      <c r="R187" s="488"/>
    </row>
    <row r="188" spans="1:19">
      <c r="A188" s="474" t="s">
        <v>22</v>
      </c>
      <c r="B188" s="483">
        <f>B172/M196-1</f>
        <v>6.6708510442364588E-2</v>
      </c>
      <c r="C188" s="483">
        <f t="shared" ref="C188:M188" si="117">C172/B172-1</f>
        <v>5.5455468645282835E-2</v>
      </c>
      <c r="D188" s="483">
        <f t="shared" si="117"/>
        <v>-1.1831039878772986E-2</v>
      </c>
      <c r="E188" s="483">
        <f t="shared" si="117"/>
        <v>2.8145022778931716E-2</v>
      </c>
      <c r="F188" s="483">
        <f t="shared" si="117"/>
        <v>-3.844642299116019E-2</v>
      </c>
      <c r="G188" s="483">
        <f t="shared" si="117"/>
        <v>-2.2808770536321132E-2</v>
      </c>
      <c r="H188" s="483">
        <f t="shared" si="117"/>
        <v>0.15621121128456394</v>
      </c>
      <c r="I188" s="483">
        <f t="shared" si="117"/>
        <v>7.6998456481655486E-2</v>
      </c>
      <c r="J188" s="483">
        <f t="shared" si="117"/>
        <v>-0.12416855054606102</v>
      </c>
      <c r="K188" s="483">
        <f t="shared" si="117"/>
        <v>5.6428746419515674E-2</v>
      </c>
      <c r="L188" s="483">
        <f t="shared" si="117"/>
        <v>-9.0345660312372122E-2</v>
      </c>
      <c r="M188" s="483">
        <f t="shared" si="117"/>
        <v>1.7625912436239677E-2</v>
      </c>
      <c r="N188" s="19"/>
      <c r="O188" s="19"/>
      <c r="P188" s="19"/>
      <c r="Q188" s="19"/>
      <c r="R188" s="19"/>
    </row>
    <row r="189" spans="1:19">
      <c r="A189" s="474" t="s">
        <v>25</v>
      </c>
      <c r="B189" s="483">
        <f>B173/M198-1</f>
        <v>6.2678681519775292E-2</v>
      </c>
      <c r="C189" s="483">
        <f t="shared" ref="C189:M189" si="118">C173/B173-1</f>
        <v>2.583840699831419E-2</v>
      </c>
      <c r="D189" s="483">
        <f t="shared" si="118"/>
        <v>2.3141685167305193E-2</v>
      </c>
      <c r="E189" s="483">
        <f t="shared" si="118"/>
        <v>5.0718278535795136E-3</v>
      </c>
      <c r="F189" s="483">
        <f t="shared" si="118"/>
        <v>-1.964562733458608E-2</v>
      </c>
      <c r="G189" s="483">
        <f t="shared" si="118"/>
        <v>-3.4470213223083856E-2</v>
      </c>
      <c r="H189" s="483">
        <f t="shared" si="118"/>
        <v>0.14862875550960553</v>
      </c>
      <c r="I189" s="483">
        <f t="shared" si="118"/>
        <v>6.8673309762005807E-2</v>
      </c>
      <c r="J189" s="483">
        <f t="shared" si="118"/>
        <v>-0.11244246936760827</v>
      </c>
      <c r="K189" s="483">
        <f t="shared" si="118"/>
        <v>3.8172111601840752E-2</v>
      </c>
      <c r="L189" s="483">
        <f t="shared" si="118"/>
        <v>-8.2785743994410521E-2</v>
      </c>
      <c r="M189" s="483">
        <f t="shared" si="118"/>
        <v>1.0082737618984927E-2</v>
      </c>
      <c r="N189" s="19"/>
      <c r="O189" s="19"/>
      <c r="P189" s="19"/>
      <c r="Q189" s="19"/>
      <c r="R189" s="19"/>
    </row>
    <row r="190" spans="1:19">
      <c r="A190" s="474" t="s">
        <v>172</v>
      </c>
      <c r="B190" s="483">
        <f>B174/M200-1</f>
        <v>5.0473318254167676E-2</v>
      </c>
      <c r="C190" s="483">
        <f t="shared" ref="C190:M190" si="119">C174/B174-1</f>
        <v>3.2218190517963263E-2</v>
      </c>
      <c r="D190" s="483">
        <f t="shared" si="119"/>
        <v>1.1588828369446524E-4</v>
      </c>
      <c r="E190" s="483">
        <f t="shared" si="119"/>
        <v>3.3848332689583982E-2</v>
      </c>
      <c r="F190" s="483">
        <f t="shared" si="119"/>
        <v>-1.3051221061283313E-2</v>
      </c>
      <c r="G190" s="483">
        <f t="shared" si="119"/>
        <v>-1.0119746123077422E-2</v>
      </c>
      <c r="H190" s="483">
        <f t="shared" si="119"/>
        <v>8.8809290112047412E-2</v>
      </c>
      <c r="I190" s="483">
        <f t="shared" si="119"/>
        <v>3.5602229090568649E-2</v>
      </c>
      <c r="J190" s="483">
        <f t="shared" si="119"/>
        <v>-7.5268209412483023E-2</v>
      </c>
      <c r="K190" s="483">
        <f t="shared" si="119"/>
        <v>4.205430384234532E-2</v>
      </c>
      <c r="L190" s="483">
        <f t="shared" si="119"/>
        <v>-9.2352092352092297E-2</v>
      </c>
      <c r="M190" s="483">
        <f t="shared" si="119"/>
        <v>2.2244626261842981E-2</v>
      </c>
      <c r="N190" s="488"/>
      <c r="O190" s="19"/>
      <c r="P190" s="19"/>
      <c r="Q190" s="19"/>
      <c r="R190" s="19"/>
    </row>
    <row r="191" spans="1:19" s="445" customFormat="1">
      <c r="A191" s="478" t="s">
        <v>173</v>
      </c>
      <c r="B191" s="483">
        <f>B175/M202-1</f>
        <v>6.0310873562106737E-2</v>
      </c>
      <c r="C191" s="483">
        <f t="shared" ref="C191:M191" si="120">C175/B175-1</f>
        <v>3.8568200539601305E-2</v>
      </c>
      <c r="D191" s="483">
        <f t="shared" si="120"/>
        <v>3.1411646209262845E-3</v>
      </c>
      <c r="E191" s="483">
        <f t="shared" si="120"/>
        <v>2.2302009361532704E-2</v>
      </c>
      <c r="F191" s="483">
        <f t="shared" si="120"/>
        <v>-2.4466623875274207E-2</v>
      </c>
      <c r="G191" s="483">
        <f t="shared" si="120"/>
        <v>-2.2611162165232623E-2</v>
      </c>
      <c r="H191" s="483">
        <f t="shared" si="120"/>
        <v>0.13230570365572625</v>
      </c>
      <c r="I191" s="483">
        <f t="shared" si="120"/>
        <v>6.1605671065168011E-2</v>
      </c>
      <c r="J191" s="483">
        <f t="shared" si="120"/>
        <v>-0.10571021119006041</v>
      </c>
      <c r="K191" s="483">
        <f t="shared" si="120"/>
        <v>4.6042276103407387E-2</v>
      </c>
      <c r="L191" s="483">
        <f t="shared" si="120"/>
        <v>-8.8519778849316388E-2</v>
      </c>
      <c r="M191" s="483">
        <f t="shared" si="120"/>
        <v>1.658813066110576E-2</v>
      </c>
      <c r="N191" s="494"/>
      <c r="O191" s="23"/>
      <c r="P191" s="23"/>
      <c r="Q191" s="23"/>
      <c r="R191" s="23"/>
    </row>
    <row r="192" spans="1:19" s="492" customFormat="1">
      <c r="A192" s="469" t="s">
        <v>181</v>
      </c>
      <c r="B192" s="483">
        <f>B176/M203-1</f>
        <v>6.6618610422048308E-2</v>
      </c>
      <c r="C192" s="483">
        <f t="shared" ref="C192:M192" si="121">C176/B176-1</f>
        <v>4.4744773875080801E-2</v>
      </c>
      <c r="D192" s="483">
        <f t="shared" si="121"/>
        <v>-2.9350925796376104E-2</v>
      </c>
      <c r="E192" s="483">
        <f t="shared" si="121"/>
        <v>-2.6281199239802655E-2</v>
      </c>
      <c r="F192" s="483">
        <f t="shared" si="121"/>
        <v>-1.0619549497276393E-2</v>
      </c>
      <c r="G192" s="483">
        <f t="shared" si="121"/>
        <v>-2.0154646055945635E-2</v>
      </c>
      <c r="H192" s="483">
        <f t="shared" si="121"/>
        <v>0.13856762000474565</v>
      </c>
      <c r="I192" s="483">
        <f t="shared" si="121"/>
        <v>5.2957935721781535E-2</v>
      </c>
      <c r="J192" s="483">
        <f t="shared" si="121"/>
        <v>-6.7243992911880546E-2</v>
      </c>
      <c r="K192" s="483">
        <f t="shared" si="121"/>
        <v>6.9023623659108413E-2</v>
      </c>
      <c r="L192" s="483">
        <f t="shared" si="121"/>
        <v>-6.7735893998907226E-2</v>
      </c>
      <c r="M192" s="483">
        <f t="shared" si="121"/>
        <v>1.5550478938719969E-2</v>
      </c>
      <c r="N192" s="52"/>
      <c r="O192" s="52"/>
      <c r="P192" s="52"/>
      <c r="Q192" s="52"/>
      <c r="R192" s="52"/>
      <c r="S192" s="36"/>
    </row>
    <row r="193" spans="1:19" s="492" customFormat="1">
      <c r="A193" s="478" t="s">
        <v>182</v>
      </c>
      <c r="B193" s="483">
        <f>B177/M204-1</f>
        <v>6.1149715231567869E-2</v>
      </c>
      <c r="C193" s="483">
        <f t="shared" ref="C193:M193" si="122">C177/B177-1</f>
        <v>3.9393832556064989E-2</v>
      </c>
      <c r="D193" s="483">
        <f t="shared" si="122"/>
        <v>-1.2244625968759193E-3</v>
      </c>
      <c r="E193" s="483">
        <f t="shared" si="122"/>
        <v>1.5958208568608745E-2</v>
      </c>
      <c r="F193" s="483">
        <f t="shared" si="122"/>
        <v>-2.2733701616741375E-2</v>
      </c>
      <c r="G193" s="483">
        <f t="shared" si="122"/>
        <v>-2.2299925270098053E-2</v>
      </c>
      <c r="H193" s="483">
        <f t="shared" si="122"/>
        <v>0.13310081986801925</v>
      </c>
      <c r="I193" s="483">
        <f t="shared" si="122"/>
        <v>6.0502314173944027E-2</v>
      </c>
      <c r="J193" s="483">
        <f t="shared" si="122"/>
        <v>-0.10083725490832329</v>
      </c>
      <c r="K193" s="483">
        <f t="shared" si="122"/>
        <v>4.906235483083643E-2</v>
      </c>
      <c r="L193" s="483">
        <f t="shared" si="122"/>
        <v>-8.5736507809333951E-2</v>
      </c>
      <c r="M193" s="483">
        <f t="shared" si="122"/>
        <v>1.644643780003463E-2</v>
      </c>
      <c r="N193" s="36"/>
      <c r="O193" s="36"/>
      <c r="P193" s="36"/>
      <c r="Q193" s="36"/>
      <c r="R193" s="36"/>
      <c r="S193" s="36"/>
    </row>
    <row r="194" spans="1:19"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O194" s="151"/>
      <c r="P194" s="151"/>
      <c r="Q194" s="151"/>
      <c r="R194" s="151"/>
    </row>
    <row r="195" spans="1:19" s="445" customFormat="1">
      <c r="A195" s="471" t="s">
        <v>164</v>
      </c>
      <c r="B195" s="472" t="s">
        <v>51</v>
      </c>
      <c r="C195" s="472" t="s">
        <v>52</v>
      </c>
      <c r="D195" s="472" t="s">
        <v>53</v>
      </c>
      <c r="E195" s="472" t="s">
        <v>54</v>
      </c>
      <c r="F195" s="472" t="s">
        <v>55</v>
      </c>
      <c r="G195" s="472" t="s">
        <v>77</v>
      </c>
      <c r="H195" s="472" t="s">
        <v>78</v>
      </c>
      <c r="I195" s="472" t="s">
        <v>79</v>
      </c>
      <c r="J195" s="472" t="s">
        <v>80</v>
      </c>
      <c r="K195" s="472" t="s">
        <v>81</v>
      </c>
      <c r="L195" s="472" t="s">
        <v>82</v>
      </c>
      <c r="M195" s="472" t="s">
        <v>44</v>
      </c>
      <c r="N195" s="473"/>
      <c r="O195" s="473" t="s">
        <v>129</v>
      </c>
      <c r="P195" s="473" t="s">
        <v>130</v>
      </c>
      <c r="Q195" s="473" t="s">
        <v>131</v>
      </c>
      <c r="R195" s="473" t="s">
        <v>132</v>
      </c>
      <c r="S195" s="445" t="s">
        <v>171</v>
      </c>
    </row>
    <row r="196" spans="1:19">
      <c r="A196" s="474" t="s">
        <v>22</v>
      </c>
      <c r="B196" s="15">
        <v>8378.4500000000007</v>
      </c>
      <c r="C196" s="15">
        <v>9064.4599999999991</v>
      </c>
      <c r="D196" s="15">
        <v>9399.42</v>
      </c>
      <c r="E196" s="15">
        <v>9264.0300000000007</v>
      </c>
      <c r="F196" s="15">
        <v>8778.35</v>
      </c>
      <c r="G196" s="15">
        <v>8593.5</v>
      </c>
      <c r="H196" s="15">
        <v>9950.23</v>
      </c>
      <c r="I196" s="15">
        <v>10568.26</v>
      </c>
      <c r="J196" s="15">
        <v>9193.4500000000007</v>
      </c>
      <c r="K196" s="15">
        <v>9545.85</v>
      </c>
      <c r="L196" s="15">
        <v>8428.67</v>
      </c>
      <c r="M196" s="15">
        <v>8252.92</v>
      </c>
      <c r="N196" s="15"/>
      <c r="O196" s="15">
        <f>SUM(B196:D196)</f>
        <v>26842.33</v>
      </c>
      <c r="P196" s="15">
        <f>SUM(E196:G196)</f>
        <v>26635.88</v>
      </c>
      <c r="Q196" s="15">
        <f>SUM(H196:J196)</f>
        <v>29711.94</v>
      </c>
      <c r="R196" s="15">
        <f>SUM(K196:M196)</f>
        <v>26227.440000000002</v>
      </c>
      <c r="S196" s="1">
        <f>SUM(O196:R196)</f>
        <v>109417.59000000001</v>
      </c>
    </row>
    <row r="197" spans="1:19" s="33" customFormat="1">
      <c r="A197" s="496" t="s">
        <v>186</v>
      </c>
      <c r="B197" s="32">
        <f>B196/'CAAC Air Industry + domestic'!B12</f>
        <v>0.25812409501216921</v>
      </c>
      <c r="C197" s="32">
        <f>C196/'CAAC Air Industry + domestic'!C12</f>
        <v>0.25952586823947088</v>
      </c>
      <c r="D197" s="32">
        <f>D196/'CAAC Air Industry + domestic'!D12</f>
        <v>0.25612894435664069</v>
      </c>
      <c r="E197" s="32">
        <f>E196/'CAAC Air Industry + domestic'!E12</f>
        <v>0.25880793406900404</v>
      </c>
      <c r="F197" s="32">
        <f>F196/'CAAC Air Industry + domestic'!F12</f>
        <v>0.24787095863334746</v>
      </c>
      <c r="G197" s="32">
        <f>G196/'CAAC Air Industry + domestic'!G12</f>
        <v>0.25242333450828341</v>
      </c>
      <c r="H197" s="32">
        <f>H196/'CAAC Air Industry + domestic'!H12</f>
        <v>0.25415657726692209</v>
      </c>
      <c r="I197" s="32">
        <f>I196/'CAAC Air Industry + domestic'!I12</f>
        <v>0.25372755209833864</v>
      </c>
      <c r="J197" s="32">
        <f>J196/'CAAC Air Industry + domestic'!J12</f>
        <v>0.25034583231217494</v>
      </c>
      <c r="K197" s="32">
        <f>K196/'CAAC Air Industry + domestic'!K12</f>
        <v>0.24761614484708569</v>
      </c>
      <c r="L197" s="32">
        <f>L196/'CAAC Air Industry + domestic'!L12</f>
        <v>0.24095683247570041</v>
      </c>
      <c r="M197" s="32">
        <f>M196/'CAAC Air Industry + domestic'!M12</f>
        <v>0.23411874840430058</v>
      </c>
      <c r="N197" s="32"/>
      <c r="O197" s="32">
        <f>O196/'CAAC Air Industry + domestic'!O12</f>
        <v>0.25789103032166327</v>
      </c>
      <c r="P197" s="32">
        <f>P196/'CAAC Air Industry + domestic'!P12</f>
        <v>0.25306287647025294</v>
      </c>
      <c r="Q197" s="32">
        <f>Q196/'CAAC Air Industry + domestic'!Q12</f>
        <v>0.25281378430121249</v>
      </c>
      <c r="R197" s="32">
        <f>R196/'CAAC Air Industry + domestic'!R12</f>
        <v>0.24110091743119269</v>
      </c>
      <c r="S197" s="33">
        <f>S196/'CAAC Air Industry + domestic'!S12</f>
        <v>0.25116227662431567</v>
      </c>
    </row>
    <row r="198" spans="1:19">
      <c r="A198" s="474" t="s">
        <v>25</v>
      </c>
      <c r="B198" s="15">
        <v>6684.72</v>
      </c>
      <c r="C198" s="15">
        <v>7342.47</v>
      </c>
      <c r="D198" s="15">
        <v>7894.53</v>
      </c>
      <c r="E198" s="15">
        <v>7918.6</v>
      </c>
      <c r="F198" s="15">
        <v>7771.2089999999998</v>
      </c>
      <c r="G198" s="15">
        <v>7216.1490000000003</v>
      </c>
      <c r="H198" s="15">
        <v>8621.8739999999998</v>
      </c>
      <c r="I198" s="15">
        <v>9180.0679999999993</v>
      </c>
      <c r="J198" s="15">
        <v>7907.3890000000001</v>
      </c>
      <c r="K198" s="15">
        <v>8285.4860000000008</v>
      </c>
      <c r="L198" s="15">
        <v>7523.634</v>
      </c>
      <c r="M198" s="15">
        <v>7458.1019999999999</v>
      </c>
      <c r="N198" s="15"/>
      <c r="O198" s="15">
        <f>SUM(B198:D198)</f>
        <v>21921.72</v>
      </c>
      <c r="P198" s="15">
        <f>SUM(E198:G198)</f>
        <v>22905.958000000002</v>
      </c>
      <c r="Q198" s="15">
        <f>SUM(H198:J198)</f>
        <v>25709.330999999998</v>
      </c>
      <c r="R198" s="15">
        <f>SUM(K198:M198)</f>
        <v>23267.222000000002</v>
      </c>
      <c r="S198" s="1">
        <f>SUM(O198:R198)</f>
        <v>93804.231</v>
      </c>
    </row>
    <row r="199" spans="1:19" s="33" customFormat="1">
      <c r="A199" s="496" t="s">
        <v>187</v>
      </c>
      <c r="B199" s="32">
        <f>B198/'CAAC Air Industry + domestic'!B12</f>
        <v>0.2059434979512616</v>
      </c>
      <c r="C199" s="32">
        <f>C198/'CAAC Air Industry + domestic'!C12</f>
        <v>0.21022332293068399</v>
      </c>
      <c r="D199" s="32">
        <f>D198/'CAAC Air Industry + domestic'!D12</f>
        <v>0.21512153250858357</v>
      </c>
      <c r="E199" s="32">
        <f>E198/'CAAC Air Industry + domestic'!E12</f>
        <v>0.22122084089956698</v>
      </c>
      <c r="F199" s="32">
        <f>F198/'CAAC Air Industry + domestic'!F12</f>
        <v>0.21943269800931808</v>
      </c>
      <c r="G199" s="32">
        <f>G198/'CAAC Air Industry + domestic'!G12</f>
        <v>0.21196536834684526</v>
      </c>
      <c r="H199" s="32">
        <f>H198/'CAAC Air Industry + domestic'!H12</f>
        <v>0.22022666666666665</v>
      </c>
      <c r="I199" s="32">
        <f>I198/'CAAC Air Industry + domestic'!I12</f>
        <v>0.220399212522808</v>
      </c>
      <c r="J199" s="32">
        <f>J198/'CAAC Air Industry + domestic'!J12</f>
        <v>0.21532524575878878</v>
      </c>
      <c r="K199" s="32">
        <f>K198/'CAAC Air Industry + domestic'!K12</f>
        <v>0.21492272573992893</v>
      </c>
      <c r="L199" s="32">
        <f>L198/'CAAC Air Industry + domestic'!L12</f>
        <v>0.21508387650085764</v>
      </c>
      <c r="M199" s="32">
        <f>M198/'CAAC Air Industry + domestic'!M12</f>
        <v>0.21157135967773963</v>
      </c>
      <c r="N199" s="32"/>
      <c r="O199" s="32">
        <f>O198/'CAAC Air Industry + domestic'!O12</f>
        <v>0.21061565658506592</v>
      </c>
      <c r="P199" s="32">
        <f>P198/'CAAC Air Industry + domestic'!P12</f>
        <v>0.21762553442149468</v>
      </c>
      <c r="Q199" s="32">
        <f>Q198/'CAAC Air Industry + domestic'!Q12</f>
        <v>0.21875627313337587</v>
      </c>
      <c r="R199" s="32">
        <f>R198/'CAAC Air Industry + domestic'!R12</f>
        <v>0.21388852935228256</v>
      </c>
      <c r="S199" s="33">
        <f>S198/'CAAC Air Industry + domestic'!S12</f>
        <v>0.21532263884584926</v>
      </c>
    </row>
    <row r="200" spans="1:19">
      <c r="A200" s="474" t="s">
        <v>172</v>
      </c>
      <c r="B200" s="15">
        <v>6731.1</v>
      </c>
      <c r="C200" s="15">
        <v>7269.7</v>
      </c>
      <c r="D200" s="15">
        <v>7712</v>
      </c>
      <c r="E200" s="15">
        <v>7404.9</v>
      </c>
      <c r="F200" s="15">
        <v>7404.3</v>
      </c>
      <c r="G200" s="15">
        <v>7151.4</v>
      </c>
      <c r="H200" s="15">
        <v>8008.7</v>
      </c>
      <c r="I200" s="15">
        <v>8410.4</v>
      </c>
      <c r="J200" s="15">
        <v>7496.6</v>
      </c>
      <c r="K200" s="15">
        <v>7496.6</v>
      </c>
      <c r="L200" s="15">
        <v>7116.1</v>
      </c>
      <c r="M200" s="15">
        <v>7162.2</v>
      </c>
      <c r="N200" s="15"/>
      <c r="O200" s="15">
        <f>SUM(B200:D200)</f>
        <v>21712.799999999999</v>
      </c>
      <c r="P200" s="15">
        <f>SUM(E200:G200)</f>
        <v>21960.6</v>
      </c>
      <c r="Q200" s="15">
        <f>SUM(H200:J200)</f>
        <v>23915.699999999997</v>
      </c>
      <c r="R200" s="15">
        <f>SUM(K200:M200)</f>
        <v>21774.9</v>
      </c>
      <c r="S200" s="1">
        <f>SUM(O200:R200)</f>
        <v>89364</v>
      </c>
    </row>
    <row r="201" spans="1:19" s="33" customFormat="1">
      <c r="A201" s="496" t="s">
        <v>188</v>
      </c>
      <c r="B201" s="32">
        <f>B200/'CAAC Air Industry + domestic'!B12</f>
        <v>0.2073723774607967</v>
      </c>
      <c r="C201" s="32">
        <f>C200/'CAAC Air Industry + domestic'!C12</f>
        <v>0.20813983451198212</v>
      </c>
      <c r="D201" s="32">
        <f>D200/'CAAC Air Industry + domestic'!D12</f>
        <v>0.21014769197231456</v>
      </c>
      <c r="E201" s="32">
        <f>E200/'CAAC Air Industry + domestic'!E12</f>
        <v>0.20686967453554964</v>
      </c>
      <c r="F201" s="32">
        <f>F200/'CAAC Air Industry + domestic'!F12</f>
        <v>0.20907242693773825</v>
      </c>
      <c r="G201" s="32">
        <f>G200/'CAAC Air Industry + domestic'!G12</f>
        <v>0.21006344730348958</v>
      </c>
      <c r="H201" s="32">
        <f>H200/'CAAC Air Industry + domestic'!H12</f>
        <v>0.20456449553001277</v>
      </c>
      <c r="I201" s="32">
        <f>I200/'CAAC Air Industry + domestic'!I12</f>
        <v>0.20192067607797945</v>
      </c>
      <c r="J201" s="32">
        <f>J200/'CAAC Air Industry + domestic'!J12</f>
        <v>0.2041390953898102</v>
      </c>
      <c r="K201" s="32">
        <f>K200/'CAAC Air Industry + domestic'!K12</f>
        <v>0.19445928769681722</v>
      </c>
      <c r="L201" s="32">
        <f>L200/'CAAC Air Industry + domestic'!L12</f>
        <v>0.20343339050886222</v>
      </c>
      <c r="M201" s="32">
        <f>M200/'CAAC Air Industry + domestic'!M12</f>
        <v>0.20317721483078494</v>
      </c>
      <c r="N201" s="32"/>
      <c r="O201" s="32">
        <f>O200/'CAAC Air Industry + domestic'!O12</f>
        <v>0.20860843165135851</v>
      </c>
      <c r="P201" s="32">
        <f>P200/'CAAC Air Industry + domestic'!P12</f>
        <v>0.20864385201512531</v>
      </c>
      <c r="Q201" s="32">
        <f>Q200/'CAAC Air Industry + domestic'!Q12</f>
        <v>0.20349457562220802</v>
      </c>
      <c r="R201" s="32">
        <f>R200/'CAAC Air Industry + domestic'!R12</f>
        <v>0.20017006490044309</v>
      </c>
      <c r="S201" s="33">
        <f>S200/'CAAC Air Industry + domestic'!S12</f>
        <v>0.20513032400234135</v>
      </c>
    </row>
    <row r="202" spans="1:19" s="445" customFormat="1">
      <c r="A202" s="478" t="s">
        <v>173</v>
      </c>
      <c r="B202" s="21">
        <f t="shared" ref="B202:M202" si="123">SUM(B196,B198,B200)</f>
        <v>21794.270000000004</v>
      </c>
      <c r="C202" s="21">
        <f t="shared" si="123"/>
        <v>23676.63</v>
      </c>
      <c r="D202" s="21">
        <f t="shared" si="123"/>
        <v>25005.95</v>
      </c>
      <c r="E202" s="21">
        <f t="shared" si="123"/>
        <v>24587.53</v>
      </c>
      <c r="F202" s="21">
        <f t="shared" si="123"/>
        <v>23953.859</v>
      </c>
      <c r="G202" s="21">
        <f t="shared" si="123"/>
        <v>22961.048999999999</v>
      </c>
      <c r="H202" s="21">
        <f t="shared" si="123"/>
        <v>26580.804</v>
      </c>
      <c r="I202" s="21">
        <f t="shared" si="123"/>
        <v>28158.728000000003</v>
      </c>
      <c r="J202" s="21">
        <f t="shared" si="123"/>
        <v>24597.438999999998</v>
      </c>
      <c r="K202" s="21">
        <f t="shared" si="123"/>
        <v>25327.936000000002</v>
      </c>
      <c r="L202" s="21">
        <f t="shared" si="123"/>
        <v>23068.404000000002</v>
      </c>
      <c r="M202" s="21">
        <f t="shared" si="123"/>
        <v>22873.222000000002</v>
      </c>
      <c r="N202" s="21"/>
      <c r="O202" s="21">
        <f>SUM(O196,O198,O200)</f>
        <v>70476.850000000006</v>
      </c>
      <c r="P202" s="21">
        <f>SUM(E202:G202)</f>
        <v>71502.437999999995</v>
      </c>
      <c r="Q202" s="21">
        <f>SUM(H202:J202)</f>
        <v>79336.971000000005</v>
      </c>
      <c r="R202" s="21">
        <f>SUM(K202:M202)</f>
        <v>71269.562000000005</v>
      </c>
      <c r="S202" s="44">
        <f>SUM(O202:R202)</f>
        <v>292585.821</v>
      </c>
    </row>
    <row r="203" spans="1:19" s="492" customFormat="1">
      <c r="A203" s="469" t="s">
        <v>181</v>
      </c>
      <c r="B203" s="15">
        <f>3110474/1000</f>
        <v>3110.4740000000002</v>
      </c>
      <c r="C203" s="15">
        <f>3334271/1000</f>
        <v>3334.2710000000002</v>
      </c>
      <c r="D203" s="15"/>
      <c r="E203" s="15"/>
      <c r="F203" s="15"/>
      <c r="G203" s="15"/>
      <c r="H203" s="15"/>
      <c r="I203" s="15"/>
      <c r="J203" s="15"/>
      <c r="K203" s="15"/>
      <c r="L203" s="15"/>
      <c r="M203" s="15">
        <f>3508389/1000</f>
        <v>3508.3890000000001</v>
      </c>
      <c r="N203" s="52"/>
      <c r="O203" s="21">
        <f>SUM(B203:D203)</f>
        <v>6444.7450000000008</v>
      </c>
      <c r="P203" s="21">
        <f>SUM(E203:G203)</f>
        <v>0</v>
      </c>
      <c r="Q203" s="21">
        <f>SUM(H203:J203)</f>
        <v>0</v>
      </c>
      <c r="R203" s="21">
        <f>SUM(K203:M203)</f>
        <v>3508.3890000000001</v>
      </c>
      <c r="S203" s="44">
        <f>SUM(O203:R203)</f>
        <v>9953.1340000000018</v>
      </c>
    </row>
    <row r="204" spans="1:19" s="492" customFormat="1">
      <c r="A204" s="478" t="s">
        <v>182</v>
      </c>
      <c r="B204" s="15">
        <f t="shared" ref="B204:M204" si="124">SUM(B202:B203)</f>
        <v>24904.744000000006</v>
      </c>
      <c r="C204" s="15">
        <f t="shared" si="124"/>
        <v>27010.901000000002</v>
      </c>
      <c r="D204" s="15">
        <f t="shared" si="124"/>
        <v>25005.95</v>
      </c>
      <c r="E204" s="15">
        <f t="shared" si="124"/>
        <v>24587.53</v>
      </c>
      <c r="F204" s="15">
        <f t="shared" si="124"/>
        <v>23953.859</v>
      </c>
      <c r="G204" s="15">
        <f t="shared" si="124"/>
        <v>22961.048999999999</v>
      </c>
      <c r="H204" s="15">
        <f t="shared" si="124"/>
        <v>26580.804</v>
      </c>
      <c r="I204" s="15">
        <f t="shared" si="124"/>
        <v>28158.728000000003</v>
      </c>
      <c r="J204" s="15">
        <f t="shared" si="124"/>
        <v>24597.438999999998</v>
      </c>
      <c r="K204" s="15">
        <f t="shared" si="124"/>
        <v>25327.936000000002</v>
      </c>
      <c r="L204" s="15">
        <f t="shared" si="124"/>
        <v>23068.404000000002</v>
      </c>
      <c r="M204" s="15">
        <f t="shared" si="124"/>
        <v>26381.611000000001</v>
      </c>
      <c r="N204" s="52"/>
      <c r="O204" s="15">
        <f>SUM(O202:O203)</f>
        <v>76921.595000000001</v>
      </c>
      <c r="P204" s="15">
        <f>SUM(P202:P203)</f>
        <v>71502.437999999995</v>
      </c>
      <c r="Q204" s="15">
        <f>SUM(Q202:Q203)</f>
        <v>79336.971000000005</v>
      </c>
      <c r="R204" s="15">
        <f>SUM(R202:R203)</f>
        <v>74777.951000000001</v>
      </c>
      <c r="S204" s="15">
        <f>SUM(S202:S203)</f>
        <v>302538.95500000002</v>
      </c>
    </row>
    <row r="205" spans="1:19">
      <c r="A205" s="474"/>
      <c r="B205" s="19"/>
      <c r="C205" s="19"/>
      <c r="D205" s="19"/>
      <c r="E205" s="19"/>
      <c r="F205" s="15"/>
      <c r="G205" s="19"/>
      <c r="H205" s="19"/>
      <c r="I205" s="19"/>
      <c r="J205" s="19"/>
      <c r="K205" s="19"/>
      <c r="L205" s="19"/>
      <c r="M205" s="15"/>
      <c r="N205" s="19"/>
      <c r="O205" s="15"/>
      <c r="P205" s="19"/>
      <c r="Q205" s="19"/>
      <c r="R205" s="19"/>
      <c r="S205" s="19"/>
    </row>
    <row r="206" spans="1:19">
      <c r="A206" s="479" t="s">
        <v>184</v>
      </c>
      <c r="B206" s="19"/>
      <c r="C206" s="19"/>
      <c r="D206" s="19"/>
      <c r="E206" s="19"/>
      <c r="F206" s="19"/>
      <c r="G206" s="19"/>
      <c r="H206" s="19"/>
      <c r="I206" s="483"/>
      <c r="J206" s="19"/>
      <c r="K206" s="19"/>
      <c r="L206" s="19"/>
      <c r="M206" s="15"/>
      <c r="N206" s="19"/>
      <c r="O206" s="488"/>
      <c r="P206" s="19"/>
      <c r="Q206" s="19"/>
      <c r="R206" s="19"/>
      <c r="S206" s="19"/>
    </row>
    <row r="207" spans="1:19">
      <c r="A207" s="474" t="s">
        <v>22</v>
      </c>
      <c r="B207" s="24">
        <f t="shared" ref="B207:M207" si="125">B196/B221-1</f>
        <v>3.8946625712858118E-2</v>
      </c>
      <c r="C207" s="24">
        <f t="shared" si="125"/>
        <v>0.11632105655953118</v>
      </c>
      <c r="D207" s="24">
        <f t="shared" si="125"/>
        <v>0.20862548942708914</v>
      </c>
      <c r="E207" s="24">
        <f t="shared" si="125"/>
        <v>0.17037165243712948</v>
      </c>
      <c r="F207" s="24">
        <f t="shared" si="125"/>
        <v>0.1162887992807613</v>
      </c>
      <c r="G207" s="24">
        <f t="shared" si="125"/>
        <v>0.12412977560572336</v>
      </c>
      <c r="H207" s="24">
        <f t="shared" si="125"/>
        <v>5.1988158798963902E-2</v>
      </c>
      <c r="I207" s="24">
        <f t="shared" si="125"/>
        <v>6.9273411786607841E-2</v>
      </c>
      <c r="J207" s="24">
        <f t="shared" si="125"/>
        <v>7.0888585513134927E-2</v>
      </c>
      <c r="K207" s="24">
        <f t="shared" si="125"/>
        <v>6.4900134760064621E-2</v>
      </c>
      <c r="L207" s="24">
        <f t="shared" si="125"/>
        <v>1.329878998082501E-2</v>
      </c>
      <c r="M207" s="24">
        <f t="shared" si="125"/>
        <v>-8.0291163644929942E-3</v>
      </c>
      <c r="N207" s="483"/>
      <c r="O207" s="483">
        <f>O196/O221-1</f>
        <v>0.12023866858420651</v>
      </c>
      <c r="P207" s="483">
        <f>P196/P221-1</f>
        <v>0.13712356306013818</v>
      </c>
      <c r="Q207" s="483">
        <f>Q196/Q221-1</f>
        <v>6.3915634241738184E-2</v>
      </c>
      <c r="R207" s="483">
        <f>R196/R221-1</f>
        <v>2.4435343539627175E-2</v>
      </c>
      <c r="S207" s="483">
        <f>S196/S221-1</f>
        <v>8.4265818842362838E-2</v>
      </c>
    </row>
    <row r="208" spans="1:19">
      <c r="A208" s="474" t="s">
        <v>175</v>
      </c>
      <c r="B208" s="24">
        <f t="shared" ref="B208:M208" si="126">B198/B223-1</f>
        <v>-1.7440175254270995E-2</v>
      </c>
      <c r="C208" s="24">
        <f t="shared" si="126"/>
        <v>0.10613484400007711</v>
      </c>
      <c r="D208" s="24">
        <f t="shared" si="126"/>
        <v>0.19762433013619152</v>
      </c>
      <c r="E208" s="24">
        <f t="shared" si="126"/>
        <v>0.15161026341779538</v>
      </c>
      <c r="F208" s="24">
        <f t="shared" si="126"/>
        <v>0.12690091441685269</v>
      </c>
      <c r="G208" s="24">
        <f t="shared" si="126"/>
        <v>9.1153102433814137E-2</v>
      </c>
      <c r="H208" s="24">
        <f t="shared" si="126"/>
        <v>0.12114031857390728</v>
      </c>
      <c r="I208" s="24">
        <f t="shared" si="126"/>
        <v>0.16993349270479219</v>
      </c>
      <c r="J208" s="24">
        <f t="shared" si="126"/>
        <v>0.1313296511249431</v>
      </c>
      <c r="K208" s="24">
        <f t="shared" si="126"/>
        <v>0.11823769059199574</v>
      </c>
      <c r="L208" s="24">
        <f t="shared" si="126"/>
        <v>9.1441544688320553E-2</v>
      </c>
      <c r="M208" s="24">
        <f t="shared" si="126"/>
        <v>0.12864039433169361</v>
      </c>
      <c r="N208" s="483"/>
      <c r="O208" s="483">
        <f>O198/O223-1</f>
        <v>9.42722983790516E-2</v>
      </c>
      <c r="P208" s="483">
        <f>P198/P223-1</f>
        <v>0.12363842106781275</v>
      </c>
      <c r="Q208" s="483">
        <f>Q198/Q223-1</f>
        <v>0.1412980638934902</v>
      </c>
      <c r="R208" s="483">
        <f>R198/R223-1</f>
        <v>0.11269162686856604</v>
      </c>
      <c r="S208" s="483">
        <f>S198/S223-1</f>
        <v>0.11863705636757027</v>
      </c>
    </row>
    <row r="209" spans="1:19">
      <c r="A209" s="474" t="s">
        <v>172</v>
      </c>
      <c r="B209" s="24">
        <f t="shared" ref="B209:M209" si="127">B200/B225-1</f>
        <v>-1.7830826025418411E-2</v>
      </c>
      <c r="C209" s="24">
        <f t="shared" si="127"/>
        <v>7.2986775298146123E-2</v>
      </c>
      <c r="D209" s="24">
        <f t="shared" si="127"/>
        <v>0.17747648711371689</v>
      </c>
      <c r="E209" s="24">
        <f t="shared" si="127"/>
        <v>9.6551111374372445E-2</v>
      </c>
      <c r="F209" s="24">
        <f t="shared" si="127"/>
        <v>0.1213369477972468</v>
      </c>
      <c r="G209" s="24">
        <f t="shared" si="127"/>
        <v>8.1873468276300265E-2</v>
      </c>
      <c r="H209" s="24">
        <f t="shared" si="127"/>
        <v>9.0954910775098652E-2</v>
      </c>
      <c r="I209" s="24">
        <f t="shared" si="127"/>
        <v>9.0616733233051416E-2</v>
      </c>
      <c r="J209" s="24">
        <f t="shared" si="127"/>
        <v>8.7519765569465946E-2</v>
      </c>
      <c r="K209" s="24">
        <f t="shared" si="127"/>
        <v>3.6945846877377564E-2</v>
      </c>
      <c r="L209" s="24">
        <f t="shared" si="127"/>
        <v>2.7922228000231142E-2</v>
      </c>
      <c r="M209" s="24">
        <f t="shared" si="127"/>
        <v>5.8588784770463143E-2</v>
      </c>
      <c r="N209" s="483"/>
      <c r="O209" s="483">
        <f>O200/O225-1</f>
        <v>7.6057706126939628E-2</v>
      </c>
      <c r="P209" s="483">
        <f>P200/P225-1</f>
        <v>9.9888812092436163E-2</v>
      </c>
      <c r="Q209" s="483">
        <f>Q200/Q225-1</f>
        <v>8.9757084466802306E-2</v>
      </c>
      <c r="R209" s="483">
        <f>R200/R225-1</f>
        <v>4.0959742997691118E-2</v>
      </c>
      <c r="S209" s="483">
        <f>S200/S225-1</f>
        <v>7.6567042090971649E-2</v>
      </c>
    </row>
    <row r="210" spans="1:19" s="497" customFormat="1">
      <c r="A210" s="498" t="s">
        <v>173</v>
      </c>
      <c r="B210" s="499">
        <f t="shared" ref="B210:M210" si="128">B202/B227-1</f>
        <v>3.34883180625134E-3</v>
      </c>
      <c r="C210" s="499">
        <f t="shared" si="128"/>
        <v>9.9521982655129237E-2</v>
      </c>
      <c r="D210" s="499">
        <f t="shared" si="128"/>
        <v>0.19537880632516447</v>
      </c>
      <c r="E210" s="499">
        <f t="shared" si="128"/>
        <v>0.14122053230802645</v>
      </c>
      <c r="F210" s="499">
        <f t="shared" si="128"/>
        <v>0.12125005056732485</v>
      </c>
      <c r="G210" s="499">
        <f t="shared" si="128"/>
        <v>0.1002694088877023</v>
      </c>
      <c r="H210" s="499">
        <f t="shared" si="128"/>
        <v>8.536265816801536E-2</v>
      </c>
      <c r="I210" s="499">
        <f t="shared" si="128"/>
        <v>0.1067671636764651</v>
      </c>
      <c r="J210" s="499">
        <f t="shared" si="128"/>
        <v>9.4770934959250708E-2</v>
      </c>
      <c r="K210" s="499">
        <f t="shared" si="128"/>
        <v>7.3060151758597813E-2</v>
      </c>
      <c r="L210" s="499">
        <f t="shared" si="128"/>
        <v>4.2186605880701666E-2</v>
      </c>
      <c r="M210" s="499">
        <f t="shared" si="128"/>
        <v>5.4356502970550835E-2</v>
      </c>
      <c r="N210" s="499"/>
      <c r="O210" s="484">
        <f>O202/O227-1</f>
        <v>9.821594960576463E-2</v>
      </c>
      <c r="P210" s="484">
        <f>P202/P227-1</f>
        <v>0.12113130692159912</v>
      </c>
      <c r="Q210" s="484">
        <f>Q202/Q227-1</f>
        <v>9.5804086295183666E-2</v>
      </c>
      <c r="R210" s="484">
        <f>R202/R227-1</f>
        <v>5.6908623726176222E-2</v>
      </c>
      <c r="S210" s="484">
        <f>S202/S227-1</f>
        <v>9.2619694227184857E-2</v>
      </c>
    </row>
    <row r="211" spans="1:19" s="492" customFormat="1">
      <c r="A211" s="469" t="s">
        <v>181</v>
      </c>
      <c r="B211" s="483"/>
      <c r="C211" s="483"/>
      <c r="D211" s="499"/>
      <c r="E211" s="499"/>
      <c r="F211" s="483"/>
      <c r="G211" s="499"/>
      <c r="H211" s="483"/>
      <c r="I211" s="483"/>
      <c r="J211" s="483"/>
      <c r="K211" s="483"/>
      <c r="L211" s="483"/>
      <c r="M211" s="483"/>
      <c r="N211" s="52"/>
      <c r="O211" s="483"/>
      <c r="P211" s="483"/>
      <c r="Q211" s="19"/>
      <c r="R211" s="19"/>
      <c r="S211" s="19"/>
    </row>
    <row r="212" spans="1:19">
      <c r="A212" s="493"/>
      <c r="B212" s="18"/>
      <c r="C212" s="18"/>
      <c r="D212" s="19"/>
      <c r="E212" s="18"/>
      <c r="F212" s="24"/>
      <c r="G212" s="18"/>
      <c r="H212" s="18"/>
      <c r="I212" s="18"/>
      <c r="J212" s="18"/>
      <c r="K212" s="18"/>
      <c r="L212" s="18"/>
      <c r="M212" s="19"/>
      <c r="N212" s="488"/>
      <c r="O212" s="19"/>
      <c r="P212" s="19"/>
      <c r="Q212" s="19"/>
      <c r="R212" s="19"/>
    </row>
    <row r="213" spans="1:19">
      <c r="A213" s="479" t="s">
        <v>185</v>
      </c>
      <c r="B213" s="488"/>
      <c r="C213" s="488"/>
      <c r="D213" s="19"/>
      <c r="E213" s="488"/>
      <c r="F213" s="488"/>
      <c r="G213" s="488"/>
      <c r="H213" s="488"/>
      <c r="I213" s="488"/>
      <c r="J213" s="488"/>
      <c r="K213" s="488"/>
      <c r="L213" s="488"/>
      <c r="M213" s="488"/>
      <c r="N213" s="488"/>
      <c r="O213" s="488"/>
      <c r="P213" s="488"/>
      <c r="Q213" s="488"/>
      <c r="R213" s="488"/>
    </row>
    <row r="214" spans="1:19">
      <c r="A214" s="474" t="s">
        <v>22</v>
      </c>
      <c r="B214" s="483"/>
      <c r="C214" s="483"/>
      <c r="D214" s="483"/>
      <c r="E214" s="483"/>
      <c r="F214" s="483"/>
      <c r="G214" s="483"/>
      <c r="H214" s="483"/>
      <c r="I214" s="483"/>
      <c r="J214" s="483"/>
      <c r="K214" s="483"/>
      <c r="L214" s="483"/>
      <c r="M214" s="483"/>
      <c r="N214" s="19"/>
      <c r="O214" s="19"/>
      <c r="P214" s="19"/>
      <c r="Q214" s="19"/>
      <c r="R214" s="19"/>
    </row>
    <row r="215" spans="1:19">
      <c r="A215" s="474" t="s">
        <v>25</v>
      </c>
      <c r="B215" s="483"/>
      <c r="C215" s="483"/>
      <c r="D215" s="483"/>
      <c r="E215" s="483"/>
      <c r="F215" s="483"/>
      <c r="G215" s="483"/>
      <c r="H215" s="483"/>
      <c r="I215" s="483"/>
      <c r="J215" s="483"/>
      <c r="K215" s="483"/>
      <c r="L215" s="483"/>
      <c r="M215" s="483"/>
      <c r="N215" s="19"/>
      <c r="O215" s="19"/>
      <c r="P215" s="19"/>
      <c r="Q215" s="19"/>
      <c r="R215" s="19"/>
    </row>
    <row r="216" spans="1:19">
      <c r="A216" s="474" t="s">
        <v>172</v>
      </c>
      <c r="B216" s="483"/>
      <c r="C216" s="483"/>
      <c r="D216" s="483"/>
      <c r="E216" s="483"/>
      <c r="F216" s="483"/>
      <c r="G216" s="483"/>
      <c r="H216" s="483"/>
      <c r="I216" s="483"/>
      <c r="J216" s="483"/>
      <c r="K216" s="483"/>
      <c r="L216" s="483"/>
      <c r="M216" s="483"/>
      <c r="N216" s="488"/>
      <c r="O216" s="19"/>
      <c r="P216" s="19"/>
      <c r="Q216" s="19"/>
      <c r="R216" s="19"/>
    </row>
    <row r="217" spans="1:19" s="445" customFormat="1">
      <c r="A217" s="478" t="s">
        <v>173</v>
      </c>
      <c r="B217" s="484"/>
      <c r="C217" s="484"/>
      <c r="D217" s="484"/>
      <c r="E217" s="484">
        <f>E202/D202-1</f>
        <v>-1.6732817589413806E-2</v>
      </c>
      <c r="F217" s="484"/>
      <c r="G217" s="484"/>
      <c r="H217" s="484"/>
      <c r="I217" s="484"/>
      <c r="J217" s="484"/>
      <c r="K217" s="484"/>
      <c r="L217" s="484"/>
      <c r="M217" s="484"/>
      <c r="N217" s="494"/>
      <c r="O217" s="23"/>
      <c r="P217" s="23"/>
      <c r="Q217" s="23"/>
      <c r="R217" s="23"/>
    </row>
    <row r="218" spans="1:19" s="492" customFormat="1">
      <c r="A218" s="469" t="s">
        <v>181</v>
      </c>
      <c r="B218" s="483"/>
      <c r="C218" s="483"/>
      <c r="D218" s="483"/>
      <c r="E218" s="483"/>
      <c r="F218" s="483"/>
      <c r="G218" s="483"/>
      <c r="H218" s="483"/>
      <c r="I218" s="483"/>
      <c r="J218" s="483"/>
      <c r="K218" s="483"/>
      <c r="L218" s="483"/>
      <c r="M218" s="483"/>
      <c r="N218" s="52"/>
      <c r="O218" s="52"/>
      <c r="P218" s="52"/>
      <c r="Q218" s="52"/>
      <c r="R218" s="52"/>
      <c r="S218" s="36"/>
    </row>
    <row r="219" spans="1:19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O219" s="151"/>
      <c r="P219" s="151"/>
      <c r="Q219" s="151"/>
      <c r="R219" s="151"/>
    </row>
    <row r="220" spans="1:19" s="445" customFormat="1">
      <c r="A220" s="471" t="s">
        <v>165</v>
      </c>
      <c r="B220" s="472" t="s">
        <v>51</v>
      </c>
      <c r="C220" s="472" t="s">
        <v>52</v>
      </c>
      <c r="D220" s="472" t="s">
        <v>53</v>
      </c>
      <c r="E220" s="472" t="s">
        <v>54</v>
      </c>
      <c r="F220" s="472" t="s">
        <v>55</v>
      </c>
      <c r="G220" s="472" t="s">
        <v>77</v>
      </c>
      <c r="H220" s="472" t="s">
        <v>78</v>
      </c>
      <c r="I220" s="472" t="s">
        <v>79</v>
      </c>
      <c r="J220" s="472" t="s">
        <v>80</v>
      </c>
      <c r="K220" s="472" t="s">
        <v>81</v>
      </c>
      <c r="L220" s="472" t="s">
        <v>82</v>
      </c>
      <c r="M220" s="472" t="s">
        <v>44</v>
      </c>
      <c r="N220" s="473"/>
      <c r="O220" s="473" t="s">
        <v>129</v>
      </c>
      <c r="P220" s="473" t="s">
        <v>130</v>
      </c>
      <c r="Q220" s="473" t="s">
        <v>131</v>
      </c>
      <c r="R220" s="473" t="s">
        <v>132</v>
      </c>
      <c r="S220" s="445" t="s">
        <v>171</v>
      </c>
    </row>
    <row r="221" spans="1:19">
      <c r="A221" s="474" t="s">
        <v>22</v>
      </c>
      <c r="B221" s="15">
        <v>8064.37</v>
      </c>
      <c r="C221" s="15">
        <v>8119.94</v>
      </c>
      <c r="D221" s="15">
        <v>7776.95</v>
      </c>
      <c r="E221" s="15">
        <v>7915.46</v>
      </c>
      <c r="F221" s="15">
        <v>7863.87</v>
      </c>
      <c r="G221" s="15">
        <v>7644.58</v>
      </c>
      <c r="H221" s="15">
        <v>9458.5</v>
      </c>
      <c r="I221" s="15">
        <v>9883.59</v>
      </c>
      <c r="J221" s="15">
        <v>8584.8799999999992</v>
      </c>
      <c r="K221" s="15">
        <v>8964.08</v>
      </c>
      <c r="L221" s="15">
        <v>8318.0499999999993</v>
      </c>
      <c r="M221" s="15">
        <v>8319.7199999999993</v>
      </c>
      <c r="N221" s="15"/>
      <c r="O221" s="15">
        <f>SUM(B221:D221)</f>
        <v>23961.26</v>
      </c>
      <c r="P221" s="15">
        <f>SUM(E221:G221)</f>
        <v>23423.91</v>
      </c>
      <c r="Q221" s="15">
        <f>SUM(H221:J221)</f>
        <v>27926.97</v>
      </c>
      <c r="R221" s="15">
        <f>SUM(K221:M221)</f>
        <v>25601.85</v>
      </c>
      <c r="S221" s="1">
        <f>SUM(O221:R221)</f>
        <v>100913.98999999999</v>
      </c>
    </row>
    <row r="222" spans="1:19" s="33" customFormat="1">
      <c r="A222" s="496" t="s">
        <v>186</v>
      </c>
      <c r="B222" s="32">
        <f>B221/'CAAC Air Industry + domestic'!B21</f>
        <v>0.26374836473050761</v>
      </c>
      <c r="C222" s="32">
        <f>C221/'CAAC Air Industry + domestic'!C21</f>
        <v>0.26120890432992344</v>
      </c>
      <c r="D222" s="32">
        <f>D221/'CAAC Air Industry + domestic'!D21</f>
        <v>0.25711475518233212</v>
      </c>
      <c r="E222" s="32">
        <f>E221/'CAAC Air Industry + domestic'!E21</f>
        <v>0.251964348241286</v>
      </c>
      <c r="F222" s="32">
        <f>F221/'CAAC Air Industry + domestic'!F21</f>
        <v>0.2508971700220145</v>
      </c>
      <c r="G222" s="32">
        <f>G221/'CAAC Air Industry + domestic'!G21</f>
        <v>0.24976573986342993</v>
      </c>
      <c r="H222" s="32">
        <f>H221/'CAAC Air Industry + domestic'!H21</f>
        <v>0.2642334339032294</v>
      </c>
      <c r="I222" s="32">
        <f>I221/'CAAC Air Industry + domestic'!I21</f>
        <v>0.26495429322038444</v>
      </c>
      <c r="J222" s="32">
        <f>J221/'CAAC Air Industry + domestic'!J21</f>
        <v>0.25893949448030401</v>
      </c>
      <c r="K222" s="32">
        <f>K221/'CAAC Air Industry + domestic'!K21</f>
        <v>0.25697560416248605</v>
      </c>
      <c r="L222" s="32">
        <f>L221/'CAAC Air Industry + domestic'!L21</f>
        <v>0.25675371176343487</v>
      </c>
      <c r="M222" s="32">
        <f>M221/'CAAC Air Industry + domestic'!M21</f>
        <v>0.25102495247865309</v>
      </c>
      <c r="N222" s="32"/>
      <c r="O222" s="32">
        <f>O221/'CAAC Air Industry + domestic'!O21</f>
        <v>0.26070635084703347</v>
      </c>
      <c r="P222" s="32">
        <f>P221/'CAAC Air Industry + domestic'!P21</f>
        <v>0.25088534247308947</v>
      </c>
      <c r="Q222" s="32">
        <f>Q221/'CAAC Air Industry + domestic'!Q21</f>
        <v>0.26283464937460588</v>
      </c>
      <c r="R222" s="32">
        <f>R221/'CAAC Air Industry + domestic'!R21</f>
        <v>0.25494010336277545</v>
      </c>
      <c r="S222" s="33">
        <f>S221/'CAAC Air Industry + domestic'!S21</f>
        <v>0.2574664880724582</v>
      </c>
    </row>
    <row r="223" spans="1:19">
      <c r="A223" s="474" t="s">
        <v>25</v>
      </c>
      <c r="B223" s="15">
        <v>6803.3720000000003</v>
      </c>
      <c r="C223" s="15">
        <v>6637.9520000000002</v>
      </c>
      <c r="D223" s="15">
        <v>6591.8249999999998</v>
      </c>
      <c r="E223" s="15">
        <v>6876.1109999999999</v>
      </c>
      <c r="F223" s="15">
        <v>6896.0889999999999</v>
      </c>
      <c r="G223" s="15">
        <v>6613.3239999999996</v>
      </c>
      <c r="H223" s="15">
        <v>7690.2719999999999</v>
      </c>
      <c r="I223" s="15">
        <v>7846.6580000000004</v>
      </c>
      <c r="J223" s="15">
        <v>6989.4650000000001</v>
      </c>
      <c r="K223" s="15">
        <v>7409.4139999999998</v>
      </c>
      <c r="L223" s="15">
        <v>6893.3</v>
      </c>
      <c r="M223" s="15">
        <v>6608.0410000000002</v>
      </c>
      <c r="N223" s="15"/>
      <c r="O223" s="15">
        <f>SUM(B223:D223)</f>
        <v>20033.149000000001</v>
      </c>
      <c r="P223" s="15">
        <f>SUM(E223:G223)</f>
        <v>20385.524000000001</v>
      </c>
      <c r="Q223" s="15">
        <f>SUM(H223:J223)</f>
        <v>22526.395</v>
      </c>
      <c r="R223" s="15">
        <f>SUM(K223:M223)</f>
        <v>20910.755000000001</v>
      </c>
      <c r="S223" s="1">
        <f>SUM(O223:R223)</f>
        <v>83855.823000000004</v>
      </c>
    </row>
    <row r="224" spans="1:19" s="33" customFormat="1">
      <c r="A224" s="496" t="s">
        <v>187</v>
      </c>
      <c r="B224" s="32">
        <f>B223/'CAAC Air Industry + domestic'!B21</f>
        <v>0.22250693354264783</v>
      </c>
      <c r="C224" s="32">
        <f>C223/'CAAC Air Industry + domestic'!C21</f>
        <v>0.21353509618477773</v>
      </c>
      <c r="D224" s="32">
        <f>D223/'CAAC Air Industry + domestic'!D21</f>
        <v>0.21793318345621052</v>
      </c>
      <c r="E224" s="32">
        <f>E223/'CAAC Air Industry + domestic'!E21</f>
        <v>0.21887986630590481</v>
      </c>
      <c r="F224" s="32">
        <f>F223/'CAAC Air Industry + domestic'!F21</f>
        <v>0.22002006827680823</v>
      </c>
      <c r="G224" s="32">
        <f>G223/'CAAC Air Industry + domestic'!G21</f>
        <v>0.2160722710491064</v>
      </c>
      <c r="H224" s="32">
        <f>H223/'CAAC Air Industry + domestic'!H21</f>
        <v>0.21483607106939323</v>
      </c>
      <c r="I224" s="32">
        <f>I223/'CAAC Air Industry + domestic'!I21</f>
        <v>0.21034924804975472</v>
      </c>
      <c r="J224" s="32">
        <f>J223/'CAAC Air Industry + domestic'!J21</f>
        <v>0.21081815165590878</v>
      </c>
      <c r="K224" s="32">
        <f>K223/'CAAC Air Industry + domestic'!K21</f>
        <v>0.21240759109021587</v>
      </c>
      <c r="L224" s="32">
        <f>L223/'CAAC Air Industry + domestic'!L21</f>
        <v>0.21277587430934963</v>
      </c>
      <c r="M224" s="32">
        <f>M223/'CAAC Air Industry + domestic'!M21</f>
        <v>0.19937968801858613</v>
      </c>
      <c r="N224" s="32"/>
      <c r="O224" s="32">
        <f>O223/'CAAC Air Industry + domestic'!O21</f>
        <v>0.21796721757390464</v>
      </c>
      <c r="P224" s="32">
        <f>P223/'CAAC Air Industry + domestic'!P21</f>
        <v>0.21834224816580089</v>
      </c>
      <c r="Q224" s="32">
        <f>Q223/'CAAC Air Industry + domestic'!Q21</f>
        <v>0.21200714332771781</v>
      </c>
      <c r="R224" s="32">
        <f>R223/'CAAC Air Industry + domestic'!R21</f>
        <v>0.20822675084393019</v>
      </c>
      <c r="S224" s="33">
        <f>S223/'CAAC Air Industry + domestic'!S21</f>
        <v>0.21394520474550327</v>
      </c>
    </row>
    <row r="225" spans="1:19">
      <c r="A225" s="474" t="s">
        <v>172</v>
      </c>
      <c r="B225" s="15">
        <v>6853.3</v>
      </c>
      <c r="C225" s="15">
        <v>6775.2</v>
      </c>
      <c r="D225" s="15">
        <v>6549.6</v>
      </c>
      <c r="E225" s="15">
        <v>6752.9</v>
      </c>
      <c r="F225" s="15">
        <v>6603.1</v>
      </c>
      <c r="G225" s="15">
        <v>6610.2</v>
      </c>
      <c r="H225" s="15">
        <v>7341</v>
      </c>
      <c r="I225" s="15">
        <v>7711.6</v>
      </c>
      <c r="J225" s="15">
        <v>6893.3</v>
      </c>
      <c r="K225" s="15">
        <v>7229.5</v>
      </c>
      <c r="L225" s="15">
        <v>6922.8</v>
      </c>
      <c r="M225" s="15">
        <v>6765.8</v>
      </c>
      <c r="N225" s="15"/>
      <c r="O225" s="15">
        <f>SUM(B225:D225)</f>
        <v>20178.099999999999</v>
      </c>
      <c r="P225" s="15">
        <f>SUM(E225:G225)</f>
        <v>19966.2</v>
      </c>
      <c r="Q225" s="15">
        <f>SUM(H225:J225)</f>
        <v>21945.9</v>
      </c>
      <c r="R225" s="15">
        <f>SUM(K225:M225)</f>
        <v>20918.099999999999</v>
      </c>
      <c r="S225" s="1">
        <f>SUM(O225:R225)</f>
        <v>83008.3</v>
      </c>
    </row>
    <row r="226" spans="1:19" s="33" customFormat="1">
      <c r="A226" s="496" t="s">
        <v>188</v>
      </c>
      <c r="B226" s="32">
        <f>B225/'CAAC Air Industry + domestic'!B21</f>
        <v>0.2241398482469911</v>
      </c>
      <c r="C226" s="32">
        <f>C225/'CAAC Air Industry + domestic'!C21</f>
        <v>0.21795020266357845</v>
      </c>
      <c r="D226" s="32">
        <f>D225/'CAAC Air Industry + domestic'!D21</f>
        <v>0.21653717724071811</v>
      </c>
      <c r="E226" s="32">
        <f>E225/'CAAC Air Industry + domestic'!E21</f>
        <v>0.21495782269616423</v>
      </c>
      <c r="F226" s="32">
        <f>F225/'CAAC Air Industry + domestic'!F21</f>
        <v>0.21067223941549948</v>
      </c>
      <c r="G226" s="32">
        <f>G225/'CAAC Air Industry + domestic'!G21</f>
        <v>0.21597020289476263</v>
      </c>
      <c r="H226" s="32">
        <f>H225/'CAAC Air Industry + domestic'!H21</f>
        <v>0.20507877975192759</v>
      </c>
      <c r="I226" s="32">
        <f>I225/'CAAC Air Industry + domestic'!I21</f>
        <v>0.20672868133930247</v>
      </c>
      <c r="J226" s="32">
        <f>J225/'CAAC Air Industry + domestic'!J21</f>
        <v>0.20791759667008505</v>
      </c>
      <c r="K226" s="32">
        <f>K225/'CAAC Air Industry + domestic'!K21</f>
        <v>0.20724994983229653</v>
      </c>
      <c r="L226" s="32">
        <f>L225/'CAAC Air Industry + domestic'!L21</f>
        <v>0.21368645244930087</v>
      </c>
      <c r="M226" s="32">
        <f>M225/'CAAC Air Industry + domestic'!M21</f>
        <v>0.20413963732914944</v>
      </c>
      <c r="N226" s="32"/>
      <c r="O226" s="32">
        <f>O225/'CAAC Air Industry + domestic'!O21</f>
        <v>0.21954433189350334</v>
      </c>
      <c r="P226" s="32">
        <f>P225/'CAAC Air Industry + domestic'!P21</f>
        <v>0.21385101483425267</v>
      </c>
      <c r="Q226" s="32">
        <f>Q225/'CAAC Air Industry + domestic'!Q21</f>
        <v>0.20654381523345225</v>
      </c>
      <c r="R226" s="32">
        <f>R225/'CAAC Air Industry + domestic'!R21</f>
        <v>0.20829989145912786</v>
      </c>
      <c r="S226" s="33">
        <f>S225/'CAAC Air Industry + domestic'!S21</f>
        <v>0.21178288046944765</v>
      </c>
    </row>
    <row r="227" spans="1:19" s="445" customFormat="1">
      <c r="A227" s="478" t="s">
        <v>173</v>
      </c>
      <c r="B227" s="21">
        <f t="shared" ref="B227:M227" si="129">SUM(B221:B225)</f>
        <v>21721.528255298272</v>
      </c>
      <c r="C227" s="21">
        <f t="shared" si="129"/>
        <v>21533.566744000513</v>
      </c>
      <c r="D227" s="21">
        <f t="shared" si="129"/>
        <v>20918.850047938638</v>
      </c>
      <c r="E227" s="21">
        <f t="shared" si="129"/>
        <v>21544.941844214547</v>
      </c>
      <c r="F227" s="21">
        <f t="shared" si="129"/>
        <v>21363.529917238298</v>
      </c>
      <c r="G227" s="21">
        <f t="shared" si="129"/>
        <v>20868.56983801091</v>
      </c>
      <c r="H227" s="21">
        <f t="shared" si="129"/>
        <v>24490.251069504975</v>
      </c>
      <c r="I227" s="21">
        <f t="shared" si="129"/>
        <v>25442.32330354127</v>
      </c>
      <c r="J227" s="21">
        <f t="shared" si="129"/>
        <v>22468.114757646137</v>
      </c>
      <c r="K227" s="21">
        <f t="shared" si="129"/>
        <v>23603.463383195252</v>
      </c>
      <c r="L227" s="21">
        <f t="shared" si="129"/>
        <v>22134.619529586074</v>
      </c>
      <c r="M227" s="21">
        <f t="shared" si="129"/>
        <v>21694.011404640496</v>
      </c>
      <c r="N227" s="21"/>
      <c r="O227" s="21">
        <f>SUM(B227:D227)</f>
        <v>64173.94504723743</v>
      </c>
      <c r="P227" s="21">
        <f>SUM(E227:G227)</f>
        <v>63777.041599463759</v>
      </c>
      <c r="Q227" s="21">
        <f>SUM(H227:J227)</f>
        <v>72400.689130692379</v>
      </c>
      <c r="R227" s="21">
        <f>SUM(K227:M227)</f>
        <v>67432.094317421826</v>
      </c>
      <c r="S227" s="44">
        <f>SUM(O227:R227)</f>
        <v>267783.77009481541</v>
      </c>
    </row>
    <row r="228" spans="1:19" s="492" customFormat="1">
      <c r="A228" s="469" t="s">
        <v>181</v>
      </c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52"/>
      <c r="O228" s="15"/>
      <c r="P228" s="15"/>
      <c r="Q228" s="15"/>
      <c r="R228" s="15"/>
      <c r="S228" s="1"/>
    </row>
    <row r="229" spans="1:19">
      <c r="A229" s="474"/>
      <c r="B229" s="19"/>
      <c r="C229" s="19"/>
      <c r="D229" s="19"/>
      <c r="E229" s="19"/>
      <c r="F229" s="15"/>
      <c r="G229" s="19"/>
      <c r="H229" s="19"/>
      <c r="I229" s="19"/>
      <c r="J229" s="19"/>
      <c r="K229" s="19"/>
      <c r="L229" s="19"/>
      <c r="M229" s="15"/>
      <c r="N229" s="19"/>
      <c r="O229" s="15"/>
      <c r="P229" s="19"/>
      <c r="Q229" s="19"/>
      <c r="R229" s="19"/>
      <c r="S229" s="19"/>
    </row>
    <row r="230" spans="1:19">
      <c r="A230" s="479" t="s">
        <v>184</v>
      </c>
      <c r="B230" s="19"/>
      <c r="C230" s="19"/>
      <c r="D230" s="19"/>
      <c r="E230" s="19"/>
      <c r="F230" s="19"/>
      <c r="G230" s="19"/>
      <c r="H230" s="19"/>
      <c r="I230" s="483"/>
      <c r="J230" s="19"/>
      <c r="K230" s="19"/>
      <c r="L230" s="19"/>
      <c r="M230" s="15"/>
      <c r="N230" s="19"/>
      <c r="O230" s="488"/>
      <c r="P230" s="19"/>
      <c r="Q230" s="19"/>
      <c r="R230" s="19"/>
      <c r="S230" s="19"/>
    </row>
    <row r="231" spans="1:19">
      <c r="A231" s="474" t="s">
        <v>22</v>
      </c>
      <c r="B231" s="24">
        <f t="shared" ref="B231:M231" si="130">B221/B245-1</f>
        <v>0.18391366517803398</v>
      </c>
      <c r="C231" s="24">
        <f t="shared" si="130"/>
        <v>0.11207985121028585</v>
      </c>
      <c r="D231" s="24">
        <f t="shared" si="130"/>
        <v>2.8529749789386161E-2</v>
      </c>
      <c r="E231" s="24">
        <f t="shared" si="130"/>
        <v>8.0409753833764475E-2</v>
      </c>
      <c r="F231" s="24">
        <f t="shared" si="130"/>
        <v>6.6372767448514614E-2</v>
      </c>
      <c r="G231" s="24">
        <f t="shared" si="130"/>
        <v>2.9621598324500287E-2</v>
      </c>
      <c r="H231" s="24">
        <f t="shared" si="130"/>
        <v>0.10261159884219073</v>
      </c>
      <c r="I231" s="24">
        <f t="shared" si="130"/>
        <v>8.1457336248268453E-2</v>
      </c>
      <c r="J231" s="24">
        <f t="shared" si="130"/>
        <v>9.2864899132951928E-2</v>
      </c>
      <c r="K231" s="24">
        <f t="shared" si="130"/>
        <v>0.10565551811413654</v>
      </c>
      <c r="L231" s="24">
        <f t="shared" si="130"/>
        <v>0.14996771870061876</v>
      </c>
      <c r="M231" s="24">
        <f t="shared" si="130"/>
        <v>0.17637111233025471</v>
      </c>
      <c r="N231" s="483"/>
      <c r="O231" s="483">
        <f>O221/O245-1</f>
        <v>0.10550819560191416</v>
      </c>
      <c r="P231" s="483">
        <f>P221/P245-1</f>
        <v>5.8688177981786493E-2</v>
      </c>
      <c r="Q231" s="483">
        <f>Q221/Q245-1</f>
        <v>9.2057576800350427E-2</v>
      </c>
      <c r="R231" s="483">
        <f>R221/R245-1</f>
        <v>0.14227017823927302</v>
      </c>
      <c r="S231" s="483">
        <f>S221/S245-1</f>
        <v>9.9451363757148803E-2</v>
      </c>
    </row>
    <row r="232" spans="1:19">
      <c r="A232" s="474" t="s">
        <v>175</v>
      </c>
      <c r="B232" s="24">
        <f t="shared" ref="B232:M232" si="131">B223/B246-1</f>
        <v>0.19643287996933023</v>
      </c>
      <c r="C232" s="24">
        <f t="shared" si="131"/>
        <v>4.8908103734885744E-2</v>
      </c>
      <c r="D232" s="24">
        <f t="shared" si="131"/>
        <v>1.1646210929844525E-2</v>
      </c>
      <c r="E232" s="24">
        <f t="shared" si="131"/>
        <v>6.8397963426450437E-2</v>
      </c>
      <c r="F232" s="24">
        <f t="shared" si="131"/>
        <v>8.323065603723645E-2</v>
      </c>
      <c r="G232" s="24">
        <f t="shared" si="131"/>
        <v>2.3324243581016812E-2</v>
      </c>
      <c r="H232" s="24">
        <f t="shared" si="131"/>
        <v>3.6327031142614485E-2</v>
      </c>
      <c r="I232" s="24">
        <f t="shared" si="131"/>
        <v>9.1269070654824702E-3</v>
      </c>
      <c r="J232" s="24">
        <f t="shared" si="131"/>
        <v>2.9691868745045369E-2</v>
      </c>
      <c r="K232" s="24">
        <f t="shared" si="131"/>
        <v>5.2704008079041076E-2</v>
      </c>
      <c r="L232" s="24">
        <f t="shared" si="131"/>
        <v>8.8832239151679815E-2</v>
      </c>
      <c r="M232" s="24">
        <f t="shared" si="131"/>
        <v>9.9918888143370799E-2</v>
      </c>
      <c r="N232" s="483"/>
      <c r="O232" s="483">
        <f>O223/O246-1</f>
        <v>8.1075470249222015E-2</v>
      </c>
      <c r="P232" s="483">
        <f>P223/P246-1</f>
        <v>5.8179041367897311E-2</v>
      </c>
      <c r="Q232" s="483">
        <f>Q223/Q246-1</f>
        <v>2.4657859385073255E-2</v>
      </c>
      <c r="R232" s="483">
        <f>R223/R246-1</f>
        <v>7.914652758306806E-2</v>
      </c>
      <c r="S232" s="483">
        <f>S223/S246-1</f>
        <v>5.936197965883272E-2</v>
      </c>
    </row>
    <row r="233" spans="1:19">
      <c r="A233" s="474" t="s">
        <v>172</v>
      </c>
      <c r="B233" s="24">
        <f t="shared" ref="B233:M233" si="132">B225/B247-1</f>
        <v>0.17616873755749296</v>
      </c>
      <c r="C233" s="24">
        <f t="shared" si="132"/>
        <v>8.5978072706289543E-2</v>
      </c>
      <c r="D233" s="24">
        <f t="shared" si="132"/>
        <v>1.0366530914476257E-2</v>
      </c>
      <c r="E233" s="24">
        <f t="shared" si="132"/>
        <v>6.8818157357433352E-2</v>
      </c>
      <c r="F233" s="24">
        <f t="shared" si="132"/>
        <v>5.2723040622409512E-2</v>
      </c>
      <c r="G233" s="24">
        <f t="shared" si="132"/>
        <v>4.7359498043192394E-2</v>
      </c>
      <c r="H233" s="24">
        <f t="shared" si="132"/>
        <v>5.5135539138183809E-2</v>
      </c>
      <c r="I233" s="24">
        <f t="shared" si="132"/>
        <v>4.0350758853288315E-2</v>
      </c>
      <c r="J233" s="24">
        <f t="shared" si="132"/>
        <v>3.9556627959583812E-2</v>
      </c>
      <c r="K233" s="24">
        <f t="shared" si="132"/>
        <v>5.5078005283051956E-2</v>
      </c>
      <c r="L233" s="24">
        <f t="shared" si="132"/>
        <v>0.12846593965475095</v>
      </c>
      <c r="M233" s="24">
        <f t="shared" si="132"/>
        <v>8.4349707508614591E-2</v>
      </c>
      <c r="N233" s="483"/>
      <c r="O233" s="483">
        <f>O225/O247-1</f>
        <v>8.7885486305801175E-2</v>
      </c>
      <c r="P233" s="483">
        <f>P225/P247-1</f>
        <v>5.6312097260578398E-2</v>
      </c>
      <c r="Q233" s="483">
        <f>Q225/Q247-1</f>
        <v>4.4998071511221038E-2</v>
      </c>
      <c r="R233" s="483">
        <f>R225/R247-1</f>
        <v>8.79940498171774E-2</v>
      </c>
      <c r="S233" s="483">
        <f>S225/S247-1</f>
        <v>6.8634216048508501E-2</v>
      </c>
    </row>
    <row r="234" spans="1:19" s="497" customFormat="1">
      <c r="A234" s="498" t="s">
        <v>173</v>
      </c>
      <c r="B234" s="499">
        <f t="shared" ref="B234:M234" si="133">B227/B248-1</f>
        <v>0.18536236440770271</v>
      </c>
      <c r="C234" s="499">
        <f t="shared" si="133"/>
        <v>8.3786895447264254E-2</v>
      </c>
      <c r="D234" s="499">
        <f t="shared" si="133"/>
        <v>1.7475125472651731E-2</v>
      </c>
      <c r="E234" s="499">
        <f t="shared" si="133"/>
        <v>7.293614208544219E-2</v>
      </c>
      <c r="F234" s="499">
        <f t="shared" si="133"/>
        <v>6.7480818612425164E-2</v>
      </c>
      <c r="G234" s="499">
        <f t="shared" si="133"/>
        <v>3.3172242705816979E-2</v>
      </c>
      <c r="H234" s="499">
        <f t="shared" si="133"/>
        <v>6.6817230664298011E-2</v>
      </c>
      <c r="I234" s="499">
        <f t="shared" si="133"/>
        <v>4.5832950165154651E-2</v>
      </c>
      <c r="J234" s="499">
        <f t="shared" si="133"/>
        <v>5.6114901670655248E-2</v>
      </c>
      <c r="K234" s="499">
        <f t="shared" si="133"/>
        <v>7.2980340801980459E-2</v>
      </c>
      <c r="L234" s="499">
        <f t="shared" si="133"/>
        <v>0.12364743239158726</v>
      </c>
      <c r="M234" s="499">
        <f t="shared" si="133"/>
        <v>0.12290092998449298</v>
      </c>
      <c r="N234" s="499"/>
      <c r="O234" s="484">
        <f>O227/O248-1</f>
        <v>9.2263179914156446E-2</v>
      </c>
      <c r="P234" s="484">
        <f>P227/P248-1</f>
        <v>5.7803930669657388E-2</v>
      </c>
      <c r="Q234" s="484">
        <f>Q227/Q248-1</f>
        <v>5.6050054351671541E-2</v>
      </c>
      <c r="R234" s="484">
        <f>R227/R248-1</f>
        <v>0.10514427646251701</v>
      </c>
      <c r="S234" s="484">
        <f>S227/S248-1</f>
        <v>7.7081942751481058E-2</v>
      </c>
    </row>
    <row r="235" spans="1:19" s="492" customFormat="1">
      <c r="A235" s="469" t="s">
        <v>181</v>
      </c>
      <c r="B235" s="483"/>
      <c r="C235" s="483"/>
      <c r="D235" s="499"/>
      <c r="E235" s="499"/>
      <c r="F235" s="483"/>
      <c r="G235" s="499"/>
      <c r="H235" s="483"/>
      <c r="I235" s="483"/>
      <c r="J235" s="483"/>
      <c r="K235" s="483"/>
      <c r="L235" s="483"/>
      <c r="M235" s="483"/>
      <c r="N235" s="52"/>
      <c r="O235" s="483"/>
      <c r="P235" s="483"/>
      <c r="Q235" s="19"/>
      <c r="R235" s="19"/>
      <c r="S235" s="19"/>
    </row>
    <row r="236" spans="1:19">
      <c r="A236" s="493"/>
      <c r="B236" s="18"/>
      <c r="C236" s="18"/>
      <c r="D236" s="19"/>
      <c r="E236" s="18"/>
      <c r="F236" s="24"/>
      <c r="G236" s="18"/>
      <c r="H236" s="18"/>
      <c r="I236" s="18"/>
      <c r="J236" s="18"/>
      <c r="K236" s="18"/>
      <c r="L236" s="18"/>
      <c r="M236" s="19"/>
      <c r="N236" s="488"/>
      <c r="O236" s="19"/>
      <c r="P236" s="19"/>
      <c r="Q236" s="19"/>
      <c r="R236" s="19"/>
    </row>
    <row r="237" spans="1:19">
      <c r="A237" s="479" t="s">
        <v>185</v>
      </c>
      <c r="B237" s="488"/>
      <c r="C237" s="488"/>
      <c r="D237" s="19"/>
      <c r="E237" s="488"/>
      <c r="F237" s="488"/>
      <c r="G237" s="488"/>
      <c r="H237" s="488"/>
      <c r="I237" s="488"/>
      <c r="J237" s="488"/>
      <c r="K237" s="488"/>
      <c r="L237" s="488"/>
      <c r="M237" s="488"/>
      <c r="N237" s="488"/>
      <c r="O237" s="488"/>
      <c r="P237" s="488"/>
      <c r="Q237" s="488"/>
      <c r="R237" s="488"/>
    </row>
    <row r="238" spans="1:19">
      <c r="A238" s="474" t="s">
        <v>22</v>
      </c>
      <c r="B238" s="483"/>
      <c r="C238" s="483"/>
      <c r="D238" s="483"/>
      <c r="E238" s="483"/>
      <c r="F238" s="483"/>
      <c r="G238" s="483"/>
      <c r="H238" s="483"/>
      <c r="I238" s="483"/>
      <c r="J238" s="483"/>
      <c r="K238" s="483"/>
      <c r="L238" s="483"/>
      <c r="M238" s="483"/>
      <c r="N238" s="19"/>
      <c r="O238" s="19"/>
      <c r="P238" s="19"/>
      <c r="Q238" s="19"/>
      <c r="R238" s="19"/>
    </row>
    <row r="239" spans="1:19">
      <c r="A239" s="474" t="s">
        <v>25</v>
      </c>
      <c r="B239" s="483"/>
      <c r="C239" s="483"/>
      <c r="D239" s="483"/>
      <c r="E239" s="483"/>
      <c r="F239" s="483"/>
      <c r="G239" s="483"/>
      <c r="H239" s="483"/>
      <c r="I239" s="483"/>
      <c r="J239" s="483"/>
      <c r="K239" s="483"/>
      <c r="L239" s="483"/>
      <c r="M239" s="483"/>
      <c r="N239" s="19"/>
      <c r="O239" s="19"/>
      <c r="P239" s="19"/>
      <c r="Q239" s="19"/>
      <c r="R239" s="19"/>
    </row>
    <row r="240" spans="1:19">
      <c r="A240" s="474" t="s">
        <v>172</v>
      </c>
      <c r="B240" s="483"/>
      <c r="C240" s="483"/>
      <c r="D240" s="483"/>
      <c r="E240" s="483"/>
      <c r="F240" s="483"/>
      <c r="G240" s="483"/>
      <c r="H240" s="483"/>
      <c r="I240" s="483"/>
      <c r="J240" s="483"/>
      <c r="K240" s="483"/>
      <c r="L240" s="483"/>
      <c r="M240" s="483"/>
      <c r="N240" s="488"/>
      <c r="O240" s="19"/>
      <c r="P240" s="19"/>
      <c r="Q240" s="19"/>
      <c r="R240" s="19"/>
    </row>
    <row r="241" spans="1:19" s="445" customFormat="1">
      <c r="A241" s="478" t="s">
        <v>173</v>
      </c>
      <c r="B241" s="484"/>
      <c r="C241" s="484"/>
      <c r="D241" s="484"/>
      <c r="E241" s="484"/>
      <c r="F241" s="484"/>
      <c r="G241" s="484"/>
      <c r="H241" s="484"/>
      <c r="I241" s="484"/>
      <c r="J241" s="484"/>
      <c r="K241" s="484"/>
      <c r="L241" s="484"/>
      <c r="M241" s="484"/>
      <c r="N241" s="494"/>
      <c r="O241" s="23"/>
      <c r="P241" s="23"/>
      <c r="Q241" s="23"/>
      <c r="R241" s="23"/>
    </row>
    <row r="242" spans="1:19" s="492" customFormat="1">
      <c r="A242" s="469" t="s">
        <v>181</v>
      </c>
      <c r="B242" s="483"/>
      <c r="C242" s="483"/>
      <c r="D242" s="483"/>
      <c r="E242" s="483"/>
      <c r="F242" s="483"/>
      <c r="G242" s="483"/>
      <c r="H242" s="483"/>
      <c r="I242" s="483"/>
      <c r="J242" s="483"/>
      <c r="K242" s="483"/>
      <c r="L242" s="483"/>
      <c r="M242" s="483"/>
      <c r="N242" s="52"/>
      <c r="O242" s="52"/>
      <c r="P242" s="52"/>
      <c r="Q242" s="52"/>
      <c r="R242" s="52"/>
      <c r="S242" s="36"/>
    </row>
    <row r="243" spans="1:19"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O243" s="151"/>
      <c r="P243" s="151"/>
      <c r="Q243" s="151"/>
      <c r="R243" s="151"/>
    </row>
    <row r="244" spans="1:19" s="445" customFormat="1">
      <c r="A244" s="500">
        <v>2013</v>
      </c>
      <c r="B244" s="472" t="s">
        <v>51</v>
      </c>
      <c r="C244" s="472" t="s">
        <v>52</v>
      </c>
      <c r="D244" s="472" t="s">
        <v>53</v>
      </c>
      <c r="E244" s="472" t="s">
        <v>54</v>
      </c>
      <c r="F244" s="472" t="s">
        <v>55</v>
      </c>
      <c r="G244" s="472" t="s">
        <v>77</v>
      </c>
      <c r="H244" s="472" t="s">
        <v>78</v>
      </c>
      <c r="I244" s="472" t="s">
        <v>79</v>
      </c>
      <c r="J244" s="472" t="s">
        <v>80</v>
      </c>
      <c r="K244" s="472" t="s">
        <v>81</v>
      </c>
      <c r="L244" s="472" t="s">
        <v>82</v>
      </c>
      <c r="M244" s="472" t="s">
        <v>44</v>
      </c>
      <c r="N244" s="473" t="s">
        <v>133</v>
      </c>
      <c r="O244" s="473" t="s">
        <v>129</v>
      </c>
      <c r="P244" s="473" t="s">
        <v>130</v>
      </c>
      <c r="Q244" s="473" t="s">
        <v>131</v>
      </c>
      <c r="R244" s="473" t="s">
        <v>132</v>
      </c>
      <c r="S244" s="445" t="s">
        <v>171</v>
      </c>
    </row>
    <row r="245" spans="1:19">
      <c r="A245" s="474" t="s">
        <v>22</v>
      </c>
      <c r="B245" s="15">
        <v>6811.62</v>
      </c>
      <c r="C245" s="15">
        <v>7301.58</v>
      </c>
      <c r="D245" s="15">
        <v>7561.23</v>
      </c>
      <c r="E245" s="15">
        <v>7326.35</v>
      </c>
      <c r="F245" s="15">
        <v>7374.41</v>
      </c>
      <c r="G245" s="15">
        <v>7424.65</v>
      </c>
      <c r="H245" s="15">
        <v>8578.27</v>
      </c>
      <c r="I245" s="15">
        <v>9139.14</v>
      </c>
      <c r="J245" s="15">
        <v>7855.39</v>
      </c>
      <c r="K245" s="15">
        <v>8107.48</v>
      </c>
      <c r="L245" s="15">
        <v>7233.29</v>
      </c>
      <c r="M245" s="15">
        <v>7072.36</v>
      </c>
      <c r="N245" s="15"/>
      <c r="O245" s="15">
        <f>SUM(B245:D245)</f>
        <v>21674.43</v>
      </c>
      <c r="P245" s="15">
        <f>SUM(E245:G245)</f>
        <v>22125.41</v>
      </c>
      <c r="Q245" s="15">
        <f>SUM(H245:J245)</f>
        <v>25572.799999999999</v>
      </c>
      <c r="R245" s="15">
        <f>SUM(K245:M245)</f>
        <v>22413.13</v>
      </c>
      <c r="S245" s="1">
        <f>SUM(O245:R245)</f>
        <v>91785.77</v>
      </c>
    </row>
    <row r="246" spans="1:19">
      <c r="A246" s="474" t="s">
        <v>25</v>
      </c>
      <c r="B246" s="15">
        <v>5686.38</v>
      </c>
      <c r="C246" s="15">
        <v>6328.44</v>
      </c>
      <c r="D246" s="15">
        <v>6515.9390000000003</v>
      </c>
      <c r="E246" s="15">
        <v>6435.9080000000004</v>
      </c>
      <c r="F246" s="15">
        <v>6366.2240000000002</v>
      </c>
      <c r="G246" s="15">
        <v>6462.5889999999999</v>
      </c>
      <c r="H246" s="15">
        <v>7420.7</v>
      </c>
      <c r="I246" s="15">
        <v>7775.69</v>
      </c>
      <c r="J246" s="15">
        <v>6787.9189999999999</v>
      </c>
      <c r="K246" s="15">
        <v>7038.4589999999998</v>
      </c>
      <c r="L246" s="15">
        <v>6330.9110000000001</v>
      </c>
      <c r="M246" s="15">
        <v>6007.7529999999997</v>
      </c>
      <c r="N246" s="15"/>
      <c r="O246" s="15">
        <f>SUM(B246:D246)</f>
        <v>18530.758999999998</v>
      </c>
      <c r="P246" s="15">
        <f>SUM(E246:G246)</f>
        <v>19264.721000000001</v>
      </c>
      <c r="Q246" s="15">
        <f>SUM(H246:J246)</f>
        <v>21984.309000000001</v>
      </c>
      <c r="R246" s="15">
        <f>SUM(K246:M246)</f>
        <v>19377.123</v>
      </c>
      <c r="S246" s="1">
        <f>SUM(O246:R246)</f>
        <v>79156.911999999997</v>
      </c>
    </row>
    <row r="247" spans="1:19">
      <c r="A247" s="474" t="s">
        <v>172</v>
      </c>
      <c r="B247" s="15">
        <f>12065.6-C247</f>
        <v>5826.8</v>
      </c>
      <c r="C247" s="15">
        <v>6238.8</v>
      </c>
      <c r="D247" s="15">
        <v>6482.4</v>
      </c>
      <c r="E247" s="15">
        <v>6318.1</v>
      </c>
      <c r="F247" s="15">
        <v>6272.4</v>
      </c>
      <c r="G247" s="15">
        <v>6311.3</v>
      </c>
      <c r="H247" s="15">
        <v>6957.4</v>
      </c>
      <c r="I247" s="15">
        <v>7412.5</v>
      </c>
      <c r="J247" s="15">
        <v>6631</v>
      </c>
      <c r="K247" s="15">
        <v>6852.1</v>
      </c>
      <c r="L247" s="15">
        <v>6134.7</v>
      </c>
      <c r="M247" s="15">
        <v>6239.5</v>
      </c>
      <c r="N247" s="15"/>
      <c r="O247" s="15">
        <f>SUM(B247:D247)</f>
        <v>18548</v>
      </c>
      <c r="P247" s="15">
        <f>SUM(E247:G247)</f>
        <v>18901.8</v>
      </c>
      <c r="Q247" s="15">
        <f>SUM(H247:J247)</f>
        <v>21000.9</v>
      </c>
      <c r="R247" s="15">
        <f>SUM(K247:M247)</f>
        <v>19226.3</v>
      </c>
      <c r="S247" s="1">
        <f>SUM(O247:R247)</f>
        <v>77677</v>
      </c>
    </row>
    <row r="248" spans="1:19" s="445" customFormat="1">
      <c r="A248" s="478" t="s">
        <v>173</v>
      </c>
      <c r="B248" s="21">
        <f t="shared" ref="B248:M248" si="134">SUM(B245:B247)</f>
        <v>18324.8</v>
      </c>
      <c r="C248" s="21">
        <f t="shared" si="134"/>
        <v>19868.82</v>
      </c>
      <c r="D248" s="21">
        <f t="shared" si="134"/>
        <v>20559.569</v>
      </c>
      <c r="E248" s="21">
        <f t="shared" si="134"/>
        <v>20080.358</v>
      </c>
      <c r="F248" s="21">
        <f t="shared" si="134"/>
        <v>20013.034</v>
      </c>
      <c r="G248" s="21">
        <f t="shared" si="134"/>
        <v>20198.539000000001</v>
      </c>
      <c r="H248" s="21">
        <f t="shared" si="134"/>
        <v>22956.370000000003</v>
      </c>
      <c r="I248" s="21">
        <f t="shared" si="134"/>
        <v>24327.329999999998</v>
      </c>
      <c r="J248" s="21">
        <f t="shared" si="134"/>
        <v>21274.309000000001</v>
      </c>
      <c r="K248" s="21">
        <f t="shared" si="134"/>
        <v>21998.038999999997</v>
      </c>
      <c r="L248" s="21">
        <f t="shared" si="134"/>
        <v>19698.901000000002</v>
      </c>
      <c r="M248" s="21">
        <f t="shared" si="134"/>
        <v>19319.612999999998</v>
      </c>
      <c r="N248" s="21"/>
      <c r="O248" s="21">
        <f>SUM(B248:D248)</f>
        <v>58753.188999999998</v>
      </c>
      <c r="P248" s="21">
        <f>SUM(E248:G248)</f>
        <v>60291.930999999997</v>
      </c>
      <c r="Q248" s="21">
        <f>SUM(H248:J248)</f>
        <v>68558.008999999991</v>
      </c>
      <c r="R248" s="21">
        <f>SUM(K248:M248)</f>
        <v>61016.553</v>
      </c>
      <c r="S248" s="44">
        <f>SUM(O248:R248)</f>
        <v>248619.68199999997</v>
      </c>
    </row>
    <row r="249" spans="1:19" s="492" customFormat="1">
      <c r="A249" s="469" t="s">
        <v>181</v>
      </c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52"/>
      <c r="O249" s="15"/>
      <c r="P249" s="15"/>
      <c r="Q249" s="15"/>
      <c r="R249" s="15"/>
      <c r="S249" s="1"/>
    </row>
    <row r="250" spans="1:19">
      <c r="A250" s="474"/>
      <c r="B250" s="19"/>
      <c r="C250" s="19"/>
      <c r="D250" s="19"/>
      <c r="E250" s="19"/>
      <c r="F250" s="15"/>
      <c r="G250" s="19"/>
      <c r="H250" s="19">
        <f>SUM(H248:I248)/SUM(H269:I269)-1</f>
        <v>7.0374440777530189E-2</v>
      </c>
      <c r="I250" s="19"/>
      <c r="J250" s="19"/>
      <c r="K250" s="19"/>
      <c r="L250" s="19"/>
      <c r="M250" s="15"/>
      <c r="N250" s="19"/>
      <c r="O250" s="15"/>
      <c r="P250" s="19"/>
      <c r="Q250" s="19"/>
      <c r="R250" s="19"/>
      <c r="S250" s="19"/>
    </row>
    <row r="251" spans="1:19">
      <c r="A251" s="479" t="s">
        <v>184</v>
      </c>
      <c r="B251" s="19"/>
      <c r="C251" s="19"/>
      <c r="D251" s="19"/>
      <c r="E251" s="19"/>
      <c r="F251" s="19"/>
      <c r="G251" s="19"/>
      <c r="H251" s="19"/>
      <c r="I251" s="483"/>
      <c r="J251" s="19"/>
      <c r="K251" s="19"/>
      <c r="L251" s="19"/>
      <c r="M251" s="15"/>
      <c r="N251" s="19"/>
      <c r="O251" s="488"/>
      <c r="P251" s="19"/>
      <c r="Q251" s="19"/>
      <c r="R251" s="19"/>
      <c r="S251" s="19"/>
    </row>
    <row r="252" spans="1:19">
      <c r="A252" s="474" t="s">
        <v>22</v>
      </c>
      <c r="B252" s="483">
        <f t="shared" ref="B252:M252" si="135">B245/B266-1</f>
        <v>-5.0755104287587671E-2</v>
      </c>
      <c r="C252" s="483">
        <f t="shared" si="135"/>
        <v>0.14247848537005159</v>
      </c>
      <c r="D252" s="483">
        <f t="shared" si="135"/>
        <v>0.10554804184608169</v>
      </c>
      <c r="E252" s="483">
        <f t="shared" si="135"/>
        <v>2.630930134173104E-2</v>
      </c>
      <c r="F252" s="483">
        <f t="shared" si="135"/>
        <v>7.1349601716620858E-2</v>
      </c>
      <c r="G252" s="483">
        <f t="shared" si="135"/>
        <v>9.5472130170355829E-2</v>
      </c>
      <c r="H252" s="483">
        <f t="shared" si="135"/>
        <v>5.2569130191512992E-2</v>
      </c>
      <c r="I252" s="483">
        <f t="shared" si="135"/>
        <v>0.10194292990067111</v>
      </c>
      <c r="J252" s="483">
        <f t="shared" si="135"/>
        <v>6.3247569405436632E-2</v>
      </c>
      <c r="K252" s="483">
        <f t="shared" si="135"/>
        <v>6.4834564424784302E-2</v>
      </c>
      <c r="L252" s="483">
        <f t="shared" si="135"/>
        <v>4.2514675763982712E-2</v>
      </c>
      <c r="M252" s="483">
        <f t="shared" si="135"/>
        <v>2.5865820331764766E-2</v>
      </c>
      <c r="N252" s="483"/>
      <c r="O252" s="483">
        <f t="shared" ref="O252:S255" si="136">O245/O266-1</f>
        <v>6.215028976515935E-2</v>
      </c>
      <c r="P252" s="483">
        <f t="shared" si="136"/>
        <v>6.3751808344563621E-2</v>
      </c>
      <c r="Q252" s="483">
        <f t="shared" si="136"/>
        <v>7.3062206036436317E-2</v>
      </c>
      <c r="R252" s="483">
        <f t="shared" si="136"/>
        <v>4.508679630274659E-2</v>
      </c>
      <c r="S252" s="483">
        <f t="shared" si="136"/>
        <v>6.1310963874103619E-2</v>
      </c>
    </row>
    <row r="253" spans="1:19">
      <c r="A253" s="474" t="s">
        <v>175</v>
      </c>
      <c r="B253" s="483">
        <f t="shared" ref="B253:M253" si="137">B246/B267-1</f>
        <v>-2.392159212021272E-2</v>
      </c>
      <c r="C253" s="483">
        <f t="shared" si="137"/>
        <v>0.22312543643775173</v>
      </c>
      <c r="D253" s="483">
        <f t="shared" si="137"/>
        <v>0.13814136770380103</v>
      </c>
      <c r="E253" s="483">
        <f t="shared" si="137"/>
        <v>5.9016321688868834E-2</v>
      </c>
      <c r="F253" s="483">
        <f t="shared" si="137"/>
        <v>7.9600890715708195E-2</v>
      </c>
      <c r="G253" s="483">
        <f t="shared" si="137"/>
        <v>9.4764194004620217E-2</v>
      </c>
      <c r="H253" s="483">
        <f t="shared" si="137"/>
        <v>5.4665009871273318E-2</v>
      </c>
      <c r="I253" s="483">
        <f t="shared" si="137"/>
        <v>8.6797428592912951E-2</v>
      </c>
      <c r="J253" s="483">
        <f t="shared" si="137"/>
        <v>6.2620863215988143E-2</v>
      </c>
      <c r="K253" s="483">
        <f t="shared" si="137"/>
        <v>7.7640314531639776E-2</v>
      </c>
      <c r="L253" s="483">
        <f t="shared" si="137"/>
        <v>0.10513487338687511</v>
      </c>
      <c r="M253" s="483">
        <f t="shared" si="137"/>
        <v>7.3488950364104078E-2</v>
      </c>
      <c r="N253" s="483"/>
      <c r="O253" s="483">
        <f t="shared" si="136"/>
        <v>0.10798077011614238</v>
      </c>
      <c r="P253" s="483">
        <f t="shared" si="136"/>
        <v>7.7610322968378886E-2</v>
      </c>
      <c r="Q253" s="483">
        <f t="shared" si="136"/>
        <v>6.8306252040341908E-2</v>
      </c>
      <c r="R253" s="483">
        <f t="shared" si="136"/>
        <v>8.5159898362878961E-2</v>
      </c>
      <c r="S253" s="483">
        <f t="shared" si="136"/>
        <v>8.3789136517836038E-2</v>
      </c>
    </row>
    <row r="254" spans="1:19">
      <c r="A254" s="474" t="s">
        <v>172</v>
      </c>
      <c r="B254" s="483">
        <f>B247/B268-1</f>
        <v>-1.8836304091948475E-2</v>
      </c>
      <c r="C254" s="483">
        <v>0.14599999999999999</v>
      </c>
      <c r="D254" s="24">
        <v>0.125</v>
      </c>
      <c r="E254" s="24">
        <v>8.2000000000000003E-2</v>
      </c>
      <c r="F254" s="24">
        <v>7.1999999999999995E-2</v>
      </c>
      <c r="G254" s="483">
        <v>6.7000000000000004E-2</v>
      </c>
      <c r="H254" s="483">
        <v>3.9E-2</v>
      </c>
      <c r="I254" s="483">
        <v>8.3000000000000004E-2</v>
      </c>
      <c r="J254" s="483">
        <v>7.6999999999999999E-2</v>
      </c>
      <c r="K254" s="24">
        <v>9.6000000000000002E-2</v>
      </c>
      <c r="L254" s="24">
        <v>4.3999999999999997E-2</v>
      </c>
      <c r="M254" s="24">
        <v>6.8000000000000005E-2</v>
      </c>
      <c r="N254" s="483"/>
      <c r="O254" s="483">
        <f t="shared" si="136"/>
        <v>8.1845645107708753E-2</v>
      </c>
      <c r="P254" s="483">
        <f t="shared" si="136"/>
        <v>7.3636874178247602E-2</v>
      </c>
      <c r="Q254" s="483">
        <f t="shared" si="136"/>
        <v>6.6166643373989142E-2</v>
      </c>
      <c r="R254" s="483">
        <f t="shared" si="136"/>
        <v>6.9893461705546445E-2</v>
      </c>
      <c r="S254" s="483">
        <f t="shared" si="136"/>
        <v>7.2619473779812038E-2</v>
      </c>
    </row>
    <row r="255" spans="1:19" s="497" customFormat="1">
      <c r="A255" s="498" t="s">
        <v>173</v>
      </c>
      <c r="B255" s="499">
        <f>B248/B269-1</f>
        <v>-3.2493445944430821E-2</v>
      </c>
      <c r="C255" s="499">
        <f t="shared" ref="C255:M255" si="138">C248/C269-1</f>
        <v>0.16813774924202041</v>
      </c>
      <c r="D255" s="499">
        <f t="shared" si="138"/>
        <v>0.1218459153803424</v>
      </c>
      <c r="E255" s="499">
        <f t="shared" si="138"/>
        <v>5.3806565978447018E-2</v>
      </c>
      <c r="F255" s="499">
        <f t="shared" si="138"/>
        <v>7.416541073634253E-2</v>
      </c>
      <c r="G255" s="499">
        <f t="shared" si="138"/>
        <v>8.6190893844624084E-2</v>
      </c>
      <c r="H255" s="499">
        <f t="shared" si="138"/>
        <v>4.9090703986611084E-2</v>
      </c>
      <c r="I255" s="499">
        <f t="shared" si="138"/>
        <v>9.126616577883051E-2</v>
      </c>
      <c r="J255" s="499">
        <f t="shared" si="138"/>
        <v>6.7294603077595827E-2</v>
      </c>
      <c r="K255" s="499">
        <f t="shared" si="138"/>
        <v>7.8487604818612944E-2</v>
      </c>
      <c r="L255" s="499">
        <f t="shared" si="138"/>
        <v>6.2331007716246223E-2</v>
      </c>
      <c r="M255" s="499">
        <f t="shared" si="138"/>
        <v>5.383103687273505E-2</v>
      </c>
      <c r="N255" s="499"/>
      <c r="O255" s="484">
        <f t="shared" si="136"/>
        <v>8.2494145041652311E-2</v>
      </c>
      <c r="P255" s="484">
        <f t="shared" si="136"/>
        <v>7.1245896582317947E-2</v>
      </c>
      <c r="Q255" s="484">
        <f t="shared" si="136"/>
        <v>6.9416832703190545E-2</v>
      </c>
      <c r="R255" s="484">
        <f t="shared" si="136"/>
        <v>6.5364206393470736E-2</v>
      </c>
      <c r="S255" s="484">
        <f t="shared" si="136"/>
        <v>7.1920161588068243E-2</v>
      </c>
    </row>
    <row r="256" spans="1:19" s="492" customFormat="1">
      <c r="A256" s="469" t="s">
        <v>181</v>
      </c>
      <c r="B256" s="483"/>
      <c r="C256" s="483"/>
      <c r="D256" s="483"/>
      <c r="E256" s="483"/>
      <c r="F256" s="483"/>
      <c r="G256" s="483"/>
      <c r="H256" s="483"/>
      <c r="I256" s="483"/>
      <c r="J256" s="483"/>
      <c r="K256" s="483"/>
      <c r="L256" s="483"/>
      <c r="M256" s="483"/>
      <c r="N256" s="52"/>
      <c r="O256" s="483"/>
      <c r="P256" s="483"/>
      <c r="Q256" s="19"/>
      <c r="R256" s="19"/>
      <c r="S256" s="19"/>
    </row>
    <row r="257" spans="1:19">
      <c r="A257" s="493"/>
      <c r="B257" s="18"/>
      <c r="C257" s="18"/>
      <c r="D257" s="19"/>
      <c r="E257" s="18"/>
      <c r="F257" s="24"/>
      <c r="G257" s="18"/>
      <c r="H257" s="18"/>
      <c r="I257" s="18"/>
      <c r="J257" s="18"/>
      <c r="K257" s="18"/>
      <c r="L257" s="18"/>
      <c r="M257" s="19"/>
      <c r="N257" s="488"/>
      <c r="O257" s="19"/>
      <c r="P257" s="19"/>
      <c r="Q257" s="19"/>
      <c r="R257" s="19"/>
    </row>
    <row r="258" spans="1:19">
      <c r="A258" s="479" t="s">
        <v>185</v>
      </c>
      <c r="B258" s="488"/>
      <c r="C258" s="488"/>
      <c r="D258" s="19"/>
      <c r="E258" s="488"/>
      <c r="F258" s="488"/>
      <c r="G258" s="488"/>
      <c r="H258" s="488"/>
      <c r="I258" s="488"/>
      <c r="J258" s="488"/>
      <c r="K258" s="488"/>
      <c r="L258" s="488"/>
      <c r="M258" s="488"/>
      <c r="N258" s="488"/>
      <c r="O258" s="488"/>
      <c r="P258" s="488"/>
      <c r="Q258" s="488"/>
      <c r="R258" s="488"/>
    </row>
    <row r="259" spans="1:19">
      <c r="A259" s="474" t="s">
        <v>22</v>
      </c>
      <c r="B259" s="483"/>
      <c r="C259" s="483"/>
      <c r="D259" s="483"/>
      <c r="E259" s="483"/>
      <c r="F259" s="483"/>
      <c r="G259" s="483"/>
      <c r="H259" s="483"/>
      <c r="I259" s="483"/>
      <c r="J259" s="483"/>
      <c r="K259" s="483"/>
      <c r="L259" s="483"/>
      <c r="M259" s="483"/>
      <c r="N259" s="19"/>
      <c r="O259" s="19"/>
      <c r="P259" s="19"/>
      <c r="Q259" s="19"/>
      <c r="R259" s="19"/>
    </row>
    <row r="260" spans="1:19">
      <c r="A260" s="474" t="s">
        <v>25</v>
      </c>
      <c r="B260" s="483"/>
      <c r="C260" s="483"/>
      <c r="D260" s="483"/>
      <c r="E260" s="483"/>
      <c r="F260" s="483"/>
      <c r="G260" s="483"/>
      <c r="H260" s="483"/>
      <c r="I260" s="483"/>
      <c r="J260" s="483"/>
      <c r="K260" s="483"/>
      <c r="L260" s="483"/>
      <c r="M260" s="483"/>
      <c r="N260" s="19"/>
      <c r="O260" s="19"/>
      <c r="P260" s="19"/>
      <c r="Q260" s="19"/>
      <c r="R260" s="19"/>
    </row>
    <row r="261" spans="1:19">
      <c r="A261" s="474" t="s">
        <v>172</v>
      </c>
      <c r="B261" s="483"/>
      <c r="C261" s="483">
        <f>C247/B247-1</f>
        <v>7.0707764124390726E-2</v>
      </c>
      <c r="D261" s="483"/>
      <c r="E261" s="483"/>
      <c r="F261" s="483"/>
      <c r="G261" s="483"/>
      <c r="H261" s="483"/>
      <c r="I261" s="483"/>
      <c r="J261" s="483"/>
      <c r="K261" s="483"/>
      <c r="L261" s="483"/>
      <c r="M261" s="483"/>
      <c r="N261" s="488"/>
      <c r="O261" s="19"/>
      <c r="P261" s="19"/>
      <c r="Q261" s="19"/>
      <c r="R261" s="19"/>
    </row>
    <row r="262" spans="1:19" s="445" customFormat="1">
      <c r="A262" s="478" t="s">
        <v>173</v>
      </c>
      <c r="B262" s="484"/>
      <c r="C262" s="484"/>
      <c r="D262" s="484"/>
      <c r="E262" s="484"/>
      <c r="F262" s="484"/>
      <c r="G262" s="484"/>
      <c r="H262" s="484"/>
      <c r="I262" s="484"/>
      <c r="J262" s="484"/>
      <c r="K262" s="484"/>
      <c r="L262" s="484"/>
      <c r="M262" s="484"/>
      <c r="N262" s="494"/>
      <c r="O262" s="23"/>
      <c r="P262" s="23"/>
      <c r="Q262" s="23"/>
      <c r="R262" s="23"/>
    </row>
    <row r="263" spans="1:19" s="492" customFormat="1">
      <c r="A263" s="469" t="s">
        <v>181</v>
      </c>
      <c r="B263" s="483"/>
      <c r="C263" s="483"/>
      <c r="D263" s="483"/>
      <c r="E263" s="483"/>
      <c r="F263" s="483"/>
      <c r="G263" s="483"/>
      <c r="H263" s="483"/>
      <c r="I263" s="483"/>
      <c r="J263" s="483"/>
      <c r="K263" s="483"/>
      <c r="L263" s="483"/>
      <c r="M263" s="483"/>
      <c r="N263" s="52"/>
      <c r="O263" s="52"/>
      <c r="P263" s="52"/>
      <c r="Q263" s="52"/>
      <c r="R263" s="52"/>
      <c r="S263" s="36"/>
    </row>
    <row r="264" spans="1:19"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O264" s="151"/>
      <c r="P264" s="151"/>
      <c r="Q264" s="151"/>
      <c r="R264" s="151"/>
    </row>
    <row r="265" spans="1:19" s="445" customFormat="1">
      <c r="A265" s="500">
        <v>2012</v>
      </c>
      <c r="B265" s="472" t="s">
        <v>51</v>
      </c>
      <c r="C265" s="472" t="s">
        <v>52</v>
      </c>
      <c r="D265" s="472" t="s">
        <v>53</v>
      </c>
      <c r="E265" s="472" t="s">
        <v>54</v>
      </c>
      <c r="F265" s="472" t="s">
        <v>55</v>
      </c>
      <c r="G265" s="472" t="s">
        <v>77</v>
      </c>
      <c r="H265" s="472" t="s">
        <v>78</v>
      </c>
      <c r="I265" s="472" t="s">
        <v>79</v>
      </c>
      <c r="J265" s="472" t="s">
        <v>80</v>
      </c>
      <c r="K265" s="472" t="s">
        <v>81</v>
      </c>
      <c r="L265" s="472" t="s">
        <v>82</v>
      </c>
      <c r="M265" s="472" t="s">
        <v>44</v>
      </c>
      <c r="N265" s="473" t="s">
        <v>133</v>
      </c>
      <c r="O265" s="473" t="s">
        <v>129</v>
      </c>
      <c r="P265" s="473" t="s">
        <v>130</v>
      </c>
      <c r="Q265" s="473" t="s">
        <v>131</v>
      </c>
      <c r="R265" s="473" t="s">
        <v>132</v>
      </c>
      <c r="S265" s="445" t="s">
        <v>171</v>
      </c>
    </row>
    <row r="266" spans="1:19">
      <c r="A266" s="474" t="s">
        <v>22</v>
      </c>
      <c r="B266" s="15">
        <v>7175.83</v>
      </c>
      <c r="C266" s="15">
        <v>6391</v>
      </c>
      <c r="D266" s="15">
        <v>6839.35</v>
      </c>
      <c r="E266" s="15">
        <v>7138.54</v>
      </c>
      <c r="F266" s="15">
        <v>6883.29</v>
      </c>
      <c r="G266" s="15">
        <v>6777.58</v>
      </c>
      <c r="H266" s="15">
        <v>8149.84</v>
      </c>
      <c r="I266" s="15">
        <v>8293.66</v>
      </c>
      <c r="J266" s="15">
        <v>7388.11</v>
      </c>
      <c r="K266" s="15">
        <v>7613.84</v>
      </c>
      <c r="L266" s="15">
        <v>6938.31</v>
      </c>
      <c r="M266" s="15">
        <v>6894.04</v>
      </c>
      <c r="N266" s="15"/>
      <c r="O266" s="15">
        <f t="shared" ref="O266:O272" si="139">SUM(B266:D266)</f>
        <v>20406.18</v>
      </c>
      <c r="P266" s="15">
        <f t="shared" ref="P266:P272" si="140">SUM(E266:G266)</f>
        <v>20799.41</v>
      </c>
      <c r="Q266" s="15">
        <f t="shared" ref="Q266:Q271" si="141">SUM(H266:J266)</f>
        <v>23831.61</v>
      </c>
      <c r="R266" s="15">
        <f t="shared" ref="R266:R271" si="142">SUM(K266:M266)</f>
        <v>21446.190000000002</v>
      </c>
      <c r="S266" s="385">
        <f t="shared" ref="S266:S271" si="143">SUM(B266:M266)</f>
        <v>86483.39</v>
      </c>
    </row>
    <row r="267" spans="1:19">
      <c r="A267" s="474" t="s">
        <v>25</v>
      </c>
      <c r="B267" s="15">
        <v>5825.741</v>
      </c>
      <c r="C267" s="15">
        <v>5173.991</v>
      </c>
      <c r="D267" s="15">
        <v>5725.07</v>
      </c>
      <c r="E267" s="15">
        <v>6077.2510000000002</v>
      </c>
      <c r="F267" s="15">
        <v>5896.8310000000001</v>
      </c>
      <c r="G267" s="15">
        <v>5903.1790000000001</v>
      </c>
      <c r="H267" s="15">
        <v>7036.0730000000003</v>
      </c>
      <c r="I267" s="15">
        <v>7154.6819999999998</v>
      </c>
      <c r="J267" s="15">
        <v>6387.9030000000002</v>
      </c>
      <c r="K267" s="15">
        <v>6531.3620000000001</v>
      </c>
      <c r="L267" s="15">
        <v>5728.6319999999996</v>
      </c>
      <c r="M267" s="15">
        <v>5596.4740000000002</v>
      </c>
      <c r="N267" s="15"/>
      <c r="O267" s="15">
        <f t="shared" si="139"/>
        <v>16724.802</v>
      </c>
      <c r="P267" s="15">
        <f t="shared" si="140"/>
        <v>17877.260999999999</v>
      </c>
      <c r="Q267" s="15">
        <f t="shared" si="141"/>
        <v>20578.658000000003</v>
      </c>
      <c r="R267" s="15">
        <f t="shared" si="142"/>
        <v>17856.468000000001</v>
      </c>
      <c r="S267" s="1">
        <f t="shared" si="143"/>
        <v>73037.188999999998</v>
      </c>
    </row>
    <row r="268" spans="1:19" s="501" customFormat="1">
      <c r="A268" s="502" t="s">
        <v>172</v>
      </c>
      <c r="B268" s="25">
        <f>12065.6/(1+6%)-C268</f>
        <v>5938.6624518423387</v>
      </c>
      <c r="C268" s="25">
        <f t="shared" ref="C268:M268" si="144">C247/(1+C254)</f>
        <v>5443.979057591624</v>
      </c>
      <c r="D268" s="25">
        <f t="shared" si="144"/>
        <v>5762.1333333333332</v>
      </c>
      <c r="E268" s="25">
        <f t="shared" si="144"/>
        <v>5839.2791127541586</v>
      </c>
      <c r="F268" s="25">
        <f t="shared" si="144"/>
        <v>5851.119402985074</v>
      </c>
      <c r="G268" s="25">
        <f t="shared" si="144"/>
        <v>5914.9953139643867</v>
      </c>
      <c r="H268" s="25">
        <f t="shared" si="144"/>
        <v>6696.2463907603469</v>
      </c>
      <c r="I268" s="25">
        <f t="shared" si="144"/>
        <v>6844.4136657433055</v>
      </c>
      <c r="J268" s="25">
        <f t="shared" si="144"/>
        <v>6156.917363045497</v>
      </c>
      <c r="K268" s="25">
        <f t="shared" si="144"/>
        <v>6251.9160583941602</v>
      </c>
      <c r="L268" s="25">
        <f t="shared" si="144"/>
        <v>5876.1494252873563</v>
      </c>
      <c r="M268" s="25">
        <f t="shared" si="144"/>
        <v>5842.2284644194751</v>
      </c>
      <c r="N268" s="25"/>
      <c r="O268" s="15">
        <f t="shared" si="139"/>
        <v>17144.774842767296</v>
      </c>
      <c r="P268" s="15">
        <f t="shared" si="140"/>
        <v>17605.393829703618</v>
      </c>
      <c r="Q268" s="15">
        <f t="shared" si="141"/>
        <v>19697.57741954915</v>
      </c>
      <c r="R268" s="15">
        <f t="shared" si="142"/>
        <v>17970.293948100989</v>
      </c>
      <c r="S268" s="1">
        <f t="shared" si="143"/>
        <v>72418.04004012105</v>
      </c>
    </row>
    <row r="269" spans="1:19" s="501" customFormat="1">
      <c r="A269" s="503" t="s">
        <v>189</v>
      </c>
      <c r="B269" s="45">
        <f t="shared" ref="B269:M269" si="145">SUM(B266:B268)</f>
        <v>18940.233451842338</v>
      </c>
      <c r="C269" s="45">
        <f t="shared" si="145"/>
        <v>17008.970057591625</v>
      </c>
      <c r="D269" s="45">
        <f t="shared" si="145"/>
        <v>18326.553333333333</v>
      </c>
      <c r="E269" s="45">
        <f t="shared" si="145"/>
        <v>19055.070112754162</v>
      </c>
      <c r="F269" s="45">
        <f t="shared" si="145"/>
        <v>18631.240402985073</v>
      </c>
      <c r="G269" s="45">
        <f t="shared" si="145"/>
        <v>18595.754313964386</v>
      </c>
      <c r="H269" s="45">
        <f t="shared" si="145"/>
        <v>21882.159390760346</v>
      </c>
      <c r="I269" s="45">
        <f t="shared" si="145"/>
        <v>22292.755665743305</v>
      </c>
      <c r="J269" s="45">
        <f t="shared" si="145"/>
        <v>19932.930363045496</v>
      </c>
      <c r="K269" s="45">
        <f t="shared" si="145"/>
        <v>20397.11805839416</v>
      </c>
      <c r="L269" s="45">
        <f t="shared" si="145"/>
        <v>18543.091425287355</v>
      </c>
      <c r="M269" s="45">
        <f t="shared" si="145"/>
        <v>18332.742464419476</v>
      </c>
      <c r="N269" s="25"/>
      <c r="O269" s="21">
        <f t="shared" si="139"/>
        <v>54275.756842767296</v>
      </c>
      <c r="P269" s="21">
        <f t="shared" si="140"/>
        <v>56282.064829703624</v>
      </c>
      <c r="Q269" s="21">
        <f t="shared" si="141"/>
        <v>64107.84541954915</v>
      </c>
      <c r="R269" s="21">
        <f t="shared" si="142"/>
        <v>57272.951948100992</v>
      </c>
      <c r="S269" s="44">
        <f t="shared" si="143"/>
        <v>231938.61904012106</v>
      </c>
    </row>
    <row r="270" spans="1:19">
      <c r="A270" s="474" t="s">
        <v>28</v>
      </c>
      <c r="B270" s="15">
        <v>4058.7</v>
      </c>
      <c r="C270" s="15">
        <v>3715.8</v>
      </c>
      <c r="D270" s="15">
        <v>3942.5</v>
      </c>
      <c r="E270" s="15">
        <v>3969.5</v>
      </c>
      <c r="F270" s="15">
        <v>4001.7</v>
      </c>
      <c r="G270" s="15">
        <v>4012.6</v>
      </c>
      <c r="H270" s="15">
        <v>4569</v>
      </c>
      <c r="I270" s="15">
        <v>4683.3999999999996</v>
      </c>
      <c r="J270" s="15">
        <v>4282.8999999999996</v>
      </c>
      <c r="K270" s="15">
        <v>4243.1000000000004</v>
      </c>
      <c r="L270" s="15">
        <v>3956.5</v>
      </c>
      <c r="M270" s="15">
        <v>3875.8</v>
      </c>
      <c r="N270" s="15"/>
      <c r="O270" s="15">
        <f t="shared" si="139"/>
        <v>11717</v>
      </c>
      <c r="P270" s="15">
        <f t="shared" si="140"/>
        <v>11983.8</v>
      </c>
      <c r="Q270" s="15">
        <f t="shared" si="141"/>
        <v>13535.3</v>
      </c>
      <c r="R270" s="15">
        <f t="shared" si="142"/>
        <v>12075.400000000001</v>
      </c>
      <c r="S270" s="1">
        <f t="shared" si="143"/>
        <v>49311.5</v>
      </c>
    </row>
    <row r="271" spans="1:19" s="445" customFormat="1">
      <c r="A271" s="478" t="s">
        <v>173</v>
      </c>
      <c r="B271" s="21">
        <f t="shared" ref="B271:M271" si="146">SUM(B266,B267,B270)</f>
        <v>17060.271000000001</v>
      </c>
      <c r="C271" s="21">
        <f t="shared" si="146"/>
        <v>15280.791000000001</v>
      </c>
      <c r="D271" s="21">
        <f t="shared" si="146"/>
        <v>16506.919999999998</v>
      </c>
      <c r="E271" s="21">
        <f t="shared" si="146"/>
        <v>17185.291000000001</v>
      </c>
      <c r="F271" s="21">
        <f t="shared" si="146"/>
        <v>16781.821</v>
      </c>
      <c r="G271" s="21">
        <f t="shared" si="146"/>
        <v>16693.359</v>
      </c>
      <c r="H271" s="21">
        <f t="shared" si="146"/>
        <v>19754.913</v>
      </c>
      <c r="I271" s="21">
        <f t="shared" si="146"/>
        <v>20131.741999999998</v>
      </c>
      <c r="J271" s="21">
        <f t="shared" si="146"/>
        <v>18058.913</v>
      </c>
      <c r="K271" s="21">
        <f t="shared" si="146"/>
        <v>18388.302000000003</v>
      </c>
      <c r="L271" s="21">
        <f t="shared" si="146"/>
        <v>16623.441999999999</v>
      </c>
      <c r="M271" s="21">
        <f t="shared" si="146"/>
        <v>16366.313999999998</v>
      </c>
      <c r="N271" s="21"/>
      <c r="O271" s="21">
        <f t="shared" si="139"/>
        <v>48847.982000000004</v>
      </c>
      <c r="P271" s="21">
        <f t="shared" si="140"/>
        <v>50660.471000000005</v>
      </c>
      <c r="Q271" s="21">
        <f t="shared" si="141"/>
        <v>57945.567999999999</v>
      </c>
      <c r="R271" s="21">
        <f t="shared" si="142"/>
        <v>51378.058000000005</v>
      </c>
      <c r="S271" s="445">
        <f t="shared" si="143"/>
        <v>208832.07900000003</v>
      </c>
    </row>
    <row r="272" spans="1:19" s="492" customFormat="1">
      <c r="A272" s="469" t="s">
        <v>181</v>
      </c>
      <c r="B272" s="15">
        <v>2124.9490000000001</v>
      </c>
      <c r="C272" s="15">
        <v>1870.42</v>
      </c>
      <c r="D272" s="15">
        <v>1840.683</v>
      </c>
      <c r="E272" s="15">
        <v>1837.201</v>
      </c>
      <c r="F272" s="15">
        <v>1666.3430000000001</v>
      </c>
      <c r="G272" s="15">
        <v>1659.5730000000001</v>
      </c>
      <c r="H272" s="15">
        <v>1839.49</v>
      </c>
      <c r="I272" s="15">
        <v>2034.7059999999999</v>
      </c>
      <c r="J272" s="15">
        <v>1837.05</v>
      </c>
      <c r="K272" s="15">
        <v>1969.9</v>
      </c>
      <c r="L272" s="15"/>
      <c r="M272" s="15"/>
      <c r="N272" s="52"/>
      <c r="O272" s="15">
        <f t="shared" si="139"/>
        <v>5836.0519999999997</v>
      </c>
      <c r="P272" s="15">
        <f t="shared" si="140"/>
        <v>5163.1170000000002</v>
      </c>
      <c r="Q272" s="15"/>
      <c r="R272" s="15"/>
      <c r="S272" s="1"/>
    </row>
    <row r="273" spans="1:19">
      <c r="A273" s="474"/>
      <c r="B273" s="19"/>
      <c r="C273" s="19"/>
      <c r="D273" s="19"/>
      <c r="E273" s="19"/>
      <c r="F273" s="15"/>
      <c r="G273" s="19"/>
      <c r="H273" s="19"/>
      <c r="I273" s="19"/>
      <c r="J273" s="19"/>
      <c r="K273" s="19"/>
      <c r="L273" s="19"/>
      <c r="M273" s="15"/>
      <c r="N273" s="19"/>
      <c r="O273" s="15"/>
      <c r="P273" s="19"/>
      <c r="Q273" s="19"/>
      <c r="R273" s="19"/>
      <c r="S273" s="19"/>
    </row>
    <row r="274" spans="1:19">
      <c r="A274" s="479" t="s">
        <v>184</v>
      </c>
      <c r="B274" s="19"/>
      <c r="C274" s="19"/>
      <c r="D274" s="19"/>
      <c r="E274" s="19"/>
      <c r="F274" s="19"/>
      <c r="G274" s="19"/>
      <c r="H274" s="19"/>
      <c r="I274" s="483"/>
      <c r="J274" s="19"/>
      <c r="K274" s="19"/>
      <c r="L274" s="19"/>
      <c r="M274" s="15"/>
      <c r="N274" s="19"/>
      <c r="O274" s="488"/>
      <c r="P274" s="19"/>
      <c r="Q274" s="19"/>
      <c r="R274" s="19"/>
      <c r="S274" s="19"/>
    </row>
    <row r="275" spans="1:19">
      <c r="A275" s="474" t="s">
        <v>22</v>
      </c>
      <c r="B275" s="483">
        <f t="shared" ref="B275:M275" si="147">B266/B289-1</f>
        <v>0.12737998915955084</v>
      </c>
      <c r="C275" s="483">
        <f t="shared" si="147"/>
        <v>7.0434990880114956E-2</v>
      </c>
      <c r="D275" s="483">
        <f t="shared" si="147"/>
        <v>7.1921146751174669E-2</v>
      </c>
      <c r="E275" s="483">
        <f t="shared" si="147"/>
        <v>5.6307995992903148E-2</v>
      </c>
      <c r="F275" s="483">
        <f t="shared" si="147"/>
        <v>3.9936847989484825E-2</v>
      </c>
      <c r="G275" s="483">
        <f t="shared" si="147"/>
        <v>6.7118648337581854E-2</v>
      </c>
      <c r="H275" s="483">
        <f t="shared" si="147"/>
        <v>7.2357245395681336E-2</v>
      </c>
      <c r="I275" s="483">
        <f t="shared" si="147"/>
        <v>9.0575093525842032E-2</v>
      </c>
      <c r="J275" s="483">
        <f t="shared" si="147"/>
        <v>8.0883654584689602E-2</v>
      </c>
      <c r="K275" s="483">
        <f t="shared" si="147"/>
        <v>3.9644978493889482E-2</v>
      </c>
      <c r="L275" s="483">
        <f t="shared" si="147"/>
        <v>6.0903669724770682E-2</v>
      </c>
      <c r="M275" s="483">
        <f t="shared" si="147"/>
        <v>8.9613643008985111E-2</v>
      </c>
      <c r="N275" s="483"/>
      <c r="O275" s="483">
        <f t="shared" ref="O275:S276" si="148">O266/O289-1</f>
        <v>9.0307854571334278E-2</v>
      </c>
      <c r="P275" s="483">
        <f t="shared" si="148"/>
        <v>5.4295743413632636E-2</v>
      </c>
      <c r="Q275" s="483">
        <f t="shared" si="148"/>
        <v>8.1287548156695033E-2</v>
      </c>
      <c r="R275" s="483">
        <f t="shared" si="148"/>
        <v>6.2189489637479056E-2</v>
      </c>
      <c r="S275" s="483">
        <f t="shared" si="148"/>
        <v>7.1999921660800936E-2</v>
      </c>
    </row>
    <row r="276" spans="1:19">
      <c r="A276" s="474" t="s">
        <v>175</v>
      </c>
      <c r="B276" s="483">
        <f t="shared" ref="B276:M276" si="149">B267/B290-1</f>
        <v>7.4164332692296941E-2</v>
      </c>
      <c r="C276" s="483">
        <f t="shared" si="149"/>
        <v>2.2224834535216731E-2</v>
      </c>
      <c r="D276" s="483">
        <f t="shared" si="149"/>
        <v>3.8382877647526348E-2</v>
      </c>
      <c r="E276" s="483">
        <f t="shared" si="149"/>
        <v>3.3161815494815228E-2</v>
      </c>
      <c r="F276" s="483">
        <f t="shared" si="149"/>
        <v>1.7505144613418233E-2</v>
      </c>
      <c r="G276" s="483">
        <f t="shared" si="149"/>
        <v>6.9509486332144821E-2</v>
      </c>
      <c r="H276" s="483">
        <f t="shared" si="149"/>
        <v>8.289859827956958E-2</v>
      </c>
      <c r="I276" s="483">
        <f t="shared" si="149"/>
        <v>0.10449734877979644</v>
      </c>
      <c r="J276" s="19">
        <f t="shared" si="149"/>
        <v>0.11533913162511111</v>
      </c>
      <c r="K276" s="19">
        <f t="shared" si="149"/>
        <v>7.0520106911675651E-2</v>
      </c>
      <c r="L276" s="19">
        <f t="shared" si="149"/>
        <v>5.1789984678388246E-2</v>
      </c>
      <c r="M276" s="24">
        <f t="shared" si="149"/>
        <v>6.8848159639846251E-2</v>
      </c>
      <c r="N276" s="483"/>
      <c r="O276" s="483">
        <f t="shared" si="148"/>
        <v>4.5400875509377103E-2</v>
      </c>
      <c r="P276" s="483">
        <f t="shared" si="148"/>
        <v>3.9551577595487108E-2</v>
      </c>
      <c r="Q276" s="483">
        <f t="shared" si="148"/>
        <v>0.10031383446147824</v>
      </c>
      <c r="R276" s="483">
        <f t="shared" si="148"/>
        <v>6.3920295773530089E-2</v>
      </c>
      <c r="S276" s="483">
        <f t="shared" si="148"/>
        <v>6.3415041326708277E-2</v>
      </c>
    </row>
    <row r="277" spans="1:19">
      <c r="A277" s="474" t="s">
        <v>28</v>
      </c>
      <c r="B277" s="483">
        <f>B270/B291-1</f>
        <v>5.7035705914524559E-2</v>
      </c>
      <c r="C277" s="483">
        <v>1.4999999999999999E-2</v>
      </c>
      <c r="D277" s="24">
        <f t="shared" ref="D277:M277" si="150">D270/D291-1</f>
        <v>-2.2822944667044709E-4</v>
      </c>
      <c r="E277" s="24">
        <f t="shared" si="150"/>
        <v>-4.5793269230769207E-2</v>
      </c>
      <c r="F277" s="24">
        <f t="shared" si="150"/>
        <v>-2.7746057970310267E-2</v>
      </c>
      <c r="G277" s="24">
        <f t="shared" si="150"/>
        <v>-2.1138494441819144E-3</v>
      </c>
      <c r="H277" s="24">
        <f t="shared" si="150"/>
        <v>3.2845807807943661E-2</v>
      </c>
      <c r="I277" s="24">
        <f t="shared" si="150"/>
        <v>1.8373958990193229E-2</v>
      </c>
      <c r="J277" s="24">
        <f t="shared" si="150"/>
        <v>1.8259194978721194E-2</v>
      </c>
      <c r="K277" s="24">
        <f t="shared" si="150"/>
        <v>2.859844008508805E-3</v>
      </c>
      <c r="L277" s="24">
        <f t="shared" si="150"/>
        <v>2.2272175283569728E-2</v>
      </c>
      <c r="M277" s="24">
        <f t="shared" si="150"/>
        <v>7.8558508417976958E-2</v>
      </c>
      <c r="N277" s="483"/>
      <c r="O277" s="483">
        <f t="shared" ref="O277:S278" si="151">O270/O291-1</f>
        <v>2.4302823673397977E-2</v>
      </c>
      <c r="P277" s="483">
        <f t="shared" si="151"/>
        <v>-2.5469626738228945E-2</v>
      </c>
      <c r="Q277" s="483">
        <f t="shared" si="151"/>
        <v>2.3176880570275227E-2</v>
      </c>
      <c r="R277" s="483">
        <f t="shared" si="151"/>
        <v>3.2544378698225129E-2</v>
      </c>
      <c r="S277" s="483">
        <f t="shared" si="151"/>
        <v>1.3399233448761372E-2</v>
      </c>
    </row>
    <row r="278" spans="1:19" s="497" customFormat="1">
      <c r="A278" s="498" t="s">
        <v>173</v>
      </c>
      <c r="B278" s="499">
        <f>B271/B292-1</f>
        <v>9.1629586403092711E-2</v>
      </c>
      <c r="C278" s="499">
        <f>C271/C292-1</f>
        <v>4.0368072429834978E-2</v>
      </c>
      <c r="D278" s="499">
        <f t="shared" ref="D278:M278" si="152">D271/D292-1</f>
        <v>4.2280670427069955E-2</v>
      </c>
      <c r="E278" s="499">
        <f t="shared" si="152"/>
        <v>2.2921993117104522E-2</v>
      </c>
      <c r="F278" s="499">
        <f t="shared" si="152"/>
        <v>1.5219931577488133E-2</v>
      </c>
      <c r="G278" s="499">
        <f t="shared" si="152"/>
        <v>5.0431257161662746E-2</v>
      </c>
      <c r="H278" s="499">
        <f t="shared" si="152"/>
        <v>6.6618112966883025E-2</v>
      </c>
      <c r="I278" s="499">
        <f t="shared" si="152"/>
        <v>7.7628578656492753E-2</v>
      </c>
      <c r="J278" s="499">
        <f t="shared" si="152"/>
        <v>7.6943733578377582E-2</v>
      </c>
      <c r="K278" s="499">
        <f t="shared" si="152"/>
        <v>4.1499045261022216E-2</v>
      </c>
      <c r="L278" s="499">
        <f t="shared" si="152"/>
        <v>4.8344201924025887E-2</v>
      </c>
      <c r="M278" s="499">
        <f t="shared" si="152"/>
        <v>7.9818897932878441E-2</v>
      </c>
      <c r="N278" s="499"/>
      <c r="O278" s="484">
        <f t="shared" si="151"/>
        <v>5.8382302960832577E-2</v>
      </c>
      <c r="P278" s="484">
        <f t="shared" si="151"/>
        <v>2.9217059351852592E-2</v>
      </c>
      <c r="Q278" s="484">
        <f t="shared" si="151"/>
        <v>7.3637388339887977E-2</v>
      </c>
      <c r="R278" s="484">
        <f t="shared" si="151"/>
        <v>5.5662863191647149E-2</v>
      </c>
      <c r="S278" s="484">
        <f t="shared" si="151"/>
        <v>5.4622013355645205E-2</v>
      </c>
    </row>
    <row r="279" spans="1:19" s="492" customFormat="1">
      <c r="A279" s="469" t="s">
        <v>181</v>
      </c>
      <c r="B279" s="483">
        <f>B272/B293-1</f>
        <v>0.32813711954208502</v>
      </c>
      <c r="C279" s="483">
        <f>C272/C293-1</f>
        <v>0.12816244303908175</v>
      </c>
      <c r="D279" s="483">
        <f t="shared" ref="D279:K279" si="153">D272/D293-1</f>
        <v>0.26137506021858914</v>
      </c>
      <c r="E279" s="483">
        <f t="shared" si="153"/>
        <v>0.13301371493484182</v>
      </c>
      <c r="F279" s="483">
        <f t="shared" si="153"/>
        <v>2.7069356056520499E-2</v>
      </c>
      <c r="G279" s="483">
        <f t="shared" si="153"/>
        <v>3.3780298802001285E-2</v>
      </c>
      <c r="H279" s="483">
        <f t="shared" si="153"/>
        <v>4.2450255952822813E-2</v>
      </c>
      <c r="I279" s="483">
        <f t="shared" si="153"/>
        <v>7.2167001888024274E-2</v>
      </c>
      <c r="J279" s="483">
        <f t="shared" si="153"/>
        <v>2.7258229025937331E-2</v>
      </c>
      <c r="K279" s="483">
        <f t="shared" si="153"/>
        <v>2.2692465436950693E-2</v>
      </c>
      <c r="L279" s="483"/>
      <c r="M279" s="483"/>
      <c r="N279" s="52"/>
      <c r="O279" s="483">
        <f>O272/O293-1</f>
        <v>0.23719899456218152</v>
      </c>
      <c r="P279" s="483">
        <f>P272/P293-1</f>
        <v>6.4716950082960745E-2</v>
      </c>
      <c r="Q279" s="19"/>
      <c r="R279" s="19"/>
      <c r="S279" s="19"/>
    </row>
    <row r="280" spans="1:19">
      <c r="A280" s="493"/>
      <c r="B280" s="18"/>
      <c r="C280" s="18"/>
      <c r="D280" s="19"/>
      <c r="E280" s="18"/>
      <c r="F280" s="24"/>
      <c r="G280" s="18"/>
      <c r="H280" s="18"/>
      <c r="I280" s="18"/>
      <c r="J280" s="18"/>
      <c r="K280" s="18"/>
      <c r="L280" s="18"/>
      <c r="M280" s="19"/>
      <c r="N280" s="488"/>
      <c r="O280" s="19"/>
      <c r="P280" s="19"/>
      <c r="Q280" s="19"/>
      <c r="R280" s="19"/>
    </row>
    <row r="281" spans="1:19">
      <c r="A281" s="479" t="s">
        <v>185</v>
      </c>
      <c r="B281" s="488"/>
      <c r="C281" s="488"/>
      <c r="D281" s="19"/>
      <c r="E281" s="488"/>
      <c r="F281" s="488"/>
      <c r="G281" s="488"/>
      <c r="H281" s="488"/>
      <c r="I281" s="488"/>
      <c r="J281" s="488"/>
      <c r="K281" s="488"/>
      <c r="L281" s="488"/>
      <c r="M281" s="488"/>
      <c r="N281" s="488"/>
      <c r="O281" s="488"/>
      <c r="P281" s="488"/>
      <c r="Q281" s="488"/>
      <c r="R281" s="488"/>
    </row>
    <row r="282" spans="1:19">
      <c r="A282" s="474" t="s">
        <v>22</v>
      </c>
      <c r="B282" s="483">
        <f>B266/M289-1</f>
        <v>0.1341509866367423</v>
      </c>
      <c r="C282" s="483">
        <f t="shared" ref="C282:M282" si="154">C266/B266-1</f>
        <v>-0.10937132011209849</v>
      </c>
      <c r="D282" s="483">
        <f t="shared" si="154"/>
        <v>7.0153340635268346E-2</v>
      </c>
      <c r="E282" s="483">
        <f t="shared" si="154"/>
        <v>4.3745385160870454E-2</v>
      </c>
      <c r="F282" s="483">
        <f t="shared" si="154"/>
        <v>-3.5756611295867269E-2</v>
      </c>
      <c r="G282" s="483">
        <f t="shared" si="154"/>
        <v>-1.5357481669376116E-2</v>
      </c>
      <c r="H282" s="483">
        <f t="shared" si="154"/>
        <v>0.20247049831945918</v>
      </c>
      <c r="I282" s="483">
        <f t="shared" si="154"/>
        <v>1.7646972210497269E-2</v>
      </c>
      <c r="J282" s="483">
        <f t="shared" si="154"/>
        <v>-0.10918581181287879</v>
      </c>
      <c r="K282" s="483">
        <f t="shared" si="154"/>
        <v>3.0553145527070003E-2</v>
      </c>
      <c r="L282" s="483">
        <f t="shared" si="154"/>
        <v>-8.8723955323463555E-2</v>
      </c>
      <c r="M282" s="483">
        <f t="shared" si="154"/>
        <v>-6.3805162928725068E-3</v>
      </c>
      <c r="N282" s="19"/>
      <c r="O282" s="19"/>
      <c r="P282" s="19"/>
      <c r="Q282" s="19"/>
      <c r="R282" s="19"/>
    </row>
    <row r="283" spans="1:19">
      <c r="A283" s="474" t="s">
        <v>25</v>
      </c>
      <c r="B283" s="483">
        <f>B267/M290-1</f>
        <v>0.11263494592995471</v>
      </c>
      <c r="C283" s="483">
        <f t="shared" ref="C283:M283" si="155">C267/B267-1</f>
        <v>-0.11187418046905961</v>
      </c>
      <c r="D283" s="483">
        <f t="shared" si="155"/>
        <v>0.10650946242465431</v>
      </c>
      <c r="E283" s="483">
        <f t="shared" si="155"/>
        <v>6.1515579722169367E-2</v>
      </c>
      <c r="F283" s="483">
        <f t="shared" si="155"/>
        <v>-2.968776507667692E-2</v>
      </c>
      <c r="G283" s="483">
        <f t="shared" si="155"/>
        <v>1.0765104172054674E-3</v>
      </c>
      <c r="H283" s="483">
        <f t="shared" si="155"/>
        <v>0.19191252713156759</v>
      </c>
      <c r="I283" s="483">
        <f t="shared" si="155"/>
        <v>1.6857272515506727E-2</v>
      </c>
      <c r="J283" s="483">
        <f t="shared" si="155"/>
        <v>-0.10717163949425002</v>
      </c>
      <c r="K283" s="483">
        <f t="shared" si="155"/>
        <v>2.2457917723547105E-2</v>
      </c>
      <c r="L283" s="483">
        <f t="shared" si="155"/>
        <v>-0.12290392111170689</v>
      </c>
      <c r="M283" s="483">
        <f t="shared" si="155"/>
        <v>-2.3069731133017357E-2</v>
      </c>
      <c r="N283" s="19"/>
      <c r="O283" s="19"/>
      <c r="P283" s="19"/>
      <c r="Q283" s="19"/>
      <c r="R283" s="19"/>
    </row>
    <row r="284" spans="1:19">
      <c r="A284" s="474" t="s">
        <v>28</v>
      </c>
      <c r="B284" s="483">
        <f>B270/M291-1</f>
        <v>0.12945596215388888</v>
      </c>
      <c r="C284" s="483">
        <f t="shared" ref="C284:L284" si="156">C270/B270-1</f>
        <v>-8.4485179983738501E-2</v>
      </c>
      <c r="D284" s="483">
        <f t="shared" si="156"/>
        <v>6.1009742182033477E-2</v>
      </c>
      <c r="E284" s="483">
        <f t="shared" si="156"/>
        <v>6.8484464172480219E-3</v>
      </c>
      <c r="F284" s="483">
        <f t="shared" si="156"/>
        <v>8.1118528781962684E-3</v>
      </c>
      <c r="G284" s="483">
        <f t="shared" si="156"/>
        <v>2.7238423669939671E-3</v>
      </c>
      <c r="H284" s="483">
        <f t="shared" si="156"/>
        <v>0.13866321088570999</v>
      </c>
      <c r="I284" s="483">
        <f t="shared" si="156"/>
        <v>2.50383015977238E-2</v>
      </c>
      <c r="J284" s="483">
        <f t="shared" si="156"/>
        <v>-8.5514796942392279E-2</v>
      </c>
      <c r="K284" s="483">
        <f t="shared" si="156"/>
        <v>-9.2927689182561446E-3</v>
      </c>
      <c r="L284" s="483">
        <f t="shared" si="156"/>
        <v>-6.7544955339256751E-2</v>
      </c>
      <c r="M284" s="483"/>
      <c r="N284" s="488"/>
      <c r="O284" s="19"/>
      <c r="P284" s="19"/>
      <c r="Q284" s="19"/>
      <c r="R284" s="19"/>
    </row>
    <row r="285" spans="1:19" s="445" customFormat="1">
      <c r="A285" s="478" t="s">
        <v>173</v>
      </c>
      <c r="B285" s="484">
        <f>B271/M292-1</f>
        <v>0.12560488755478172</v>
      </c>
      <c r="C285" s="484">
        <f t="shared" ref="C285:L285" si="157">C271/B271-1</f>
        <v>-0.10430549432655556</v>
      </c>
      <c r="D285" s="484">
        <f t="shared" si="157"/>
        <v>8.0239890722934248E-2</v>
      </c>
      <c r="E285" s="484">
        <f t="shared" si="157"/>
        <v>4.1096158459603682E-2</v>
      </c>
      <c r="F285" s="484">
        <f t="shared" si="157"/>
        <v>-2.3477635612920489E-2</v>
      </c>
      <c r="G285" s="484">
        <f t="shared" si="157"/>
        <v>-5.2712992231295219E-3</v>
      </c>
      <c r="H285" s="484">
        <f t="shared" si="157"/>
        <v>0.18339951833540513</v>
      </c>
      <c r="I285" s="484">
        <f t="shared" si="157"/>
        <v>1.9075204228942821E-2</v>
      </c>
      <c r="J285" s="484">
        <f t="shared" si="157"/>
        <v>-0.10296322096716704</v>
      </c>
      <c r="K285" s="484">
        <f t="shared" si="157"/>
        <v>1.8239691392278212E-2</v>
      </c>
      <c r="L285" s="484">
        <f t="shared" si="157"/>
        <v>-9.5977322974138857E-2</v>
      </c>
      <c r="M285" s="484"/>
      <c r="N285" s="494"/>
      <c r="O285" s="23"/>
      <c r="P285" s="23"/>
      <c r="Q285" s="23"/>
      <c r="R285" s="23"/>
    </row>
    <row r="286" spans="1:19" s="492" customFormat="1">
      <c r="A286" s="469" t="s">
        <v>181</v>
      </c>
      <c r="B286" s="483">
        <f>B272/M293-1</f>
        <v>0.18243619977586034</v>
      </c>
      <c r="C286" s="483">
        <f t="shared" ref="C286:K286" si="158">C272/B272-1</f>
        <v>-0.11978122769064103</v>
      </c>
      <c r="D286" s="483">
        <f t="shared" si="158"/>
        <v>-1.5898568236011212E-2</v>
      </c>
      <c r="E286" s="483">
        <f t="shared" si="158"/>
        <v>-1.8916891175720929E-3</v>
      </c>
      <c r="F286" s="483">
        <f t="shared" si="158"/>
        <v>-9.2999078489506615E-2</v>
      </c>
      <c r="G286" s="483">
        <f t="shared" si="158"/>
        <v>-4.062788993622557E-3</v>
      </c>
      <c r="H286" s="483">
        <f t="shared" si="158"/>
        <v>0.10841162154361395</v>
      </c>
      <c r="I286" s="483">
        <f t="shared" si="158"/>
        <v>0.10612506727408144</v>
      </c>
      <c r="J286" s="483">
        <f t="shared" si="158"/>
        <v>-9.7142289844331264E-2</v>
      </c>
      <c r="K286" s="483">
        <f t="shared" si="158"/>
        <v>7.2317030020957684E-2</v>
      </c>
      <c r="L286" s="483"/>
      <c r="M286" s="483"/>
      <c r="N286" s="52"/>
      <c r="O286" s="52"/>
      <c r="P286" s="52"/>
      <c r="Q286" s="52"/>
      <c r="R286" s="52"/>
      <c r="S286" s="36"/>
    </row>
    <row r="287" spans="1:19"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O287" s="151"/>
      <c r="P287" s="151"/>
      <c r="Q287" s="151"/>
      <c r="R287" s="151"/>
    </row>
    <row r="288" spans="1:19" s="445" customFormat="1">
      <c r="A288" s="500">
        <v>2011</v>
      </c>
      <c r="B288" s="472" t="s">
        <v>51</v>
      </c>
      <c r="C288" s="472" t="s">
        <v>52</v>
      </c>
      <c r="D288" s="472" t="s">
        <v>53</v>
      </c>
      <c r="E288" s="472" t="s">
        <v>54</v>
      </c>
      <c r="F288" s="472" t="s">
        <v>55</v>
      </c>
      <c r="G288" s="472" t="s">
        <v>77</v>
      </c>
      <c r="H288" s="472" t="s">
        <v>78</v>
      </c>
      <c r="I288" s="472" t="s">
        <v>79</v>
      </c>
      <c r="J288" s="472" t="s">
        <v>80</v>
      </c>
      <c r="K288" s="472" t="s">
        <v>81</v>
      </c>
      <c r="L288" s="472" t="s">
        <v>82</v>
      </c>
      <c r="M288" s="472" t="s">
        <v>44</v>
      </c>
      <c r="N288" s="473" t="s">
        <v>133</v>
      </c>
      <c r="O288" s="473" t="s">
        <v>129</v>
      </c>
      <c r="P288" s="473" t="s">
        <v>130</v>
      </c>
      <c r="Q288" s="473" t="s">
        <v>131</v>
      </c>
      <c r="R288" s="473" t="s">
        <v>132</v>
      </c>
      <c r="S288" s="445" t="s">
        <v>171</v>
      </c>
    </row>
    <row r="289" spans="1:19">
      <c r="A289" s="474" t="s">
        <v>22</v>
      </c>
      <c r="B289" s="15">
        <v>6365.05</v>
      </c>
      <c r="C289" s="15">
        <v>5970.47</v>
      </c>
      <c r="D289" s="15">
        <v>6380.46</v>
      </c>
      <c r="E289" s="15">
        <v>6758.01</v>
      </c>
      <c r="F289" s="15">
        <v>6618.95</v>
      </c>
      <c r="G289" s="15">
        <v>6351.29</v>
      </c>
      <c r="H289" s="15">
        <v>7599.93</v>
      </c>
      <c r="I289" s="15">
        <v>7604.85</v>
      </c>
      <c r="J289" s="15">
        <v>6835.25</v>
      </c>
      <c r="K289" s="15">
        <v>7323.5</v>
      </c>
      <c r="L289" s="15">
        <v>6540</v>
      </c>
      <c r="M289" s="15">
        <v>6327.05</v>
      </c>
      <c r="N289" s="15">
        <f>SUM(B289:M289)</f>
        <v>80674.81</v>
      </c>
      <c r="O289" s="15">
        <f>SUM(B289:D289)</f>
        <v>18715.98</v>
      </c>
      <c r="P289" s="15">
        <f>SUM(E289:G289)</f>
        <v>19728.25</v>
      </c>
      <c r="Q289" s="15">
        <f>SUM(H289:J289)</f>
        <v>22040.03</v>
      </c>
      <c r="R289" s="15">
        <f>SUM(K289:M289)</f>
        <v>20190.55</v>
      </c>
      <c r="S289" s="385">
        <f>SUM(B289:M289)</f>
        <v>80674.81</v>
      </c>
    </row>
    <row r="290" spans="1:19">
      <c r="A290" s="474" t="s">
        <v>25</v>
      </c>
      <c r="B290" s="15">
        <v>5423.51</v>
      </c>
      <c r="C290" s="15">
        <v>5061.5</v>
      </c>
      <c r="D290" s="15">
        <v>5513.4480000000003</v>
      </c>
      <c r="E290" s="15">
        <v>5882.1869999999999</v>
      </c>
      <c r="F290" s="15">
        <v>5795.3819999999996</v>
      </c>
      <c r="G290" s="15">
        <v>5519.52</v>
      </c>
      <c r="H290" s="15">
        <v>6497.4440000000004</v>
      </c>
      <c r="I290" s="15">
        <v>6477.7719999999999</v>
      </c>
      <c r="J290" s="15">
        <v>5727.3190000000004</v>
      </c>
      <c r="K290" s="15">
        <v>6101.1109999999999</v>
      </c>
      <c r="L290" s="15">
        <v>5446.5550000000003</v>
      </c>
      <c r="M290" s="15">
        <v>5235.9859999999999</v>
      </c>
      <c r="N290" s="15">
        <f>SUM(B290:M290)</f>
        <v>68681.734000000011</v>
      </c>
      <c r="O290" s="15">
        <f>SUM(B290:D290)</f>
        <v>15998.458000000001</v>
      </c>
      <c r="P290" s="15">
        <f>SUM(E290:G290)</f>
        <v>17197.089</v>
      </c>
      <c r="Q290" s="15">
        <f>SUM(H290:J290)</f>
        <v>18702.535</v>
      </c>
      <c r="R290" s="15">
        <f>SUM(K290:M290)</f>
        <v>16783.652000000002</v>
      </c>
      <c r="S290" s="1">
        <f>SUM(B290:M290)</f>
        <v>68681.734000000011</v>
      </c>
    </row>
    <row r="291" spans="1:19">
      <c r="A291" s="474" t="s">
        <v>28</v>
      </c>
      <c r="B291" s="15">
        <v>3839.7</v>
      </c>
      <c r="C291" s="15">
        <v>3655.9</v>
      </c>
      <c r="D291" s="15">
        <v>3943.4</v>
      </c>
      <c r="E291" s="15">
        <v>4160</v>
      </c>
      <c r="F291" s="15">
        <v>4115.8999999999996</v>
      </c>
      <c r="G291" s="15">
        <v>4021.1</v>
      </c>
      <c r="H291" s="15">
        <v>4423.7</v>
      </c>
      <c r="I291" s="15">
        <v>4598.8999999999996</v>
      </c>
      <c r="J291" s="15">
        <v>4206.1000000000004</v>
      </c>
      <c r="K291" s="15">
        <v>4231</v>
      </c>
      <c r="L291" s="15">
        <v>3870.3</v>
      </c>
      <c r="M291" s="15">
        <v>3593.5</v>
      </c>
      <c r="N291" s="15">
        <f>SUM(B291:M291)</f>
        <v>48659.5</v>
      </c>
      <c r="O291" s="15">
        <f>SUM(B291:D291)</f>
        <v>11439</v>
      </c>
      <c r="P291" s="15">
        <f>SUM(E291:G291)</f>
        <v>12297</v>
      </c>
      <c r="Q291" s="15">
        <f>SUM(H291:J291)</f>
        <v>13228.699999999999</v>
      </c>
      <c r="R291" s="15">
        <f>SUM(K291:M291)</f>
        <v>11694.8</v>
      </c>
      <c r="S291" s="1">
        <f>SUM(B291:M291)</f>
        <v>48659.5</v>
      </c>
    </row>
    <row r="292" spans="1:19">
      <c r="A292" s="478" t="s">
        <v>173</v>
      </c>
      <c r="B292" s="21">
        <f t="shared" ref="B292:M292" si="159">SUM(B289:B291)</f>
        <v>15628.260000000002</v>
      </c>
      <c r="C292" s="21">
        <f t="shared" si="159"/>
        <v>14687.87</v>
      </c>
      <c r="D292" s="21">
        <f t="shared" si="159"/>
        <v>15837.307999999999</v>
      </c>
      <c r="E292" s="21">
        <f t="shared" si="159"/>
        <v>16800.197</v>
      </c>
      <c r="F292" s="21">
        <f t="shared" si="159"/>
        <v>16530.231999999996</v>
      </c>
      <c r="G292" s="21">
        <f t="shared" si="159"/>
        <v>15891.910000000002</v>
      </c>
      <c r="H292" s="21">
        <f t="shared" si="159"/>
        <v>18521.074000000001</v>
      </c>
      <c r="I292" s="21">
        <f t="shared" si="159"/>
        <v>18681.521999999997</v>
      </c>
      <c r="J292" s="21">
        <f t="shared" si="159"/>
        <v>16768.669000000002</v>
      </c>
      <c r="K292" s="21">
        <f t="shared" si="159"/>
        <v>17655.611000000001</v>
      </c>
      <c r="L292" s="21">
        <f t="shared" si="159"/>
        <v>15856.855</v>
      </c>
      <c r="M292" s="21">
        <f t="shared" si="159"/>
        <v>15156.536</v>
      </c>
      <c r="N292" s="21">
        <f>SUM(B292:M292)</f>
        <v>198016.04399999999</v>
      </c>
      <c r="O292" s="21">
        <f>SUM(B292:D292)</f>
        <v>46153.438000000002</v>
      </c>
      <c r="P292" s="21">
        <f>SUM(E292:G292)</f>
        <v>49222.339</v>
      </c>
      <c r="Q292" s="21">
        <f>SUM(H292:J292)</f>
        <v>53971.264999999999</v>
      </c>
      <c r="R292" s="21">
        <f>SUM(K292:M292)</f>
        <v>48669.002</v>
      </c>
      <c r="S292" s="445">
        <f>SUM(B292:M292)</f>
        <v>198016.04399999999</v>
      </c>
    </row>
    <row r="293" spans="1:19" s="492" customFormat="1">
      <c r="A293" s="469" t="s">
        <v>181</v>
      </c>
      <c r="B293" s="15">
        <v>1599.9469999999999</v>
      </c>
      <c r="C293" s="15">
        <v>1657.9349999999999</v>
      </c>
      <c r="D293" s="15">
        <v>1459.2670000000001</v>
      </c>
      <c r="E293" s="15">
        <v>1621.5170000000001</v>
      </c>
      <c r="F293" s="15">
        <v>1622.425</v>
      </c>
      <c r="G293" s="15">
        <v>1605.3440000000001</v>
      </c>
      <c r="H293" s="15">
        <v>1764.5830000000001</v>
      </c>
      <c r="I293" s="15">
        <v>1897.751</v>
      </c>
      <c r="J293" s="15">
        <v>1788.3040000000001</v>
      </c>
      <c r="K293" s="15">
        <v>1926.19</v>
      </c>
      <c r="L293" s="15">
        <v>1771.2090000000001</v>
      </c>
      <c r="M293" s="15">
        <v>1797.0940000000001</v>
      </c>
      <c r="N293" s="52"/>
      <c r="O293" s="15">
        <f>SUM(B293:D293)</f>
        <v>4717.1489999999994</v>
      </c>
      <c r="P293" s="15">
        <f>SUM(E293:G293)</f>
        <v>4849.2860000000001</v>
      </c>
      <c r="Q293" s="15">
        <f>SUM(H293:J293)</f>
        <v>5450.6379999999999</v>
      </c>
      <c r="R293" s="15">
        <f>SUM(K293:M293)</f>
        <v>5494.4930000000004</v>
      </c>
      <c r="S293" s="1">
        <f>SUM(B293:M293)</f>
        <v>20511.565999999999</v>
      </c>
    </row>
    <row r="294" spans="1:19">
      <c r="A294" s="474"/>
      <c r="B294" s="19"/>
      <c r="C294" s="19"/>
      <c r="D294" s="19"/>
      <c r="E294" s="19"/>
      <c r="F294" s="15"/>
      <c r="G294" s="19"/>
      <c r="H294" s="19"/>
      <c r="I294" s="19"/>
      <c r="J294" s="19"/>
      <c r="K294" s="19"/>
      <c r="L294" s="19"/>
      <c r="M294" s="15"/>
      <c r="N294" s="19"/>
      <c r="O294" s="19"/>
      <c r="P294" s="19"/>
      <c r="Q294" s="19"/>
      <c r="R294" s="19"/>
      <c r="S294" s="19"/>
    </row>
    <row r="295" spans="1:19">
      <c r="A295" s="504" t="s">
        <v>184</v>
      </c>
      <c r="B295" s="19"/>
      <c r="C295" s="19"/>
      <c r="D295" s="19"/>
      <c r="E295" s="19"/>
      <c r="F295" s="19"/>
      <c r="G295" s="19"/>
      <c r="H295" s="19"/>
      <c r="I295" s="483"/>
      <c r="J295" s="19"/>
      <c r="K295" s="19"/>
      <c r="L295" s="19"/>
      <c r="M295" s="15"/>
      <c r="N295" s="19"/>
      <c r="O295" s="19"/>
      <c r="P295" s="19"/>
      <c r="Q295" s="19"/>
      <c r="R295" s="19"/>
      <c r="S295" s="19"/>
    </row>
    <row r="296" spans="1:19">
      <c r="A296" s="474" t="s">
        <v>22</v>
      </c>
      <c r="B296" s="483">
        <f t="shared" ref="B296:S296" si="160">B289/B310-1</f>
        <v>0.14529783807613073</v>
      </c>
      <c r="C296" s="483">
        <f t="shared" si="160"/>
        <v>1.5054608019150262E-2</v>
      </c>
      <c r="D296" s="483">
        <f t="shared" si="160"/>
        <v>1.3472816107655383E-2</v>
      </c>
      <c r="E296" s="483">
        <f t="shared" si="160"/>
        <v>7.4581370240277778E-2</v>
      </c>
      <c r="F296" s="483">
        <f t="shared" si="160"/>
        <v>9.8438708349790405E-2</v>
      </c>
      <c r="G296" s="19">
        <f t="shared" si="160"/>
        <v>3.2463151803029833E-2</v>
      </c>
      <c r="H296" s="19">
        <f t="shared" si="160"/>
        <v>5.2639379047851209E-2</v>
      </c>
      <c r="I296" s="483">
        <f t="shared" si="160"/>
        <v>4.2574488848627912E-3</v>
      </c>
      <c r="J296" s="483">
        <f t="shared" si="160"/>
        <v>3.6454258177605503E-2</v>
      </c>
      <c r="K296" s="483">
        <f t="shared" si="160"/>
        <v>3.8730971018788862E-2</v>
      </c>
      <c r="L296" s="483">
        <f t="shared" si="160"/>
        <v>0.11947963026360831</v>
      </c>
      <c r="M296" s="483">
        <f t="shared" si="160"/>
        <v>6.3435877525157114E-2</v>
      </c>
      <c r="N296" s="483">
        <f t="shared" si="160"/>
        <v>5.552693127538566E-2</v>
      </c>
      <c r="O296" s="19">
        <f t="shared" si="160"/>
        <v>5.5306676981422775E-2</v>
      </c>
      <c r="P296" s="19">
        <f t="shared" si="160"/>
        <v>6.8335685360499054E-2</v>
      </c>
      <c r="Q296" s="19">
        <f t="shared" si="160"/>
        <v>3.051806840779081E-2</v>
      </c>
      <c r="R296" s="19">
        <f t="shared" si="160"/>
        <v>7.1568076951246118E-2</v>
      </c>
      <c r="S296" s="19">
        <f t="shared" si="160"/>
        <v>5.552693127538566E-2</v>
      </c>
    </row>
    <row r="297" spans="1:19">
      <c r="A297" s="474" t="s">
        <v>175</v>
      </c>
      <c r="B297" s="483">
        <f t="shared" ref="B297:S297" si="161">B290/B311-1</f>
        <v>0.198978300378716</v>
      </c>
      <c r="C297" s="483">
        <f t="shared" si="161"/>
        <v>7.1941541012062071E-2</v>
      </c>
      <c r="D297" s="483">
        <f t="shared" si="161"/>
        <v>6.7505473594697607E-2</v>
      </c>
      <c r="E297" s="19">
        <f t="shared" si="161"/>
        <v>0.15524353318882445</v>
      </c>
      <c r="F297" s="19">
        <f t="shared" si="161"/>
        <v>0.12163227672666754</v>
      </c>
      <c r="G297" s="19">
        <f t="shared" si="161"/>
        <v>1.3702705829848449E-2</v>
      </c>
      <c r="H297" s="19">
        <f t="shared" si="161"/>
        <v>3.1287116140834126E-2</v>
      </c>
      <c r="I297" s="483">
        <f t="shared" si="161"/>
        <v>-4.3109106341432391E-3</v>
      </c>
      <c r="J297" s="483">
        <f t="shared" si="161"/>
        <v>1.9372516563658237E-2</v>
      </c>
      <c r="K297" s="483">
        <f t="shared" si="161"/>
        <v>-5.996172967530522E-3</v>
      </c>
      <c r="L297" s="483">
        <f t="shared" si="161"/>
        <v>7.5633672474285873E-2</v>
      </c>
      <c r="M297" s="483">
        <f t="shared" si="161"/>
        <v>1.8957605139638956E-2</v>
      </c>
      <c r="N297" s="483">
        <f t="shared" si="161"/>
        <v>5.8624392716675633E-2</v>
      </c>
      <c r="O297" s="19">
        <f t="shared" si="161"/>
        <v>0.11022956555652685</v>
      </c>
      <c r="P297" s="19">
        <f t="shared" si="161"/>
        <v>9.5107879062049427E-2</v>
      </c>
      <c r="Q297" s="19">
        <f t="shared" si="161"/>
        <v>1.5084003369839172E-2</v>
      </c>
      <c r="R297" s="19">
        <f t="shared" si="161"/>
        <v>2.7147262091507196E-2</v>
      </c>
      <c r="S297" s="19">
        <f t="shared" si="161"/>
        <v>5.8624392716675633E-2</v>
      </c>
    </row>
    <row r="298" spans="1:19">
      <c r="A298" s="474" t="s">
        <v>28</v>
      </c>
      <c r="B298" s="483">
        <f t="shared" ref="B298:S298" si="162">B291/B313-1</f>
        <v>0.12298198408984562</v>
      </c>
      <c r="C298" s="483">
        <f t="shared" si="162"/>
        <v>4.5259606587374268E-2</v>
      </c>
      <c r="D298" s="483">
        <f t="shared" si="162"/>
        <v>4.6688785666887833E-2</v>
      </c>
      <c r="E298" s="19">
        <f t="shared" si="162"/>
        <v>9.5169145715414016E-2</v>
      </c>
      <c r="F298" s="19">
        <f t="shared" si="162"/>
        <v>7.1374651846838555E-2</v>
      </c>
      <c r="G298" s="19">
        <f t="shared" si="162"/>
        <v>6.5248489986224456E-2</v>
      </c>
      <c r="H298" s="19">
        <f t="shared" si="162"/>
        <v>1.6265018723150115E-2</v>
      </c>
      <c r="I298" s="483">
        <f t="shared" si="162"/>
        <v>3.4716284930027319E-2</v>
      </c>
      <c r="J298" s="483">
        <f t="shared" si="162"/>
        <v>5.8191607124886913E-2</v>
      </c>
      <c r="K298" s="483">
        <f t="shared" si="162"/>
        <v>5.9917257121118173E-3</v>
      </c>
      <c r="L298" s="483">
        <f t="shared" si="162"/>
        <v>6.4702484113229319E-2</v>
      </c>
      <c r="M298" s="483">
        <f t="shared" si="162"/>
        <v>1.8392563622966707E-2</v>
      </c>
      <c r="N298" s="483">
        <f t="shared" si="162"/>
        <v>5.2299793906286807E-2</v>
      </c>
      <c r="O298" s="19">
        <f t="shared" si="162"/>
        <v>7.0636354276836233E-2</v>
      </c>
      <c r="P298" s="19">
        <f t="shared" si="162"/>
        <v>7.7266754270696403E-2</v>
      </c>
      <c r="Q298" s="19">
        <f t="shared" si="162"/>
        <v>3.5733579699819051E-2</v>
      </c>
      <c r="R298" s="19">
        <f t="shared" si="162"/>
        <v>2.86116363956197E-2</v>
      </c>
      <c r="S298" s="19">
        <f t="shared" si="162"/>
        <v>5.2299793906286807E-2</v>
      </c>
    </row>
    <row r="299" spans="1:19" s="492" customFormat="1">
      <c r="A299" s="478" t="s">
        <v>173</v>
      </c>
      <c r="B299" s="484">
        <f t="shared" ref="B299:S299" si="163">B292/B314-1</f>
        <v>0.15763233903396801</v>
      </c>
      <c r="C299" s="484">
        <f t="shared" si="163"/>
        <v>4.1594953552595015E-2</v>
      </c>
      <c r="D299" s="484">
        <f t="shared" si="163"/>
        <v>4.001671664498696E-2</v>
      </c>
      <c r="E299" s="29">
        <f t="shared" si="163"/>
        <v>0.10679074699527957</v>
      </c>
      <c r="F299" s="29">
        <f t="shared" si="163"/>
        <v>9.9494106780996239E-2</v>
      </c>
      <c r="G299" s="29">
        <f t="shared" si="163"/>
        <v>3.3868963587985634E-2</v>
      </c>
      <c r="H299" s="29">
        <f t="shared" si="163"/>
        <v>3.6253857401945533E-2</v>
      </c>
      <c r="I299" s="484">
        <f t="shared" si="163"/>
        <v>8.5565923670793964E-3</v>
      </c>
      <c r="J299" s="484">
        <f t="shared" si="163"/>
        <v>3.5862977252138384E-2</v>
      </c>
      <c r="K299" s="484">
        <f t="shared" si="163"/>
        <v>1.503183973687694E-2</v>
      </c>
      <c r="L299" s="484">
        <f t="shared" si="163"/>
        <v>9.0516893366320073E-2</v>
      </c>
      <c r="M299" s="484">
        <f t="shared" si="163"/>
        <v>3.692565835711914E-2</v>
      </c>
      <c r="N299" s="484">
        <f t="shared" si="163"/>
        <v>5.5802759265166202E-2</v>
      </c>
      <c r="O299" s="20">
        <f t="shared" si="163"/>
        <v>7.7609743107868168E-2</v>
      </c>
      <c r="P299" s="20">
        <f t="shared" si="163"/>
        <v>7.979489347096691E-2</v>
      </c>
      <c r="Q299" s="20">
        <f t="shared" si="163"/>
        <v>2.6377043558747815E-2</v>
      </c>
      <c r="R299" s="20">
        <f t="shared" si="163"/>
        <v>4.5484514138540044E-2</v>
      </c>
      <c r="S299" s="20">
        <f t="shared" si="163"/>
        <v>5.5802759265166202E-2</v>
      </c>
    </row>
    <row r="300" spans="1:19" s="492" customFormat="1">
      <c r="A300" s="469" t="s">
        <v>181</v>
      </c>
      <c r="B300" s="483">
        <f t="shared" ref="B300:M300" si="164">B293/B317-1</f>
        <v>6.6477760535816222E-2</v>
      </c>
      <c r="C300" s="483">
        <f t="shared" si="164"/>
        <v>4.9240947568804483E-2</v>
      </c>
      <c r="D300" s="483">
        <f t="shared" si="164"/>
        <v>-3.460496501992949E-2</v>
      </c>
      <c r="E300" s="19">
        <f t="shared" si="164"/>
        <v>2.7658066920341007E-2</v>
      </c>
      <c r="F300" s="19">
        <f t="shared" si="164"/>
        <v>4.4162555790462799E-2</v>
      </c>
      <c r="G300" s="483">
        <f t="shared" si="164"/>
        <v>0.10663923984315993</v>
      </c>
      <c r="H300" s="483">
        <f t="shared" si="164"/>
        <v>2.720674612276075E-2</v>
      </c>
      <c r="I300" s="483">
        <f t="shared" si="164"/>
        <v>5.7716659718336283E-2</v>
      </c>
      <c r="J300" s="483">
        <f t="shared" si="164"/>
        <v>0.17531341292296365</v>
      </c>
      <c r="K300" s="483">
        <f t="shared" si="164"/>
        <v>0.21420466722979348</v>
      </c>
      <c r="L300" s="483">
        <f t="shared" si="164"/>
        <v>0.22905970332570269</v>
      </c>
      <c r="M300" s="483">
        <f t="shared" si="164"/>
        <v>0.29237316779548639</v>
      </c>
      <c r="N300" s="52"/>
      <c r="O300" s="19">
        <f>O293/O317-1</f>
        <v>2.7271822521259592E-2</v>
      </c>
      <c r="P300" s="19">
        <f>P293/P317-1</f>
        <v>5.8257929537578024E-2</v>
      </c>
      <c r="Q300" s="19">
        <f>Q293/Q317-1</f>
        <v>8.2851487713458294E-2</v>
      </c>
      <c r="R300" s="19">
        <f>R293/R317-1</f>
        <v>0.24365310578681387</v>
      </c>
      <c r="S300" s="19">
        <f>S293/S317-1</f>
        <v>0.10124057547480181</v>
      </c>
    </row>
    <row r="301" spans="1:19">
      <c r="A301" s="493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9"/>
      <c r="N301" s="488"/>
      <c r="O301" s="19"/>
      <c r="P301" s="19"/>
      <c r="Q301" s="19"/>
      <c r="R301" s="19"/>
    </row>
    <row r="302" spans="1:19">
      <c r="A302" s="504" t="s">
        <v>185</v>
      </c>
      <c r="B302" s="488"/>
      <c r="C302" s="488"/>
      <c r="D302" s="488"/>
      <c r="E302" s="488"/>
      <c r="F302" s="488"/>
      <c r="G302" s="488"/>
      <c r="H302" s="488"/>
      <c r="I302" s="488"/>
      <c r="J302" s="488"/>
      <c r="K302" s="488"/>
      <c r="L302" s="488"/>
      <c r="M302" s="488"/>
      <c r="N302" s="488"/>
      <c r="O302" s="488"/>
      <c r="P302" s="488"/>
      <c r="Q302" s="488"/>
      <c r="R302" s="488"/>
    </row>
    <row r="303" spans="1:19">
      <c r="A303" s="474" t="s">
        <v>22</v>
      </c>
      <c r="B303" s="483">
        <f>B289/M310-1</f>
        <v>6.9822829318797908E-2</v>
      </c>
      <c r="C303" s="483">
        <f t="shared" ref="C303:M303" si="165">C289/B289-1</f>
        <v>-6.1991657567497471E-2</v>
      </c>
      <c r="D303" s="483">
        <f t="shared" si="165"/>
        <v>6.8669635723820788E-2</v>
      </c>
      <c r="E303" s="483">
        <f t="shared" si="165"/>
        <v>5.9172849606454747E-2</v>
      </c>
      <c r="F303" s="483">
        <f t="shared" si="165"/>
        <v>-2.0577063366286841E-2</v>
      </c>
      <c r="G303" s="483">
        <f t="shared" si="165"/>
        <v>-4.0438438120850018E-2</v>
      </c>
      <c r="H303" s="483">
        <f t="shared" si="165"/>
        <v>0.19659628201514967</v>
      </c>
      <c r="I303" s="483">
        <f t="shared" si="165"/>
        <v>6.4737438371142986E-4</v>
      </c>
      <c r="J303" s="483">
        <f t="shared" si="165"/>
        <v>-0.10119857722374537</v>
      </c>
      <c r="K303" s="483">
        <f t="shared" si="165"/>
        <v>7.143118393621295E-2</v>
      </c>
      <c r="L303" s="483">
        <f t="shared" si="165"/>
        <v>-0.10698436539905787</v>
      </c>
      <c r="M303" s="483">
        <f t="shared" si="165"/>
        <v>-3.2561162079510653E-2</v>
      </c>
      <c r="N303" s="19"/>
      <c r="O303" s="19"/>
      <c r="P303" s="19"/>
      <c r="Q303" s="19"/>
      <c r="R303" s="19"/>
    </row>
    <row r="304" spans="1:19">
      <c r="A304" s="474" t="s">
        <v>25</v>
      </c>
      <c r="B304" s="483">
        <f>B290/M311-1</f>
        <v>5.5451019359273213E-2</v>
      </c>
      <c r="C304" s="483">
        <f t="shared" ref="C304:M304" si="166">C290/B290-1</f>
        <v>-6.6748286626188591E-2</v>
      </c>
      <c r="D304" s="483">
        <f t="shared" si="166"/>
        <v>8.9291316803319143E-2</v>
      </c>
      <c r="E304" s="483">
        <f t="shared" si="166"/>
        <v>6.6879927043838938E-2</v>
      </c>
      <c r="F304" s="483">
        <f t="shared" si="166"/>
        <v>-1.4757266302482419E-2</v>
      </c>
      <c r="G304" s="483">
        <f t="shared" si="166"/>
        <v>-4.7600313490982815E-2</v>
      </c>
      <c r="H304" s="483">
        <f t="shared" si="166"/>
        <v>0.17717555149723152</v>
      </c>
      <c r="I304" s="483">
        <f t="shared" si="166"/>
        <v>-3.0276521044275695E-3</v>
      </c>
      <c r="J304" s="483">
        <f t="shared" si="166"/>
        <v>-0.11585048068996551</v>
      </c>
      <c r="K304" s="483">
        <f t="shared" si="166"/>
        <v>6.5264742543587939E-2</v>
      </c>
      <c r="L304" s="483">
        <f t="shared" si="166"/>
        <v>-0.1072847224054766</v>
      </c>
      <c r="M304" s="483">
        <f t="shared" si="166"/>
        <v>-3.8660951739218685E-2</v>
      </c>
      <c r="N304" s="19"/>
      <c r="O304" s="19"/>
      <c r="P304" s="19"/>
      <c r="Q304" s="19"/>
      <c r="R304" s="19"/>
    </row>
    <row r="305" spans="1:19">
      <c r="A305" s="474" t="s">
        <v>28</v>
      </c>
      <c r="B305" s="483">
        <f>B291/M313-1</f>
        <v>8.8165278013943249E-2</v>
      </c>
      <c r="C305" s="483">
        <f t="shared" ref="C305:M305" si="167">C291/B291-1</f>
        <v>-4.7868323046071248E-2</v>
      </c>
      <c r="D305" s="483">
        <f t="shared" si="167"/>
        <v>7.8640006564731024E-2</v>
      </c>
      <c r="E305" s="483">
        <f t="shared" si="167"/>
        <v>5.4927220165339463E-2</v>
      </c>
      <c r="F305" s="483">
        <f t="shared" si="167"/>
        <v>-1.0600961538461573E-2</v>
      </c>
      <c r="G305" s="483">
        <f t="shared" si="167"/>
        <v>-2.303262955854124E-2</v>
      </c>
      <c r="H305" s="483">
        <f t="shared" si="167"/>
        <v>0.10012185720325273</v>
      </c>
      <c r="I305" s="483">
        <f t="shared" si="167"/>
        <v>3.960485566381089E-2</v>
      </c>
      <c r="J305" s="483">
        <f t="shared" si="167"/>
        <v>-8.5411728891691352E-2</v>
      </c>
      <c r="K305" s="483">
        <f t="shared" si="167"/>
        <v>5.9199733720072256E-3</v>
      </c>
      <c r="L305" s="483">
        <f t="shared" si="167"/>
        <v>-8.5251713542897622E-2</v>
      </c>
      <c r="M305" s="483">
        <f t="shared" si="167"/>
        <v>-7.1519003694804018E-2</v>
      </c>
      <c r="N305" s="488"/>
      <c r="O305" s="19"/>
      <c r="P305" s="19"/>
      <c r="Q305" s="19"/>
      <c r="R305" s="19"/>
    </row>
    <row r="306" spans="1:19">
      <c r="A306" s="478" t="s">
        <v>173</v>
      </c>
      <c r="B306" s="484">
        <f>B292/M314-1</f>
        <v>6.9198383421926524E-2</v>
      </c>
      <c r="C306" s="484">
        <f t="shared" ref="C306:M306" si="168">C292/B292-1</f>
        <v>-6.0172405629289605E-2</v>
      </c>
      <c r="D306" s="484">
        <f t="shared" si="168"/>
        <v>7.8257637084206078E-2</v>
      </c>
      <c r="E306" s="484">
        <f t="shared" si="168"/>
        <v>6.0798779691599192E-2</v>
      </c>
      <c r="F306" s="484">
        <f t="shared" si="168"/>
        <v>-1.6069156808101948E-2</v>
      </c>
      <c r="G306" s="484">
        <f t="shared" si="168"/>
        <v>-3.8615428990953937E-2</v>
      </c>
      <c r="H306" s="484">
        <f t="shared" si="168"/>
        <v>0.16544040332471033</v>
      </c>
      <c r="I306" s="484">
        <f t="shared" si="168"/>
        <v>8.6629965411291199E-3</v>
      </c>
      <c r="J306" s="484">
        <f t="shared" si="168"/>
        <v>-0.10239278148750386</v>
      </c>
      <c r="K306" s="484">
        <f t="shared" si="168"/>
        <v>5.289280860633605E-2</v>
      </c>
      <c r="L306" s="484">
        <f t="shared" si="168"/>
        <v>-0.10188013317692612</v>
      </c>
      <c r="M306" s="484">
        <f t="shared" si="168"/>
        <v>-4.4165062996413873E-2</v>
      </c>
      <c r="O306" s="151"/>
      <c r="P306" s="151"/>
      <c r="Q306" s="151"/>
      <c r="R306" s="151"/>
    </row>
    <row r="307" spans="1:19" s="492" customFormat="1">
      <c r="A307" s="469" t="s">
        <v>181</v>
      </c>
      <c r="B307" s="483">
        <f>B293/M317-1</f>
        <v>0.15059566872678043</v>
      </c>
      <c r="C307" s="483">
        <f t="shared" ref="C307:M307" si="169">C293/B293-1</f>
        <v>3.6243700572581528E-2</v>
      </c>
      <c r="D307" s="483">
        <f t="shared" si="169"/>
        <v>-0.11982858194078772</v>
      </c>
      <c r="E307" s="483">
        <f t="shared" si="169"/>
        <v>0.11118595842981449</v>
      </c>
      <c r="F307" s="483">
        <f t="shared" si="169"/>
        <v>5.5996946069636344E-4</v>
      </c>
      <c r="G307" s="483">
        <f t="shared" si="169"/>
        <v>-1.0528067553199572E-2</v>
      </c>
      <c r="H307" s="483">
        <f t="shared" si="169"/>
        <v>9.9193070145713325E-2</v>
      </c>
      <c r="I307" s="483">
        <f t="shared" si="169"/>
        <v>7.5467121693907124E-2</v>
      </c>
      <c r="J307" s="483">
        <f t="shared" si="169"/>
        <v>-5.7671949586642235E-2</v>
      </c>
      <c r="K307" s="483">
        <f t="shared" si="169"/>
        <v>7.7104340201666011E-2</v>
      </c>
      <c r="L307" s="483">
        <f t="shared" si="169"/>
        <v>-8.045987155991885E-2</v>
      </c>
      <c r="M307" s="483">
        <f t="shared" si="169"/>
        <v>1.4614311467477936E-2</v>
      </c>
      <c r="N307" s="52"/>
      <c r="O307" s="52"/>
      <c r="P307" s="52"/>
      <c r="Q307" s="52"/>
      <c r="R307" s="52"/>
      <c r="S307" s="36"/>
    </row>
    <row r="308" spans="1:19"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O308" s="151"/>
      <c r="P308" s="151"/>
      <c r="Q308" s="151"/>
      <c r="R308" s="151"/>
    </row>
    <row r="309" spans="1:19" s="445" customFormat="1">
      <c r="A309" s="500">
        <v>2010</v>
      </c>
      <c r="B309" s="472" t="s">
        <v>51</v>
      </c>
      <c r="C309" s="472" t="s">
        <v>52</v>
      </c>
      <c r="D309" s="472" t="s">
        <v>53</v>
      </c>
      <c r="E309" s="472" t="s">
        <v>54</v>
      </c>
      <c r="F309" s="472" t="s">
        <v>55</v>
      </c>
      <c r="G309" s="472" t="s">
        <v>77</v>
      </c>
      <c r="H309" s="472" t="s">
        <v>78</v>
      </c>
      <c r="I309" s="472" t="s">
        <v>79</v>
      </c>
      <c r="J309" s="472" t="s">
        <v>80</v>
      </c>
      <c r="K309" s="472" t="s">
        <v>81</v>
      </c>
      <c r="L309" s="472" t="s">
        <v>82</v>
      </c>
      <c r="M309" s="472" t="s">
        <v>44</v>
      </c>
      <c r="N309" s="473" t="s">
        <v>133</v>
      </c>
      <c r="O309" s="473" t="s">
        <v>129</v>
      </c>
      <c r="P309" s="473" t="s">
        <v>130</v>
      </c>
      <c r="Q309" s="473" t="s">
        <v>131</v>
      </c>
      <c r="R309" s="473" t="s">
        <v>132</v>
      </c>
      <c r="S309" s="445" t="s">
        <v>171</v>
      </c>
    </row>
    <row r="310" spans="1:19">
      <c r="A310" s="474" t="s">
        <v>22</v>
      </c>
      <c r="B310" s="15">
        <v>5557.55</v>
      </c>
      <c r="C310" s="15">
        <v>5881.92</v>
      </c>
      <c r="D310" s="15">
        <v>6295.64</v>
      </c>
      <c r="E310" s="15">
        <v>6288.97</v>
      </c>
      <c r="F310" s="15">
        <v>6025.78</v>
      </c>
      <c r="G310" s="15">
        <v>6151.59</v>
      </c>
      <c r="H310" s="15">
        <v>7219.88</v>
      </c>
      <c r="I310" s="15">
        <v>7572.61</v>
      </c>
      <c r="J310" s="15">
        <v>6594.84</v>
      </c>
      <c r="K310" s="15">
        <v>7050.43</v>
      </c>
      <c r="L310" s="15">
        <v>5842</v>
      </c>
      <c r="M310" s="15">
        <v>5949.63</v>
      </c>
      <c r="N310" s="15">
        <f>SUM(B310:M310)</f>
        <v>76430.84</v>
      </c>
      <c r="O310" s="15">
        <f>SUM(B310:D310)</f>
        <v>17735.11</v>
      </c>
      <c r="P310" s="15">
        <f>SUM(E310:G310)</f>
        <v>18466.34</v>
      </c>
      <c r="Q310" s="15">
        <f>SUM(H310:J310)</f>
        <v>21387.33</v>
      </c>
      <c r="R310" s="15">
        <f>SUM(K310:M310)</f>
        <v>18842.060000000001</v>
      </c>
      <c r="S310" s="385">
        <f>SUM(B310:M310)</f>
        <v>76430.84</v>
      </c>
    </row>
    <row r="311" spans="1:19">
      <c r="A311" s="474" t="s">
        <v>25</v>
      </c>
      <c r="B311" s="15">
        <v>4523.4430000000002</v>
      </c>
      <c r="C311" s="15">
        <v>4721.8059999999996</v>
      </c>
      <c r="D311" s="15">
        <v>5164.7960000000003</v>
      </c>
      <c r="E311" s="15">
        <v>5091.7290000000003</v>
      </c>
      <c r="F311" s="15">
        <v>5166.9179999999997</v>
      </c>
      <c r="G311" s="15">
        <v>5444.91</v>
      </c>
      <c r="H311" s="15">
        <v>6300.3249999999998</v>
      </c>
      <c r="I311" s="15">
        <v>6505.8180000000002</v>
      </c>
      <c r="J311" s="15">
        <v>5618.4750000000004</v>
      </c>
      <c r="K311" s="15">
        <v>6137.915</v>
      </c>
      <c r="L311" s="15">
        <v>5063.5780000000004</v>
      </c>
      <c r="M311" s="15">
        <v>5138.5709999999999</v>
      </c>
      <c r="N311" s="15">
        <f>SUM(B311:M311)</f>
        <v>64878.284</v>
      </c>
      <c r="O311" s="15">
        <f>SUM(B311:D311)</f>
        <v>14410.045</v>
      </c>
      <c r="P311" s="15">
        <f>SUM(E311:G311)</f>
        <v>15703.557000000001</v>
      </c>
      <c r="Q311" s="15">
        <f>SUM(H311:J311)</f>
        <v>18424.618000000002</v>
      </c>
      <c r="R311" s="15">
        <f>SUM(K311:M311)</f>
        <v>16340.064</v>
      </c>
      <c r="S311" s="385">
        <f>SUM(B311:M311)</f>
        <v>64878.284</v>
      </c>
    </row>
    <row r="312" spans="1:19" ht="13.5" customHeight="1">
      <c r="A312" s="474" t="s">
        <v>190</v>
      </c>
      <c r="B312" s="15">
        <f>B311*73.59%</f>
        <v>3328.8017037</v>
      </c>
      <c r="C312" s="15">
        <f>C311*75.46%</f>
        <v>3563.0748075999995</v>
      </c>
      <c r="D312" s="15">
        <f>D311*75.19%</f>
        <v>3883.4101124000003</v>
      </c>
      <c r="E312" s="15">
        <f>E311*76.19%</f>
        <v>3879.3883251000002</v>
      </c>
      <c r="F312" s="15">
        <f>F311*76.25%</f>
        <v>3939.7749749999994</v>
      </c>
      <c r="G312" s="15">
        <f t="shared" ref="G312:M312" si="170">G311*75%</f>
        <v>4083.6824999999999</v>
      </c>
      <c r="H312" s="15">
        <f t="shared" si="170"/>
        <v>4725.2437499999996</v>
      </c>
      <c r="I312" s="15">
        <f t="shared" si="170"/>
        <v>4879.3635000000004</v>
      </c>
      <c r="J312" s="15">
        <f t="shared" si="170"/>
        <v>4213.8562500000007</v>
      </c>
      <c r="K312" s="15">
        <f t="shared" si="170"/>
        <v>4603.4362499999997</v>
      </c>
      <c r="L312" s="15">
        <f t="shared" si="170"/>
        <v>3797.6835000000001</v>
      </c>
      <c r="M312" s="15">
        <f t="shared" si="170"/>
        <v>3853.9282499999999</v>
      </c>
      <c r="N312" s="15">
        <f>SUM(B312:M312)</f>
        <v>48751.643923799988</v>
      </c>
      <c r="O312" s="15">
        <f>SUM(B312:D312)</f>
        <v>10775.2866237</v>
      </c>
      <c r="P312" s="15">
        <f>SUM(E312:G312)</f>
        <v>11902.8458001</v>
      </c>
      <c r="Q312" s="15">
        <f>SUM(H312:J312)</f>
        <v>13818.463500000002</v>
      </c>
      <c r="R312" s="15">
        <f>SUM(K312:M312)</f>
        <v>12255.047999999999</v>
      </c>
      <c r="S312" s="1">
        <f>SUM(B312:M312)</f>
        <v>48751.643923799988</v>
      </c>
    </row>
    <row r="313" spans="1:19">
      <c r="A313" s="474" t="s">
        <v>28</v>
      </c>
      <c r="B313" s="15">
        <v>3419.2</v>
      </c>
      <c r="C313" s="15">
        <v>3497.6</v>
      </c>
      <c r="D313" s="15">
        <v>3767.5</v>
      </c>
      <c r="E313" s="15">
        <v>3798.5</v>
      </c>
      <c r="F313" s="15">
        <v>3841.7</v>
      </c>
      <c r="G313" s="15">
        <v>3774.8</v>
      </c>
      <c r="H313" s="15">
        <v>4352.8999999999996</v>
      </c>
      <c r="I313" s="15">
        <v>4444.6000000000004</v>
      </c>
      <c r="J313" s="15">
        <v>3974.8</v>
      </c>
      <c r="K313" s="15">
        <v>4205.8</v>
      </c>
      <c r="L313" s="15">
        <v>3635.1</v>
      </c>
      <c r="M313" s="15">
        <v>3528.6</v>
      </c>
      <c r="N313" s="15">
        <f>SUM(B313:M313)</f>
        <v>46241.1</v>
      </c>
      <c r="O313" s="15">
        <f>SUM(B313:D313)</f>
        <v>10684.3</v>
      </c>
      <c r="P313" s="15">
        <f>SUM(E313:G313)</f>
        <v>11415</v>
      </c>
      <c r="Q313" s="15">
        <f>SUM(H313:J313)</f>
        <v>12772.3</v>
      </c>
      <c r="R313" s="15">
        <f>SUM(K313:M313)</f>
        <v>11369.5</v>
      </c>
      <c r="S313" s="1">
        <f>SUM(B313:M313)</f>
        <v>46241.1</v>
      </c>
    </row>
    <row r="314" spans="1:19">
      <c r="A314" s="474" t="s">
        <v>191</v>
      </c>
      <c r="B314" s="15">
        <f t="shared" ref="B314:S314" si="171">SUM(B310,B311,B313)</f>
        <v>13500.192999999999</v>
      </c>
      <c r="C314" s="15">
        <f t="shared" si="171"/>
        <v>14101.325999999999</v>
      </c>
      <c r="D314" s="15">
        <f t="shared" si="171"/>
        <v>15227.936000000002</v>
      </c>
      <c r="E314" s="15">
        <f t="shared" si="171"/>
        <v>15179.199000000001</v>
      </c>
      <c r="F314" s="15">
        <f t="shared" si="171"/>
        <v>15034.398000000001</v>
      </c>
      <c r="G314" s="15">
        <f t="shared" si="171"/>
        <v>15371.3</v>
      </c>
      <c r="H314" s="15">
        <f t="shared" si="171"/>
        <v>17873.105</v>
      </c>
      <c r="I314" s="15">
        <f t="shared" si="171"/>
        <v>18523.027999999998</v>
      </c>
      <c r="J314" s="15">
        <f t="shared" si="171"/>
        <v>16188.115000000002</v>
      </c>
      <c r="K314" s="15">
        <f t="shared" si="171"/>
        <v>17394.145</v>
      </c>
      <c r="L314" s="15">
        <f t="shared" si="171"/>
        <v>14540.678000000002</v>
      </c>
      <c r="M314" s="15">
        <f t="shared" si="171"/>
        <v>14616.801000000001</v>
      </c>
      <c r="N314" s="15">
        <f t="shared" si="171"/>
        <v>187550.22400000002</v>
      </c>
      <c r="O314" s="15">
        <f t="shared" si="171"/>
        <v>42829.455000000002</v>
      </c>
      <c r="P314" s="15">
        <f t="shared" si="171"/>
        <v>45584.896999999997</v>
      </c>
      <c r="Q314" s="15">
        <f t="shared" si="171"/>
        <v>52584.248000000007</v>
      </c>
      <c r="R314" s="15">
        <f t="shared" si="171"/>
        <v>46551.624000000003</v>
      </c>
      <c r="S314" s="15">
        <f t="shared" si="171"/>
        <v>187550.22400000002</v>
      </c>
    </row>
    <row r="315" spans="1:19" s="445" customFormat="1" ht="13.5" customHeight="1">
      <c r="A315" s="505" t="s">
        <v>192</v>
      </c>
      <c r="B315" s="21">
        <f t="shared" ref="B315:M315" si="172">B310+B312+B313</f>
        <v>12305.551703699999</v>
      </c>
      <c r="C315" s="21">
        <f t="shared" si="172"/>
        <v>12942.5948076</v>
      </c>
      <c r="D315" s="21">
        <f t="shared" si="172"/>
        <v>13946.5501124</v>
      </c>
      <c r="E315" s="21">
        <f t="shared" si="172"/>
        <v>13966.8583251</v>
      </c>
      <c r="F315" s="21">
        <f t="shared" si="172"/>
        <v>13807.254975</v>
      </c>
      <c r="G315" s="21">
        <f t="shared" si="172"/>
        <v>14010.072499999998</v>
      </c>
      <c r="H315" s="21">
        <f t="shared" si="172"/>
        <v>16298.023749999998</v>
      </c>
      <c r="I315" s="21">
        <f t="shared" si="172"/>
        <v>16896.573499999999</v>
      </c>
      <c r="J315" s="21">
        <f t="shared" si="172"/>
        <v>14783.49625</v>
      </c>
      <c r="K315" s="21">
        <f t="shared" si="172"/>
        <v>15859.666249999998</v>
      </c>
      <c r="L315" s="21">
        <f t="shared" si="172"/>
        <v>13274.7835</v>
      </c>
      <c r="M315" s="21">
        <f t="shared" si="172"/>
        <v>13332.15825</v>
      </c>
      <c r="N315" s="21"/>
      <c r="O315" s="21">
        <f>SUM(B315:D315)</f>
        <v>39194.696623700002</v>
      </c>
      <c r="P315" s="21">
        <f>SUM(E315:G315)</f>
        <v>41784.185800099993</v>
      </c>
      <c r="Q315" s="21">
        <f>SUM(H315:J315)</f>
        <v>47978.093500000003</v>
      </c>
      <c r="R315" s="21">
        <f>SUM(K315:M315)</f>
        <v>42466.608</v>
      </c>
      <c r="S315" s="445">
        <f>SUM(B315:M315)</f>
        <v>171423.58392379998</v>
      </c>
    </row>
    <row r="316" spans="1:19">
      <c r="A316" s="474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5"/>
      <c r="N316" s="19"/>
      <c r="O316" s="19"/>
      <c r="P316" s="19"/>
      <c r="Q316" s="19"/>
      <c r="R316" s="19"/>
      <c r="S316" s="19"/>
    </row>
    <row r="317" spans="1:19">
      <c r="A317" s="469" t="s">
        <v>181</v>
      </c>
      <c r="B317" s="15">
        <v>1500.2159999999999</v>
      </c>
      <c r="C317" s="15">
        <v>1580.1279999999999</v>
      </c>
      <c r="D317" s="15">
        <v>1511.575</v>
      </c>
      <c r="E317" s="15">
        <v>1577.876</v>
      </c>
      <c r="F317" s="15">
        <v>1553.8050000000001</v>
      </c>
      <c r="G317" s="15">
        <v>1450.6479999999999</v>
      </c>
      <c r="H317" s="15">
        <v>1717.846</v>
      </c>
      <c r="I317" s="15">
        <v>1794.1959999999999</v>
      </c>
      <c r="J317" s="15">
        <v>1521.5550000000001</v>
      </c>
      <c r="K317" s="15">
        <v>1586.38</v>
      </c>
      <c r="L317" s="15">
        <v>1441.1089999999999</v>
      </c>
      <c r="M317" s="15">
        <v>1390.538</v>
      </c>
      <c r="O317" s="15">
        <f>SUM(B317:D317)</f>
        <v>4591.9189999999999</v>
      </c>
      <c r="P317" s="15">
        <f>SUM(E317:G317)</f>
        <v>4582.3289999999997</v>
      </c>
      <c r="Q317" s="15">
        <f>SUM(H317:J317)</f>
        <v>5033.5969999999998</v>
      </c>
      <c r="R317" s="15">
        <f>SUM(K317:M317)</f>
        <v>4418.027</v>
      </c>
      <c r="S317" s="1">
        <f>SUM(B317:M317)</f>
        <v>18625.871999999999</v>
      </c>
    </row>
    <row r="318" spans="1:19" s="492" customFormat="1">
      <c r="A318" s="478" t="s">
        <v>182</v>
      </c>
      <c r="B318" s="15">
        <f t="shared" ref="B318:M318" si="173">SUM(B310,B311,B313,B317)</f>
        <v>15000.409</v>
      </c>
      <c r="C318" s="15">
        <f t="shared" si="173"/>
        <v>15681.454</v>
      </c>
      <c r="D318" s="15">
        <f t="shared" si="173"/>
        <v>16739.511000000002</v>
      </c>
      <c r="E318" s="15">
        <f t="shared" si="173"/>
        <v>16757.075000000001</v>
      </c>
      <c r="F318" s="15">
        <f t="shared" si="173"/>
        <v>16588.203000000001</v>
      </c>
      <c r="G318" s="15">
        <f t="shared" si="173"/>
        <v>16821.948</v>
      </c>
      <c r="H318" s="15">
        <f t="shared" si="173"/>
        <v>19590.951000000001</v>
      </c>
      <c r="I318" s="15">
        <f t="shared" si="173"/>
        <v>20317.223999999998</v>
      </c>
      <c r="J318" s="15">
        <f t="shared" si="173"/>
        <v>17709.670000000002</v>
      </c>
      <c r="K318" s="15">
        <f t="shared" si="173"/>
        <v>18980.525000000001</v>
      </c>
      <c r="L318" s="15">
        <f t="shared" si="173"/>
        <v>15981.787000000002</v>
      </c>
      <c r="M318" s="15">
        <f t="shared" si="173"/>
        <v>16007.339000000002</v>
      </c>
      <c r="N318" s="52"/>
      <c r="O318" s="52"/>
      <c r="P318" s="52"/>
      <c r="Q318" s="52"/>
      <c r="R318" s="52"/>
      <c r="S318" s="36"/>
    </row>
    <row r="319" spans="1:19">
      <c r="A319" s="474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5"/>
      <c r="N319" s="19"/>
      <c r="O319" s="19"/>
      <c r="P319" s="19"/>
      <c r="Q319" s="19"/>
      <c r="R319" s="19"/>
      <c r="S319" s="19"/>
    </row>
    <row r="320" spans="1:19">
      <c r="A320" s="504" t="s">
        <v>184</v>
      </c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5"/>
      <c r="N320" s="19"/>
      <c r="O320" s="19"/>
      <c r="P320" s="19"/>
      <c r="Q320" s="19"/>
      <c r="R320" s="19"/>
      <c r="S320" s="19"/>
    </row>
    <row r="321" spans="1:19">
      <c r="A321" s="474" t="s">
        <v>22</v>
      </c>
      <c r="B321" s="19">
        <f t="shared" ref="B321:M321" si="174">B310/B336-1</f>
        <v>7.0068391340177616E-2</v>
      </c>
      <c r="C321" s="19">
        <f t="shared" si="174"/>
        <v>0.1760829227717704</v>
      </c>
      <c r="D321" s="19">
        <f t="shared" si="174"/>
        <v>0.21261920308488236</v>
      </c>
      <c r="E321" s="19">
        <f t="shared" si="174"/>
        <v>0.16839322406726898</v>
      </c>
      <c r="F321" s="19">
        <f t="shared" si="174"/>
        <v>0.17025660745255</v>
      </c>
      <c r="G321" s="19">
        <f t="shared" si="174"/>
        <v>0.22247217358990001</v>
      </c>
      <c r="H321" s="19">
        <f t="shared" si="174"/>
        <v>0.18356166180065014</v>
      </c>
      <c r="I321" s="19">
        <f t="shared" si="174"/>
        <v>0.16753520670739053</v>
      </c>
      <c r="J321" s="19">
        <f t="shared" si="174"/>
        <v>0.2004193833753809</v>
      </c>
      <c r="K321" s="19">
        <f t="shared" si="174"/>
        <v>0.15090270976167153</v>
      </c>
      <c r="L321" s="19">
        <f t="shared" si="174"/>
        <v>3.7362450036313E-2</v>
      </c>
      <c r="M321" s="19">
        <f t="shared" si="174"/>
        <v>8.6091324967780158E-2</v>
      </c>
      <c r="N321" s="19"/>
      <c r="O321" s="19">
        <f>O310/O336-1</f>
        <v>0.15262671828703889</v>
      </c>
      <c r="P321" s="19">
        <f>P310/P336-1</f>
        <v>0.18649454052935743</v>
      </c>
      <c r="Q321" s="19">
        <f>Q310/Q336-1</f>
        <v>0.18293474130650145</v>
      </c>
      <c r="R321" s="19">
        <f>R310/R336-1</f>
        <v>9.3205288353588989E-2</v>
      </c>
      <c r="S321" s="19">
        <f>S310/S336-1</f>
        <v>0.15339502311669162</v>
      </c>
    </row>
    <row r="322" spans="1:19" s="506" customFormat="1">
      <c r="A322" s="507" t="s">
        <v>25</v>
      </c>
      <c r="B322" s="17">
        <f t="shared" ref="B322:M322" si="175">B311/B337-1</f>
        <v>0.40686256519670216</v>
      </c>
      <c r="C322" s="17">
        <f t="shared" si="175"/>
        <v>0.45485093481556338</v>
      </c>
      <c r="D322" s="17">
        <f t="shared" si="175"/>
        <v>0.42567981251500964</v>
      </c>
      <c r="E322" s="17">
        <f t="shared" si="175"/>
        <v>0.34634864141643851</v>
      </c>
      <c r="F322" s="17">
        <f t="shared" si="175"/>
        <v>0.44792433795712472</v>
      </c>
      <c r="G322" s="17">
        <f t="shared" si="175"/>
        <v>0.62538508382289715</v>
      </c>
      <c r="H322" s="17">
        <f t="shared" si="175"/>
        <v>0.56066074471879834</v>
      </c>
      <c r="I322" s="17">
        <f t="shared" si="175"/>
        <v>0.47723191782128294</v>
      </c>
      <c r="J322" s="17">
        <f t="shared" si="175"/>
        <v>0.5360719470485471</v>
      </c>
      <c r="K322" s="17">
        <f t="shared" si="175"/>
        <v>0.47175265197291449</v>
      </c>
      <c r="L322" s="17">
        <f t="shared" si="175"/>
        <v>0.40258558174758341</v>
      </c>
      <c r="M322" s="17">
        <f t="shared" si="175"/>
        <v>0.52685455964144001</v>
      </c>
      <c r="N322" s="17"/>
      <c r="O322" s="17"/>
      <c r="P322" s="17"/>
      <c r="Q322" s="17"/>
      <c r="R322" s="17"/>
      <c r="S322" s="17"/>
    </row>
    <row r="323" spans="1:19" ht="13.5" customHeight="1">
      <c r="A323" s="474" t="s">
        <v>190</v>
      </c>
      <c r="B323" s="19">
        <f t="shared" ref="B323:M323" si="176">B312/B337-1</f>
        <v>3.5310161728252965E-2</v>
      </c>
      <c r="C323" s="19">
        <f t="shared" si="176"/>
        <v>9.7830515411823971E-2</v>
      </c>
      <c r="D323" s="19">
        <f t="shared" si="176"/>
        <v>7.1968651030035691E-2</v>
      </c>
      <c r="E323" s="19">
        <f t="shared" si="176"/>
        <v>2.5783029895184439E-2</v>
      </c>
      <c r="F323" s="19">
        <f t="shared" si="176"/>
        <v>0.1040423076923076</v>
      </c>
      <c r="G323" s="19">
        <f t="shared" si="176"/>
        <v>0.21903881286717297</v>
      </c>
      <c r="H323" s="19">
        <f t="shared" si="176"/>
        <v>0.17049555853909859</v>
      </c>
      <c r="I323" s="19">
        <f t="shared" si="176"/>
        <v>0.10792393836596226</v>
      </c>
      <c r="J323" s="19">
        <f t="shared" si="176"/>
        <v>0.15205396028641038</v>
      </c>
      <c r="K323" s="19">
        <f t="shared" si="176"/>
        <v>0.10381448897968593</v>
      </c>
      <c r="L323" s="19">
        <f t="shared" si="176"/>
        <v>5.1939186310687502E-2</v>
      </c>
      <c r="M323" s="19">
        <f t="shared" si="176"/>
        <v>0.14514091973108001</v>
      </c>
      <c r="N323" s="19"/>
      <c r="O323" s="19">
        <f t="shared" ref="O323:S324" si="177">O312/O337-1</f>
        <v>6.8603684397908538E-2</v>
      </c>
      <c r="P323" s="19">
        <f t="shared" si="177"/>
        <v>0.11238430699139279</v>
      </c>
      <c r="Q323" s="19">
        <f t="shared" si="177"/>
        <v>0.14214354257602668</v>
      </c>
      <c r="R323" s="19">
        <f t="shared" si="177"/>
        <v>9.9490441334003643E-2</v>
      </c>
      <c r="S323" s="19">
        <f t="shared" si="177"/>
        <v>0.10727102359223117</v>
      </c>
    </row>
    <row r="324" spans="1:19">
      <c r="A324" s="474" t="s">
        <v>28</v>
      </c>
      <c r="B324" s="19">
        <f t="shared" ref="B324:M324" si="178">B313/B338-1</f>
        <v>6.3250202126997834E-2</v>
      </c>
      <c r="C324" s="19">
        <f t="shared" si="178"/>
        <v>0.13846754768569758</v>
      </c>
      <c r="D324" s="19">
        <f t="shared" si="178"/>
        <v>0.18147892624184636</v>
      </c>
      <c r="E324" s="19">
        <f t="shared" si="178"/>
        <v>0.16751191025049939</v>
      </c>
      <c r="F324" s="19">
        <f t="shared" si="178"/>
        <v>0.25385946016514893</v>
      </c>
      <c r="G324" s="19">
        <f t="shared" si="178"/>
        <v>0.24774402538591223</v>
      </c>
      <c r="H324" s="19">
        <f t="shared" si="178"/>
        <v>0.22465113661940128</v>
      </c>
      <c r="I324" s="19">
        <f t="shared" si="178"/>
        <v>0.15931973498878405</v>
      </c>
      <c r="J324" s="19">
        <f t="shared" si="178"/>
        <v>0.1993964996982498</v>
      </c>
      <c r="K324" s="19">
        <f t="shared" si="178"/>
        <v>0.13230507461561447</v>
      </c>
      <c r="L324" s="19">
        <f t="shared" si="178"/>
        <v>8.2551594746716583E-2</v>
      </c>
      <c r="M324" s="19">
        <f t="shared" si="178"/>
        <v>8.7261970789424881E-2</v>
      </c>
      <c r="N324" s="19"/>
      <c r="O324" s="19">
        <f t="shared" si="177"/>
        <v>0.12741642748607118</v>
      </c>
      <c r="P324" s="19">
        <f t="shared" si="177"/>
        <v>0.22180954113907103</v>
      </c>
      <c r="Q324" s="19">
        <f t="shared" si="177"/>
        <v>0.19342751957541426</v>
      </c>
      <c r="R324" s="19">
        <f t="shared" si="177"/>
        <v>0.10194452817351207</v>
      </c>
      <c r="S324" s="19">
        <f t="shared" si="177"/>
        <v>0.16068853498436342</v>
      </c>
    </row>
    <row r="325" spans="1:19" s="492" customFormat="1" ht="13.5" customHeight="1">
      <c r="A325" s="469" t="s">
        <v>193</v>
      </c>
      <c r="B325" s="52">
        <f t="shared" ref="B325:M325" si="179">B315/B339-1</f>
        <v>5.8568489338658658E-2</v>
      </c>
      <c r="C325" s="52">
        <f t="shared" si="179"/>
        <v>0.14343573373713658</v>
      </c>
      <c r="D325" s="52">
        <f t="shared" si="179"/>
        <v>0.16189686071950438</v>
      </c>
      <c r="E325" s="20">
        <f t="shared" si="179"/>
        <v>0.12473049720727092</v>
      </c>
      <c r="F325" s="20">
        <f t="shared" si="179"/>
        <v>0.17194272847877734</v>
      </c>
      <c r="G325" s="20">
        <f t="shared" si="179"/>
        <v>0.22816619343210598</v>
      </c>
      <c r="H325" s="52">
        <f t="shared" si="179"/>
        <v>0.19037619353335522</v>
      </c>
      <c r="I325" s="52">
        <f t="shared" si="179"/>
        <v>0.14756568259367109</v>
      </c>
      <c r="J325" s="52">
        <f t="shared" si="179"/>
        <v>0.18595578425843562</v>
      </c>
      <c r="K325" s="52">
        <f t="shared" si="179"/>
        <v>0.13195603764225572</v>
      </c>
      <c r="L325" s="52">
        <f t="shared" si="179"/>
        <v>5.3582341560854285E-2</v>
      </c>
      <c r="M325" s="508">
        <f t="shared" si="179"/>
        <v>0.10284460134526929</v>
      </c>
      <c r="N325" s="52"/>
      <c r="O325" s="52">
        <f>O315/O339-1</f>
        <v>0.12154649635834369</v>
      </c>
      <c r="P325" s="52">
        <f>P315/P339-1</f>
        <v>0.17348959383858897</v>
      </c>
      <c r="Q325" s="52">
        <f>Q315/Q339-1</f>
        <v>0.17360945725132582</v>
      </c>
      <c r="R325" s="52">
        <f>R315/R339-1</f>
        <v>9.7345498622252613E-2</v>
      </c>
      <c r="S325" s="52">
        <f>S315/S339-1</f>
        <v>0.14180398783124271</v>
      </c>
    </row>
    <row r="326" spans="1:19">
      <c r="A326" s="469" t="s">
        <v>181</v>
      </c>
      <c r="B326" s="19">
        <f t="shared" ref="B326:M326" si="180">B317/B340-1</f>
        <v>9.2571944607295009E-2</v>
      </c>
      <c r="C326" s="19">
        <f t="shared" si="180"/>
        <v>0.2081533037640102</v>
      </c>
      <c r="D326" s="19">
        <f t="shared" si="180"/>
        <v>0.11672544914293814</v>
      </c>
      <c r="E326" s="19">
        <f t="shared" si="180"/>
        <v>8.0738466765022832E-2</v>
      </c>
      <c r="F326" s="19">
        <f t="shared" si="180"/>
        <v>1.8784307965873825E-2</v>
      </c>
      <c r="G326" s="19">
        <f t="shared" si="180"/>
        <v>-1.5854732051678866E-5</v>
      </c>
      <c r="H326" s="19">
        <f t="shared" si="180"/>
        <v>7.3223119223411626E-2</v>
      </c>
      <c r="I326" s="19">
        <f t="shared" si="180"/>
        <v>1.4405930629903363E-2</v>
      </c>
      <c r="J326" s="19">
        <f t="shared" si="180"/>
        <v>5.9389092620610429E-2</v>
      </c>
      <c r="K326" s="19">
        <f t="shared" si="180"/>
        <v>-3.3154373623748179E-2</v>
      </c>
      <c r="L326" s="19">
        <f t="shared" si="180"/>
        <v>-3.5510732394215316E-2</v>
      </c>
      <c r="M326" s="19">
        <f t="shared" si="180"/>
        <v>-5.3031510273016447E-2</v>
      </c>
      <c r="O326" s="151"/>
      <c r="P326" s="151"/>
      <c r="Q326" s="151"/>
      <c r="R326" s="151"/>
    </row>
    <row r="327" spans="1:19">
      <c r="A327" s="493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9"/>
      <c r="N327" s="488"/>
      <c r="O327" s="19"/>
      <c r="P327" s="19"/>
      <c r="Q327" s="19"/>
      <c r="R327" s="19"/>
    </row>
    <row r="328" spans="1:19">
      <c r="A328" s="504" t="s">
        <v>185</v>
      </c>
      <c r="B328" s="488"/>
      <c r="C328" s="488"/>
      <c r="D328" s="488"/>
      <c r="E328" s="488"/>
      <c r="F328" s="488"/>
      <c r="G328" s="488"/>
      <c r="H328" s="488"/>
      <c r="I328" s="488"/>
      <c r="J328" s="488"/>
      <c r="K328" s="488"/>
      <c r="L328" s="488"/>
      <c r="M328" s="488"/>
      <c r="N328" s="488"/>
      <c r="O328" s="488"/>
      <c r="P328" s="488"/>
      <c r="Q328" s="488"/>
      <c r="R328" s="488"/>
    </row>
    <row r="329" spans="1:19">
      <c r="A329" s="474" t="s">
        <v>22</v>
      </c>
      <c r="B329" s="19">
        <f>B310/M336-1</f>
        <v>1.4518019284339934E-2</v>
      </c>
      <c r="C329" s="19">
        <f t="shared" ref="C329:M329" si="181">C310/B310-1</f>
        <v>5.8365646732822851E-2</v>
      </c>
      <c r="D329" s="19">
        <f t="shared" si="181"/>
        <v>7.033757684565578E-2</v>
      </c>
      <c r="E329" s="19">
        <f t="shared" si="181"/>
        <v>-1.0594633746529025E-3</v>
      </c>
      <c r="F329" s="19">
        <f t="shared" si="181"/>
        <v>-4.1849460245477532E-2</v>
      </c>
      <c r="G329" s="19">
        <f t="shared" si="181"/>
        <v>2.0878624841929261E-2</v>
      </c>
      <c r="H329" s="19">
        <f t="shared" si="181"/>
        <v>0.17366079338837603</v>
      </c>
      <c r="I329" s="19">
        <f t="shared" si="181"/>
        <v>4.8855382637938538E-2</v>
      </c>
      <c r="J329" s="19">
        <f t="shared" si="181"/>
        <v>-0.12911928648114712</v>
      </c>
      <c r="K329" s="19">
        <f t="shared" si="181"/>
        <v>6.9082798066367079E-2</v>
      </c>
      <c r="L329" s="19">
        <f t="shared" si="181"/>
        <v>-0.17139805657243601</v>
      </c>
      <c r="M329" s="19">
        <f t="shared" si="181"/>
        <v>1.8423485107839754E-2</v>
      </c>
      <c r="N329" s="19"/>
      <c r="O329" s="19"/>
      <c r="P329" s="19"/>
      <c r="Q329" s="19"/>
      <c r="R329" s="19"/>
    </row>
    <row r="330" spans="1:19">
      <c r="A330" s="474" t="s">
        <v>25</v>
      </c>
      <c r="B330" s="19">
        <f>B311/M337-1</f>
        <v>0.3440778710322685</v>
      </c>
      <c r="C330" s="19">
        <f t="shared" ref="C330:M330" si="182">C311/B311-1</f>
        <v>4.3852216110604081E-2</v>
      </c>
      <c r="D330" s="19">
        <f t="shared" si="182"/>
        <v>9.3817916280338753E-2</v>
      </c>
      <c r="E330" s="19">
        <f t="shared" si="182"/>
        <v>-1.4147122170943494E-2</v>
      </c>
      <c r="F330" s="19">
        <f t="shared" si="182"/>
        <v>1.4766889596834254E-2</v>
      </c>
      <c r="G330" s="19">
        <f t="shared" si="182"/>
        <v>5.3802286004926092E-2</v>
      </c>
      <c r="H330" s="19">
        <f t="shared" si="182"/>
        <v>0.15710360685484237</v>
      </c>
      <c r="I330" s="19">
        <f t="shared" si="182"/>
        <v>3.2616253923408722E-2</v>
      </c>
      <c r="J330" s="19">
        <f t="shared" si="182"/>
        <v>-0.13639222615818636</v>
      </c>
      <c r="K330" s="19">
        <f t="shared" si="182"/>
        <v>9.2452133363590594E-2</v>
      </c>
      <c r="L330" s="19">
        <f t="shared" si="182"/>
        <v>-0.17503288983311105</v>
      </c>
      <c r="M330" s="19">
        <f t="shared" si="182"/>
        <v>1.4810278423675882E-2</v>
      </c>
      <c r="N330" s="19"/>
      <c r="O330" s="19"/>
      <c r="P330" s="19"/>
      <c r="Q330" s="19"/>
      <c r="R330" s="19"/>
    </row>
    <row r="331" spans="1:19" ht="13.5" customHeight="1">
      <c r="A331" s="474" t="s">
        <v>190</v>
      </c>
      <c r="B331" s="19">
        <f>B312/M337-1</f>
        <v>-1.0893094707353668E-2</v>
      </c>
      <c r="C331" s="19">
        <f t="shared" ref="C331:M331" si="183">C312/B312-1</f>
        <v>7.0377608747196563E-2</v>
      </c>
      <c r="D331" s="19">
        <f t="shared" si="183"/>
        <v>8.9904176055110918E-2</v>
      </c>
      <c r="E331" s="19">
        <f t="shared" si="183"/>
        <v>-1.0356329060271507E-3</v>
      </c>
      <c r="F331" s="19">
        <f t="shared" si="183"/>
        <v>1.5566023516978778E-2</v>
      </c>
      <c r="G331" s="19">
        <f t="shared" si="183"/>
        <v>3.6526838693369923E-2</v>
      </c>
      <c r="H331" s="19">
        <f t="shared" si="183"/>
        <v>0.15710360685484237</v>
      </c>
      <c r="I331" s="19">
        <f t="shared" si="183"/>
        <v>3.2616253923408944E-2</v>
      </c>
      <c r="J331" s="19">
        <f t="shared" si="183"/>
        <v>-0.13639222615818636</v>
      </c>
      <c r="K331" s="19">
        <f t="shared" si="183"/>
        <v>9.2452133363590372E-2</v>
      </c>
      <c r="L331" s="19">
        <f t="shared" si="183"/>
        <v>-0.17503288983311105</v>
      </c>
      <c r="M331" s="19">
        <f t="shared" si="183"/>
        <v>1.4810278423675882E-2</v>
      </c>
      <c r="N331" s="19"/>
      <c r="O331" s="19"/>
      <c r="P331" s="19"/>
      <c r="Q331" s="19"/>
      <c r="R331" s="19"/>
    </row>
    <row r="332" spans="1:19">
      <c r="A332" s="474" t="s">
        <v>28</v>
      </c>
      <c r="B332" s="19">
        <f>B313/M338-1</f>
        <v>5.3552720774018514E-2</v>
      </c>
      <c r="C332" s="19">
        <f t="shared" ref="C332:M332" si="184">C313/B313-1</f>
        <v>2.292934019653714E-2</v>
      </c>
      <c r="D332" s="19">
        <f t="shared" si="184"/>
        <v>7.716720036596536E-2</v>
      </c>
      <c r="E332" s="19">
        <f t="shared" si="184"/>
        <v>8.2282680822827192E-3</v>
      </c>
      <c r="F332" s="19">
        <f t="shared" si="184"/>
        <v>1.1372910359352284E-2</v>
      </c>
      <c r="G332" s="19">
        <f t="shared" si="184"/>
        <v>-1.7414165603769072E-2</v>
      </c>
      <c r="H332" s="19">
        <f t="shared" si="184"/>
        <v>0.15314718660591264</v>
      </c>
      <c r="I332" s="19">
        <f t="shared" si="184"/>
        <v>2.1066415493119717E-2</v>
      </c>
      <c r="J332" s="19">
        <f t="shared" si="184"/>
        <v>-0.10570130045448412</v>
      </c>
      <c r="K332" s="19">
        <f t="shared" si="184"/>
        <v>5.8116131629264434E-2</v>
      </c>
      <c r="L332" s="19">
        <f t="shared" si="184"/>
        <v>-0.13569356602786631</v>
      </c>
      <c r="M332" s="19">
        <f t="shared" si="184"/>
        <v>-2.9297680944128102E-2</v>
      </c>
      <c r="N332" s="488"/>
      <c r="O332" s="19"/>
      <c r="P332" s="19"/>
      <c r="Q332" s="19"/>
      <c r="R332" s="19"/>
    </row>
    <row r="333" spans="1:19">
      <c r="A333" s="469" t="s">
        <v>133</v>
      </c>
      <c r="B333" s="19">
        <f>B315/M339-1</f>
        <v>1.7923055556336775E-2</v>
      </c>
      <c r="C333" s="19">
        <f t="shared" ref="C333:M333" si="185">C315/B315-1</f>
        <v>5.1768756024848317E-2</v>
      </c>
      <c r="D333" s="19">
        <f t="shared" si="185"/>
        <v>7.7569862900325637E-2</v>
      </c>
      <c r="E333" s="19">
        <f t="shared" si="185"/>
        <v>1.4561459670190402E-3</v>
      </c>
      <c r="F333" s="19">
        <f t="shared" si="185"/>
        <v>-1.1427290689501435E-2</v>
      </c>
      <c r="G333" s="19">
        <f t="shared" si="185"/>
        <v>1.4689199653894258E-2</v>
      </c>
      <c r="H333" s="19">
        <f t="shared" si="185"/>
        <v>0.16330759530330763</v>
      </c>
      <c r="I333" s="19">
        <f t="shared" si="185"/>
        <v>3.6725296218813153E-2</v>
      </c>
      <c r="J333" s="19">
        <f t="shared" si="185"/>
        <v>-0.12505951280595429</v>
      </c>
      <c r="K333" s="19">
        <f t="shared" si="185"/>
        <v>7.2795364628309711E-2</v>
      </c>
      <c r="L333" s="19">
        <f t="shared" si="185"/>
        <v>-0.16298468765066221</v>
      </c>
      <c r="M333" s="19">
        <f t="shared" si="185"/>
        <v>4.3220855541636904E-3</v>
      </c>
      <c r="O333" s="151"/>
      <c r="P333" s="151"/>
      <c r="Q333" s="151"/>
      <c r="R333" s="151"/>
    </row>
    <row r="334" spans="1:19"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O334" s="151"/>
      <c r="P334" s="151"/>
      <c r="Q334" s="151"/>
      <c r="R334" s="151"/>
    </row>
    <row r="335" spans="1:19" s="445" customFormat="1">
      <c r="A335" s="500">
        <v>2009</v>
      </c>
      <c r="B335" s="472" t="s">
        <v>51</v>
      </c>
      <c r="C335" s="472" t="s">
        <v>52</v>
      </c>
      <c r="D335" s="472" t="s">
        <v>53</v>
      </c>
      <c r="E335" s="472" t="s">
        <v>54</v>
      </c>
      <c r="F335" s="472" t="s">
        <v>55</v>
      </c>
      <c r="G335" s="472" t="s">
        <v>77</v>
      </c>
      <c r="H335" s="472" t="s">
        <v>78</v>
      </c>
      <c r="I335" s="472" t="s">
        <v>79</v>
      </c>
      <c r="J335" s="472" t="s">
        <v>80</v>
      </c>
      <c r="K335" s="472" t="s">
        <v>81</v>
      </c>
      <c r="L335" s="472" t="s">
        <v>82</v>
      </c>
      <c r="M335" s="472" t="s">
        <v>44</v>
      </c>
      <c r="N335" s="473" t="s">
        <v>133</v>
      </c>
      <c r="O335" s="473" t="s">
        <v>129</v>
      </c>
      <c r="P335" s="473" t="s">
        <v>130</v>
      </c>
      <c r="Q335" s="473" t="s">
        <v>131</v>
      </c>
      <c r="R335" s="473" t="s">
        <v>132</v>
      </c>
      <c r="S335" s="445" t="s">
        <v>171</v>
      </c>
    </row>
    <row r="336" spans="1:19">
      <c r="A336" s="474" t="s">
        <v>22</v>
      </c>
      <c r="B336" s="15">
        <v>5193.6400000000003</v>
      </c>
      <c r="C336" s="15">
        <v>5001.28</v>
      </c>
      <c r="D336" s="15">
        <v>5191.7700000000004</v>
      </c>
      <c r="E336" s="15">
        <v>5382.58</v>
      </c>
      <c r="F336" s="15">
        <v>5149.1099999999997</v>
      </c>
      <c r="G336" s="15">
        <v>5032.09</v>
      </c>
      <c r="H336" s="15">
        <v>6100.13</v>
      </c>
      <c r="I336" s="15">
        <v>6485.98</v>
      </c>
      <c r="J336" s="15">
        <v>5493.78</v>
      </c>
      <c r="K336" s="15">
        <v>6126</v>
      </c>
      <c r="L336" s="15">
        <v>5631.59</v>
      </c>
      <c r="M336" s="15">
        <v>5478.02</v>
      </c>
      <c r="N336" s="15">
        <f>SUM(B336:M336)</f>
        <v>66265.97</v>
      </c>
      <c r="O336" s="15">
        <f>SUM(B336:D336)</f>
        <v>15386.69</v>
      </c>
      <c r="P336" s="15">
        <f>SUM(E336:G336)</f>
        <v>15563.779999999999</v>
      </c>
      <c r="Q336" s="15">
        <f>SUM(H336:J336)</f>
        <v>18079.89</v>
      </c>
      <c r="R336" s="15">
        <f>SUM(K336:M336)</f>
        <v>17235.61</v>
      </c>
      <c r="S336" s="1">
        <f>SUM(B336:M336)</f>
        <v>66265.97</v>
      </c>
    </row>
    <row r="337" spans="1:19">
      <c r="A337" s="474" t="s">
        <v>25</v>
      </c>
      <c r="B337" s="15">
        <v>3215.27</v>
      </c>
      <c r="C337" s="15">
        <v>3245.56</v>
      </c>
      <c r="D337" s="15">
        <v>3622.69</v>
      </c>
      <c r="E337" s="15">
        <v>3781.88</v>
      </c>
      <c r="F337" s="15">
        <v>3568.5</v>
      </c>
      <c r="G337" s="15">
        <v>3349.92</v>
      </c>
      <c r="H337" s="15">
        <v>4036.96</v>
      </c>
      <c r="I337" s="15">
        <v>4404.0600000000004</v>
      </c>
      <c r="J337" s="15">
        <v>3657.69</v>
      </c>
      <c r="K337" s="15">
        <v>4170.4799999999996</v>
      </c>
      <c r="L337" s="15">
        <v>3610.174</v>
      </c>
      <c r="M337" s="15">
        <v>3365.462</v>
      </c>
      <c r="N337" s="15">
        <f>SUM(B337:M337)</f>
        <v>44028.645999999993</v>
      </c>
      <c r="O337" s="15">
        <f>SUM(B337:D337)</f>
        <v>10083.52</v>
      </c>
      <c r="P337" s="15">
        <f>SUM(E337:G337)</f>
        <v>10700.3</v>
      </c>
      <c r="Q337" s="15">
        <f>SUM(H337:J337)</f>
        <v>12098.710000000001</v>
      </c>
      <c r="R337" s="15">
        <f>SUM(K337:M337)</f>
        <v>11146.116</v>
      </c>
      <c r="S337" s="1">
        <f>SUM(B337:M337)</f>
        <v>44028.645999999993</v>
      </c>
    </row>
    <row r="338" spans="1:19">
      <c r="A338" s="474" t="s">
        <v>28</v>
      </c>
      <c r="B338" s="15">
        <v>3215.8</v>
      </c>
      <c r="C338" s="15">
        <v>3072.2</v>
      </c>
      <c r="D338" s="15">
        <v>3188.8</v>
      </c>
      <c r="E338" s="15">
        <v>3253.5</v>
      </c>
      <c r="F338" s="15">
        <v>3063.9</v>
      </c>
      <c r="G338" s="15">
        <v>3025.3</v>
      </c>
      <c r="H338" s="15">
        <v>3554.4</v>
      </c>
      <c r="I338" s="15">
        <v>3833.8</v>
      </c>
      <c r="J338" s="15">
        <v>3314</v>
      </c>
      <c r="K338" s="15">
        <v>3714.37</v>
      </c>
      <c r="L338" s="15">
        <v>3357.9</v>
      </c>
      <c r="M338" s="15">
        <v>3245.4</v>
      </c>
      <c r="N338" s="15">
        <f>SUM(B338:M338)</f>
        <v>39839.370000000003</v>
      </c>
      <c r="O338" s="15">
        <f>SUM(B338:D338)</f>
        <v>9476.7999999999993</v>
      </c>
      <c r="P338" s="15">
        <f>SUM(E338:G338)</f>
        <v>9342.7000000000007</v>
      </c>
      <c r="Q338" s="15">
        <f>SUM(H338:J338)</f>
        <v>10702.2</v>
      </c>
      <c r="R338" s="15">
        <f>SUM(K338:M338)</f>
        <v>10317.67</v>
      </c>
      <c r="S338" s="1">
        <f>SUM(B338:M338)</f>
        <v>39839.370000000003</v>
      </c>
    </row>
    <row r="339" spans="1:19" s="445" customFormat="1">
      <c r="A339" s="505" t="s">
        <v>133</v>
      </c>
      <c r="B339" s="21">
        <f t="shared" ref="B339:M339" si="186">SUM(B336:B338)</f>
        <v>11624.71</v>
      </c>
      <c r="C339" s="21">
        <f t="shared" si="186"/>
        <v>11319.04</v>
      </c>
      <c r="D339" s="21">
        <f t="shared" si="186"/>
        <v>12003.260000000002</v>
      </c>
      <c r="E339" s="21">
        <f t="shared" si="186"/>
        <v>12417.96</v>
      </c>
      <c r="F339" s="21">
        <f t="shared" si="186"/>
        <v>11781.51</v>
      </c>
      <c r="G339" s="21">
        <f t="shared" si="186"/>
        <v>11407.310000000001</v>
      </c>
      <c r="H339" s="21">
        <f t="shared" si="186"/>
        <v>13691.49</v>
      </c>
      <c r="I339" s="21">
        <f t="shared" si="186"/>
        <v>14723.84</v>
      </c>
      <c r="J339" s="21">
        <f t="shared" si="186"/>
        <v>12465.47</v>
      </c>
      <c r="K339" s="21">
        <f t="shared" si="186"/>
        <v>14010.849999999999</v>
      </c>
      <c r="L339" s="21">
        <f t="shared" si="186"/>
        <v>12599.663999999999</v>
      </c>
      <c r="M339" s="21">
        <f t="shared" si="186"/>
        <v>12088.882</v>
      </c>
      <c r="N339" s="21">
        <f>SUM(B339:M339)</f>
        <v>150133.986</v>
      </c>
      <c r="O339" s="21">
        <f>SUM(B339:D339)</f>
        <v>34947.01</v>
      </c>
      <c r="P339" s="21">
        <f>SUM(E339:G339)</f>
        <v>35606.78</v>
      </c>
      <c r="Q339" s="21">
        <f>SUM(H339:J339)</f>
        <v>40880.800000000003</v>
      </c>
      <c r="R339" s="21">
        <f>SUM(K339:M339)</f>
        <v>38699.395999999993</v>
      </c>
      <c r="S339" s="44">
        <f>SUM(B339:M339)</f>
        <v>150133.986</v>
      </c>
    </row>
    <row r="340" spans="1:19">
      <c r="A340" s="469" t="s">
        <v>181</v>
      </c>
      <c r="B340" s="15">
        <v>1373.105</v>
      </c>
      <c r="C340" s="15">
        <v>1307.8869999999999</v>
      </c>
      <c r="D340" s="15">
        <v>1353.578</v>
      </c>
      <c r="E340" s="15">
        <v>1459.998</v>
      </c>
      <c r="F340" s="15">
        <v>1525.1559999999999</v>
      </c>
      <c r="G340" s="15">
        <v>1450.671</v>
      </c>
      <c r="H340" s="15">
        <v>1600.6420000000001</v>
      </c>
      <c r="I340" s="15">
        <v>1768.7159999999999</v>
      </c>
      <c r="J340" s="15">
        <v>1436.2570000000001</v>
      </c>
      <c r="K340" s="15">
        <v>1640.779</v>
      </c>
      <c r="L340" s="15">
        <v>1494.1679999999999</v>
      </c>
      <c r="M340" s="15">
        <v>1468.41</v>
      </c>
      <c r="O340" s="151"/>
      <c r="P340" s="151"/>
      <c r="Q340" s="151"/>
      <c r="R340" s="151"/>
    </row>
    <row r="341" spans="1:19">
      <c r="A341" s="474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>
        <f>SUM(N336:N339)</f>
        <v>300267.97200000001</v>
      </c>
      <c r="O341" s="15">
        <f>O339/R358-1</f>
        <v>3.0654493580935638E-2</v>
      </c>
      <c r="P341" s="15">
        <f>P339/O339-1</f>
        <v>1.8879154468436576E-2</v>
      </c>
      <c r="Q341" s="15">
        <f>Q339/P339-1</f>
        <v>0.14811842014357945</v>
      </c>
      <c r="R341" s="15">
        <f>R339/Q339-1</f>
        <v>-5.3360110369660263E-2</v>
      </c>
    </row>
    <row r="342" spans="1:19">
      <c r="A342" s="504" t="s">
        <v>184</v>
      </c>
      <c r="B342" s="488"/>
      <c r="C342" s="488"/>
      <c r="D342" s="488"/>
      <c r="E342" s="488"/>
      <c r="F342" s="488"/>
      <c r="G342" s="488"/>
      <c r="H342" s="488"/>
      <c r="I342" s="488"/>
      <c r="J342" s="488"/>
      <c r="K342" s="488"/>
      <c r="L342" s="488"/>
      <c r="M342" s="488"/>
      <c r="N342" s="488"/>
      <c r="O342" s="488"/>
      <c r="P342" s="488"/>
      <c r="Q342" s="488"/>
      <c r="R342" s="488"/>
    </row>
    <row r="343" spans="1:19">
      <c r="A343" s="474" t="s">
        <v>22</v>
      </c>
      <c r="B343" s="19">
        <f t="shared" ref="B343:S343" si="187">B336/B355-1</f>
        <v>0.16236401032189907</v>
      </c>
      <c r="C343" s="19">
        <f t="shared" si="187"/>
        <v>7.6034665266745183E-2</v>
      </c>
      <c r="D343" s="19">
        <f t="shared" si="187"/>
        <v>6.8351163982295127E-2</v>
      </c>
      <c r="E343" s="19">
        <f t="shared" si="187"/>
        <v>5.0183694055258465E-2</v>
      </c>
      <c r="F343" s="19">
        <f t="shared" si="187"/>
        <v>0.10639564241128507</v>
      </c>
      <c r="G343" s="19">
        <f t="shared" si="187"/>
        <v>0.1977402340216885</v>
      </c>
      <c r="H343" s="19">
        <f t="shared" si="187"/>
        <v>0.14175204668730523</v>
      </c>
      <c r="I343" s="19">
        <f t="shared" si="187"/>
        <v>0.32915690698536992</v>
      </c>
      <c r="J343" s="19">
        <f t="shared" si="187"/>
        <v>0.10665084714352191</v>
      </c>
      <c r="K343" s="19">
        <f t="shared" si="187"/>
        <v>0.11599945347725105</v>
      </c>
      <c r="L343" s="19">
        <f t="shared" si="187"/>
        <v>0.13989875375220362</v>
      </c>
      <c r="M343" s="19">
        <f t="shared" si="187"/>
        <v>0.17974075087058883</v>
      </c>
      <c r="N343" s="19">
        <f t="shared" si="187"/>
        <v>0.13827234207894112</v>
      </c>
      <c r="O343" s="19">
        <f t="shared" si="187"/>
        <v>0.1009633892066637</v>
      </c>
      <c r="P343" s="19">
        <f t="shared" si="187"/>
        <v>0.11323802057702648</v>
      </c>
      <c r="Q343" s="19">
        <f t="shared" si="187"/>
        <v>0.19049403169051193</v>
      </c>
      <c r="R343" s="19">
        <f t="shared" si="187"/>
        <v>0.1434689237575042</v>
      </c>
      <c r="S343" s="19">
        <f t="shared" si="187"/>
        <v>0.13827234207894112</v>
      </c>
    </row>
    <row r="344" spans="1:19">
      <c r="A344" s="474" t="s">
        <v>25</v>
      </c>
      <c r="B344" s="19">
        <f t="shared" ref="B344:S344" si="188">B337/B356-1</f>
        <v>9.8430213689083113E-2</v>
      </c>
      <c r="C344" s="19">
        <f t="shared" si="188"/>
        <v>0.12008558807288794</v>
      </c>
      <c r="D344" s="19">
        <f t="shared" si="188"/>
        <v>0.14122398319047136</v>
      </c>
      <c r="E344" s="19">
        <f t="shared" si="188"/>
        <v>0.12865661129647421</v>
      </c>
      <c r="F344" s="19">
        <f t="shared" si="188"/>
        <v>0.18591852605132497</v>
      </c>
      <c r="G344" s="19">
        <f t="shared" si="188"/>
        <v>0.21937209937209934</v>
      </c>
      <c r="H344" s="19">
        <f t="shared" si="188"/>
        <v>0.23446506493466779</v>
      </c>
      <c r="I344" s="19">
        <f t="shared" si="188"/>
        <v>0.5062846510864325</v>
      </c>
      <c r="J344" s="19">
        <f t="shared" si="188"/>
        <v>0.18833333333333324</v>
      </c>
      <c r="K344" s="19">
        <f t="shared" si="188"/>
        <v>0.17434313341762087</v>
      </c>
      <c r="L344" s="19">
        <f t="shared" si="188"/>
        <v>0.10999624894693794</v>
      </c>
      <c r="M344" s="19">
        <f t="shared" si="188"/>
        <v>0.10904812904714034</v>
      </c>
      <c r="N344" s="19">
        <f t="shared" si="188"/>
        <v>0.18304006311174081</v>
      </c>
      <c r="O344" s="19">
        <f t="shared" si="188"/>
        <v>0.12049818093728959</v>
      </c>
      <c r="P344" s="19">
        <f t="shared" si="188"/>
        <v>0.17494172123038187</v>
      </c>
      <c r="Q344" s="19">
        <f t="shared" si="188"/>
        <v>0.30486518550474551</v>
      </c>
      <c r="R344" s="19">
        <f t="shared" si="188"/>
        <v>0.13293109581939988</v>
      </c>
      <c r="S344" s="19">
        <f t="shared" si="188"/>
        <v>0.18304006311174081</v>
      </c>
    </row>
    <row r="345" spans="1:19">
      <c r="A345" s="474" t="s">
        <v>28</v>
      </c>
      <c r="B345" s="19">
        <f t="shared" ref="B345:S345" si="189">B338/B357-1</f>
        <v>0.17523663341007922</v>
      </c>
      <c r="C345" s="19">
        <f t="shared" si="189"/>
        <v>0.12666862256124389</v>
      </c>
      <c r="D345" s="19">
        <f t="shared" si="189"/>
        <v>0.12033165864455597</v>
      </c>
      <c r="E345" s="19">
        <f t="shared" si="189"/>
        <v>0.11854092893732604</v>
      </c>
      <c r="F345" s="19">
        <f t="shared" si="189"/>
        <v>0.14791502753737218</v>
      </c>
      <c r="G345" s="19">
        <f t="shared" si="189"/>
        <v>0.13129160122653527</v>
      </c>
      <c r="H345" s="19">
        <f t="shared" si="189"/>
        <v>0.19131250837913938</v>
      </c>
      <c r="I345" s="19">
        <f t="shared" si="189"/>
        <v>0.38499331671543668</v>
      </c>
      <c r="J345" s="19">
        <f t="shared" si="189"/>
        <v>0.12751769188894935</v>
      </c>
      <c r="K345" s="19">
        <f t="shared" si="189"/>
        <v>0.14327002985625903</v>
      </c>
      <c r="L345" s="19">
        <f t="shared" si="189"/>
        <v>0.15630165289256204</v>
      </c>
      <c r="M345" s="19">
        <f t="shared" si="189"/>
        <v>0.14142018077585905</v>
      </c>
      <c r="N345" s="19">
        <f t="shared" si="189"/>
        <v>0.26425225785568784</v>
      </c>
      <c r="O345" s="19">
        <f t="shared" si="189"/>
        <v>0.14049149156377094</v>
      </c>
      <c r="P345" s="19">
        <f t="shared" si="189"/>
        <v>0.13217401841977705</v>
      </c>
      <c r="Q345" s="19">
        <f t="shared" si="189"/>
        <v>0.23142597429495226</v>
      </c>
      <c r="R345" s="19">
        <f t="shared" si="189"/>
        <v>0.14689202107556509</v>
      </c>
      <c r="S345" s="19">
        <f t="shared" si="189"/>
        <v>0.16324422967429242</v>
      </c>
    </row>
    <row r="346" spans="1:19">
      <c r="A346" s="474" t="s">
        <v>133</v>
      </c>
      <c r="B346" s="19">
        <f t="shared" ref="B346:S346" si="190">B339/B358-1</f>
        <v>0.14736932494507293</v>
      </c>
      <c r="C346" s="19">
        <f t="shared" si="190"/>
        <v>0.10190142792057877</v>
      </c>
      <c r="D346" s="19">
        <f t="shared" si="190"/>
        <v>0.10321038941940963</v>
      </c>
      <c r="E346" s="19">
        <f t="shared" si="190"/>
        <v>9.0744278580745519E-2</v>
      </c>
      <c r="F346" s="19">
        <f t="shared" si="190"/>
        <v>0.14028112360398781</v>
      </c>
      <c r="G346" s="19">
        <f t="shared" si="190"/>
        <v>0.18544971977923197</v>
      </c>
      <c r="H346" s="19">
        <f t="shared" si="190"/>
        <v>0.18064793184893135</v>
      </c>
      <c r="I346" s="19">
        <f t="shared" si="190"/>
        <v>0.39276518541080585</v>
      </c>
      <c r="J346" s="19">
        <f t="shared" si="190"/>
        <v>0.13513053281282295</v>
      </c>
      <c r="K346" s="19">
        <f t="shared" si="190"/>
        <v>0.14006857897974512</v>
      </c>
      <c r="L346" s="19">
        <f t="shared" si="190"/>
        <v>0.13542708065802445</v>
      </c>
      <c r="M346" s="19">
        <f t="shared" si="190"/>
        <v>0.14899565261194936</v>
      </c>
      <c r="N346" s="19">
        <f t="shared" si="190"/>
        <v>0.15771499823027701</v>
      </c>
      <c r="O346" s="19">
        <f t="shared" si="190"/>
        <v>0.11708178569373695</v>
      </c>
      <c r="P346" s="19">
        <f t="shared" si="190"/>
        <v>0.13615465098135804</v>
      </c>
      <c r="Q346" s="19">
        <f t="shared" si="190"/>
        <v>0.23321482073184208</v>
      </c>
      <c r="R346" s="19">
        <f t="shared" si="190"/>
        <v>0.14131956886349006</v>
      </c>
      <c r="S346" s="19">
        <f t="shared" si="190"/>
        <v>0.15771499823027701</v>
      </c>
    </row>
    <row r="347" spans="1:19">
      <c r="A347" s="474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488"/>
      <c r="O347" s="19"/>
      <c r="P347" s="19"/>
      <c r="Q347" s="19"/>
      <c r="R347" s="19"/>
    </row>
    <row r="348" spans="1:19">
      <c r="A348" s="504" t="s">
        <v>185</v>
      </c>
      <c r="B348" s="488"/>
      <c r="C348" s="488"/>
      <c r="D348" s="488"/>
      <c r="E348" s="488"/>
      <c r="F348" s="488"/>
      <c r="G348" s="488"/>
      <c r="H348" s="488"/>
      <c r="I348" s="488"/>
      <c r="J348" s="488"/>
      <c r="K348" s="488"/>
      <c r="L348" s="488"/>
      <c r="M348" s="488"/>
      <c r="N348" s="488"/>
      <c r="O348" s="488"/>
      <c r="P348" s="488"/>
      <c r="Q348" s="488"/>
      <c r="R348" s="488"/>
    </row>
    <row r="349" spans="1:19">
      <c r="A349" s="474" t="s">
        <v>22</v>
      </c>
      <c r="B349" s="19">
        <f>B336/M355-1</f>
        <v>0.1184969666688922</v>
      </c>
      <c r="C349" s="19">
        <f t="shared" ref="C349:L349" si="191">C336/B336-1</f>
        <v>-3.7037607535370332E-2</v>
      </c>
      <c r="D349" s="19">
        <f t="shared" si="191"/>
        <v>3.8088249408151587E-2</v>
      </c>
      <c r="E349" s="19">
        <f t="shared" si="191"/>
        <v>3.6752398507637896E-2</v>
      </c>
      <c r="F349" s="19">
        <f t="shared" si="191"/>
        <v>-4.3375110077323531E-2</v>
      </c>
      <c r="G349" s="19">
        <f t="shared" si="191"/>
        <v>-2.2726257547420747E-2</v>
      </c>
      <c r="H349" s="19">
        <f t="shared" si="191"/>
        <v>0.21224580641443214</v>
      </c>
      <c r="I349" s="19">
        <f t="shared" si="191"/>
        <v>6.3252750351221909E-2</v>
      </c>
      <c r="J349" s="19">
        <f t="shared" si="191"/>
        <v>-0.15297611155137691</v>
      </c>
      <c r="K349" s="19">
        <f t="shared" si="191"/>
        <v>0.11507923506219764</v>
      </c>
      <c r="L349" s="19">
        <f t="shared" si="191"/>
        <v>-8.0706823375775394E-2</v>
      </c>
      <c r="M349" s="19">
        <f>M338/L336-1</f>
        <v>-0.42371514971793045</v>
      </c>
      <c r="N349" s="488"/>
      <c r="O349" s="19"/>
      <c r="P349" s="19"/>
      <c r="Q349" s="19"/>
      <c r="R349" s="19"/>
    </row>
    <row r="350" spans="1:19">
      <c r="A350" s="474" t="s">
        <v>25</v>
      </c>
      <c r="B350" s="19">
        <f>B337/M356-1</f>
        <v>5.9554134879965748E-2</v>
      </c>
      <c r="C350" s="19">
        <f t="shared" ref="C350:L350" si="192">C337/B337-1</f>
        <v>9.4206707368276188E-3</v>
      </c>
      <c r="D350" s="19">
        <f t="shared" si="192"/>
        <v>0.11619874536289587</v>
      </c>
      <c r="E350" s="19">
        <f t="shared" si="192"/>
        <v>4.3942484728199283E-2</v>
      </c>
      <c r="F350" s="19">
        <f t="shared" si="192"/>
        <v>-5.6421673876484779E-2</v>
      </c>
      <c r="G350" s="19">
        <f t="shared" si="192"/>
        <v>-6.1252627154266492E-2</v>
      </c>
      <c r="H350" s="19">
        <f t="shared" si="192"/>
        <v>0.20509146487080288</v>
      </c>
      <c r="I350" s="19">
        <f t="shared" si="192"/>
        <v>9.0934762791803792E-2</v>
      </c>
      <c r="J350" s="19">
        <f t="shared" si="192"/>
        <v>-0.16947316794049139</v>
      </c>
      <c r="K350" s="19">
        <f t="shared" si="192"/>
        <v>0.14019504113251791</v>
      </c>
      <c r="L350" s="19">
        <f t="shared" si="192"/>
        <v>-0.13435048243847225</v>
      </c>
      <c r="M350" s="19">
        <f>M337/L337-1</f>
        <v>-6.7783990466941502E-2</v>
      </c>
      <c r="N350" s="488"/>
      <c r="O350" s="19"/>
      <c r="P350" s="19"/>
      <c r="Q350" s="19"/>
      <c r="R350" s="19"/>
    </row>
    <row r="351" spans="1:19">
      <c r="A351" s="474" t="s">
        <v>28</v>
      </c>
      <c r="B351" s="19">
        <f>B338/M357-1</f>
        <v>0.13100974220096373</v>
      </c>
      <c r="C351" s="19">
        <f t="shared" ref="C351:L351" si="193">C338/B338-1</f>
        <v>-4.4654518315815794E-2</v>
      </c>
      <c r="D351" s="19">
        <f t="shared" si="193"/>
        <v>3.7953258251415933E-2</v>
      </c>
      <c r="E351" s="19">
        <f t="shared" si="193"/>
        <v>2.0289764174611147E-2</v>
      </c>
      <c r="F351" s="19">
        <f t="shared" si="193"/>
        <v>-5.8275703088981112E-2</v>
      </c>
      <c r="G351" s="19">
        <f t="shared" si="193"/>
        <v>-1.259832239955605E-2</v>
      </c>
      <c r="H351" s="19">
        <f t="shared" si="193"/>
        <v>0.17489174627309678</v>
      </c>
      <c r="I351" s="19">
        <f t="shared" si="193"/>
        <v>7.8606797209092916E-2</v>
      </c>
      <c r="J351" s="19">
        <f t="shared" si="193"/>
        <v>-0.13558349418331683</v>
      </c>
      <c r="K351" s="19">
        <f t="shared" si="193"/>
        <v>0.12081170790585394</v>
      </c>
      <c r="L351" s="19">
        <f t="shared" si="193"/>
        <v>-9.5970514515247518E-2</v>
      </c>
      <c r="M351" s="19">
        <f>M338/L338-1</f>
        <v>-3.3503082283570129E-2</v>
      </c>
      <c r="N351" s="488"/>
      <c r="O351" s="19"/>
      <c r="P351" s="19"/>
      <c r="Q351" s="19"/>
      <c r="R351" s="19"/>
    </row>
    <row r="352" spans="1:19">
      <c r="A352" s="469" t="s">
        <v>133</v>
      </c>
      <c r="B352" s="19">
        <f>B339/M358-1</f>
        <v>0.10487812296245869</v>
      </c>
      <c r="C352" s="19">
        <f t="shared" ref="C352:L352" si="194">C339/B339-1</f>
        <v>-2.6294849505922979E-2</v>
      </c>
      <c r="D352" s="19">
        <f t="shared" si="194"/>
        <v>6.044858927965624E-2</v>
      </c>
      <c r="E352" s="19">
        <f t="shared" si="194"/>
        <v>3.4548947535919083E-2</v>
      </c>
      <c r="F352" s="19">
        <f t="shared" si="194"/>
        <v>-5.1252379617908184E-2</v>
      </c>
      <c r="G352" s="19">
        <f t="shared" si="194"/>
        <v>-3.176163327111714E-2</v>
      </c>
      <c r="H352" s="19">
        <f t="shared" si="194"/>
        <v>0.20023826826832947</v>
      </c>
      <c r="I352" s="19">
        <f t="shared" si="194"/>
        <v>7.5400851185663642E-2</v>
      </c>
      <c r="J352" s="19">
        <f t="shared" si="194"/>
        <v>-0.15338186234025908</v>
      </c>
      <c r="K352" s="19">
        <f t="shared" si="194"/>
        <v>0.12397286263574503</v>
      </c>
      <c r="L352" s="19">
        <f t="shared" si="194"/>
        <v>-0.10072094127051534</v>
      </c>
      <c r="M352" s="19">
        <f>M339/L339-1</f>
        <v>-4.053933501718765E-2</v>
      </c>
      <c r="O352" s="151"/>
      <c r="P352" s="151"/>
      <c r="Q352" s="151"/>
      <c r="R352" s="151"/>
    </row>
    <row r="353" spans="1:19">
      <c r="G353" s="2"/>
      <c r="I353" s="2"/>
      <c r="J353" s="2"/>
      <c r="O353" s="151"/>
      <c r="P353" s="151"/>
      <c r="Q353" s="151"/>
      <c r="R353" s="151"/>
    </row>
    <row r="354" spans="1:19" s="445" customFormat="1">
      <c r="A354" s="500">
        <v>2008</v>
      </c>
      <c r="B354" s="472" t="s">
        <v>51</v>
      </c>
      <c r="C354" s="472" t="s">
        <v>52</v>
      </c>
      <c r="D354" s="472" t="s">
        <v>53</v>
      </c>
      <c r="E354" s="472" t="s">
        <v>54</v>
      </c>
      <c r="F354" s="472" t="s">
        <v>55</v>
      </c>
      <c r="G354" s="472" t="s">
        <v>77</v>
      </c>
      <c r="H354" s="472" t="s">
        <v>78</v>
      </c>
      <c r="I354" s="472" t="s">
        <v>79</v>
      </c>
      <c r="J354" s="472" t="s">
        <v>80</v>
      </c>
      <c r="K354" s="472" t="s">
        <v>81</v>
      </c>
      <c r="L354" s="472" t="s">
        <v>82</v>
      </c>
      <c r="M354" s="472" t="s">
        <v>44</v>
      </c>
      <c r="N354" s="473" t="s">
        <v>133</v>
      </c>
      <c r="O354" s="473" t="s">
        <v>129</v>
      </c>
      <c r="P354" s="473" t="s">
        <v>130</v>
      </c>
      <c r="Q354" s="473" t="s">
        <v>131</v>
      </c>
      <c r="R354" s="473" t="s">
        <v>132</v>
      </c>
    </row>
    <row r="355" spans="1:19">
      <c r="A355" s="474" t="s">
        <v>22</v>
      </c>
      <c r="B355" s="15">
        <v>4468.17</v>
      </c>
      <c r="C355" s="15">
        <v>4647.88</v>
      </c>
      <c r="D355" s="15">
        <v>4859.6099999999997</v>
      </c>
      <c r="E355" s="15">
        <v>5125.37</v>
      </c>
      <c r="F355" s="15">
        <v>4653.95</v>
      </c>
      <c r="G355" s="15">
        <v>4201.32</v>
      </c>
      <c r="H355" s="15">
        <v>5342.78</v>
      </c>
      <c r="I355" s="15">
        <v>4879.7700000000004</v>
      </c>
      <c r="J355" s="15">
        <v>4964.33</v>
      </c>
      <c r="K355" s="14">
        <v>5489.25</v>
      </c>
      <c r="L355" s="14">
        <v>4940.43</v>
      </c>
      <c r="M355" s="14">
        <v>4643.41</v>
      </c>
      <c r="N355" s="15">
        <f>SUM(B355:M355)</f>
        <v>58216.270000000004</v>
      </c>
      <c r="O355" s="15">
        <f>SUM((B355:D355))</f>
        <v>13975.66</v>
      </c>
      <c r="P355" s="15">
        <f>SUM((E355:G355))</f>
        <v>13980.64</v>
      </c>
      <c r="Q355" s="15">
        <f>SUM((H355:J355))</f>
        <v>15186.88</v>
      </c>
      <c r="R355" s="15">
        <f>SUM((K355:M355))</f>
        <v>15073.09</v>
      </c>
      <c r="S355" s="1">
        <f>SUM(B355:M355)</f>
        <v>58216.270000000004</v>
      </c>
    </row>
    <row r="356" spans="1:19">
      <c r="A356" s="474" t="s">
        <v>25</v>
      </c>
      <c r="B356" s="15">
        <v>2927.15</v>
      </c>
      <c r="C356" s="15">
        <v>2897.6</v>
      </c>
      <c r="D356" s="15">
        <v>3174.39</v>
      </c>
      <c r="E356" s="15">
        <v>3350.78</v>
      </c>
      <c r="F356" s="15">
        <v>3009.06</v>
      </c>
      <c r="G356" s="15">
        <v>2747.25</v>
      </c>
      <c r="H356" s="15">
        <v>3270.21</v>
      </c>
      <c r="I356" s="15">
        <v>2923.79</v>
      </c>
      <c r="J356" s="15">
        <v>3078</v>
      </c>
      <c r="K356" s="14">
        <v>3551.33</v>
      </c>
      <c r="L356" s="14">
        <v>3252.42</v>
      </c>
      <c r="M356" s="14">
        <v>3034.55</v>
      </c>
      <c r="N356" s="15">
        <f>SUM(B356:M356)</f>
        <v>37216.53</v>
      </c>
      <c r="O356" s="15">
        <f>SUM((B356:D356))</f>
        <v>8999.14</v>
      </c>
      <c r="P356" s="15">
        <f>SUM((E356:G356))</f>
        <v>9107.09</v>
      </c>
      <c r="Q356" s="15">
        <f>SUM((H356:J356))</f>
        <v>9272</v>
      </c>
      <c r="R356" s="15">
        <f>SUM((K356:M356))</f>
        <v>9838.2999999999993</v>
      </c>
      <c r="S356" s="1">
        <f>SUM(B356:M356)</f>
        <v>37216.53</v>
      </c>
    </row>
    <row r="357" spans="1:19">
      <c r="A357" s="474" t="s">
        <v>28</v>
      </c>
      <c r="B357" s="15">
        <v>2736.3</v>
      </c>
      <c r="C357" s="15">
        <v>2726.8</v>
      </c>
      <c r="D357" s="15">
        <v>2846.3</v>
      </c>
      <c r="E357" s="15">
        <v>2908.7</v>
      </c>
      <c r="F357" s="15">
        <v>2669.1</v>
      </c>
      <c r="G357" s="15">
        <v>2674.2</v>
      </c>
      <c r="H357" s="15">
        <v>2983.6</v>
      </c>
      <c r="I357" s="15">
        <v>2768.1</v>
      </c>
      <c r="J357" s="15">
        <v>2939.2</v>
      </c>
      <c r="K357" s="14">
        <v>3248.9</v>
      </c>
      <c r="L357" s="14">
        <v>2904</v>
      </c>
      <c r="M357" s="14">
        <v>2843.3</v>
      </c>
      <c r="N357" s="15">
        <f>SUM(C357:M357)</f>
        <v>31512.199999999997</v>
      </c>
      <c r="O357" s="15">
        <f>SUM((B357:D357))</f>
        <v>8309.4000000000015</v>
      </c>
      <c r="P357" s="15">
        <f>SUM((E357:G357))</f>
        <v>8252</v>
      </c>
      <c r="Q357" s="15">
        <f>SUM((H357:J357))</f>
        <v>8690.9</v>
      </c>
      <c r="R357" s="15">
        <f>SUM((K357:M357))</f>
        <v>8996.2000000000007</v>
      </c>
      <c r="S357" s="1">
        <f>SUM(B357:M357)</f>
        <v>34248.5</v>
      </c>
    </row>
    <row r="358" spans="1:19" s="445" customFormat="1">
      <c r="A358" s="505" t="s">
        <v>133</v>
      </c>
      <c r="B358" s="21">
        <f t="shared" ref="B358:M358" si="195">B355+B356+B357</f>
        <v>10131.619999999999</v>
      </c>
      <c r="C358" s="21">
        <f t="shared" si="195"/>
        <v>10272.279999999999</v>
      </c>
      <c r="D358" s="21">
        <f t="shared" si="195"/>
        <v>10880.3</v>
      </c>
      <c r="E358" s="21">
        <f t="shared" si="195"/>
        <v>11384.849999999999</v>
      </c>
      <c r="F358" s="21">
        <f t="shared" si="195"/>
        <v>10332.11</v>
      </c>
      <c r="G358" s="21">
        <f t="shared" si="195"/>
        <v>9622.77</v>
      </c>
      <c r="H358" s="21">
        <f t="shared" si="195"/>
        <v>11596.59</v>
      </c>
      <c r="I358" s="21">
        <f t="shared" si="195"/>
        <v>10571.66</v>
      </c>
      <c r="J358" s="21">
        <f t="shared" si="195"/>
        <v>10981.529999999999</v>
      </c>
      <c r="K358" s="22">
        <f t="shared" si="195"/>
        <v>12289.48</v>
      </c>
      <c r="L358" s="22">
        <f t="shared" si="195"/>
        <v>11096.85</v>
      </c>
      <c r="M358" s="22">
        <f t="shared" si="195"/>
        <v>10521.26</v>
      </c>
      <c r="N358" s="21">
        <f>SUM(B358:M358)</f>
        <v>129681.29999999999</v>
      </c>
      <c r="O358" s="21">
        <f>SUM((B358:D358))</f>
        <v>31284.199999999997</v>
      </c>
      <c r="P358" s="21">
        <f>SUM((E358:G358))</f>
        <v>31339.73</v>
      </c>
      <c r="Q358" s="21">
        <f>SUM((H358:J358))</f>
        <v>33149.78</v>
      </c>
      <c r="R358" s="21">
        <f>SUM((K358:M358))</f>
        <v>33907.590000000004</v>
      </c>
      <c r="S358" s="44">
        <f>SUM(B358:M358)</f>
        <v>129681.29999999999</v>
      </c>
    </row>
    <row r="359" spans="1:19">
      <c r="A359" s="474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6" t="s">
        <v>194</v>
      </c>
      <c r="O359" s="24">
        <f>O358/R376-1</f>
        <v>-4.2319040047608336E-2</v>
      </c>
      <c r="P359" s="24">
        <f>P358/O358-1</f>
        <v>1.7750174209345548E-3</v>
      </c>
      <c r="Q359" s="24">
        <f>Q358/P358-1</f>
        <v>5.7755762414034795E-2</v>
      </c>
      <c r="R359" s="24">
        <f>R358/Q358-1</f>
        <v>2.2860181877526919E-2</v>
      </c>
    </row>
    <row r="360" spans="1:19">
      <c r="A360" s="504" t="s">
        <v>184</v>
      </c>
      <c r="B360" s="488"/>
      <c r="C360" s="488"/>
      <c r="D360" s="488"/>
      <c r="E360" s="488"/>
      <c r="F360" s="488"/>
      <c r="G360" s="488"/>
      <c r="H360" s="488"/>
      <c r="I360" s="488"/>
      <c r="J360" s="19"/>
      <c r="K360" s="488"/>
      <c r="L360" s="488"/>
      <c r="M360" s="488"/>
      <c r="N360" s="509"/>
      <c r="O360" s="19"/>
      <c r="P360" s="19"/>
      <c r="Q360" s="19"/>
      <c r="R360" s="19"/>
    </row>
    <row r="361" spans="1:19">
      <c r="A361" s="474" t="s">
        <v>22</v>
      </c>
      <c r="B361" s="19">
        <f t="shared" ref="B361:M361" si="196">B355/B373-1</f>
        <v>0.18994761553477701</v>
      </c>
      <c r="C361" s="19">
        <f t="shared" si="196"/>
        <v>0.10098114923796309</v>
      </c>
      <c r="D361" s="19">
        <f t="shared" si="196"/>
        <v>5.9648151136269423E-2</v>
      </c>
      <c r="E361" s="19">
        <f t="shared" si="196"/>
        <v>4.9990269085396388E-2</v>
      </c>
      <c r="F361" s="19">
        <f t="shared" si="196"/>
        <v>4.1057256601395586E-4</v>
      </c>
      <c r="G361" s="19">
        <f t="shared" si="196"/>
        <v>-3.2981096116797559E-2</v>
      </c>
      <c r="H361" s="19">
        <f t="shared" si="196"/>
        <v>-1.8497392288374992E-2</v>
      </c>
      <c r="I361" s="19">
        <f t="shared" si="196"/>
        <v>-0.16027464443354578</v>
      </c>
      <c r="J361" s="19">
        <f t="shared" si="196"/>
        <v>-8.6507643305742121E-3</v>
      </c>
      <c r="K361" s="19">
        <f t="shared" si="196"/>
        <v>8.3016999179241102E-2</v>
      </c>
      <c r="L361" s="19">
        <f t="shared" si="196"/>
        <v>4.9574258351249734E-2</v>
      </c>
      <c r="M361" s="19">
        <f t="shared" si="196"/>
        <v>6.2482552844858708E-2</v>
      </c>
      <c r="N361" s="19"/>
      <c r="O361" s="19">
        <f t="shared" ref="O361:R364" si="197">O355/O373-1</f>
        <v>0.11248414934205342</v>
      </c>
      <c r="P361" s="19">
        <f t="shared" si="197"/>
        <v>7.3958783686409735E-3</v>
      </c>
      <c r="Q361" s="19">
        <f t="shared" si="197"/>
        <v>-6.6127914491642237E-2</v>
      </c>
      <c r="R361" s="19">
        <f t="shared" si="197"/>
        <v>6.554478682869247E-2</v>
      </c>
    </row>
    <row r="362" spans="1:19">
      <c r="A362" s="474" t="s">
        <v>25</v>
      </c>
      <c r="B362" s="19">
        <f t="shared" ref="B362:M362" si="198">B356/B374-1</f>
        <v>0.11552972560975605</v>
      </c>
      <c r="C362" s="19">
        <f t="shared" si="198"/>
        <v>2.6062322946175609E-2</v>
      </c>
      <c r="D362" s="19">
        <f t="shared" si="198"/>
        <v>1.1171209051641595E-2</v>
      </c>
      <c r="E362" s="19">
        <f t="shared" si="198"/>
        <v>-3.2542864961982998E-3</v>
      </c>
      <c r="F362" s="19">
        <f t="shared" si="198"/>
        <v>-8.1076789177138897E-2</v>
      </c>
      <c r="G362" s="19">
        <f t="shared" si="198"/>
        <v>-0.11567308311337154</v>
      </c>
      <c r="H362" s="19">
        <f t="shared" si="198"/>
        <v>-0.10655614537884228</v>
      </c>
      <c r="I362" s="19">
        <f t="shared" si="198"/>
        <v>-0.23055930566411131</v>
      </c>
      <c r="J362" s="19">
        <f t="shared" si="198"/>
        <v>-9.3700956648990252E-2</v>
      </c>
      <c r="K362" s="19">
        <f t="shared" si="198"/>
        <v>-2.7206113979702296E-2</v>
      </c>
      <c r="L362" s="19">
        <f t="shared" si="198"/>
        <v>-8.2694524232056477E-3</v>
      </c>
      <c r="M362" s="19">
        <f t="shared" si="198"/>
        <v>-2.5572505283778524E-3</v>
      </c>
      <c r="N362" s="488"/>
      <c r="O362" s="19">
        <f t="shared" si="197"/>
        <v>4.7956754843187399E-2</v>
      </c>
      <c r="P362" s="19">
        <f t="shared" si="197"/>
        <v>-6.5255925615347543E-2</v>
      </c>
      <c r="Q362" s="19">
        <f t="shared" si="197"/>
        <v>-0.14593763097173551</v>
      </c>
      <c r="R362" s="19">
        <f t="shared" si="197"/>
        <v>-1.3458985291581405E-2</v>
      </c>
    </row>
    <row r="363" spans="1:19">
      <c r="A363" s="474" t="s">
        <v>28</v>
      </c>
      <c r="B363" s="19">
        <f t="shared" ref="B363:M363" si="199">B357/B375-1</f>
        <v>0.39400886443527439</v>
      </c>
      <c r="C363" s="19">
        <f t="shared" si="199"/>
        <v>6.1838006230529707E-2</v>
      </c>
      <c r="D363" s="19">
        <f t="shared" si="199"/>
        <v>0.23200450157988128</v>
      </c>
      <c r="E363" s="19">
        <f t="shared" si="199"/>
        <v>-1.540180082594278E-2</v>
      </c>
      <c r="F363" s="19">
        <f t="shared" si="199"/>
        <v>-0.1063680192848534</v>
      </c>
      <c r="G363" s="19">
        <f t="shared" si="199"/>
        <v>-7.438302585580292E-2</v>
      </c>
      <c r="H363" s="19">
        <f t="shared" si="199"/>
        <v>-6.7799787539836287E-2</v>
      </c>
      <c r="I363" s="19">
        <f t="shared" si="199"/>
        <v>-0.16558147947187563</v>
      </c>
      <c r="J363" s="19">
        <f t="shared" si="199"/>
        <v>-4.2824111766046835E-2</v>
      </c>
      <c r="K363" s="19">
        <f t="shared" si="199"/>
        <v>4.3991002570694215E-2</v>
      </c>
      <c r="L363" s="19">
        <f t="shared" si="199"/>
        <v>4.9284578696343395E-2</v>
      </c>
      <c r="M363" s="19">
        <f t="shared" si="199"/>
        <v>6.5465037847560525E-2</v>
      </c>
      <c r="N363" s="19"/>
      <c r="O363" s="19">
        <f t="shared" si="197"/>
        <v>0.21461147167163674</v>
      </c>
      <c r="P363" s="19">
        <f t="shared" si="197"/>
        <v>-6.5469247233893246E-2</v>
      </c>
      <c r="Q363" s="19">
        <f t="shared" si="197"/>
        <v>-9.3631044875739255E-2</v>
      </c>
      <c r="R363" s="19">
        <f t="shared" si="197"/>
        <v>5.2408694228024633E-2</v>
      </c>
    </row>
    <row r="364" spans="1:19">
      <c r="A364" s="474" t="s">
        <v>133</v>
      </c>
      <c r="B364" s="19">
        <f t="shared" ref="B364:G364" si="200">B358/B376-1</f>
        <v>0.21455603866297901</v>
      </c>
      <c r="C364" s="19">
        <f t="shared" si="200"/>
        <v>6.8517659394315089E-2</v>
      </c>
      <c r="D364" s="19">
        <f t="shared" si="200"/>
        <v>8.4161711015098062E-2</v>
      </c>
      <c r="E364" s="19">
        <f t="shared" si="200"/>
        <v>1.6752297658268356E-2</v>
      </c>
      <c r="F364" s="19">
        <f t="shared" si="200"/>
        <v>-5.3263009935501149E-2</v>
      </c>
      <c r="G364" s="19">
        <f t="shared" si="200"/>
        <v>-6.9392503706368514E-2</v>
      </c>
      <c r="H364" s="19">
        <f>(H358-H376)/H376</f>
        <v>-5.7517290703250158E-2</v>
      </c>
      <c r="I364" s="19">
        <f>I358/I376-1</f>
        <v>-0.1822942288474092</v>
      </c>
      <c r="J364" s="19">
        <f>J358/J376-1</f>
        <v>-4.2968892979089346E-2</v>
      </c>
      <c r="K364" s="19">
        <f>K358/K376-1</f>
        <v>3.8741016285004148E-2</v>
      </c>
      <c r="L364" s="19">
        <f>L358/L376-1</f>
        <v>3.1860051217103669E-2</v>
      </c>
      <c r="M364" s="19">
        <f>M358/M376-1</f>
        <v>4.36443027515383E-2</v>
      </c>
      <c r="N364" s="510" t="s">
        <v>195</v>
      </c>
      <c r="O364" s="19">
        <f t="shared" si="197"/>
        <v>0.11764850886478517</v>
      </c>
      <c r="P364" s="19">
        <f t="shared" si="197"/>
        <v>-3.4243660513075591E-2</v>
      </c>
      <c r="Q364" s="19">
        <f t="shared" si="197"/>
        <v>-9.6916364365472463E-2</v>
      </c>
      <c r="R364" s="19">
        <f t="shared" si="197"/>
        <v>3.7988931820923222E-2</v>
      </c>
    </row>
    <row r="365" spans="1:19">
      <c r="A365" s="474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488"/>
      <c r="O365" s="19"/>
      <c r="P365" s="19"/>
      <c r="Q365" s="19"/>
      <c r="R365" s="19"/>
    </row>
    <row r="366" spans="1:19">
      <c r="A366" s="504" t="s">
        <v>185</v>
      </c>
      <c r="B366" s="488"/>
      <c r="C366" s="488"/>
      <c r="D366" s="488"/>
      <c r="E366" s="488"/>
      <c r="F366" s="488"/>
      <c r="G366" s="488"/>
      <c r="H366" s="488"/>
      <c r="I366" s="488"/>
      <c r="J366" s="488"/>
      <c r="K366" s="488"/>
      <c r="L366" s="488"/>
      <c r="M366" s="488"/>
      <c r="N366" s="488"/>
      <c r="O366" s="488"/>
      <c r="P366" s="488"/>
      <c r="Q366" s="488"/>
      <c r="R366" s="488"/>
    </row>
    <row r="367" spans="1:19">
      <c r="A367" s="474" t="s">
        <v>22</v>
      </c>
      <c r="B367" s="19">
        <f>B355/M373-1</f>
        <v>2.2384986065157486E-2</v>
      </c>
      <c r="C367" s="19">
        <f t="shared" ref="C367:M367" si="201">C355/B355-1</f>
        <v>4.0220045342947985E-2</v>
      </c>
      <c r="D367" s="19">
        <f t="shared" si="201"/>
        <v>4.555410208525168E-2</v>
      </c>
      <c r="E367" s="19">
        <f t="shared" si="201"/>
        <v>5.4687516076393106E-2</v>
      </c>
      <c r="F367" s="19">
        <f t="shared" si="201"/>
        <v>-9.1977749899031735E-2</v>
      </c>
      <c r="G367" s="19">
        <f t="shared" si="201"/>
        <v>-9.7257168641691538E-2</v>
      </c>
      <c r="H367" s="19">
        <f t="shared" si="201"/>
        <v>0.27169080193843853</v>
      </c>
      <c r="I367" s="19">
        <f t="shared" si="201"/>
        <v>-8.6660876921752172E-2</v>
      </c>
      <c r="J367" s="19">
        <f t="shared" si="201"/>
        <v>1.7328685573295255E-2</v>
      </c>
      <c r="K367" s="19">
        <f t="shared" si="201"/>
        <v>0.10573833729828608</v>
      </c>
      <c r="L367" s="19">
        <f t="shared" si="201"/>
        <v>-9.9980871703784668E-2</v>
      </c>
      <c r="M367" s="19">
        <f t="shared" si="201"/>
        <v>-6.0120272931708407E-2</v>
      </c>
      <c r="N367" s="19"/>
      <c r="O367" s="19"/>
      <c r="P367" s="19"/>
      <c r="Q367" s="19"/>
      <c r="R367" s="19"/>
    </row>
    <row r="368" spans="1:19">
      <c r="A368" s="474" t="s">
        <v>25</v>
      </c>
      <c r="B368" s="19">
        <f>B356/M374-1</f>
        <v>-3.7859140855857176E-2</v>
      </c>
      <c r="C368" s="19">
        <f t="shared" ref="C368:M368" si="202">C356/B356-1</f>
        <v>-1.0095143740498469E-2</v>
      </c>
      <c r="D368" s="19">
        <f t="shared" si="202"/>
        <v>9.5523881833241342E-2</v>
      </c>
      <c r="E368" s="19">
        <f t="shared" si="202"/>
        <v>5.5566581295934059E-2</v>
      </c>
      <c r="F368" s="19">
        <f t="shared" si="202"/>
        <v>-0.1019822250341712</v>
      </c>
      <c r="G368" s="19">
        <f t="shared" si="202"/>
        <v>-8.700723814081468E-2</v>
      </c>
      <c r="H368" s="19">
        <f t="shared" si="202"/>
        <v>0.19035763035763043</v>
      </c>
      <c r="I368" s="19">
        <f t="shared" si="202"/>
        <v>-0.10593203494576808</v>
      </c>
      <c r="J368" s="19">
        <f t="shared" si="202"/>
        <v>5.2743186070135062E-2</v>
      </c>
      <c r="K368" s="19">
        <f t="shared" si="202"/>
        <v>0.15377842755035731</v>
      </c>
      <c r="L368" s="19">
        <f t="shared" si="202"/>
        <v>-8.4168466461860714E-2</v>
      </c>
      <c r="M368" s="19">
        <f t="shared" si="202"/>
        <v>-6.6987043493767717E-2</v>
      </c>
      <c r="N368" s="488"/>
      <c r="O368" s="19"/>
      <c r="P368" s="19"/>
      <c r="Q368" s="19"/>
      <c r="R368" s="19"/>
    </row>
    <row r="369" spans="1:18">
      <c r="A369" s="474" t="s">
        <v>28</v>
      </c>
      <c r="B369" s="19">
        <f>D357/M375-1</f>
        <v>6.6589222813460358E-2</v>
      </c>
      <c r="C369" s="19">
        <f t="shared" ref="C369:M369" si="203">C357/B357-1</f>
        <v>-3.4718415378430789E-3</v>
      </c>
      <c r="D369" s="19">
        <f t="shared" si="203"/>
        <v>4.3824262872231179E-2</v>
      </c>
      <c r="E369" s="19">
        <f t="shared" si="203"/>
        <v>2.192319853845337E-2</v>
      </c>
      <c r="F369" s="19">
        <f t="shared" si="203"/>
        <v>-8.2373568948327369E-2</v>
      </c>
      <c r="G369" s="19">
        <f t="shared" si="203"/>
        <v>1.9107564347533579E-3</v>
      </c>
      <c r="H369" s="19">
        <f t="shared" si="203"/>
        <v>0.11569815271857009</v>
      </c>
      <c r="I369" s="19">
        <f t="shared" si="203"/>
        <v>-7.2228180721276347E-2</v>
      </c>
      <c r="J369" s="19">
        <f t="shared" si="203"/>
        <v>6.1811350745998972E-2</v>
      </c>
      <c r="K369" s="19">
        <f t="shared" si="203"/>
        <v>0.10536880783886793</v>
      </c>
      <c r="L369" s="19">
        <f t="shared" si="203"/>
        <v>-0.10615900766413255</v>
      </c>
      <c r="M369" s="19">
        <f t="shared" si="203"/>
        <v>-2.0902203856749235E-2</v>
      </c>
      <c r="N369" s="488"/>
      <c r="O369" s="19"/>
      <c r="P369" s="19"/>
      <c r="Q369" s="19"/>
      <c r="R369" s="19"/>
    </row>
    <row r="370" spans="1:18">
      <c r="A370" s="469" t="s">
        <v>133</v>
      </c>
      <c r="B370" s="3">
        <f>B358/M376-1</f>
        <v>4.9944104264640909E-3</v>
      </c>
      <c r="C370" s="19">
        <f t="shared" ref="C370:M370" si="204">C358/B358-1</f>
        <v>1.388326842104215E-2</v>
      </c>
      <c r="D370" s="3">
        <f t="shared" si="204"/>
        <v>5.9190364748624491E-2</v>
      </c>
      <c r="E370" s="3">
        <f t="shared" si="204"/>
        <v>4.6372802220526976E-2</v>
      </c>
      <c r="F370" s="3">
        <f t="shared" si="204"/>
        <v>-9.2468499804564619E-2</v>
      </c>
      <c r="G370" s="3">
        <f t="shared" si="204"/>
        <v>-6.8653934191563959E-2</v>
      </c>
      <c r="H370" s="3">
        <f t="shared" si="204"/>
        <v>0.20511973163652453</v>
      </c>
      <c r="I370" s="3">
        <f t="shared" si="204"/>
        <v>-8.8382015747732745E-2</v>
      </c>
      <c r="J370" s="19">
        <f t="shared" si="204"/>
        <v>3.8770637723876789E-2</v>
      </c>
      <c r="K370" s="19">
        <f t="shared" si="204"/>
        <v>0.11910453279278932</v>
      </c>
      <c r="L370" s="19">
        <f t="shared" si="204"/>
        <v>-9.7044789527302999E-2</v>
      </c>
      <c r="M370" s="19">
        <f t="shared" si="204"/>
        <v>-5.1869674727512805E-2</v>
      </c>
      <c r="O370" s="19"/>
      <c r="P370" s="19"/>
      <c r="Q370" s="19"/>
      <c r="R370" s="19"/>
    </row>
    <row r="371" spans="1:18">
      <c r="G371" s="2"/>
      <c r="I371" s="2"/>
      <c r="J371" s="2"/>
      <c r="O371" s="151"/>
      <c r="P371" s="151"/>
      <c r="Q371" s="151"/>
      <c r="R371" s="151"/>
    </row>
    <row r="372" spans="1:18" s="445" customFormat="1">
      <c r="A372" s="500">
        <v>2007</v>
      </c>
      <c r="B372" s="472" t="s">
        <v>51</v>
      </c>
      <c r="C372" s="472" t="s">
        <v>52</v>
      </c>
      <c r="D372" s="472" t="s">
        <v>53</v>
      </c>
      <c r="E372" s="472" t="s">
        <v>54</v>
      </c>
      <c r="F372" s="472" t="s">
        <v>55</v>
      </c>
      <c r="G372" s="472" t="s">
        <v>77</v>
      </c>
      <c r="H372" s="472" t="s">
        <v>78</v>
      </c>
      <c r="I372" s="472" t="s">
        <v>79</v>
      </c>
      <c r="J372" s="472" t="s">
        <v>80</v>
      </c>
      <c r="K372" s="472" t="s">
        <v>81</v>
      </c>
      <c r="L372" s="472" t="s">
        <v>82</v>
      </c>
      <c r="M372" s="472" t="s">
        <v>44</v>
      </c>
      <c r="N372" s="472" t="s">
        <v>133</v>
      </c>
      <c r="O372" s="472"/>
      <c r="P372" s="472"/>
      <c r="Q372" s="472"/>
      <c r="R372" s="472"/>
    </row>
    <row r="373" spans="1:18">
      <c r="A373" s="474" t="s">
        <v>22</v>
      </c>
      <c r="B373" s="15">
        <v>3754.93</v>
      </c>
      <c r="C373" s="15">
        <v>4221.58</v>
      </c>
      <c r="D373" s="15">
        <v>4586.0600000000004</v>
      </c>
      <c r="E373" s="15">
        <v>4881.3500000000004</v>
      </c>
      <c r="F373" s="15">
        <v>4652.04</v>
      </c>
      <c r="G373" s="15">
        <v>4344.6099999999997</v>
      </c>
      <c r="H373" s="15">
        <v>5443.47</v>
      </c>
      <c r="I373" s="15">
        <v>5811.15</v>
      </c>
      <c r="J373" s="15">
        <v>5007.6499999999996</v>
      </c>
      <c r="K373" s="15">
        <v>5068.4799999999996</v>
      </c>
      <c r="L373" s="15">
        <v>4707.08</v>
      </c>
      <c r="M373" s="15">
        <v>4370.34</v>
      </c>
      <c r="N373" s="15">
        <f>SUM(B373:M373)</f>
        <v>56848.740000000005</v>
      </c>
      <c r="O373" s="15">
        <f>SUM((B373:D373))</f>
        <v>12562.57</v>
      </c>
      <c r="P373" s="15">
        <f>SUM((E373:G373))</f>
        <v>13878</v>
      </c>
      <c r="Q373" s="15">
        <f>SUM((H373:J373))</f>
        <v>16262.269999999999</v>
      </c>
      <c r="R373" s="15">
        <f>SUM((K373:M373))</f>
        <v>14145.9</v>
      </c>
    </row>
    <row r="374" spans="1:18">
      <c r="A374" s="474" t="s">
        <v>25</v>
      </c>
      <c r="B374" s="15">
        <v>2624</v>
      </c>
      <c r="C374" s="15">
        <v>2824</v>
      </c>
      <c r="D374" s="15">
        <v>3139.32</v>
      </c>
      <c r="E374" s="15">
        <v>3361.72</v>
      </c>
      <c r="F374" s="15">
        <v>3274.55</v>
      </c>
      <c r="G374" s="15">
        <v>3106.6</v>
      </c>
      <c r="H374" s="15">
        <v>3660.23</v>
      </c>
      <c r="I374" s="15">
        <v>3799.89</v>
      </c>
      <c r="J374" s="15">
        <v>3396.23</v>
      </c>
      <c r="K374" s="15">
        <v>3650.65</v>
      </c>
      <c r="L374" s="15">
        <v>3279.54</v>
      </c>
      <c r="M374" s="15">
        <v>3042.33</v>
      </c>
      <c r="N374" s="15">
        <f>SUM(B374:M374)</f>
        <v>39159.06</v>
      </c>
      <c r="O374" s="15">
        <f>SUM((B374:D374))</f>
        <v>8587.32</v>
      </c>
      <c r="P374" s="15">
        <f>SUM((E374:G374))</f>
        <v>9742.8700000000008</v>
      </c>
      <c r="Q374" s="15">
        <f>SUM((H374:J374))</f>
        <v>10856.35</v>
      </c>
      <c r="R374" s="15">
        <f>SUM((K374:M374))</f>
        <v>9972.52</v>
      </c>
    </row>
    <row r="375" spans="1:18">
      <c r="A375" s="474" t="s">
        <v>28</v>
      </c>
      <c r="B375" s="15">
        <v>1962.9</v>
      </c>
      <c r="C375" s="15">
        <v>2568</v>
      </c>
      <c r="D375" s="15">
        <v>2310.3000000000002</v>
      </c>
      <c r="E375" s="15">
        <v>2954.2</v>
      </c>
      <c r="F375" s="15">
        <v>2986.8</v>
      </c>
      <c r="G375" s="15">
        <v>2889.1</v>
      </c>
      <c r="H375" s="15">
        <v>3200.6</v>
      </c>
      <c r="I375" s="15">
        <v>3317.4</v>
      </c>
      <c r="J375" s="15">
        <v>3070.7</v>
      </c>
      <c r="K375" s="15">
        <v>3112</v>
      </c>
      <c r="L375" s="15">
        <v>2767.6</v>
      </c>
      <c r="M375" s="15">
        <v>2668.6</v>
      </c>
      <c r="N375" s="15">
        <f>SUM(B375:M375)</f>
        <v>33808.200000000004</v>
      </c>
      <c r="O375" s="15">
        <f>SUM((B375:D375))</f>
        <v>6841.2</v>
      </c>
      <c r="P375" s="15">
        <f>SUM((E375:G375))</f>
        <v>8830.1</v>
      </c>
      <c r="Q375" s="15">
        <f>SUM((H375:J375))</f>
        <v>9588.7000000000007</v>
      </c>
      <c r="R375" s="15">
        <f>SUM((K375:M375))</f>
        <v>8548.2000000000007</v>
      </c>
    </row>
    <row r="376" spans="1:18">
      <c r="A376" s="474" t="s">
        <v>133</v>
      </c>
      <c r="B376" s="15">
        <f t="shared" ref="B376:M376" si="205">B373+B374+B375</f>
        <v>8341.83</v>
      </c>
      <c r="C376" s="15">
        <f t="shared" si="205"/>
        <v>9613.58</v>
      </c>
      <c r="D376" s="15">
        <f t="shared" si="205"/>
        <v>10035.68</v>
      </c>
      <c r="E376" s="15">
        <f t="shared" si="205"/>
        <v>11197.27</v>
      </c>
      <c r="F376" s="15">
        <f t="shared" si="205"/>
        <v>10913.39</v>
      </c>
      <c r="G376" s="15">
        <f t="shared" si="205"/>
        <v>10340.31</v>
      </c>
      <c r="H376" s="15">
        <f t="shared" si="205"/>
        <v>12304.300000000001</v>
      </c>
      <c r="I376" s="15">
        <f t="shared" si="205"/>
        <v>12928.439999999999</v>
      </c>
      <c r="J376" s="15">
        <f t="shared" si="205"/>
        <v>11474.579999999998</v>
      </c>
      <c r="K376" s="15">
        <f t="shared" si="205"/>
        <v>11831.13</v>
      </c>
      <c r="L376" s="15">
        <f t="shared" si="205"/>
        <v>10754.22</v>
      </c>
      <c r="M376" s="15">
        <f t="shared" si="205"/>
        <v>10081.27</v>
      </c>
      <c r="N376" s="15">
        <f>SUM(B376:M376)</f>
        <v>129816.00000000001</v>
      </c>
      <c r="O376" s="15">
        <f>SUM((B376:D376))</f>
        <v>27991.09</v>
      </c>
      <c r="P376" s="15">
        <f>SUM((E376:G376))</f>
        <v>32450.97</v>
      </c>
      <c r="Q376" s="15">
        <f>SUM((H376:J376))</f>
        <v>36707.319999999992</v>
      </c>
      <c r="R376" s="15">
        <f>SUM((K376:M376))</f>
        <v>32666.62</v>
      </c>
    </row>
    <row r="377" spans="1:18">
      <c r="A377" s="474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</row>
    <row r="378" spans="1:18">
      <c r="A378" s="504" t="s">
        <v>184</v>
      </c>
      <c r="B378" s="488"/>
      <c r="C378" s="488"/>
      <c r="D378" s="488"/>
      <c r="E378" s="488"/>
      <c r="F378" s="488"/>
      <c r="G378" s="488"/>
      <c r="H378" s="488"/>
      <c r="I378" s="488"/>
      <c r="J378" s="488"/>
      <c r="K378" s="488"/>
      <c r="L378" s="488"/>
      <c r="M378" s="488"/>
      <c r="N378" s="488"/>
      <c r="O378" s="488"/>
      <c r="P378" s="488"/>
      <c r="Q378" s="488"/>
      <c r="R378" s="488"/>
    </row>
    <row r="379" spans="1:18">
      <c r="A379" s="474" t="s">
        <v>22</v>
      </c>
      <c r="B379" s="19">
        <f t="shared" ref="B379:N379" si="206">B373/B391-1</f>
        <v>5.4755617977528148E-2</v>
      </c>
      <c r="C379" s="19">
        <f t="shared" si="206"/>
        <v>0.23006410256410259</v>
      </c>
      <c r="D379" s="19">
        <f t="shared" si="206"/>
        <v>0.21969680851063833</v>
      </c>
      <c r="E379" s="19">
        <f t="shared" si="206"/>
        <v>0.1745307988450433</v>
      </c>
      <c r="F379" s="19">
        <f t="shared" si="206"/>
        <v>0.18222109275730625</v>
      </c>
      <c r="G379" s="19">
        <f t="shared" si="206"/>
        <v>0.12993758127438215</v>
      </c>
      <c r="H379" s="19">
        <f t="shared" si="206"/>
        <v>0.13666109835038642</v>
      </c>
      <c r="I379" s="19">
        <f t="shared" si="206"/>
        <v>0.15483903020667711</v>
      </c>
      <c r="J379" s="19">
        <f t="shared" si="206"/>
        <v>0.12734128770823938</v>
      </c>
      <c r="K379" s="19">
        <f t="shared" si="206"/>
        <v>0.14026546681664787</v>
      </c>
      <c r="L379" s="19">
        <f t="shared" si="206"/>
        <v>0.14806829268292687</v>
      </c>
      <c r="M379" s="19">
        <f t="shared" si="206"/>
        <v>0.18405310214034132</v>
      </c>
      <c r="N379" s="19">
        <f t="shared" si="206"/>
        <v>0.15576758086486286</v>
      </c>
      <c r="O379" s="19"/>
      <c r="P379" s="19"/>
      <c r="Q379" s="19"/>
      <c r="R379" s="19"/>
    </row>
    <row r="380" spans="1:18">
      <c r="A380" s="474" t="s">
        <v>25</v>
      </c>
      <c r="B380" s="19">
        <f t="shared" ref="B380:J380" si="207">B374/B392-1</f>
        <v>2.9019607843137285E-2</v>
      </c>
      <c r="C380" s="19">
        <f t="shared" si="207"/>
        <v>0.1039874902267397</v>
      </c>
      <c r="D380" s="19">
        <f t="shared" si="207"/>
        <v>7.9917440660474792E-2</v>
      </c>
      <c r="E380" s="19">
        <f t="shared" si="207"/>
        <v>8.7583306373341996E-2</v>
      </c>
      <c r="F380" s="19">
        <f t="shared" si="207"/>
        <v>0.14135587312652498</v>
      </c>
      <c r="G380" s="19">
        <f t="shared" si="207"/>
        <v>0.11069002502681435</v>
      </c>
      <c r="H380" s="19">
        <f t="shared" si="207"/>
        <v>0.14025856697819306</v>
      </c>
      <c r="I380" s="19">
        <f t="shared" si="207"/>
        <v>0.16133557457212699</v>
      </c>
      <c r="J380" s="19" t="e">
        <f t="shared" si="207"/>
        <v>#DIV/0!</v>
      </c>
      <c r="K380" s="19"/>
      <c r="L380" s="19"/>
      <c r="M380" s="19"/>
      <c r="N380" s="488"/>
      <c r="O380" s="19"/>
      <c r="P380" s="19"/>
      <c r="Q380" s="19"/>
      <c r="R380" s="19"/>
    </row>
    <row r="381" spans="1:18">
      <c r="A381" s="474" t="s">
        <v>28</v>
      </c>
      <c r="B381" s="19">
        <f t="shared" ref="B381:J381" si="208">B375/B393-1</f>
        <v>-0.11581081081081079</v>
      </c>
      <c r="C381" s="19">
        <f t="shared" si="208"/>
        <v>0.1944186046511629</v>
      </c>
      <c r="D381" s="19">
        <f t="shared" si="208"/>
        <v>-5.6635361371988546E-2</v>
      </c>
      <c r="E381" s="19">
        <f t="shared" si="208"/>
        <v>0.12156416097190581</v>
      </c>
      <c r="F381" s="19">
        <f t="shared" si="208"/>
        <v>0.16808760265936651</v>
      </c>
      <c r="G381" s="19">
        <f t="shared" si="208"/>
        <v>0.13565251572327042</v>
      </c>
      <c r="H381" s="19">
        <f t="shared" si="208"/>
        <v>6.0855154126615796E-2</v>
      </c>
      <c r="I381" s="19">
        <f t="shared" si="208"/>
        <v>6.1568000000000067E-2</v>
      </c>
      <c r="J381" s="19">
        <f t="shared" si="208"/>
        <v>5.776782638649669E-2</v>
      </c>
      <c r="K381" s="19">
        <f>K375/K393-1</f>
        <v>6.1029662461643319E-2</v>
      </c>
      <c r="L381" s="19">
        <f>L375/L393-1</f>
        <v>7.4378881987577694E-2</v>
      </c>
      <c r="M381" s="19">
        <f>M375/M393-1</f>
        <v>0.11797235023041464</v>
      </c>
      <c r="N381" s="19">
        <f>N375/N393-1</f>
        <v>7.3446578822035313E-2</v>
      </c>
      <c r="O381" s="19"/>
      <c r="P381" s="19"/>
      <c r="Q381" s="19"/>
      <c r="R381" s="19"/>
    </row>
    <row r="382" spans="1:18">
      <c r="A382" s="474" t="s">
        <v>133</v>
      </c>
      <c r="B382" s="19">
        <f t="shared" ref="B382:I382" si="209">B376/B394-1</f>
        <v>1.4201680672267791E-3</v>
      </c>
      <c r="C382" s="19">
        <f t="shared" si="209"/>
        <v>0.18102948402948393</v>
      </c>
      <c r="D382" s="19">
        <f t="shared" si="209"/>
        <v>0.10088635366388776</v>
      </c>
      <c r="E382" s="19">
        <f t="shared" si="209"/>
        <v>0.13321222548325062</v>
      </c>
      <c r="F382" s="19">
        <f t="shared" si="209"/>
        <v>0.16583591496634975</v>
      </c>
      <c r="G382" s="19">
        <f t="shared" si="209"/>
        <v>0.12565969954278233</v>
      </c>
      <c r="H382" s="19">
        <f t="shared" si="209"/>
        <v>0.1169480755265071</v>
      </c>
      <c r="I382" s="19">
        <f t="shared" si="209"/>
        <v>0.13119608014699446</v>
      </c>
      <c r="J382" s="19"/>
      <c r="K382" s="19"/>
      <c r="L382" s="19"/>
      <c r="M382" s="19"/>
      <c r="N382" s="488"/>
      <c r="O382" s="19"/>
      <c r="P382" s="19"/>
      <c r="Q382" s="19"/>
      <c r="R382" s="19"/>
    </row>
    <row r="383" spans="1:18">
      <c r="A383" s="474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488"/>
      <c r="O383" s="19"/>
      <c r="P383" s="19"/>
      <c r="Q383" s="19"/>
      <c r="R383" s="19"/>
    </row>
    <row r="384" spans="1:18">
      <c r="A384" s="504" t="s">
        <v>185</v>
      </c>
      <c r="B384" s="488"/>
      <c r="C384" s="488"/>
      <c r="D384" s="488"/>
      <c r="E384" s="488"/>
      <c r="F384" s="488"/>
      <c r="G384" s="488"/>
      <c r="H384" s="488"/>
      <c r="I384" s="488"/>
      <c r="J384" s="488"/>
      <c r="K384" s="488"/>
      <c r="L384" s="488"/>
      <c r="M384" s="488"/>
      <c r="N384" s="488"/>
      <c r="O384" s="488"/>
      <c r="P384" s="488"/>
      <c r="Q384" s="488"/>
      <c r="R384" s="488"/>
    </row>
    <row r="385" spans="1:18">
      <c r="A385" s="474" t="s">
        <v>22</v>
      </c>
      <c r="B385" s="19">
        <f>B373/M391-1</f>
        <v>1.7320509347060309E-2</v>
      </c>
      <c r="C385" s="19">
        <f t="shared" ref="C385:M385" si="210">C373/B373-1</f>
        <v>0.12427661767329878</v>
      </c>
      <c r="D385" s="19">
        <f t="shared" si="210"/>
        <v>8.6337342890576707E-2</v>
      </c>
      <c r="E385" s="19">
        <f t="shared" si="210"/>
        <v>6.4388603725201943E-2</v>
      </c>
      <c r="F385" s="19">
        <f t="shared" si="210"/>
        <v>-4.6976758478699643E-2</v>
      </c>
      <c r="G385" s="19">
        <f t="shared" si="210"/>
        <v>-6.6084986371570342E-2</v>
      </c>
      <c r="H385" s="19">
        <f t="shared" si="210"/>
        <v>0.25292488854005324</v>
      </c>
      <c r="I385" s="19">
        <f t="shared" si="210"/>
        <v>6.7545150427943845E-2</v>
      </c>
      <c r="J385" s="19">
        <f t="shared" si="210"/>
        <v>-0.138268673154195</v>
      </c>
      <c r="K385" s="19">
        <f t="shared" si="210"/>
        <v>1.214741445588241E-2</v>
      </c>
      <c r="L385" s="19">
        <f t="shared" si="210"/>
        <v>-7.1303428246732636E-2</v>
      </c>
      <c r="M385" s="19">
        <f t="shared" si="210"/>
        <v>-7.1539043313476713E-2</v>
      </c>
      <c r="N385" s="19"/>
      <c r="O385" s="19"/>
      <c r="P385" s="19"/>
      <c r="Q385" s="19"/>
      <c r="R385" s="19"/>
    </row>
    <row r="386" spans="1:18">
      <c r="A386" s="474" t="s">
        <v>25</v>
      </c>
      <c r="B386" s="19" t="e">
        <f>B374/M392-1</f>
        <v>#DIV/0!</v>
      </c>
      <c r="C386" s="19">
        <f t="shared" ref="C386:J388" si="211">C374/B374-1</f>
        <v>7.6219512195121908E-2</v>
      </c>
      <c r="D386" s="19">
        <f t="shared" si="211"/>
        <v>0.11165722379603404</v>
      </c>
      <c r="E386" s="19">
        <f t="shared" si="211"/>
        <v>7.0843367353439435E-2</v>
      </c>
      <c r="F386" s="19">
        <f t="shared" si="211"/>
        <v>-2.5930178599050335E-2</v>
      </c>
      <c r="G386" s="19">
        <f t="shared" si="211"/>
        <v>-5.1289490158953233E-2</v>
      </c>
      <c r="H386" s="19">
        <f t="shared" si="211"/>
        <v>0.17821090581342958</v>
      </c>
      <c r="I386" s="19">
        <f t="shared" si="211"/>
        <v>3.8156072159399868E-2</v>
      </c>
      <c r="J386" s="19">
        <f t="shared" si="211"/>
        <v>-0.10622939085078775</v>
      </c>
      <c r="K386" s="19"/>
      <c r="L386" s="19"/>
      <c r="M386" s="19"/>
      <c r="N386" s="488"/>
      <c r="O386" s="19"/>
      <c r="P386" s="19"/>
      <c r="Q386" s="19"/>
      <c r="R386" s="19"/>
    </row>
    <row r="387" spans="1:18">
      <c r="A387" s="474" t="s">
        <v>28</v>
      </c>
      <c r="B387" s="19">
        <f>B375/M393-1</f>
        <v>-0.17767071638039378</v>
      </c>
      <c r="C387" s="19">
        <f t="shared" si="211"/>
        <v>0.30826837841968513</v>
      </c>
      <c r="D387" s="19">
        <f t="shared" si="211"/>
        <v>-0.10035046728971952</v>
      </c>
      <c r="E387" s="19">
        <f t="shared" si="211"/>
        <v>0.2787083928494134</v>
      </c>
      <c r="F387" s="19">
        <f t="shared" si="211"/>
        <v>1.103513641595022E-2</v>
      </c>
      <c r="G387" s="19">
        <f t="shared" si="211"/>
        <v>-3.271059327708592E-2</v>
      </c>
      <c r="H387" s="19">
        <f t="shared" si="211"/>
        <v>0.10781904399293896</v>
      </c>
      <c r="I387" s="19">
        <f t="shared" si="211"/>
        <v>3.6493157532962561E-2</v>
      </c>
      <c r="J387" s="19">
        <f t="shared" si="211"/>
        <v>-7.4365466931934687E-2</v>
      </c>
      <c r="K387" s="19">
        <f t="shared" ref="K387:M388" si="212">K375/J375-1</f>
        <v>1.3449702022340304E-2</v>
      </c>
      <c r="L387" s="19">
        <f t="shared" si="212"/>
        <v>-0.11066838046272498</v>
      </c>
      <c r="M387" s="19">
        <f t="shared" si="212"/>
        <v>-3.5771065182829909E-2</v>
      </c>
      <c r="N387" s="488"/>
      <c r="O387" s="19"/>
      <c r="P387" s="19"/>
      <c r="Q387" s="19"/>
      <c r="R387" s="19"/>
    </row>
    <row r="388" spans="1:18">
      <c r="A388" s="469" t="s">
        <v>133</v>
      </c>
      <c r="B388" s="3">
        <f>B376/M394-1</f>
        <v>0.37246298124383026</v>
      </c>
      <c r="C388" s="3">
        <f t="shared" si="211"/>
        <v>0.1524545573333429</v>
      </c>
      <c r="D388" s="3">
        <f t="shared" si="211"/>
        <v>4.3906640398269969E-2</v>
      </c>
      <c r="E388" s="3">
        <f t="shared" si="211"/>
        <v>0.11574601820703734</v>
      </c>
      <c r="F388" s="3">
        <f t="shared" si="211"/>
        <v>-2.5352608269694432E-2</v>
      </c>
      <c r="G388" s="3">
        <f t="shared" si="211"/>
        <v>-5.251163937145098E-2</v>
      </c>
      <c r="H388" s="3">
        <f t="shared" si="211"/>
        <v>0.18993531141716269</v>
      </c>
      <c r="I388" s="3">
        <f t="shared" si="211"/>
        <v>5.0725356176295922E-2</v>
      </c>
      <c r="J388" s="19">
        <f t="shared" si="211"/>
        <v>-0.11245440285138819</v>
      </c>
      <c r="K388" s="19">
        <f t="shared" si="212"/>
        <v>3.1073032738453188E-2</v>
      </c>
      <c r="L388" s="19">
        <f t="shared" si="212"/>
        <v>-9.1023427178976157E-2</v>
      </c>
      <c r="M388" s="19">
        <f t="shared" si="212"/>
        <v>-6.2575435503458121E-2</v>
      </c>
      <c r="O388" s="19"/>
      <c r="P388" s="19"/>
      <c r="Q388" s="19"/>
      <c r="R388" s="19"/>
    </row>
    <row r="389" spans="1:18">
      <c r="G389" s="2"/>
      <c r="I389" s="2"/>
      <c r="J389" s="2"/>
      <c r="O389" s="151"/>
      <c r="P389" s="151"/>
      <c r="Q389" s="151"/>
      <c r="R389" s="151"/>
    </row>
    <row r="390" spans="1:18" s="445" customFormat="1">
      <c r="A390" s="500">
        <v>2006</v>
      </c>
      <c r="B390" s="472" t="s">
        <v>51</v>
      </c>
      <c r="C390" s="472" t="s">
        <v>52</v>
      </c>
      <c r="D390" s="472" t="s">
        <v>53</v>
      </c>
      <c r="E390" s="472" t="s">
        <v>54</v>
      </c>
      <c r="F390" s="472" t="s">
        <v>55</v>
      </c>
      <c r="G390" s="472" t="s">
        <v>77</v>
      </c>
      <c r="H390" s="472" t="s">
        <v>78</v>
      </c>
      <c r="I390" s="472" t="s">
        <v>79</v>
      </c>
      <c r="J390" s="472" t="s">
        <v>80</v>
      </c>
      <c r="K390" s="472" t="s">
        <v>81</v>
      </c>
      <c r="L390" s="472" t="s">
        <v>82</v>
      </c>
      <c r="M390" s="472" t="s">
        <v>44</v>
      </c>
      <c r="N390" s="472" t="s">
        <v>133</v>
      </c>
      <c r="O390" s="472"/>
      <c r="P390" s="472"/>
      <c r="Q390" s="472"/>
      <c r="R390" s="472"/>
    </row>
    <row r="391" spans="1:18">
      <c r="A391" s="474" t="s">
        <v>22</v>
      </c>
      <c r="B391" s="15">
        <v>3560</v>
      </c>
      <c r="C391" s="15">
        <v>3432</v>
      </c>
      <c r="D391" s="15">
        <v>3760</v>
      </c>
      <c r="E391" s="15">
        <v>4156</v>
      </c>
      <c r="F391" s="15">
        <v>3935</v>
      </c>
      <c r="G391" s="15">
        <v>3845</v>
      </c>
      <c r="H391" s="15">
        <v>4789</v>
      </c>
      <c r="I391" s="15">
        <v>5032</v>
      </c>
      <c r="J391" s="15">
        <v>4442</v>
      </c>
      <c r="K391" s="15">
        <v>4445</v>
      </c>
      <c r="L391" s="15">
        <v>4100</v>
      </c>
      <c r="M391" s="15">
        <v>3691</v>
      </c>
      <c r="N391" s="15">
        <f>SUM(B391:M391)</f>
        <v>49187</v>
      </c>
      <c r="O391" s="15"/>
      <c r="P391" s="15"/>
      <c r="Q391" s="15"/>
      <c r="R391" s="15"/>
    </row>
    <row r="392" spans="1:18">
      <c r="A392" s="474" t="s">
        <v>25</v>
      </c>
      <c r="B392" s="15">
        <v>2550</v>
      </c>
      <c r="C392" s="15">
        <v>2558</v>
      </c>
      <c r="D392" s="15">
        <v>2907</v>
      </c>
      <c r="E392" s="15">
        <v>3091</v>
      </c>
      <c r="F392" s="15">
        <v>2869</v>
      </c>
      <c r="G392" s="15">
        <v>2797</v>
      </c>
      <c r="H392" s="15">
        <v>3210</v>
      </c>
      <c r="I392" s="15">
        <v>3272</v>
      </c>
      <c r="J392" s="15"/>
      <c r="K392" s="15"/>
      <c r="L392" s="15"/>
      <c r="M392" s="15"/>
      <c r="N392" s="4">
        <v>35015</v>
      </c>
      <c r="O392" s="15"/>
      <c r="P392" s="15"/>
      <c r="Q392" s="15"/>
      <c r="R392" s="15"/>
    </row>
    <row r="393" spans="1:18">
      <c r="A393" s="474" t="s">
        <v>28</v>
      </c>
      <c r="B393" s="15">
        <v>2220</v>
      </c>
      <c r="C393" s="15">
        <v>2150</v>
      </c>
      <c r="D393" s="15">
        <v>2449</v>
      </c>
      <c r="E393" s="15">
        <v>2634</v>
      </c>
      <c r="F393" s="15">
        <v>2557</v>
      </c>
      <c r="G393" s="15">
        <v>2544</v>
      </c>
      <c r="H393" s="15">
        <v>3017</v>
      </c>
      <c r="I393" s="15">
        <v>3125</v>
      </c>
      <c r="J393" s="15">
        <v>2903</v>
      </c>
      <c r="K393" s="15">
        <v>2933</v>
      </c>
      <c r="L393" s="15">
        <v>2576</v>
      </c>
      <c r="M393" s="15">
        <v>2387</v>
      </c>
      <c r="N393" s="15">
        <f>SUM(B393:M393)</f>
        <v>31495</v>
      </c>
      <c r="O393" s="15"/>
      <c r="P393" s="15"/>
      <c r="Q393" s="15"/>
      <c r="R393" s="15"/>
    </row>
    <row r="394" spans="1:18">
      <c r="A394" s="474" t="s">
        <v>133</v>
      </c>
      <c r="B394" s="15">
        <f t="shared" ref="B394:M394" si="213">SUM(B391:B393)</f>
        <v>8330</v>
      </c>
      <c r="C394" s="15">
        <f t="shared" si="213"/>
        <v>8140</v>
      </c>
      <c r="D394" s="15">
        <f t="shared" si="213"/>
        <v>9116</v>
      </c>
      <c r="E394" s="15">
        <f t="shared" si="213"/>
        <v>9881</v>
      </c>
      <c r="F394" s="15">
        <f t="shared" si="213"/>
        <v>9361</v>
      </c>
      <c r="G394" s="15">
        <f t="shared" si="213"/>
        <v>9186</v>
      </c>
      <c r="H394" s="15">
        <f t="shared" si="213"/>
        <v>11016</v>
      </c>
      <c r="I394" s="15">
        <f t="shared" si="213"/>
        <v>11429</v>
      </c>
      <c r="J394" s="15">
        <f t="shared" si="213"/>
        <v>7345</v>
      </c>
      <c r="K394" s="15">
        <f t="shared" si="213"/>
        <v>7378</v>
      </c>
      <c r="L394" s="15">
        <f t="shared" si="213"/>
        <v>6676</v>
      </c>
      <c r="M394" s="15">
        <f t="shared" si="213"/>
        <v>6078</v>
      </c>
      <c r="N394" s="15">
        <f>SUM(B394:M394)</f>
        <v>103936</v>
      </c>
      <c r="O394" s="15"/>
      <c r="P394" s="15"/>
      <c r="Q394" s="15"/>
      <c r="R394" s="15"/>
    </row>
    <row r="395" spans="1:18">
      <c r="A395" s="474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</row>
    <row r="396" spans="1:18">
      <c r="A396" s="474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488"/>
      <c r="O396" s="19"/>
      <c r="P396" s="19"/>
      <c r="Q396" s="19"/>
      <c r="R396" s="19"/>
    </row>
    <row r="397" spans="1:18">
      <c r="A397" s="504" t="s">
        <v>185</v>
      </c>
      <c r="B397" s="488"/>
      <c r="C397" s="488"/>
      <c r="D397" s="488"/>
      <c r="E397" s="488"/>
      <c r="F397" s="488"/>
      <c r="G397" s="488"/>
      <c r="H397" s="488"/>
      <c r="I397" s="488"/>
      <c r="J397" s="488"/>
      <c r="K397" s="488"/>
      <c r="L397" s="488"/>
      <c r="M397" s="488"/>
      <c r="N397" s="488"/>
      <c r="O397" s="488"/>
      <c r="P397" s="488"/>
      <c r="Q397" s="488"/>
      <c r="R397" s="488"/>
    </row>
    <row r="398" spans="1:18">
      <c r="A398" s="474" t="s">
        <v>22</v>
      </c>
      <c r="B398" s="19"/>
      <c r="C398" s="19">
        <f t="shared" ref="C398:M398" si="214">C391/B391-1</f>
        <v>-3.5955056179775235E-2</v>
      </c>
      <c r="D398" s="19">
        <f t="shared" si="214"/>
        <v>9.5571095571095555E-2</v>
      </c>
      <c r="E398" s="19">
        <f t="shared" si="214"/>
        <v>0.10531914893617023</v>
      </c>
      <c r="F398" s="19">
        <f t="shared" si="214"/>
        <v>-5.3176130895091434E-2</v>
      </c>
      <c r="G398" s="19">
        <f t="shared" si="214"/>
        <v>-2.2871664548919979E-2</v>
      </c>
      <c r="H398" s="19">
        <f t="shared" si="214"/>
        <v>0.24551365409622883</v>
      </c>
      <c r="I398" s="19">
        <f t="shared" si="214"/>
        <v>5.0741282104823648E-2</v>
      </c>
      <c r="J398" s="19">
        <f t="shared" si="214"/>
        <v>-0.11724960254372019</v>
      </c>
      <c r="K398" s="19">
        <f t="shared" si="214"/>
        <v>6.753714542999667E-4</v>
      </c>
      <c r="L398" s="19">
        <f t="shared" si="214"/>
        <v>-7.7615298087739037E-2</v>
      </c>
      <c r="M398" s="19">
        <f t="shared" si="214"/>
        <v>-9.9756097560975587E-2</v>
      </c>
      <c r="N398" s="488"/>
      <c r="O398" s="19"/>
      <c r="P398" s="19"/>
      <c r="Q398" s="19"/>
      <c r="R398" s="19"/>
    </row>
    <row r="399" spans="1:18">
      <c r="A399" s="474" t="s">
        <v>25</v>
      </c>
      <c r="B399" s="19"/>
      <c r="C399" s="19">
        <f t="shared" ref="C399:L399" si="215">C392/B392-1</f>
        <v>3.1372549019608176E-3</v>
      </c>
      <c r="D399" s="19">
        <f t="shared" si="215"/>
        <v>0.13643471462079759</v>
      </c>
      <c r="E399" s="19">
        <f t="shared" si="215"/>
        <v>6.3295493636050804E-2</v>
      </c>
      <c r="F399" s="19">
        <f t="shared" si="215"/>
        <v>-7.1821417017146505E-2</v>
      </c>
      <c r="G399" s="19">
        <f t="shared" si="215"/>
        <v>-2.5095852213314784E-2</v>
      </c>
      <c r="H399" s="19">
        <f t="shared" si="215"/>
        <v>0.14765820521987849</v>
      </c>
      <c r="I399" s="19">
        <f t="shared" si="215"/>
        <v>1.9314641744548222E-2</v>
      </c>
      <c r="J399" s="19">
        <f t="shared" si="215"/>
        <v>-1</v>
      </c>
      <c r="K399" s="19" t="e">
        <f t="shared" si="215"/>
        <v>#DIV/0!</v>
      </c>
      <c r="L399" s="19" t="e">
        <f t="shared" si="215"/>
        <v>#DIV/0!</v>
      </c>
      <c r="M399" s="19"/>
      <c r="N399" s="488"/>
      <c r="O399" s="19"/>
      <c r="P399" s="19"/>
      <c r="Q399" s="19"/>
      <c r="R399" s="19"/>
    </row>
    <row r="400" spans="1:18">
      <c r="A400" s="474" t="s">
        <v>28</v>
      </c>
      <c r="B400" s="19"/>
      <c r="C400" s="19">
        <f t="shared" ref="C400:L400" si="216">C393/B393-1</f>
        <v>-3.1531531531531543E-2</v>
      </c>
      <c r="D400" s="19">
        <f t="shared" si="216"/>
        <v>0.13906976744186039</v>
      </c>
      <c r="E400" s="19">
        <f t="shared" si="216"/>
        <v>7.5541037158023627E-2</v>
      </c>
      <c r="F400" s="19">
        <f t="shared" si="216"/>
        <v>-2.9233105542900484E-2</v>
      </c>
      <c r="G400" s="19">
        <f t="shared" si="216"/>
        <v>-5.0840829096597817E-3</v>
      </c>
      <c r="H400" s="19">
        <f t="shared" si="216"/>
        <v>0.1859276729559749</v>
      </c>
      <c r="I400" s="19">
        <f t="shared" si="216"/>
        <v>3.5797149486244573E-2</v>
      </c>
      <c r="J400" s="19">
        <f t="shared" si="216"/>
        <v>-7.1039999999999992E-2</v>
      </c>
      <c r="K400" s="19">
        <f t="shared" si="216"/>
        <v>1.0334137099552221E-2</v>
      </c>
      <c r="L400" s="19">
        <f t="shared" si="216"/>
        <v>-0.12171837708830546</v>
      </c>
      <c r="M400" s="19">
        <f>M393/L393-1</f>
        <v>-7.3369565217391353E-2</v>
      </c>
      <c r="N400" s="488"/>
      <c r="O400" s="19"/>
      <c r="P400" s="19"/>
      <c r="Q400" s="19"/>
      <c r="R400" s="19"/>
    </row>
    <row r="401" spans="1:18">
      <c r="A401" s="469" t="s">
        <v>133</v>
      </c>
      <c r="C401" s="19">
        <f t="shared" ref="C401:L401" si="217">C394/B394-1</f>
        <v>-2.280912364945975E-2</v>
      </c>
      <c r="D401" s="19">
        <f t="shared" si="217"/>
        <v>0.11990171990171983</v>
      </c>
      <c r="E401" s="19">
        <f t="shared" si="217"/>
        <v>8.3918385256691597E-2</v>
      </c>
      <c r="F401" s="19">
        <f t="shared" si="217"/>
        <v>-5.2626252403602858E-2</v>
      </c>
      <c r="G401" s="19">
        <f t="shared" si="217"/>
        <v>-1.8694583911975204E-2</v>
      </c>
      <c r="H401" s="19">
        <f t="shared" si="217"/>
        <v>0.19921619856303074</v>
      </c>
      <c r="I401" s="19">
        <f t="shared" si="217"/>
        <v>3.7490922294843854E-2</v>
      </c>
      <c r="J401" s="19">
        <f t="shared" si="217"/>
        <v>-0.35733659987750455</v>
      </c>
      <c r="K401" s="19">
        <f t="shared" si="217"/>
        <v>4.4928522804628113E-3</v>
      </c>
      <c r="L401" s="19">
        <f t="shared" si="217"/>
        <v>-9.5147736513960468E-2</v>
      </c>
      <c r="M401" s="19">
        <f>M394/L394-1</f>
        <v>-8.9574595566207282E-2</v>
      </c>
      <c r="O401" s="19"/>
      <c r="P401" s="19"/>
      <c r="Q401" s="19"/>
      <c r="R401" s="19"/>
    </row>
  </sheetData>
  <phoneticPr fontId="3" type="noConversion"/>
  <pageMargins left="0.75" right="0.75" top="1" bottom="1" header="0.5" footer="0.5"/>
  <pageSetup paperSize="9" scale="19" fitToHeight="2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IV420"/>
  <sheetViews>
    <sheetView workbookViewId="0">
      <selection activeCell="P11" sqref="P11"/>
    </sheetView>
  </sheetViews>
  <sheetFormatPr defaultColWidth="9" defaultRowHeight="13"/>
  <cols>
    <col min="1" max="1" width="12.33203125" style="469" bestFit="1" customWidth="1"/>
    <col min="2" max="2" width="8.25" style="470" customWidth="1"/>
    <col min="3" max="4" width="9" style="470" customWidth="1"/>
    <col min="5" max="5" width="9" style="470" bestFit="1" customWidth="1"/>
    <col min="6" max="12" width="9" style="470" customWidth="1"/>
    <col min="13" max="13" width="9.5" style="470" customWidth="1"/>
    <col min="14" max="18" width="8.33203125" style="470" customWidth="1"/>
    <col min="19" max="19" width="9" style="385" customWidth="1"/>
    <col min="20" max="16384" width="9" style="385"/>
  </cols>
  <sheetData>
    <row r="1" spans="1:19">
      <c r="A1" s="240">
        <v>2026</v>
      </c>
      <c r="B1" s="472" t="s">
        <v>51</v>
      </c>
      <c r="C1" s="472" t="s">
        <v>52</v>
      </c>
      <c r="D1" s="472" t="s">
        <v>53</v>
      </c>
      <c r="E1" s="472" t="s">
        <v>54</v>
      </c>
      <c r="F1" s="472" t="s">
        <v>55</v>
      </c>
      <c r="G1" s="472" t="s">
        <v>77</v>
      </c>
      <c r="H1" s="472" t="s">
        <v>78</v>
      </c>
      <c r="I1" s="472" t="s">
        <v>79</v>
      </c>
      <c r="J1" s="472" t="s">
        <v>80</v>
      </c>
      <c r="K1" s="472" t="s">
        <v>81</v>
      </c>
      <c r="L1" s="472" t="s">
        <v>82</v>
      </c>
      <c r="M1" s="472" t="s">
        <v>44</v>
      </c>
      <c r="N1" s="473" t="s">
        <v>133</v>
      </c>
      <c r="O1" s="473" t="s">
        <v>129</v>
      </c>
      <c r="P1" s="473" t="s">
        <v>130</v>
      </c>
      <c r="Q1" s="473" t="s">
        <v>131</v>
      </c>
      <c r="R1" s="473" t="s">
        <v>132</v>
      </c>
      <c r="S1" s="445" t="s">
        <v>171</v>
      </c>
    </row>
    <row r="2" spans="1:19">
      <c r="A2" s="474" t="s">
        <v>22</v>
      </c>
      <c r="B2" s="475">
        <v>11884.62</v>
      </c>
      <c r="C2" s="475">
        <v>13169</v>
      </c>
      <c r="D2" s="475">
        <v>12486.24</v>
      </c>
      <c r="E2" s="475">
        <v>11411.77</v>
      </c>
      <c r="F2" s="475">
        <v>11046.08</v>
      </c>
      <c r="G2" s="475">
        <v>10985.76</v>
      </c>
      <c r="H2" s="475">
        <v>14573.41</v>
      </c>
      <c r="I2" s="475"/>
      <c r="J2" s="475"/>
      <c r="K2" s="475"/>
      <c r="L2" s="475"/>
      <c r="M2" s="475"/>
      <c r="O2" s="475">
        <f>SUM(B2:M2)</f>
        <v>85556.88</v>
      </c>
      <c r="P2" s="475">
        <f>SUM(E2:G2)</f>
        <v>33443.61</v>
      </c>
      <c r="Q2" s="475">
        <f>SUM(H2:J2)</f>
        <v>14573.41</v>
      </c>
      <c r="R2" s="475">
        <f>SUM(K2:M2)</f>
        <v>0</v>
      </c>
      <c r="S2" s="475">
        <f>SUM(B2:M2)</f>
        <v>85556.88</v>
      </c>
    </row>
    <row r="3" spans="1:19">
      <c r="A3" s="474" t="s">
        <v>25</v>
      </c>
      <c r="B3" s="475">
        <v>10112.549999999999</v>
      </c>
      <c r="C3" s="475">
        <v>10897.14</v>
      </c>
      <c r="D3" s="475">
        <v>10835.24</v>
      </c>
      <c r="E3" s="475">
        <v>9851.43</v>
      </c>
      <c r="F3" s="475">
        <v>9586.7900000000009</v>
      </c>
      <c r="G3" s="475">
        <v>9114.33</v>
      </c>
      <c r="H3" s="475">
        <v>12003.81</v>
      </c>
      <c r="I3" s="475"/>
      <c r="J3" s="475"/>
      <c r="K3" s="475"/>
      <c r="L3" s="475"/>
      <c r="M3" s="475"/>
      <c r="O3" s="475">
        <f>SUM(B3:G3)</f>
        <v>60397.48</v>
      </c>
      <c r="P3" s="475">
        <f>SUM(E3:G3)</f>
        <v>28552.550000000003</v>
      </c>
      <c r="Q3" s="475">
        <f>SUM(H3:J3)</f>
        <v>12003.81</v>
      </c>
      <c r="R3" s="475">
        <f>SUM(K3:M3)</f>
        <v>0</v>
      </c>
      <c r="S3" s="475">
        <f>SUM(B3:M3)</f>
        <v>72401.290000000008</v>
      </c>
    </row>
    <row r="4" spans="1:19">
      <c r="A4" s="474" t="s">
        <v>172</v>
      </c>
      <c r="B4" s="475">
        <v>11247.2</v>
      </c>
      <c r="C4" s="475">
        <v>12442.8</v>
      </c>
      <c r="D4" s="475">
        <v>12138</v>
      </c>
      <c r="E4" s="475">
        <v>11108.3</v>
      </c>
      <c r="F4" s="475">
        <v>10607.9</v>
      </c>
      <c r="G4" s="475">
        <v>10051.200000000001</v>
      </c>
      <c r="H4" s="475">
        <v>13471.8</v>
      </c>
      <c r="I4" s="475"/>
      <c r="J4" s="475"/>
      <c r="K4" s="475"/>
      <c r="L4" s="475"/>
      <c r="M4" s="475"/>
      <c r="O4" s="475">
        <f>SUM(B4:G4)</f>
        <v>67595.400000000009</v>
      </c>
      <c r="P4" s="475">
        <f>SUM(E4:G4)</f>
        <v>31767.399999999998</v>
      </c>
      <c r="Q4" s="475">
        <f>SUM(H4:J4)</f>
        <v>13471.8</v>
      </c>
      <c r="R4" s="475">
        <f>SUM(K4:M4)</f>
        <v>0</v>
      </c>
      <c r="S4" s="475">
        <f>SUM(B4:M4)</f>
        <v>81067.200000000012</v>
      </c>
    </row>
    <row r="5" spans="1:19">
      <c r="A5" s="480" t="s">
        <v>196</v>
      </c>
      <c r="B5" s="477">
        <f t="shared" ref="B5:M5" si="0">SUM(B2:B4)</f>
        <v>33244.369999999995</v>
      </c>
      <c r="C5" s="477">
        <f t="shared" si="0"/>
        <v>36508.94</v>
      </c>
      <c r="D5" s="477">
        <f t="shared" si="0"/>
        <v>35459.479999999996</v>
      </c>
      <c r="E5" s="477">
        <f t="shared" si="0"/>
        <v>32371.5</v>
      </c>
      <c r="F5" s="477">
        <f t="shared" si="0"/>
        <v>31240.770000000004</v>
      </c>
      <c r="G5" s="477">
        <f t="shared" si="0"/>
        <v>30151.29</v>
      </c>
      <c r="H5" s="477">
        <f t="shared" si="0"/>
        <v>40049.020000000004</v>
      </c>
      <c r="I5" s="477">
        <f t="shared" si="0"/>
        <v>0</v>
      </c>
      <c r="J5" s="477">
        <f t="shared" si="0"/>
        <v>0</v>
      </c>
      <c r="K5" s="477">
        <f t="shared" si="0"/>
        <v>0</v>
      </c>
      <c r="L5" s="477">
        <f t="shared" si="0"/>
        <v>0</v>
      </c>
      <c r="M5" s="477">
        <f t="shared" si="0"/>
        <v>0</v>
      </c>
      <c r="O5" s="477">
        <f>SUM(B5:D5)</f>
        <v>105212.79</v>
      </c>
      <c r="P5" s="477">
        <f>SUM(E5:G5)</f>
        <v>93763.56</v>
      </c>
      <c r="Q5" s="477">
        <f>SUM(H5:J5)</f>
        <v>40049.020000000004</v>
      </c>
      <c r="R5" s="477">
        <f>SUM(K5:M5)</f>
        <v>0</v>
      </c>
      <c r="S5" s="477">
        <f>SUM(B5:M5)</f>
        <v>239025.37</v>
      </c>
    </row>
    <row r="6" spans="1:19">
      <c r="A6" s="474"/>
      <c r="O6" s="475"/>
    </row>
    <row r="7" spans="1:19">
      <c r="A7" s="504" t="s">
        <v>174</v>
      </c>
    </row>
    <row r="8" spans="1:19">
      <c r="A8" s="474" t="s">
        <v>22</v>
      </c>
      <c r="B8" s="144">
        <f t="shared" ref="B8:M8" si="1">B2/B14-1</f>
        <v>-7.8000473233230116E-2</v>
      </c>
      <c r="C8" s="144">
        <f t="shared" si="1"/>
        <v>8.4067281484585088E-2</v>
      </c>
      <c r="D8" s="144">
        <f t="shared" si="1"/>
        <v>8.3526051939870172E-2</v>
      </c>
      <c r="E8" s="144">
        <f t="shared" si="1"/>
        <v>-2.1277270910628476E-2</v>
      </c>
      <c r="F8" s="144">
        <f t="shared" si="1"/>
        <v>-0.10424745491671017</v>
      </c>
      <c r="G8" s="144">
        <f t="shared" si="1"/>
        <v>-6.9838170658705456E-2</v>
      </c>
      <c r="H8" s="144">
        <f t="shared" si="1"/>
        <v>3.3516538068762092E-2</v>
      </c>
      <c r="I8" s="144">
        <f t="shared" si="1"/>
        <v>-1</v>
      </c>
      <c r="J8" s="144">
        <f t="shared" si="1"/>
        <v>-1</v>
      </c>
      <c r="K8" s="144">
        <f t="shared" si="1"/>
        <v>-1</v>
      </c>
      <c r="L8" s="144">
        <f t="shared" si="1"/>
        <v>-1</v>
      </c>
      <c r="M8" s="144">
        <f t="shared" si="1"/>
        <v>-1</v>
      </c>
      <c r="N8" s="144"/>
      <c r="O8" s="144">
        <f t="shared" ref="O8:S11" si="2">O2/O14-1</f>
        <v>-0.43256634808708005</v>
      </c>
      <c r="P8" s="144">
        <f t="shared" si="2"/>
        <v>-6.5874961978455548E-2</v>
      </c>
      <c r="Q8" s="144">
        <f t="shared" si="2"/>
        <v>-0.6465652091034364</v>
      </c>
      <c r="R8" s="144">
        <f t="shared" si="2"/>
        <v>-1</v>
      </c>
      <c r="S8" s="144">
        <f t="shared" si="2"/>
        <v>-0.43256634808708005</v>
      </c>
    </row>
    <row r="9" spans="1:19">
      <c r="A9" s="474" t="s">
        <v>25</v>
      </c>
      <c r="B9" s="144">
        <f t="shared" ref="B9:M9" si="3">B3/B15-1</f>
        <v>-4.269216824300226E-2</v>
      </c>
      <c r="C9" s="144">
        <f t="shared" si="3"/>
        <v>6.539424555667761E-2</v>
      </c>
      <c r="D9" s="144">
        <f t="shared" si="3"/>
        <v>0.10718453348047796</v>
      </c>
      <c r="E9" s="144">
        <f t="shared" si="3"/>
        <v>-1.8647962919242866E-2</v>
      </c>
      <c r="F9" s="144">
        <f t="shared" si="3"/>
        <v>-9.7158156644183702E-2</v>
      </c>
      <c r="G9" s="144">
        <f t="shared" si="3"/>
        <v>-9.3061785789626539E-2</v>
      </c>
      <c r="H9" s="144">
        <f t="shared" si="3"/>
        <v>3.8130539803561625E-2</v>
      </c>
      <c r="I9" s="144">
        <f t="shared" si="3"/>
        <v>-1</v>
      </c>
      <c r="J9" s="144">
        <f t="shared" si="3"/>
        <v>-1</v>
      </c>
      <c r="K9" s="144">
        <f t="shared" si="3"/>
        <v>-1</v>
      </c>
      <c r="L9" s="144">
        <f t="shared" si="3"/>
        <v>-1</v>
      </c>
      <c r="M9" s="144">
        <f t="shared" si="3"/>
        <v>-1</v>
      </c>
      <c r="N9" s="144"/>
      <c r="O9" s="144">
        <f t="shared" si="2"/>
        <v>0.97518747077156531</v>
      </c>
      <c r="P9" s="144">
        <f t="shared" si="2"/>
        <v>-7.0150928219131381E-2</v>
      </c>
      <c r="Q9" s="144">
        <f t="shared" si="2"/>
        <v>-0.64390624772876881</v>
      </c>
      <c r="R9" s="144">
        <f t="shared" si="2"/>
        <v>-1</v>
      </c>
      <c r="S9" s="144">
        <f t="shared" si="2"/>
        <v>-0.42215146098099376</v>
      </c>
    </row>
    <row r="10" spans="1:19">
      <c r="A10" s="474" t="s">
        <v>172</v>
      </c>
      <c r="B10" s="144">
        <f t="shared" ref="B10:M10" si="4">B4/B16-1</f>
        <v>1.4412756823060535E-2</v>
      </c>
      <c r="C10" s="144">
        <f t="shared" si="4"/>
        <v>0.14623136871971543</v>
      </c>
      <c r="D10" s="144">
        <f t="shared" si="4"/>
        <v>0.14133654289179964</v>
      </c>
      <c r="E10" s="144">
        <f t="shared" si="4"/>
        <v>1.8409351363740445E-2</v>
      </c>
      <c r="F10" s="144">
        <f t="shared" si="4"/>
        <v>-7.6963906581741015E-2</v>
      </c>
      <c r="G10" s="144">
        <f t="shared" si="4"/>
        <v>-7.4313185548116167E-2</v>
      </c>
      <c r="H10" s="144">
        <f t="shared" si="4"/>
        <v>8.9131963813635418E-2</v>
      </c>
      <c r="I10" s="144">
        <f t="shared" si="4"/>
        <v>-1</v>
      </c>
      <c r="J10" s="144">
        <f t="shared" si="4"/>
        <v>-1</v>
      </c>
      <c r="K10" s="144">
        <f t="shared" si="4"/>
        <v>-1</v>
      </c>
      <c r="L10" s="144">
        <f t="shared" si="4"/>
        <v>-1</v>
      </c>
      <c r="M10" s="144">
        <f t="shared" si="4"/>
        <v>-1</v>
      </c>
      <c r="N10" s="144"/>
      <c r="O10" s="144">
        <f t="shared" si="2"/>
        <v>1.0748978595787921</v>
      </c>
      <c r="P10" s="144">
        <f t="shared" si="2"/>
        <v>-4.4819291599013877E-2</v>
      </c>
      <c r="Q10" s="144">
        <f t="shared" si="2"/>
        <v>-0.63098844630462536</v>
      </c>
      <c r="R10" s="144">
        <f t="shared" si="2"/>
        <v>-1</v>
      </c>
      <c r="S10" s="144">
        <f t="shared" si="2"/>
        <v>-0.40771956485208904</v>
      </c>
    </row>
    <row r="11" spans="1:19">
      <c r="A11" s="480" t="s">
        <v>196</v>
      </c>
      <c r="B11" s="146">
        <f t="shared" ref="B11:M11" si="5">B5/B17-1</f>
        <v>-3.7538309567360484E-2</v>
      </c>
      <c r="C11" s="146">
        <f t="shared" si="5"/>
        <v>9.8626481428430335E-2</v>
      </c>
      <c r="D11" s="146">
        <f t="shared" si="5"/>
        <v>0.11001971832132251</v>
      </c>
      <c r="E11" s="146">
        <f t="shared" si="5"/>
        <v>-7.1916233796305296E-3</v>
      </c>
      <c r="F11" s="146">
        <f t="shared" si="5"/>
        <v>-9.2958172582229825E-2</v>
      </c>
      <c r="G11" s="146">
        <f t="shared" si="5"/>
        <v>-7.8456518915284268E-2</v>
      </c>
      <c r="H11" s="146">
        <f t="shared" si="5"/>
        <v>5.3006848524479455E-2</v>
      </c>
      <c r="I11" s="146">
        <f t="shared" si="5"/>
        <v>-1</v>
      </c>
      <c r="J11" s="146">
        <f t="shared" si="5"/>
        <v>-1</v>
      </c>
      <c r="K11" s="146">
        <f t="shared" si="5"/>
        <v>-1</v>
      </c>
      <c r="L11" s="146">
        <f t="shared" si="5"/>
        <v>-1</v>
      </c>
      <c r="M11" s="146">
        <f t="shared" si="5"/>
        <v>-1</v>
      </c>
      <c r="N11" s="146"/>
      <c r="O11" s="146">
        <f t="shared" si="2"/>
        <v>5.5110380512594759E-2</v>
      </c>
      <c r="P11" s="146">
        <f t="shared" si="2"/>
        <v>-6.017196916967904E-2</v>
      </c>
      <c r="Q11" s="146">
        <f t="shared" si="2"/>
        <v>-0.64065853066567724</v>
      </c>
      <c r="R11" s="146">
        <f t="shared" si="2"/>
        <v>-1</v>
      </c>
      <c r="S11" s="146">
        <f t="shared" si="2"/>
        <v>-0.42117071755322721</v>
      </c>
    </row>
    <row r="13" spans="1:19">
      <c r="A13" s="240">
        <v>2025</v>
      </c>
      <c r="B13" s="472" t="s">
        <v>51</v>
      </c>
      <c r="C13" s="472" t="s">
        <v>52</v>
      </c>
      <c r="D13" s="472" t="s">
        <v>53</v>
      </c>
      <c r="E13" s="472" t="s">
        <v>54</v>
      </c>
      <c r="F13" s="472" t="s">
        <v>55</v>
      </c>
      <c r="G13" s="472" t="s">
        <v>77</v>
      </c>
      <c r="H13" s="472" t="s">
        <v>78</v>
      </c>
      <c r="I13" s="472" t="s">
        <v>79</v>
      </c>
      <c r="J13" s="472" t="s">
        <v>80</v>
      </c>
      <c r="K13" s="472" t="s">
        <v>81</v>
      </c>
      <c r="L13" s="472" t="s">
        <v>82</v>
      </c>
      <c r="M13" s="472" t="s">
        <v>44</v>
      </c>
      <c r="N13" s="473" t="s">
        <v>133</v>
      </c>
      <c r="O13" s="473" t="s">
        <v>129</v>
      </c>
      <c r="P13" s="473" t="s">
        <v>130</v>
      </c>
      <c r="Q13" s="473" t="s">
        <v>131</v>
      </c>
      <c r="R13" s="473" t="s">
        <v>132</v>
      </c>
      <c r="S13" s="445" t="s">
        <v>171</v>
      </c>
    </row>
    <row r="14" spans="1:19">
      <c r="A14" s="474" t="s">
        <v>22</v>
      </c>
      <c r="B14" s="475">
        <v>12890.05</v>
      </c>
      <c r="C14" s="475">
        <v>12147.77</v>
      </c>
      <c r="D14" s="475">
        <v>11523.71</v>
      </c>
      <c r="E14" s="475">
        <v>11659.86</v>
      </c>
      <c r="F14" s="475">
        <v>12331.62</v>
      </c>
      <c r="G14" s="475">
        <v>11810.59</v>
      </c>
      <c r="H14" s="475">
        <v>14100.8</v>
      </c>
      <c r="I14" s="475">
        <v>14801.86</v>
      </c>
      <c r="J14" s="475">
        <v>12331</v>
      </c>
      <c r="K14" s="475">
        <v>13580.22</v>
      </c>
      <c r="L14" s="475">
        <v>11807.6</v>
      </c>
      <c r="M14" s="475">
        <v>11793.57</v>
      </c>
      <c r="O14" s="475">
        <f>SUM(B14:M14)</f>
        <v>150778.65000000002</v>
      </c>
      <c r="P14" s="475">
        <f>SUM(E14:G14)</f>
        <v>35802.070000000007</v>
      </c>
      <c r="Q14" s="475">
        <f>SUM(H14:J14)</f>
        <v>41233.660000000003</v>
      </c>
      <c r="R14" s="475">
        <f>SUM(K14:M14)</f>
        <v>37181.39</v>
      </c>
      <c r="S14" s="475">
        <f>SUM(B14:M14)</f>
        <v>150778.65000000002</v>
      </c>
    </row>
    <row r="15" spans="1:19">
      <c r="A15" s="474" t="s">
        <v>25</v>
      </c>
      <c r="B15" s="475">
        <v>10563.53</v>
      </c>
      <c r="C15" s="475">
        <v>10228.27</v>
      </c>
      <c r="D15" s="475">
        <v>9786.2999999999993</v>
      </c>
      <c r="E15" s="475">
        <f>10038.63</f>
        <v>10038.629999999999</v>
      </c>
      <c r="F15" s="475">
        <v>10618.46</v>
      </c>
      <c r="G15" s="475">
        <v>10049.56</v>
      </c>
      <c r="H15" s="475">
        <v>11562.91</v>
      </c>
      <c r="I15" s="475">
        <v>12103.28</v>
      </c>
      <c r="J15" s="475">
        <v>10043.5</v>
      </c>
      <c r="K15" s="475">
        <v>10854.19</v>
      </c>
      <c r="L15" s="475">
        <v>9785.2900000000009</v>
      </c>
      <c r="M15" s="475">
        <v>9660.66</v>
      </c>
      <c r="O15" s="475">
        <f>SUM(B15:D15)</f>
        <v>30578.100000000002</v>
      </c>
      <c r="P15" s="475">
        <f>SUM(E15:G15)</f>
        <v>30706.649999999994</v>
      </c>
      <c r="Q15" s="475">
        <f>SUM(H15:J15)</f>
        <v>33709.69</v>
      </c>
      <c r="R15" s="475">
        <f>SUM(K15:M15)</f>
        <v>30300.140000000003</v>
      </c>
      <c r="S15" s="475">
        <f>SUM(B15:M15)</f>
        <v>125294.58000000002</v>
      </c>
    </row>
    <row r="16" spans="1:19">
      <c r="A16" s="474" t="s">
        <v>172</v>
      </c>
      <c r="B16" s="475">
        <v>11087.4</v>
      </c>
      <c r="C16" s="475">
        <v>10855.4</v>
      </c>
      <c r="D16" s="475">
        <v>10634.9</v>
      </c>
      <c r="E16" s="475">
        <f>10907.5</f>
        <v>10907.5</v>
      </c>
      <c r="F16" s="475">
        <v>11492.4</v>
      </c>
      <c r="G16" s="475">
        <v>10858.1</v>
      </c>
      <c r="H16" s="475">
        <v>12369.3</v>
      </c>
      <c r="I16" s="475">
        <v>12960.1</v>
      </c>
      <c r="J16" s="475">
        <v>11178.4</v>
      </c>
      <c r="K16" s="475">
        <v>12541.4</v>
      </c>
      <c r="L16" s="475">
        <v>11020.9</v>
      </c>
      <c r="M16" s="475">
        <v>10967.2</v>
      </c>
      <c r="O16" s="475">
        <f>SUM(B16:D16)</f>
        <v>32577.699999999997</v>
      </c>
      <c r="P16" s="475">
        <f>SUM(E16:G16)</f>
        <v>33258</v>
      </c>
      <c r="Q16" s="475">
        <f>SUM(H16:J16)</f>
        <v>36507.800000000003</v>
      </c>
      <c r="R16" s="475">
        <f>SUM(K16:M16)</f>
        <v>34529.5</v>
      </c>
      <c r="S16" s="475">
        <f>SUM(B16:M16)</f>
        <v>136873</v>
      </c>
    </row>
    <row r="17" spans="1:19">
      <c r="A17" s="480" t="s">
        <v>196</v>
      </c>
      <c r="B17" s="477">
        <f t="shared" ref="B17:M17" si="6">SUM(B14:B16)</f>
        <v>34540.980000000003</v>
      </c>
      <c r="C17" s="477">
        <f t="shared" si="6"/>
        <v>33231.440000000002</v>
      </c>
      <c r="D17" s="477">
        <f t="shared" si="6"/>
        <v>31944.909999999996</v>
      </c>
      <c r="E17" s="477">
        <f t="shared" si="6"/>
        <v>32605.989999999998</v>
      </c>
      <c r="F17" s="477">
        <f t="shared" si="6"/>
        <v>34442.480000000003</v>
      </c>
      <c r="G17" s="477">
        <f t="shared" si="6"/>
        <v>32718.25</v>
      </c>
      <c r="H17" s="477">
        <f t="shared" si="6"/>
        <v>38033.009999999995</v>
      </c>
      <c r="I17" s="477">
        <f t="shared" si="6"/>
        <v>39865.24</v>
      </c>
      <c r="J17" s="477">
        <f t="shared" si="6"/>
        <v>33552.9</v>
      </c>
      <c r="K17" s="477">
        <f t="shared" si="6"/>
        <v>36975.81</v>
      </c>
      <c r="L17" s="477">
        <f t="shared" si="6"/>
        <v>32613.79</v>
      </c>
      <c r="M17" s="477">
        <f t="shared" si="6"/>
        <v>32421.43</v>
      </c>
      <c r="O17" s="477">
        <f>SUM(B17:D17)</f>
        <v>99717.330000000016</v>
      </c>
      <c r="P17" s="477">
        <f>SUM(E17:G17)</f>
        <v>99766.720000000001</v>
      </c>
      <c r="Q17" s="477">
        <f>SUM(H17:J17)</f>
        <v>111451.15</v>
      </c>
      <c r="R17" s="477">
        <f>SUM(K17:M17)</f>
        <v>102011.03</v>
      </c>
      <c r="S17" s="477">
        <f>SUM(B17:M17)</f>
        <v>412946.23</v>
      </c>
    </row>
    <row r="18" spans="1:19">
      <c r="A18" s="474"/>
      <c r="O18" s="475"/>
    </row>
    <row r="19" spans="1:19">
      <c r="A19" s="504" t="s">
        <v>176</v>
      </c>
    </row>
    <row r="20" spans="1:19">
      <c r="A20" s="474" t="s">
        <v>22</v>
      </c>
      <c r="B20" s="144">
        <f t="shared" ref="B20:M20" si="7">B14/B26-1</f>
        <v>8.9480761737651626E-2</v>
      </c>
      <c r="C20" s="144">
        <f t="shared" si="7"/>
        <v>-4.6432728982541471E-2</v>
      </c>
      <c r="D20" s="144">
        <f t="shared" si="7"/>
        <v>-3.7218719848947091E-3</v>
      </c>
      <c r="E20" s="144">
        <f t="shared" si="7"/>
        <v>7.1577848400241839E-2</v>
      </c>
      <c r="F20" s="144">
        <f t="shared" si="7"/>
        <v>3.8451336040980166E-2</v>
      </c>
      <c r="G20" s="144">
        <f t="shared" si="7"/>
        <v>2.2760258266538269E-2</v>
      </c>
      <c r="H20" s="144">
        <f t="shared" si="7"/>
        <v>5.5370107027917115E-2</v>
      </c>
      <c r="I20" s="144">
        <f t="shared" si="7"/>
        <v>4.0772043313176853E-2</v>
      </c>
      <c r="J20" s="144">
        <f t="shared" si="7"/>
        <v>2.8380328087601159E-2</v>
      </c>
      <c r="K20" s="144">
        <f t="shared" si="7"/>
        <v>5.1280443481431348E-2</v>
      </c>
      <c r="L20" s="144">
        <f t="shared" si="7"/>
        <v>5.929109063669058E-2</v>
      </c>
      <c r="M20" s="144">
        <f t="shared" si="7"/>
        <v>6.3756458176990272E-2</v>
      </c>
      <c r="N20" s="144"/>
      <c r="O20" s="144">
        <f t="shared" ref="O20:S23" si="8">O14/O26-1</f>
        <v>3.1723689737673579</v>
      </c>
      <c r="P20" s="144">
        <f t="shared" si="8"/>
        <v>4.3676806556943282E-2</v>
      </c>
      <c r="Q20" s="144">
        <f t="shared" si="8"/>
        <v>4.1946039920452316E-2</v>
      </c>
      <c r="R20" s="144">
        <f t="shared" si="8"/>
        <v>5.775562206820184E-2</v>
      </c>
      <c r="S20" s="144">
        <f t="shared" si="8"/>
        <v>3.8662809200934678E-2</v>
      </c>
    </row>
    <row r="21" spans="1:19">
      <c r="A21" s="474" t="s">
        <v>25</v>
      </c>
      <c r="B21" s="144">
        <f t="shared" ref="B21:M21" si="9">B15/B27-1</f>
        <v>7.416698528394905E-2</v>
      </c>
      <c r="C21" s="144">
        <f t="shared" si="9"/>
        <v>-1.0329916797532257E-2</v>
      </c>
      <c r="D21" s="144">
        <f t="shared" si="9"/>
        <v>3.6169530180450549E-2</v>
      </c>
      <c r="E21" s="144">
        <f t="shared" si="9"/>
        <v>0.10074145712443583</v>
      </c>
      <c r="F21" s="144">
        <f t="shared" si="9"/>
        <v>8.7240680576218699E-2</v>
      </c>
      <c r="G21" s="144">
        <f t="shared" si="9"/>
        <v>4.5428727766762433E-2</v>
      </c>
      <c r="H21" s="144">
        <f t="shared" si="9"/>
        <v>4.7080503486371494E-2</v>
      </c>
      <c r="I21" s="144">
        <f t="shared" si="9"/>
        <v>2.5962532847334074E-2</v>
      </c>
      <c r="J21" s="144">
        <f t="shared" si="9"/>
        <v>3.5839521452145195E-2</v>
      </c>
      <c r="K21" s="144">
        <f t="shared" si="9"/>
        <v>3.6793390008596827E-2</v>
      </c>
      <c r="L21" s="144">
        <f t="shared" si="9"/>
        <v>3.8261205408347765E-2</v>
      </c>
      <c r="M21" s="144">
        <f t="shared" si="9"/>
        <v>5.7218305042455508E-2</v>
      </c>
      <c r="N21" s="144"/>
      <c r="O21" s="144">
        <f t="shared" si="8"/>
        <v>3.2559732125611252E-2</v>
      </c>
      <c r="P21" s="144">
        <f t="shared" si="8"/>
        <v>7.7457694381976694E-2</v>
      </c>
      <c r="Q21" s="144">
        <f t="shared" si="8"/>
        <v>3.6073580034423403E-2</v>
      </c>
      <c r="R21" s="144">
        <f t="shared" si="8"/>
        <v>4.3698741022682341E-2</v>
      </c>
      <c r="S21" s="144">
        <f t="shared" si="8"/>
        <v>4.6908457556386729E-2</v>
      </c>
    </row>
    <row r="22" spans="1:19">
      <c r="A22" s="474" t="s">
        <v>172</v>
      </c>
      <c r="B22" s="144">
        <f t="shared" ref="B22:M22" si="10">B16/B28-1</f>
        <v>4.150071390997212E-2</v>
      </c>
      <c r="C22" s="144">
        <f t="shared" si="10"/>
        <v>-7.1648479458146674E-2</v>
      </c>
      <c r="D22" s="144">
        <f t="shared" si="10"/>
        <v>-1.2213924803091136E-2</v>
      </c>
      <c r="E22" s="144">
        <f t="shared" si="10"/>
        <v>6.1278301565525384E-2</v>
      </c>
      <c r="F22" s="144">
        <f t="shared" si="10"/>
        <v>4.5885586356273045E-2</v>
      </c>
      <c r="G22" s="144">
        <f t="shared" si="10"/>
        <v>6.3113994439296661E-3</v>
      </c>
      <c r="H22" s="144">
        <f t="shared" si="10"/>
        <v>-1.2825219473264204E-2</v>
      </c>
      <c r="I22" s="144">
        <f t="shared" si="10"/>
        <v>-1.4366111491368128E-2</v>
      </c>
      <c r="J22" s="144">
        <f t="shared" si="10"/>
        <v>2.4676419902467606E-2</v>
      </c>
      <c r="K22" s="144">
        <f t="shared" si="10"/>
        <v>4.2051299095161809E-2</v>
      </c>
      <c r="L22" s="144">
        <f t="shared" si="10"/>
        <v>5.8694127705357424E-2</v>
      </c>
      <c r="M22" s="144">
        <f t="shared" si="10"/>
        <v>8.9832260116066376E-2</v>
      </c>
      <c r="N22" s="144"/>
      <c r="O22" s="144">
        <f t="shared" si="8"/>
        <v>-1.5934052656380482E-2</v>
      </c>
      <c r="P22" s="144">
        <f t="shared" si="8"/>
        <v>3.7500116983145038E-2</v>
      </c>
      <c r="Q22" s="144">
        <f t="shared" si="8"/>
        <v>-2.1974297724400849E-3</v>
      </c>
      <c r="R22" s="144">
        <f t="shared" si="8"/>
        <v>6.2171623334276838E-2</v>
      </c>
      <c r="S22" s="144">
        <f t="shared" si="8"/>
        <v>1.9479702095298812E-2</v>
      </c>
    </row>
    <row r="23" spans="1:19">
      <c r="A23" s="480" t="s">
        <v>196</v>
      </c>
      <c r="B23" s="146">
        <f t="shared" ref="B23:M23" si="11">B17/B29-1</f>
        <v>6.9011823480020773E-2</v>
      </c>
      <c r="C23" s="146">
        <f t="shared" si="11"/>
        <v>-4.4181465919916119E-2</v>
      </c>
      <c r="D23" s="146">
        <f t="shared" si="11"/>
        <v>5.2571209191307755E-3</v>
      </c>
      <c r="E23" s="146">
        <f t="shared" si="11"/>
        <v>7.6865839239594891E-2</v>
      </c>
      <c r="F23" s="146">
        <f t="shared" si="11"/>
        <v>5.5558075418545849E-2</v>
      </c>
      <c r="G23" s="146">
        <f t="shared" si="11"/>
        <v>2.4025511868001281E-2</v>
      </c>
      <c r="H23" s="146">
        <f t="shared" si="11"/>
        <v>2.9756051334813405E-2</v>
      </c>
      <c r="I23" s="146">
        <f t="shared" si="11"/>
        <v>1.7801266339869226E-2</v>
      </c>
      <c r="J23" s="146">
        <f t="shared" si="11"/>
        <v>2.9359520675913187E-2</v>
      </c>
      <c r="K23" s="146">
        <f t="shared" si="11"/>
        <v>4.3863024457337252E-2</v>
      </c>
      <c r="L23" s="146">
        <f t="shared" si="11"/>
        <v>5.2693093153964865E-2</v>
      </c>
      <c r="M23" s="146">
        <f t="shared" si="11"/>
        <v>7.0447669732924822E-2</v>
      </c>
      <c r="N23" s="146"/>
      <c r="O23" s="146">
        <f t="shared" si="8"/>
        <v>8.7078745454272077E-3</v>
      </c>
      <c r="P23" s="146">
        <f t="shared" si="8"/>
        <v>5.1738551359356233E-2</v>
      </c>
      <c r="Q23" s="146">
        <f t="shared" si="8"/>
        <v>2.5329376188500508E-2</v>
      </c>
      <c r="R23" s="146">
        <f t="shared" si="8"/>
        <v>5.5019742766423851E-2</v>
      </c>
      <c r="S23" s="146">
        <f t="shared" si="8"/>
        <v>3.4682306284945064E-2</v>
      </c>
    </row>
    <row r="25" spans="1:19">
      <c r="A25" s="240">
        <v>2024</v>
      </c>
      <c r="B25" s="472" t="s">
        <v>51</v>
      </c>
      <c r="C25" s="472" t="s">
        <v>52</v>
      </c>
      <c r="D25" s="472" t="s">
        <v>53</v>
      </c>
      <c r="E25" s="472" t="s">
        <v>54</v>
      </c>
      <c r="F25" s="472" t="s">
        <v>55</v>
      </c>
      <c r="G25" s="472" t="s">
        <v>77</v>
      </c>
      <c r="H25" s="472" t="s">
        <v>78</v>
      </c>
      <c r="I25" s="472" t="s">
        <v>79</v>
      </c>
      <c r="J25" s="472" t="s">
        <v>80</v>
      </c>
      <c r="K25" s="472" t="s">
        <v>81</v>
      </c>
      <c r="L25" s="472" t="s">
        <v>82</v>
      </c>
      <c r="M25" s="472" t="s">
        <v>44</v>
      </c>
      <c r="N25" s="473" t="s">
        <v>133</v>
      </c>
      <c r="O25" s="473" t="s">
        <v>129</v>
      </c>
      <c r="P25" s="473" t="s">
        <v>130</v>
      </c>
      <c r="Q25" s="473" t="s">
        <v>131</v>
      </c>
      <c r="R25" s="473" t="s">
        <v>132</v>
      </c>
      <c r="S25" s="445" t="s">
        <v>171</v>
      </c>
    </row>
    <row r="26" spans="1:19">
      <c r="A26" s="474" t="s">
        <v>22</v>
      </c>
      <c r="B26" s="475">
        <v>11831.37</v>
      </c>
      <c r="C26" s="475">
        <v>12739.29</v>
      </c>
      <c r="D26" s="475">
        <v>11566.76</v>
      </c>
      <c r="E26" s="475">
        <v>10881.02</v>
      </c>
      <c r="F26" s="475">
        <v>11875.01</v>
      </c>
      <c r="G26" s="475">
        <v>11547.76</v>
      </c>
      <c r="H26" s="475">
        <v>13361</v>
      </c>
      <c r="I26" s="475">
        <v>14222</v>
      </c>
      <c r="J26" s="475">
        <v>11990.7</v>
      </c>
      <c r="K26" s="475">
        <v>12917.79</v>
      </c>
      <c r="L26" s="475">
        <v>11146.7</v>
      </c>
      <c r="M26" s="475">
        <v>11086.72</v>
      </c>
      <c r="O26" s="475">
        <f>SUM(B26:D26)</f>
        <v>36137.420000000006</v>
      </c>
      <c r="P26" s="475">
        <f>SUM(E26:G26)</f>
        <v>34303.79</v>
      </c>
      <c r="Q26" s="475">
        <f>SUM(H26:J26)</f>
        <v>39573.699999999997</v>
      </c>
      <c r="R26" s="475">
        <f>SUM(K26:M26)</f>
        <v>35151.21</v>
      </c>
      <c r="S26" s="475">
        <f>SUM(B26:M26)</f>
        <v>145166.12000000002</v>
      </c>
    </row>
    <row r="27" spans="1:19">
      <c r="A27" s="474" t="s">
        <v>25</v>
      </c>
      <c r="B27" s="475">
        <v>9834.16</v>
      </c>
      <c r="C27" s="475">
        <v>10335.030000000001</v>
      </c>
      <c r="D27" s="475">
        <v>9444.69</v>
      </c>
      <c r="E27" s="475">
        <v>9119.8799999999992</v>
      </c>
      <c r="F27" s="475">
        <v>9766.43</v>
      </c>
      <c r="G27" s="475">
        <v>9612.86</v>
      </c>
      <c r="H27" s="475">
        <v>11043</v>
      </c>
      <c r="I27" s="475">
        <v>11797</v>
      </c>
      <c r="J27" s="475">
        <v>9696</v>
      </c>
      <c r="K27" s="475">
        <v>10469</v>
      </c>
      <c r="L27" s="475">
        <v>9424.69</v>
      </c>
      <c r="M27" s="475">
        <v>9137.81</v>
      </c>
      <c r="O27" s="475">
        <f>SUM(B27:D27)</f>
        <v>29613.880000000005</v>
      </c>
      <c r="P27" s="475">
        <f>SUM(E27:G27)</f>
        <v>28499.17</v>
      </c>
      <c r="Q27" s="475">
        <f>SUM(H27:J27)</f>
        <v>32536</v>
      </c>
      <c r="R27" s="475">
        <f>SUM(K27:M27)</f>
        <v>29031.5</v>
      </c>
      <c r="S27" s="475">
        <f>SUM(B27:M27)</f>
        <v>119680.55</v>
      </c>
    </row>
    <row r="28" spans="1:19">
      <c r="A28" s="474" t="s">
        <v>172</v>
      </c>
      <c r="B28" s="475">
        <v>10645.6</v>
      </c>
      <c r="C28" s="475">
        <v>11693.2</v>
      </c>
      <c r="D28" s="475">
        <v>10766.4</v>
      </c>
      <c r="E28" s="475">
        <v>10277.700000000001</v>
      </c>
      <c r="F28" s="475">
        <v>10988.2</v>
      </c>
      <c r="G28" s="475">
        <v>10790</v>
      </c>
      <c r="H28" s="475">
        <v>12530</v>
      </c>
      <c r="I28" s="475">
        <v>13149</v>
      </c>
      <c r="J28" s="475">
        <v>10909.2</v>
      </c>
      <c r="K28" s="475">
        <v>12035.3</v>
      </c>
      <c r="L28" s="475">
        <v>10409.9</v>
      </c>
      <c r="M28" s="475">
        <v>10063.200000000001</v>
      </c>
      <c r="O28" s="475">
        <f>SUM(B28:D28)</f>
        <v>33105.200000000004</v>
      </c>
      <c r="P28" s="475">
        <f>SUM(E28:G28)</f>
        <v>32055.9</v>
      </c>
      <c r="Q28" s="475">
        <f>SUM(H28:J28)</f>
        <v>36588.199999999997</v>
      </c>
      <c r="R28" s="475">
        <f>SUM(K28:M28)</f>
        <v>32508.399999999998</v>
      </c>
      <c r="S28" s="475">
        <f>SUM(B28:M28)</f>
        <v>134257.70000000001</v>
      </c>
    </row>
    <row r="29" spans="1:19">
      <c r="A29" s="480" t="s">
        <v>196</v>
      </c>
      <c r="B29" s="477">
        <f t="shared" ref="B29:M29" si="12">SUM(B26:B28)</f>
        <v>32311.129999999997</v>
      </c>
      <c r="C29" s="477">
        <f t="shared" si="12"/>
        <v>34767.520000000004</v>
      </c>
      <c r="D29" s="477">
        <f t="shared" si="12"/>
        <v>31777.85</v>
      </c>
      <c r="E29" s="477">
        <f t="shared" si="12"/>
        <v>30278.600000000002</v>
      </c>
      <c r="F29" s="477">
        <f t="shared" si="12"/>
        <v>32629.640000000003</v>
      </c>
      <c r="G29" s="477">
        <f t="shared" si="12"/>
        <v>31950.620000000003</v>
      </c>
      <c r="H29" s="477">
        <f t="shared" si="12"/>
        <v>36934</v>
      </c>
      <c r="I29" s="477">
        <f t="shared" si="12"/>
        <v>39168</v>
      </c>
      <c r="J29" s="477">
        <f t="shared" si="12"/>
        <v>32595.9</v>
      </c>
      <c r="K29" s="477">
        <f t="shared" si="12"/>
        <v>35422.089999999997</v>
      </c>
      <c r="L29" s="477">
        <f t="shared" si="12"/>
        <v>30981.29</v>
      </c>
      <c r="M29" s="477">
        <f t="shared" si="12"/>
        <v>30287.73</v>
      </c>
      <c r="O29" s="477">
        <f>SUM(B29:D29)</f>
        <v>98856.5</v>
      </c>
      <c r="P29" s="477">
        <f>SUM(E29:G29)</f>
        <v>94858.860000000015</v>
      </c>
      <c r="Q29" s="477">
        <f>SUM(H29:J29)</f>
        <v>108697.9</v>
      </c>
      <c r="R29" s="477">
        <f>SUM(K29:M29)</f>
        <v>96691.11</v>
      </c>
      <c r="S29" s="477">
        <f>SUM(B29:M29)</f>
        <v>399104.36999999994</v>
      </c>
    </row>
    <row r="30" spans="1:19">
      <c r="A30" s="474"/>
      <c r="O30" s="475"/>
    </row>
    <row r="31" spans="1:19">
      <c r="A31" s="504" t="s">
        <v>177</v>
      </c>
    </row>
    <row r="32" spans="1:19">
      <c r="A32" s="474" t="s">
        <v>22</v>
      </c>
      <c r="B32" s="144">
        <f t="shared" ref="B32:M32" si="13">B26/B38-1</f>
        <v>0.28446873880426882</v>
      </c>
      <c r="C32" s="144">
        <f t="shared" si="13"/>
        <v>0.30420881608299899</v>
      </c>
      <c r="D32" s="144">
        <f t="shared" si="13"/>
        <v>0.15930762831627798</v>
      </c>
      <c r="E32" s="144">
        <f t="shared" si="13"/>
        <v>2.0373676826935361E-2</v>
      </c>
      <c r="F32" s="144">
        <f t="shared" si="13"/>
        <v>8.0644691604740082E-2</v>
      </c>
      <c r="G32" s="144">
        <f t="shared" si="13"/>
        <v>5.2782437458974707E-2</v>
      </c>
      <c r="H32" s="144">
        <f t="shared" si="13"/>
        <v>4.673280854370887E-2</v>
      </c>
      <c r="I32" s="144">
        <f t="shared" si="13"/>
        <v>0.10110551861202777</v>
      </c>
      <c r="J32" s="144">
        <f t="shared" si="13"/>
        <v>9.6901320321312046E-2</v>
      </c>
      <c r="K32" s="144">
        <f t="shared" si="13"/>
        <v>7.3231502905781287E-2</v>
      </c>
      <c r="L32" s="144">
        <f t="shared" si="13"/>
        <v>5.2908493583385896E-2</v>
      </c>
      <c r="M32" s="144">
        <f t="shared" si="13"/>
        <v>3.2014000074468418E-2</v>
      </c>
      <c r="N32" s="144"/>
      <c r="O32" s="144">
        <f t="shared" ref="O32:S35" si="14">O26/O38-1</f>
        <v>0.24800155268831636</v>
      </c>
      <c r="P32" s="144">
        <f t="shared" si="14"/>
        <v>5.1573845128563001E-2</v>
      </c>
      <c r="Q32" s="144">
        <f t="shared" si="14"/>
        <v>8.0893651866244864E-2</v>
      </c>
      <c r="R32" s="144">
        <f t="shared" si="14"/>
        <v>5.3512391306888896E-2</v>
      </c>
      <c r="S32" s="144">
        <f t="shared" si="14"/>
        <v>0.10346032271129069</v>
      </c>
    </row>
    <row r="33" spans="1:20">
      <c r="A33" s="474" t="s">
        <v>25</v>
      </c>
      <c r="B33" s="144">
        <f t="shared" ref="B33:M33" si="15">B27/B39-1</f>
        <v>0.45619635971640626</v>
      </c>
      <c r="C33" s="144">
        <f t="shared" si="15"/>
        <v>0.36032521352502878</v>
      </c>
      <c r="D33" s="144">
        <f t="shared" si="15"/>
        <v>0.19577861733321855</v>
      </c>
      <c r="E33" s="144">
        <f t="shared" si="15"/>
        <v>3.1890591002745827E-2</v>
      </c>
      <c r="F33" s="144">
        <f t="shared" si="15"/>
        <v>7.7258989631590502E-2</v>
      </c>
      <c r="G33" s="144">
        <f t="shared" si="15"/>
        <v>3.8991105812619997E-2</v>
      </c>
      <c r="H33" s="144">
        <f t="shared" si="15"/>
        <v>5.5390058518095753E-2</v>
      </c>
      <c r="I33" s="144">
        <f t="shared" si="15"/>
        <v>0.11913148490543324</v>
      </c>
      <c r="J33" s="144">
        <f t="shared" si="15"/>
        <v>9.7091959524367111E-2</v>
      </c>
      <c r="K33" s="144">
        <f t="shared" si="15"/>
        <v>9.2439430082415619E-2</v>
      </c>
      <c r="L33" s="144">
        <f t="shared" si="15"/>
        <v>7.2972499123378443E-2</v>
      </c>
      <c r="M33" s="144">
        <f t="shared" si="15"/>
        <v>5.108290936780735E-2</v>
      </c>
      <c r="N33" s="144"/>
      <c r="O33" s="144">
        <f t="shared" si="14"/>
        <v>0.33101174651615928</v>
      </c>
      <c r="P33" s="144">
        <f t="shared" si="14"/>
        <v>4.9455850500107923E-2</v>
      </c>
      <c r="Q33" s="144">
        <f t="shared" si="14"/>
        <v>9.0255356864611169E-2</v>
      </c>
      <c r="R33" s="144">
        <f t="shared" si="14"/>
        <v>7.2834016430548321E-2</v>
      </c>
      <c r="S33" s="144">
        <f t="shared" si="14"/>
        <v>0.12578628539360159</v>
      </c>
    </row>
    <row r="34" spans="1:20">
      <c r="A34" s="474" t="s">
        <v>172</v>
      </c>
      <c r="B34" s="144">
        <v>0.33400000000000002</v>
      </c>
      <c r="C34" s="144">
        <v>0.36299999999999999</v>
      </c>
      <c r="D34" s="144">
        <v>0.2</v>
      </c>
      <c r="E34" s="144">
        <v>3.5999999999999997E-2</v>
      </c>
      <c r="F34" s="144">
        <v>0.107</v>
      </c>
      <c r="G34" s="144">
        <f t="shared" ref="G34:M35" si="16">G28/G40-1</f>
        <v>5.8569606592759671E-2</v>
      </c>
      <c r="H34" s="144">
        <f t="shared" si="16"/>
        <v>7.1727936774039103E-2</v>
      </c>
      <c r="I34" s="144">
        <f t="shared" si="16"/>
        <v>9.0397963329988729E-2</v>
      </c>
      <c r="J34" s="144">
        <f t="shared" si="16"/>
        <v>9.8422223788475316E-2</v>
      </c>
      <c r="K34" s="144">
        <f t="shared" si="16"/>
        <v>0.1347098477348796</v>
      </c>
      <c r="L34" s="144">
        <f t="shared" si="16"/>
        <v>0.12437354186468497</v>
      </c>
      <c r="M34" s="144">
        <f t="shared" si="16"/>
        <v>6.6740162822252369E-2</v>
      </c>
      <c r="N34" s="144"/>
      <c r="O34" s="144">
        <f t="shared" si="14"/>
        <v>0.29665528016954523</v>
      </c>
      <c r="P34" s="144">
        <f t="shared" si="14"/>
        <v>6.7119039556273519E-2</v>
      </c>
      <c r="Q34" s="144">
        <f t="shared" si="14"/>
        <v>8.6283474853037223E-2</v>
      </c>
      <c r="R34" s="144">
        <f t="shared" si="14"/>
        <v>0.10955850982132187</v>
      </c>
      <c r="S34" s="144">
        <f t="shared" si="14"/>
        <v>0.13248521476828445</v>
      </c>
    </row>
    <row r="35" spans="1:20">
      <c r="A35" s="480" t="s">
        <v>196</v>
      </c>
      <c r="B35" s="146">
        <f>B29/B41-1</f>
        <v>0.3494102912267707</v>
      </c>
      <c r="C35" s="146">
        <f>C29/C41-1</f>
        <v>0.3400823065847054</v>
      </c>
      <c r="D35" s="146">
        <f>D29/D41-1</f>
        <v>0.1836357433012783</v>
      </c>
      <c r="E35" s="146">
        <f>E29/E41-1</f>
        <v>2.9102031582612486E-2</v>
      </c>
      <c r="F35" s="146">
        <f>F29/F41-1</f>
        <v>8.8346615881295998E-2</v>
      </c>
      <c r="G35" s="146">
        <f t="shared" si="16"/>
        <v>5.0526551831053812E-2</v>
      </c>
      <c r="H35" s="146">
        <f t="shared" si="16"/>
        <v>5.769558447747114E-2</v>
      </c>
      <c r="I35" s="146">
        <f t="shared" si="16"/>
        <v>0.10282006362163543</v>
      </c>
      <c r="J35" s="146">
        <f t="shared" si="16"/>
        <v>9.746662069745704E-2</v>
      </c>
      <c r="K35" s="146">
        <f t="shared" si="16"/>
        <v>9.9177713392202937E-2</v>
      </c>
      <c r="L35" s="146">
        <f t="shared" si="16"/>
        <v>8.2175928351619243E-2</v>
      </c>
      <c r="M35" s="146">
        <f t="shared" si="16"/>
        <v>4.9103380624458959E-2</v>
      </c>
      <c r="N35" s="146"/>
      <c r="O35" s="146">
        <f t="shared" si="14"/>
        <v>0.28825738016827263</v>
      </c>
      <c r="P35" s="146">
        <f t="shared" si="14"/>
        <v>5.6132615147226117E-2</v>
      </c>
      <c r="Q35" s="146">
        <f t="shared" si="14"/>
        <v>8.5496537378901394E-2</v>
      </c>
      <c r="R35" s="146">
        <f t="shared" si="14"/>
        <v>7.7640852919148573E-2</v>
      </c>
      <c r="S35" s="146">
        <f t="shared" si="14"/>
        <v>0.11977382333014797</v>
      </c>
    </row>
    <row r="37" spans="1:20">
      <c r="A37" s="240">
        <v>2023</v>
      </c>
      <c r="B37" s="472" t="s">
        <v>51</v>
      </c>
      <c r="C37" s="472" t="s">
        <v>52</v>
      </c>
      <c r="D37" s="472" t="s">
        <v>53</v>
      </c>
      <c r="E37" s="472" t="s">
        <v>54</v>
      </c>
      <c r="F37" s="472" t="s">
        <v>55</v>
      </c>
      <c r="G37" s="472" t="s">
        <v>77</v>
      </c>
      <c r="H37" s="472" t="s">
        <v>78</v>
      </c>
      <c r="I37" s="472" t="s">
        <v>79</v>
      </c>
      <c r="J37" s="472" t="s">
        <v>80</v>
      </c>
      <c r="K37" s="472" t="s">
        <v>81</v>
      </c>
      <c r="L37" s="472" t="s">
        <v>82</v>
      </c>
      <c r="M37" s="472" t="s">
        <v>44</v>
      </c>
      <c r="N37" s="473" t="s">
        <v>133</v>
      </c>
      <c r="O37" s="473" t="s">
        <v>129</v>
      </c>
      <c r="P37" s="473" t="s">
        <v>130</v>
      </c>
      <c r="Q37" s="473" t="s">
        <v>131</v>
      </c>
      <c r="R37" s="473" t="s">
        <v>132</v>
      </c>
      <c r="S37" s="445" t="s">
        <v>171</v>
      </c>
    </row>
    <row r="38" spans="1:20">
      <c r="A38" s="474" t="s">
        <v>22</v>
      </c>
      <c r="B38" s="475">
        <v>9211.1</v>
      </c>
      <c r="C38" s="475">
        <v>9767.83</v>
      </c>
      <c r="D38" s="475">
        <v>9977.2999999999993</v>
      </c>
      <c r="E38" s="475">
        <v>10663.76</v>
      </c>
      <c r="F38" s="475">
        <v>10988.82</v>
      </c>
      <c r="G38" s="475">
        <v>10968.8</v>
      </c>
      <c r="H38" s="475">
        <v>12764.48</v>
      </c>
      <c r="I38" s="475">
        <v>12916.11</v>
      </c>
      <c r="J38" s="475">
        <v>10931.43</v>
      </c>
      <c r="K38" s="475">
        <v>12036.35</v>
      </c>
      <c r="L38" s="475">
        <v>10586.58</v>
      </c>
      <c r="M38" s="475">
        <v>10742.8</v>
      </c>
      <c r="N38" s="475"/>
      <c r="O38" s="475">
        <f>SUM(B38:D38)</f>
        <v>28956.23</v>
      </c>
      <c r="P38" s="475">
        <f>SUM(E38:G38)</f>
        <v>32621.38</v>
      </c>
      <c r="Q38" s="475">
        <f>SUM(H38:J38)</f>
        <v>36612.020000000004</v>
      </c>
      <c r="R38" s="475">
        <f>SUM(K38:M38)</f>
        <v>33365.729999999996</v>
      </c>
      <c r="S38" s="1">
        <f>SUM(B38:M38)</f>
        <v>131555.36000000002</v>
      </c>
      <c r="T38" s="443"/>
    </row>
    <row r="39" spans="1:20">
      <c r="A39" s="474" t="s">
        <v>25</v>
      </c>
      <c r="B39" s="475">
        <v>6753.32</v>
      </c>
      <c r="C39" s="475">
        <v>7597.47</v>
      </c>
      <c r="D39" s="475">
        <v>7898.36</v>
      </c>
      <c r="E39" s="475">
        <v>8838.0300000000007</v>
      </c>
      <c r="F39" s="475">
        <v>9066</v>
      </c>
      <c r="G39" s="475">
        <v>9252.11</v>
      </c>
      <c r="H39" s="475">
        <v>10463.43</v>
      </c>
      <c r="I39" s="475">
        <v>10541.21</v>
      </c>
      <c r="J39" s="475">
        <v>8837.91</v>
      </c>
      <c r="K39" s="475">
        <v>9583.14</v>
      </c>
      <c r="L39" s="475">
        <v>8783.7199999999993</v>
      </c>
      <c r="M39" s="475">
        <v>8693.7099999999991</v>
      </c>
      <c r="N39" s="475"/>
      <c r="O39" s="475">
        <f>SUM(B39:D39)</f>
        <v>22249.15</v>
      </c>
      <c r="P39" s="475">
        <f>SUM(E39:G39)</f>
        <v>27156.14</v>
      </c>
      <c r="Q39" s="475">
        <f>SUM(H39:J39)</f>
        <v>29842.55</v>
      </c>
      <c r="R39" s="475">
        <f>SUM(K39:M39)</f>
        <v>27060.57</v>
      </c>
      <c r="S39" s="1">
        <f>SUM(B39:M39)</f>
        <v>106308.41</v>
      </c>
      <c r="T39" s="443"/>
    </row>
    <row r="40" spans="1:20">
      <c r="A40" s="474" t="s">
        <v>172</v>
      </c>
      <c r="B40" s="475">
        <f>B28/(1+B34)</f>
        <v>7980.2098950524733</v>
      </c>
      <c r="C40" s="475">
        <f>C28/(1+C34)</f>
        <v>8579.0168745414539</v>
      </c>
      <c r="D40" s="475">
        <f>D28/(1+D34)</f>
        <v>8972</v>
      </c>
      <c r="E40" s="475">
        <f>E28/(1+E34)</f>
        <v>9920.5598455598465</v>
      </c>
      <c r="F40" s="475">
        <f>F28/(1+F34)</f>
        <v>9926.106594399278</v>
      </c>
      <c r="G40" s="475">
        <v>10193</v>
      </c>
      <c r="H40" s="475">
        <v>11691.4</v>
      </c>
      <c r="I40" s="475">
        <v>12058.9</v>
      </c>
      <c r="J40" s="475">
        <v>9931.7000000000007</v>
      </c>
      <c r="K40" s="475">
        <v>10606.5</v>
      </c>
      <c r="L40" s="475">
        <v>9258.4</v>
      </c>
      <c r="M40" s="475">
        <v>9433.6</v>
      </c>
      <c r="N40" s="475"/>
      <c r="O40" s="475">
        <f>SUM(B40:D40)</f>
        <v>25531.226769593926</v>
      </c>
      <c r="P40" s="475">
        <f>SUM(E40:G40)</f>
        <v>30039.666439959125</v>
      </c>
      <c r="Q40" s="475">
        <f>SUM(H40:J40)</f>
        <v>33682</v>
      </c>
      <c r="R40" s="475">
        <f>SUM(K40:M40)</f>
        <v>29298.5</v>
      </c>
      <c r="S40" s="1">
        <f>SUM(B40:M40)</f>
        <v>118551.39320955305</v>
      </c>
      <c r="T40" s="443"/>
    </row>
    <row r="41" spans="1:20" s="481" customFormat="1">
      <c r="A41" s="480" t="s">
        <v>196</v>
      </c>
      <c r="B41" s="477">
        <f t="shared" ref="B41:S41" si="17">SUM(B38:B40)</f>
        <v>23944.629895052472</v>
      </c>
      <c r="C41" s="477">
        <f t="shared" si="17"/>
        <v>25944.316874541451</v>
      </c>
      <c r="D41" s="477">
        <f t="shared" si="17"/>
        <v>26847.66</v>
      </c>
      <c r="E41" s="477">
        <f t="shared" si="17"/>
        <v>29422.349845559846</v>
      </c>
      <c r="F41" s="477">
        <f t="shared" si="17"/>
        <v>29980.92659439928</v>
      </c>
      <c r="G41" s="477">
        <f t="shared" si="17"/>
        <v>30413.91</v>
      </c>
      <c r="H41" s="477">
        <f t="shared" si="17"/>
        <v>34919.31</v>
      </c>
      <c r="I41" s="477">
        <f t="shared" si="17"/>
        <v>35516.22</v>
      </c>
      <c r="J41" s="477">
        <f t="shared" si="17"/>
        <v>29701.040000000001</v>
      </c>
      <c r="K41" s="477">
        <f t="shared" si="17"/>
        <v>32225.989999999998</v>
      </c>
      <c r="L41" s="477">
        <f t="shared" si="17"/>
        <v>28628.699999999997</v>
      </c>
      <c r="M41" s="477">
        <f t="shared" si="17"/>
        <v>28870.11</v>
      </c>
      <c r="N41" s="477">
        <f t="shared" si="17"/>
        <v>0</v>
      </c>
      <c r="O41" s="477">
        <f t="shared" si="17"/>
        <v>76736.606769593927</v>
      </c>
      <c r="P41" s="477">
        <f t="shared" si="17"/>
        <v>89817.186439959129</v>
      </c>
      <c r="Q41" s="477">
        <f t="shared" si="17"/>
        <v>100136.57</v>
      </c>
      <c r="R41" s="477">
        <f t="shared" si="17"/>
        <v>89724.799999999988</v>
      </c>
      <c r="S41" s="477">
        <f t="shared" si="17"/>
        <v>356415.16320955305</v>
      </c>
      <c r="T41" s="206"/>
    </row>
    <row r="42" spans="1:20">
      <c r="A42" s="474"/>
      <c r="B42" s="475"/>
      <c r="C42" s="475"/>
      <c r="D42" s="511"/>
      <c r="E42" s="475"/>
      <c r="F42" s="475"/>
      <c r="G42" s="475"/>
      <c r="H42" s="475"/>
      <c r="I42" s="151"/>
      <c r="J42" s="475"/>
      <c r="K42" s="475"/>
      <c r="L42" s="475"/>
      <c r="M42" s="475"/>
      <c r="N42" s="475"/>
      <c r="O42" s="475"/>
      <c r="P42" s="475"/>
      <c r="Q42" s="475"/>
      <c r="R42" s="475"/>
      <c r="S42" s="443"/>
      <c r="T42" s="443"/>
    </row>
    <row r="43" spans="1:20">
      <c r="A43" s="504" t="s">
        <v>178</v>
      </c>
    </row>
    <row r="44" spans="1:20">
      <c r="A44" s="474" t="s">
        <v>22</v>
      </c>
      <c r="B44" s="144">
        <f t="shared" ref="B44:M44" si="18">B38/B56-1</f>
        <v>0.38984283524256735</v>
      </c>
      <c r="C44" s="144">
        <f t="shared" si="18"/>
        <v>0.33849529024531289</v>
      </c>
      <c r="D44" s="144">
        <f t="shared" si="18"/>
        <v>1.481335210174735</v>
      </c>
      <c r="E44" s="144">
        <f t="shared" si="18"/>
        <v>3.8714767338809146</v>
      </c>
      <c r="F44" s="144">
        <f t="shared" si="18"/>
        <v>2.2702096253883601</v>
      </c>
      <c r="G44" s="144">
        <f t="shared" si="18"/>
        <v>0.86184514271747092</v>
      </c>
      <c r="H44" s="144">
        <f t="shared" si="18"/>
        <v>0.52219768268308853</v>
      </c>
      <c r="I44" s="144">
        <f t="shared" si="18"/>
        <v>0.67488497907059974</v>
      </c>
      <c r="J44" s="144">
        <f t="shared" si="18"/>
        <v>1.0741688755984038</v>
      </c>
      <c r="K44" s="144">
        <f t="shared" si="18"/>
        <v>1.9835187443608278</v>
      </c>
      <c r="L44" s="144">
        <f t="shared" si="18"/>
        <v>2.8574504909909093</v>
      </c>
      <c r="M44" s="144">
        <f t="shared" si="18"/>
        <v>1.5995005613844899</v>
      </c>
      <c r="N44" s="144"/>
      <c r="O44" s="144">
        <f t="shared" ref="O44:S47" si="19">O38/O56-1</f>
        <v>0.61352000445781796</v>
      </c>
      <c r="P44" s="144">
        <f t="shared" si="19"/>
        <v>1.8513547295348345</v>
      </c>
      <c r="Q44" s="144">
        <f t="shared" si="19"/>
        <v>0.713446655125759</v>
      </c>
      <c r="R44" s="144">
        <f t="shared" si="19"/>
        <v>2.057886406564895</v>
      </c>
      <c r="S44" s="144">
        <f t="shared" si="19"/>
        <v>1.1333705232261155</v>
      </c>
    </row>
    <row r="45" spans="1:20">
      <c r="A45" s="474" t="s">
        <v>25</v>
      </c>
      <c r="B45" s="144">
        <f t="shared" ref="B45:M45" si="20">B39/B57-1</f>
        <v>0.3594706508763772</v>
      </c>
      <c r="C45" s="144">
        <f t="shared" si="20"/>
        <v>0.36864225108537041</v>
      </c>
      <c r="D45" s="144">
        <f t="shared" si="20"/>
        <v>2.186981503599212</v>
      </c>
      <c r="E45" s="144">
        <f t="shared" si="20"/>
        <v>9.3575923777379337</v>
      </c>
      <c r="F45" s="144">
        <f t="shared" si="20"/>
        <v>5.0527159109117132</v>
      </c>
      <c r="G45" s="144">
        <f t="shared" si="20"/>
        <v>1.9443095497984006</v>
      </c>
      <c r="H45" s="144">
        <f t="shared" si="20"/>
        <v>1.0694911432662715</v>
      </c>
      <c r="I45" s="144">
        <f t="shared" si="20"/>
        <v>0.82052920543194618</v>
      </c>
      <c r="J45" s="144">
        <f t="shared" si="20"/>
        <v>1.1106616005177594</v>
      </c>
      <c r="K45" s="144">
        <f t="shared" si="20"/>
        <v>2.2080033207688645</v>
      </c>
      <c r="L45" s="144">
        <f t="shared" si="20"/>
        <v>2.5769429682568767</v>
      </c>
      <c r="M45" s="144">
        <f t="shared" si="20"/>
        <v>1.8244855392172785</v>
      </c>
      <c r="N45" s="144"/>
      <c r="O45" s="144">
        <f t="shared" si="19"/>
        <v>0.71186417204545993</v>
      </c>
      <c r="P45" s="144">
        <f t="shared" si="19"/>
        <v>3.9433221079457539</v>
      </c>
      <c r="Q45" s="144">
        <f t="shared" si="19"/>
        <v>0.98507001031030694</v>
      </c>
      <c r="R45" s="144">
        <f t="shared" si="19"/>
        <v>2.1757914959587557</v>
      </c>
      <c r="S45" s="144">
        <f t="shared" si="19"/>
        <v>1.5284483833005269</v>
      </c>
    </row>
    <row r="46" spans="1:20">
      <c r="A46" s="474" t="s">
        <v>172</v>
      </c>
      <c r="B46" s="144">
        <f t="shared" ref="B46:M46" si="21">B40/B58-1</f>
        <v>0.85443959172088224</v>
      </c>
      <c r="C46" s="144">
        <f t="shared" si="21"/>
        <v>0.98528611171208968</v>
      </c>
      <c r="D46" s="144">
        <f t="shared" si="21"/>
        <v>3.0434449502005494</v>
      </c>
      <c r="E46" s="144">
        <f t="shared" si="21"/>
        <v>6.6130456953110635</v>
      </c>
      <c r="F46" s="144">
        <f t="shared" si="21"/>
        <v>4.5748983961804424</v>
      </c>
      <c r="G46" s="144">
        <f t="shared" si="21"/>
        <v>2.2622819651144184</v>
      </c>
      <c r="H46" s="144">
        <f t="shared" si="21"/>
        <v>1.2602122682544898</v>
      </c>
      <c r="I46" s="144">
        <f t="shared" si="21"/>
        <v>1.3805002270169968</v>
      </c>
      <c r="J46" s="144">
        <f t="shared" si="21"/>
        <v>2.3449077192509771</v>
      </c>
      <c r="K46" s="144">
        <f t="shared" si="21"/>
        <v>3.0744084204056552</v>
      </c>
      <c r="L46" s="144">
        <f t="shared" si="21"/>
        <v>3.4045670789724074</v>
      </c>
      <c r="M46" s="144">
        <f t="shared" si="21"/>
        <v>2.3138722029016057</v>
      </c>
      <c r="N46" s="144"/>
      <c r="O46" s="144">
        <f t="shared" si="19"/>
        <v>1.3545189993631142</v>
      </c>
      <c r="P46" s="144">
        <f t="shared" si="19"/>
        <v>3.8387858507367989</v>
      </c>
      <c r="Q46" s="144">
        <f t="shared" si="19"/>
        <v>1.5501983706350893</v>
      </c>
      <c r="R46" s="144">
        <f t="shared" si="19"/>
        <v>2.8796196983540567</v>
      </c>
      <c r="S46" s="144">
        <f t="shared" si="19"/>
        <v>2.1353595428208396</v>
      </c>
    </row>
    <row r="47" spans="1:20" s="481" customFormat="1">
      <c r="A47" s="480" t="s">
        <v>196</v>
      </c>
      <c r="B47" s="146">
        <f t="shared" ref="B47:M47" si="22">B41/B59-1</f>
        <v>0.5061078599384512</v>
      </c>
      <c r="C47" s="146">
        <f t="shared" si="22"/>
        <v>0.51102426639814347</v>
      </c>
      <c r="D47" s="146">
        <f t="shared" si="22"/>
        <v>2.0795098965836827</v>
      </c>
      <c r="E47" s="146">
        <f t="shared" si="22"/>
        <v>5.770903055306599</v>
      </c>
      <c r="F47" s="146">
        <f t="shared" si="22"/>
        <v>3.5161383833385971</v>
      </c>
      <c r="G47" s="146">
        <f t="shared" si="22"/>
        <v>1.5015080320079486</v>
      </c>
      <c r="H47" s="146">
        <f t="shared" si="22"/>
        <v>0.87594000311588394</v>
      </c>
      <c r="I47" s="146">
        <f t="shared" si="22"/>
        <v>0.91281338982621829</v>
      </c>
      <c r="J47" s="146">
        <f t="shared" si="22"/>
        <v>1.3900910456000526</v>
      </c>
      <c r="K47" s="146">
        <f t="shared" si="22"/>
        <v>2.3482452513002943</v>
      </c>
      <c r="L47" s="146">
        <f t="shared" si="22"/>
        <v>2.9206118787745985</v>
      </c>
      <c r="M47" s="146">
        <f t="shared" si="22"/>
        <v>1.8705569674625049</v>
      </c>
      <c r="N47" s="146"/>
      <c r="O47" s="146">
        <f t="shared" si="19"/>
        <v>0.83639576604216548</v>
      </c>
      <c r="P47" s="146">
        <f t="shared" si="19"/>
        <v>2.8810896792257594</v>
      </c>
      <c r="Q47" s="146">
        <f t="shared" si="19"/>
        <v>1.0185336928679867</v>
      </c>
      <c r="R47" s="146">
        <f t="shared" si="19"/>
        <v>2.3250914610645652</v>
      </c>
      <c r="S47" s="146">
        <f t="shared" si="19"/>
        <v>1.5184520573941898</v>
      </c>
    </row>
    <row r="48" spans="1:20"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5"/>
    </row>
    <row r="49" spans="1:20">
      <c r="A49" s="504" t="s">
        <v>179</v>
      </c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0">
      <c r="A50" s="474" t="s">
        <v>22</v>
      </c>
      <c r="B50" s="144">
        <f t="shared" ref="B50:M50" si="23">B38/B$127-1</f>
        <v>-8.7454241939398769E-2</v>
      </c>
      <c r="C50" s="144">
        <f t="shared" si="23"/>
        <v>-6.0087872921052998E-2</v>
      </c>
      <c r="D50" s="144">
        <f t="shared" si="23"/>
        <v>-3.1315990038690011E-2</v>
      </c>
      <c r="E50" s="144">
        <f t="shared" si="23"/>
        <v>6.115828471406104E-2</v>
      </c>
      <c r="F50" s="144">
        <f t="shared" si="23"/>
        <v>4.9494870389223955E-2</v>
      </c>
      <c r="G50" s="144">
        <f t="shared" si="23"/>
        <v>6.7377680899926018E-2</v>
      </c>
      <c r="H50" s="144">
        <f t="shared" si="23"/>
        <v>9.8261638692047404E-2</v>
      </c>
      <c r="I50" s="144">
        <f t="shared" si="23"/>
        <v>5.4622548611349409E-2</v>
      </c>
      <c r="J50" s="144">
        <f t="shared" si="23"/>
        <v>9.8244077641920224E-3</v>
      </c>
      <c r="K50" s="144">
        <f t="shared" si="23"/>
        <v>5.44734093999244E-2</v>
      </c>
      <c r="L50" s="144">
        <f t="shared" si="23"/>
        <v>-7.0653381992532571E-3</v>
      </c>
      <c r="M50" s="144">
        <f t="shared" si="23"/>
        <v>3.8415215294169913E-2</v>
      </c>
      <c r="N50" s="144"/>
      <c r="O50" s="144">
        <f>O38/O$127-1</f>
        <v>-5.9434521818048425E-2</v>
      </c>
      <c r="P50" s="144">
        <f>P38/P$127-1</f>
        <v>5.9268122801064305E-2</v>
      </c>
      <c r="Q50" s="144">
        <f>Q38/Q$127-1</f>
        <v>5.5263835990898791E-2</v>
      </c>
      <c r="R50" s="144">
        <f>R38/R$127-1</f>
        <v>2.9112465821660383E-2</v>
      </c>
      <c r="S50" s="144">
        <f>S38/S$127-1</f>
        <v>2.2196971156804857E-2</v>
      </c>
    </row>
    <row r="51" spans="1:20">
      <c r="A51" s="474" t="s">
        <v>25</v>
      </c>
      <c r="B51" s="144">
        <f t="shared" ref="B51:M51" si="24">B39/B$128-1</f>
        <v>-0.23893990806405996</v>
      </c>
      <c r="C51" s="144">
        <f t="shared" si="24"/>
        <v>-0.13007330428031949</v>
      </c>
      <c r="D51" s="144">
        <f t="shared" si="24"/>
        <v>-0.11013719125770494</v>
      </c>
      <c r="E51" s="144">
        <f t="shared" si="24"/>
        <v>9.5436850618197955E-3</v>
      </c>
      <c r="F51" s="144">
        <f t="shared" si="24"/>
        <v>-5.7544630159989119E-4</v>
      </c>
      <c r="G51" s="144">
        <f t="shared" si="24"/>
        <v>3.8337915941866418E-2</v>
      </c>
      <c r="H51" s="144">
        <f t="shared" si="24"/>
        <v>8.4313489785301732E-2</v>
      </c>
      <c r="I51" s="144">
        <f t="shared" si="24"/>
        <v>5.4490071525033601E-2</v>
      </c>
      <c r="J51" s="144">
        <f t="shared" si="24"/>
        <v>-3.2812111063429406E-5</v>
      </c>
      <c r="K51" s="144">
        <f t="shared" si="24"/>
        <v>2.3283278644412375E-2</v>
      </c>
      <c r="L51" s="144">
        <f t="shared" si="24"/>
        <v>-2.5054803567365558E-2</v>
      </c>
      <c r="M51" s="144">
        <f t="shared" si="24"/>
        <v>-2.1848805679631877E-2</v>
      </c>
      <c r="N51" s="144"/>
      <c r="O51" s="144">
        <f>O39/O$128-1</f>
        <v>-0.1598692140153517</v>
      </c>
      <c r="P51" s="144">
        <f>P39/P$128-1</f>
        <v>1.570679453325452E-2</v>
      </c>
      <c r="Q51" s="144">
        <f>Q39/Q$128-1</f>
        <v>4.7676071072989767E-2</v>
      </c>
      <c r="R51" s="144">
        <f>R39/R$128-1</f>
        <v>-7.4046930502186248E-3</v>
      </c>
      <c r="S51" s="144">
        <f>S39/S$128-1</f>
        <v>-2.4390241664106194E-2</v>
      </c>
    </row>
    <row r="52" spans="1:20">
      <c r="A52" s="474" t="s">
        <v>172</v>
      </c>
      <c r="B52" s="144">
        <f t="shared" ref="B52:M52" si="25">B40/B$129-1</f>
        <v>4.241115834598963E-2</v>
      </c>
      <c r="C52" s="144">
        <f t="shared" si="25"/>
        <v>0.13608296137689102</v>
      </c>
      <c r="D52" s="144">
        <f t="shared" si="25"/>
        <v>0.19086806477302898</v>
      </c>
      <c r="E52" s="144">
        <f t="shared" si="25"/>
        <v>0.34576282886713328</v>
      </c>
      <c r="F52" s="144">
        <f t="shared" si="25"/>
        <v>0.31079240873666603</v>
      </c>
      <c r="G52" s="144">
        <f t="shared" si="25"/>
        <v>0.39241025080596703</v>
      </c>
      <c r="H52" s="144">
        <f t="shared" si="25"/>
        <v>0.44473827294745694</v>
      </c>
      <c r="I52" s="144">
        <f t="shared" si="25"/>
        <v>0.42308055417876278</v>
      </c>
      <c r="J52" s="144">
        <f t="shared" si="25"/>
        <v>0.29167642086097034</v>
      </c>
      <c r="K52" s="144">
        <f t="shared" si="25"/>
        <v>0.31232832644576969</v>
      </c>
      <c r="L52" s="144">
        <f t="shared" si="25"/>
        <v>0.22161819813163031</v>
      </c>
      <c r="M52" s="144">
        <f t="shared" si="25"/>
        <v>0.2331986875302301</v>
      </c>
      <c r="N52" s="144"/>
      <c r="O52" s="144">
        <f>O40/O$129-1</f>
        <v>0.12269932538352335</v>
      </c>
      <c r="P52" s="144">
        <f>P40/P$129-1</f>
        <v>0.34920598256249247</v>
      </c>
      <c r="Q52" s="144">
        <f>Q40/Q$129-1</f>
        <v>0.38865068109106526</v>
      </c>
      <c r="R52" s="144">
        <f>R40/R$129-1</f>
        <v>0.25686916308819541</v>
      </c>
      <c r="S52" s="144">
        <f>S40/S$129-1</f>
        <v>0.28064636297523715</v>
      </c>
    </row>
    <row r="53" spans="1:20" s="481" customFormat="1">
      <c r="A53" s="480" t="s">
        <v>196</v>
      </c>
      <c r="B53" s="146">
        <f t="shared" ref="B53:M53" si="26">B41/B$130-1</f>
        <v>-0.10060192822161051</v>
      </c>
      <c r="C53" s="146">
        <f t="shared" si="26"/>
        <v>-2.7470078331430892E-2</v>
      </c>
      <c r="D53" s="146">
        <f t="shared" si="26"/>
        <v>5.1621540873791893E-3</v>
      </c>
      <c r="E53" s="146">
        <f t="shared" si="26"/>
        <v>0.1240480010987377</v>
      </c>
      <c r="F53" s="146">
        <f t="shared" si="26"/>
        <v>0.10571971330360541</v>
      </c>
      <c r="G53" s="146">
        <f t="shared" si="26"/>
        <v>0.14737864663696398</v>
      </c>
      <c r="H53" s="146">
        <f t="shared" si="26"/>
        <v>0.18916105277568329</v>
      </c>
      <c r="I53" s="146">
        <f t="shared" si="26"/>
        <v>0.15622330506708892</v>
      </c>
      <c r="J53" s="146">
        <f t="shared" si="26"/>
        <v>8.587072083204772E-2</v>
      </c>
      <c r="K53" s="146">
        <f t="shared" si="26"/>
        <v>0.11656009576655668</v>
      </c>
      <c r="L53" s="146">
        <f t="shared" si="26"/>
        <v>5.058832682083314E-2</v>
      </c>
      <c r="M53" s="146">
        <f t="shared" si="26"/>
        <v>7.3917772508851343E-2</v>
      </c>
      <c r="N53" s="146"/>
      <c r="O53" s="146">
        <f>O41/O$130-1</f>
        <v>-4.0910743017156137E-2</v>
      </c>
      <c r="P53" s="146">
        <f>P41/P$130-1</f>
        <v>0.12557026155677598</v>
      </c>
      <c r="Q53" s="146">
        <f>Q41/Q$130-1</f>
        <v>0.14527683503903166</v>
      </c>
      <c r="R53" s="146">
        <f>R41/R$130-1</f>
        <v>8.1086942717867538E-2</v>
      </c>
      <c r="S53" s="146">
        <f>S41/S$130-1</f>
        <v>7.9273156834317238E-2</v>
      </c>
    </row>
    <row r="55" spans="1:20">
      <c r="A55" s="500">
        <v>2022</v>
      </c>
      <c r="B55" s="472" t="s">
        <v>51</v>
      </c>
      <c r="C55" s="472" t="s">
        <v>52</v>
      </c>
      <c r="D55" s="472" t="s">
        <v>53</v>
      </c>
      <c r="E55" s="472" t="s">
        <v>54</v>
      </c>
      <c r="F55" s="472" t="s">
        <v>55</v>
      </c>
      <c r="G55" s="472" t="s">
        <v>77</v>
      </c>
      <c r="H55" s="472" t="s">
        <v>78</v>
      </c>
      <c r="I55" s="472" t="s">
        <v>79</v>
      </c>
      <c r="J55" s="472" t="s">
        <v>80</v>
      </c>
      <c r="K55" s="472" t="s">
        <v>81</v>
      </c>
      <c r="L55" s="472" t="s">
        <v>82</v>
      </c>
      <c r="M55" s="472" t="s">
        <v>44</v>
      </c>
      <c r="N55" s="473" t="s">
        <v>133</v>
      </c>
      <c r="O55" s="473" t="s">
        <v>129</v>
      </c>
      <c r="P55" s="473" t="s">
        <v>130</v>
      </c>
      <c r="Q55" s="473" t="s">
        <v>131</v>
      </c>
      <c r="R55" s="473" t="s">
        <v>132</v>
      </c>
      <c r="S55" s="445" t="s">
        <v>171</v>
      </c>
    </row>
    <row r="56" spans="1:20">
      <c r="A56" s="474" t="s">
        <v>22</v>
      </c>
      <c r="B56" s="475">
        <v>6627.44</v>
      </c>
      <c r="C56" s="475">
        <v>7297.62</v>
      </c>
      <c r="D56" s="475">
        <v>4020.94</v>
      </c>
      <c r="E56" s="475">
        <v>2189.02</v>
      </c>
      <c r="F56" s="475">
        <v>3360.28</v>
      </c>
      <c r="G56" s="475">
        <v>5891.36</v>
      </c>
      <c r="H56" s="475">
        <v>8385.56</v>
      </c>
      <c r="I56" s="475">
        <v>7711.64</v>
      </c>
      <c r="J56" s="475">
        <v>5270.27</v>
      </c>
      <c r="K56" s="475">
        <v>4034.28</v>
      </c>
      <c r="L56" s="475">
        <v>2744.45</v>
      </c>
      <c r="M56" s="475">
        <v>4132.6400000000003</v>
      </c>
      <c r="N56" s="475"/>
      <c r="O56" s="475">
        <f>SUM(B56:D56)</f>
        <v>17946</v>
      </c>
      <c r="P56" s="475">
        <f>SUM(E56:G56)</f>
        <v>11440.66</v>
      </c>
      <c r="Q56" s="475">
        <f>SUM(H56:J56)</f>
        <v>21367.47</v>
      </c>
      <c r="R56" s="475">
        <f>SUM(K56:M56)</f>
        <v>10911.369999999999</v>
      </c>
      <c r="S56" s="1">
        <f>SUM(B56:M56)</f>
        <v>61665.5</v>
      </c>
      <c r="T56" s="443"/>
    </row>
    <row r="57" spans="1:20">
      <c r="A57" s="474" t="s">
        <v>25</v>
      </c>
      <c r="B57" s="475">
        <v>4967.6099999999997</v>
      </c>
      <c r="C57" s="475">
        <v>5551.1</v>
      </c>
      <c r="D57" s="475">
        <v>2478.3200000000002</v>
      </c>
      <c r="E57" s="475">
        <v>853.29</v>
      </c>
      <c r="F57" s="475">
        <v>1497.84</v>
      </c>
      <c r="G57" s="475">
        <v>3142.37</v>
      </c>
      <c r="H57" s="475">
        <v>5056.04</v>
      </c>
      <c r="I57" s="475">
        <v>5790.19</v>
      </c>
      <c r="J57" s="475">
        <v>4187.2700000000004</v>
      </c>
      <c r="K57" s="475">
        <v>2987.26</v>
      </c>
      <c r="L57" s="475">
        <v>2455.65</v>
      </c>
      <c r="M57" s="475">
        <v>3077.98</v>
      </c>
      <c r="N57" s="475"/>
      <c r="O57" s="475">
        <f>SUM(B57:D57)</f>
        <v>12997.029999999999</v>
      </c>
      <c r="P57" s="475">
        <f>SUM(E57:G57)</f>
        <v>5493.5</v>
      </c>
      <c r="Q57" s="475">
        <f>SUM(H57:J57)</f>
        <v>15033.5</v>
      </c>
      <c r="R57" s="475">
        <f>SUM(K57:M57)</f>
        <v>8520.89</v>
      </c>
      <c r="S57" s="1">
        <f>SUM(B57:M57)</f>
        <v>42044.920000000006</v>
      </c>
      <c r="T57" s="443"/>
    </row>
    <row r="58" spans="1:20">
      <c r="A58" s="474" t="s">
        <v>172</v>
      </c>
      <c r="B58" s="475">
        <v>4303.3</v>
      </c>
      <c r="C58" s="475">
        <v>4321.3</v>
      </c>
      <c r="D58" s="475">
        <v>2218.9</v>
      </c>
      <c r="E58" s="475">
        <v>1303.0999999999999</v>
      </c>
      <c r="F58" s="475">
        <v>1780.5</v>
      </c>
      <c r="G58" s="475">
        <v>3124.5</v>
      </c>
      <c r="H58" s="475">
        <v>5172.7</v>
      </c>
      <c r="I58" s="475">
        <v>5065.7</v>
      </c>
      <c r="J58" s="475">
        <v>2969.2</v>
      </c>
      <c r="K58" s="475">
        <v>2603.1999999999998</v>
      </c>
      <c r="L58" s="475">
        <v>2102</v>
      </c>
      <c r="M58" s="475">
        <v>2846.7</v>
      </c>
      <c r="N58" s="475"/>
      <c r="O58" s="475">
        <f>SUM(B58:D58)</f>
        <v>10843.5</v>
      </c>
      <c r="P58" s="475">
        <f>SUM(E58:G58)</f>
        <v>6208.1</v>
      </c>
      <c r="Q58" s="475">
        <f>SUM(H58:J58)</f>
        <v>13207.599999999999</v>
      </c>
      <c r="R58" s="475">
        <f>SUM(K58:M58)</f>
        <v>7551.9</v>
      </c>
      <c r="S58" s="1">
        <f>SUM(B58:M58)</f>
        <v>37811.1</v>
      </c>
      <c r="T58" s="443"/>
    </row>
    <row r="59" spans="1:20" s="481" customFormat="1">
      <c r="A59" s="480" t="s">
        <v>196</v>
      </c>
      <c r="B59" s="477">
        <f t="shared" ref="B59:S59" si="27">SUM(B56:B58)</f>
        <v>15898.349999999999</v>
      </c>
      <c r="C59" s="477">
        <f t="shared" si="27"/>
        <v>17170.02</v>
      </c>
      <c r="D59" s="477">
        <f t="shared" si="27"/>
        <v>8718.16</v>
      </c>
      <c r="E59" s="477">
        <f t="shared" si="27"/>
        <v>4345.41</v>
      </c>
      <c r="F59" s="477">
        <f t="shared" si="27"/>
        <v>6638.62</v>
      </c>
      <c r="G59" s="477">
        <f t="shared" si="27"/>
        <v>12158.23</v>
      </c>
      <c r="H59" s="477">
        <f t="shared" si="27"/>
        <v>18614.3</v>
      </c>
      <c r="I59" s="477">
        <f t="shared" si="27"/>
        <v>18567.53</v>
      </c>
      <c r="J59" s="477">
        <f t="shared" si="27"/>
        <v>12426.740000000002</v>
      </c>
      <c r="K59" s="477">
        <f t="shared" si="27"/>
        <v>9624.7400000000016</v>
      </c>
      <c r="L59" s="477">
        <f t="shared" si="27"/>
        <v>7302.1</v>
      </c>
      <c r="M59" s="477">
        <f t="shared" si="27"/>
        <v>10057.32</v>
      </c>
      <c r="N59" s="477">
        <f t="shared" si="27"/>
        <v>0</v>
      </c>
      <c r="O59" s="477">
        <f t="shared" si="27"/>
        <v>41786.53</v>
      </c>
      <c r="P59" s="477">
        <f t="shared" si="27"/>
        <v>23142.260000000002</v>
      </c>
      <c r="Q59" s="477">
        <f t="shared" si="27"/>
        <v>49608.57</v>
      </c>
      <c r="R59" s="477">
        <f t="shared" si="27"/>
        <v>26984.159999999996</v>
      </c>
      <c r="S59" s="477">
        <f t="shared" si="27"/>
        <v>141521.52000000002</v>
      </c>
      <c r="T59" s="206"/>
    </row>
    <row r="60" spans="1:20">
      <c r="A60" s="474"/>
      <c r="B60" s="475"/>
      <c r="C60" s="475"/>
      <c r="D60" s="475"/>
      <c r="E60" s="475"/>
      <c r="F60" s="475"/>
      <c r="G60" s="475"/>
      <c r="H60" s="475"/>
      <c r="I60" s="151"/>
      <c r="J60" s="475"/>
      <c r="K60" s="475"/>
      <c r="L60" s="475"/>
      <c r="M60" s="475"/>
      <c r="N60" s="475"/>
      <c r="O60" s="475"/>
      <c r="P60" s="475"/>
      <c r="Q60" s="475"/>
      <c r="R60" s="475"/>
      <c r="S60" s="443"/>
      <c r="T60" s="443"/>
    </row>
    <row r="61" spans="1:20">
      <c r="A61" s="504" t="s">
        <v>180</v>
      </c>
    </row>
    <row r="62" spans="1:20">
      <c r="A62" s="474" t="s">
        <v>22</v>
      </c>
      <c r="B62" s="144">
        <f t="shared" ref="B62:M62" si="28">B56/B75-1</f>
        <v>0.10428805891811277</v>
      </c>
      <c r="C62" s="144">
        <f t="shared" si="28"/>
        <v>0.44440397914629659</v>
      </c>
      <c r="D62" s="144">
        <f t="shared" si="28"/>
        <v>-0.63860389910957349</v>
      </c>
      <c r="E62" s="144">
        <f t="shared" si="28"/>
        <v>-0.81708107855163625</v>
      </c>
      <c r="F62" s="144">
        <f t="shared" si="28"/>
        <v>-0.71450758361002265</v>
      </c>
      <c r="G62" s="144">
        <f t="shared" si="28"/>
        <v>-0.30082753889955016</v>
      </c>
      <c r="H62" s="144">
        <f t="shared" si="28"/>
        <v>-0.24601000936917239</v>
      </c>
      <c r="I62" s="144">
        <f t="shared" si="28"/>
        <v>0.70013823086538696</v>
      </c>
      <c r="J62" s="144">
        <f t="shared" si="28"/>
        <v>-0.34988953622484031</v>
      </c>
      <c r="K62" s="144">
        <f t="shared" si="28"/>
        <v>-0.5309882046023674</v>
      </c>
      <c r="L62" s="144">
        <f t="shared" si="28"/>
        <v>-0.44441070427211316</v>
      </c>
      <c r="M62" s="144">
        <f t="shared" si="28"/>
        <v>-0.32487764077029124</v>
      </c>
      <c r="N62" s="144"/>
      <c r="O62" s="144">
        <f t="shared" ref="O62:S65" si="29">O56/O75-1</f>
        <v>-0.19089342570475576</v>
      </c>
      <c r="P62" s="144">
        <f t="shared" si="29"/>
        <v>-0.64429646428075082</v>
      </c>
      <c r="Q62" s="144">
        <f t="shared" si="29"/>
        <v>-0.10085464690585</v>
      </c>
      <c r="R62" s="144">
        <f t="shared" si="29"/>
        <v>-0.44507236802289007</v>
      </c>
      <c r="S62" s="144">
        <f t="shared" si="29"/>
        <v>-0.36928239411568209</v>
      </c>
    </row>
    <row r="63" spans="1:20">
      <c r="A63" s="474" t="s">
        <v>25</v>
      </c>
      <c r="B63" s="144">
        <f t="shared" ref="B63:M63" si="30">B57/B76-1</f>
        <v>-2.6291030119135805E-2</v>
      </c>
      <c r="C63" s="144">
        <f t="shared" si="30"/>
        <v>0.43838083368098113</v>
      </c>
      <c r="D63" s="144">
        <f t="shared" si="30"/>
        <v>-0.71075439239421945</v>
      </c>
      <c r="E63" s="144">
        <f t="shared" si="30"/>
        <v>-0.90795185349793528</v>
      </c>
      <c r="F63" s="144">
        <f t="shared" si="30"/>
        <v>-0.83862143418164892</v>
      </c>
      <c r="G63" s="144">
        <f t="shared" si="30"/>
        <v>-0.60565001104351146</v>
      </c>
      <c r="H63" s="144">
        <f t="shared" si="30"/>
        <v>-0.42199246401199908</v>
      </c>
      <c r="I63" s="144">
        <f t="shared" si="30"/>
        <v>0.64596439261927152</v>
      </c>
      <c r="J63" s="144">
        <f t="shared" si="30"/>
        <v>-0.31221265335420478</v>
      </c>
      <c r="K63" s="144">
        <f t="shared" si="30"/>
        <v>-0.57890507934136171</v>
      </c>
      <c r="L63" s="144">
        <f t="shared" si="30"/>
        <v>-0.42312977906198246</v>
      </c>
      <c r="M63" s="144">
        <f t="shared" si="30"/>
        <v>-0.35328130975042971</v>
      </c>
      <c r="N63" s="144"/>
      <c r="O63" s="144">
        <f t="shared" si="29"/>
        <v>-0.25855100309597179</v>
      </c>
      <c r="P63" s="144">
        <f t="shared" si="29"/>
        <v>-0.79285484001726991</v>
      </c>
      <c r="Q63" s="144">
        <f t="shared" si="29"/>
        <v>-0.18087853889240024</v>
      </c>
      <c r="R63" s="144">
        <f t="shared" si="29"/>
        <v>-0.47108923133456582</v>
      </c>
      <c r="S63" s="144">
        <f t="shared" si="29"/>
        <v>-0.46448283425084891</v>
      </c>
    </row>
    <row r="64" spans="1:20">
      <c r="A64" s="474" t="s">
        <v>172</v>
      </c>
      <c r="B64" s="144">
        <f t="shared" ref="B64:M64" si="31">B58/B77-1</f>
        <v>-1.2642254038178979E-2</v>
      </c>
      <c r="C64" s="144">
        <f t="shared" si="31"/>
        <v>0.24522375587125023</v>
      </c>
      <c r="D64" s="144">
        <f t="shared" si="31"/>
        <v>-0.70452880940650098</v>
      </c>
      <c r="E64" s="144">
        <f t="shared" si="31"/>
        <v>-0.84322288794244327</v>
      </c>
      <c r="F64" s="144">
        <f t="shared" si="31"/>
        <v>-0.78266707354287457</v>
      </c>
      <c r="G64" s="144">
        <f t="shared" si="31"/>
        <v>-0.4929159160621257</v>
      </c>
      <c r="H64" s="144">
        <f t="shared" si="31"/>
        <v>-0.32015088189680108</v>
      </c>
      <c r="I64" s="144">
        <f t="shared" si="31"/>
        <v>0.60489798504625503</v>
      </c>
      <c r="J64" s="144">
        <f t="shared" si="31"/>
        <v>-0.45398039684437008</v>
      </c>
      <c r="K64" s="144">
        <f t="shared" si="31"/>
        <v>-0.59600850443068421</v>
      </c>
      <c r="L64" s="144">
        <f t="shared" si="31"/>
        <v>-0.30766443793023945</v>
      </c>
      <c r="M64" s="144">
        <f t="shared" si="31"/>
        <v>-0.31924815266518403</v>
      </c>
      <c r="N64" s="144"/>
      <c r="O64" s="144">
        <f t="shared" si="29"/>
        <v>-0.29304881865122823</v>
      </c>
      <c r="P64" s="144">
        <f t="shared" si="29"/>
        <v>-0.72610517956410481</v>
      </c>
      <c r="Q64" s="144">
        <f t="shared" si="29"/>
        <v>-0.18486196915367015</v>
      </c>
      <c r="R64" s="144">
        <f t="shared" si="29"/>
        <v>-0.44721297075723754</v>
      </c>
      <c r="S64" s="144">
        <f t="shared" si="29"/>
        <v>-0.44287949691168838</v>
      </c>
    </row>
    <row r="65" spans="1:19" s="481" customFormat="1">
      <c r="A65" s="480" t="s">
        <v>196</v>
      </c>
      <c r="B65" s="146">
        <f t="shared" ref="B65:M65" si="32">B59/B78-1</f>
        <v>2.8241414748322979E-2</v>
      </c>
      <c r="C65" s="146">
        <f t="shared" si="32"/>
        <v>0.38670205162208426</v>
      </c>
      <c r="D65" s="146">
        <f t="shared" si="32"/>
        <v>-0.67952712923259595</v>
      </c>
      <c r="E65" s="146">
        <f t="shared" si="32"/>
        <v>-0.85294223154759896</v>
      </c>
      <c r="F65" s="146">
        <f t="shared" si="32"/>
        <v>-0.77299323112485752</v>
      </c>
      <c r="G65" s="146">
        <f t="shared" si="32"/>
        <v>-0.46098463538237755</v>
      </c>
      <c r="H65" s="146">
        <f t="shared" si="32"/>
        <v>-0.32256308243023213</v>
      </c>
      <c r="I65" s="146">
        <f t="shared" si="32"/>
        <v>0.65632153147607952</v>
      </c>
      <c r="J65" s="146">
        <f t="shared" si="32"/>
        <v>-0.36703737547535564</v>
      </c>
      <c r="K65" s="146">
        <f t="shared" si="32"/>
        <v>-0.56526625168986122</v>
      </c>
      <c r="L65" s="146">
        <f t="shared" si="32"/>
        <v>-0.40306523683319906</v>
      </c>
      <c r="M65" s="146">
        <f t="shared" si="32"/>
        <v>-0.33228967495219897</v>
      </c>
      <c r="N65" s="146"/>
      <c r="O65" s="146">
        <f t="shared" si="29"/>
        <v>-0.24090256350634398</v>
      </c>
      <c r="P65" s="146">
        <f t="shared" si="29"/>
        <v>-0.71552063245118103</v>
      </c>
      <c r="Q65" s="146">
        <f t="shared" si="29"/>
        <v>-0.14937731801791132</v>
      </c>
      <c r="R65" s="146">
        <f t="shared" si="29"/>
        <v>-0.45414260702809495</v>
      </c>
      <c r="S65" s="146">
        <f t="shared" si="29"/>
        <v>-0.42035467097698831</v>
      </c>
    </row>
    <row r="66" spans="1:19"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5"/>
    </row>
    <row r="67" spans="1:19">
      <c r="A67" s="504" t="s">
        <v>179</v>
      </c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5"/>
    </row>
    <row r="68" spans="1:19">
      <c r="A68" s="474" t="s">
        <v>22</v>
      </c>
      <c r="B68" s="144">
        <f t="shared" ref="B68:M68" si="33">B56/B$127-1</f>
        <v>-0.34341802186479897</v>
      </c>
      <c r="C68" s="144">
        <f t="shared" si="33"/>
        <v>-0.29778450927034306</v>
      </c>
      <c r="D68" s="144">
        <f t="shared" si="33"/>
        <v>-0.60961179046296787</v>
      </c>
      <c r="E68" s="144">
        <f t="shared" si="33"/>
        <v>-0.78216907465989727</v>
      </c>
      <c r="F68" s="144">
        <f t="shared" si="33"/>
        <v>-0.67907412960886604</v>
      </c>
      <c r="G68" s="144">
        <f t="shared" si="33"/>
        <v>-0.42670974271145534</v>
      </c>
      <c r="H68" s="144">
        <f t="shared" si="33"/>
        <v>-0.27850262079219168</v>
      </c>
      <c r="I68" s="144">
        <f t="shared" si="33"/>
        <v>-0.3703313589948346</v>
      </c>
      <c r="J68" s="144">
        <f t="shared" si="33"/>
        <v>-0.51314262804524302</v>
      </c>
      <c r="K68" s="144">
        <f t="shared" si="33"/>
        <v>-0.64656719137662777</v>
      </c>
      <c r="L68" s="144">
        <f t="shared" si="33"/>
        <v>-0.74259302507712033</v>
      </c>
      <c r="M68" s="144">
        <f t="shared" si="33"/>
        <v>-0.60053279821524197</v>
      </c>
      <c r="N68" s="144"/>
      <c r="O68" s="144">
        <f>O56/O$127-1</f>
        <v>-0.41707231668441291</v>
      </c>
      <c r="P68" s="144">
        <f>P56/P$127-1</f>
        <v>-0.62850356294536813</v>
      </c>
      <c r="Q68" s="144">
        <f>Q56/Q$127-1</f>
        <v>-0.38412798972522</v>
      </c>
      <c r="R68" s="144">
        <f>R56/R$127-1</f>
        <v>-0.66345628025544501</v>
      </c>
      <c r="S68" s="144">
        <f>S56/S$127-1</f>
        <v>-0.5208535226168669</v>
      </c>
    </row>
    <row r="69" spans="1:19">
      <c r="A69" s="474" t="s">
        <v>25</v>
      </c>
      <c r="B69" s="144">
        <f t="shared" ref="B69:M69" si="34">B57/B$128-1</f>
        <v>-0.44017909364551133</v>
      </c>
      <c r="C69" s="144">
        <f t="shared" si="34"/>
        <v>-0.36438708140874287</v>
      </c>
      <c r="D69" s="144">
        <f t="shared" si="34"/>
        <v>-0.72078193496343479</v>
      </c>
      <c r="E69" s="144">
        <f t="shared" si="34"/>
        <v>-0.90253104696109876</v>
      </c>
      <c r="F69" s="144">
        <f t="shared" si="34"/>
        <v>-0.83487998306732725</v>
      </c>
      <c r="G69" s="144">
        <f t="shared" si="34"/>
        <v>-0.6473407777341339</v>
      </c>
      <c r="H69" s="144">
        <f t="shared" si="34"/>
        <v>-0.47604825789496585</v>
      </c>
      <c r="I69" s="144">
        <f t="shared" si="34"/>
        <v>-0.42077827239533838</v>
      </c>
      <c r="J69" s="144">
        <f t="shared" si="34"/>
        <v>-0.52623045416487524</v>
      </c>
      <c r="K69" s="144">
        <f t="shared" si="34"/>
        <v>-0.68102175206004423</v>
      </c>
      <c r="L69" s="144">
        <f t="shared" si="34"/>
        <v>-0.7274361919984017</v>
      </c>
      <c r="M69" s="144">
        <f t="shared" si="34"/>
        <v>-0.65368872287041935</v>
      </c>
      <c r="N69" s="144"/>
      <c r="O69" s="144">
        <f>O57/O$128-1</f>
        <v>-0.50923046366418256</v>
      </c>
      <c r="P69" s="144">
        <f>P57/P$128-1</f>
        <v>-0.794529514291485</v>
      </c>
      <c r="Q69" s="144">
        <f>Q57/Q$128-1</f>
        <v>-0.47222210519959618</v>
      </c>
      <c r="R69" s="144">
        <f>R57/R$128-1</f>
        <v>-0.68744947260773437</v>
      </c>
      <c r="S69" s="144">
        <f>S57/S$128-1</f>
        <v>-0.61414685592182217</v>
      </c>
    </row>
    <row r="70" spans="1:19">
      <c r="A70" s="474" t="s">
        <v>172</v>
      </c>
      <c r="B70" s="144">
        <f t="shared" ref="B70:M70" si="35">B58/B$129-1</f>
        <v>-0.43788346463275563</v>
      </c>
      <c r="C70" s="144">
        <f t="shared" si="35"/>
        <v>-0.42774849696744965</v>
      </c>
      <c r="D70" s="144">
        <f t="shared" si="35"/>
        <v>-0.7054818157685161</v>
      </c>
      <c r="E70" s="144">
        <f t="shared" si="35"/>
        <v>-0.82322937721285461</v>
      </c>
      <c r="F70" s="144">
        <f t="shared" si="35"/>
        <v>-0.76487600031693215</v>
      </c>
      <c r="G70" s="144">
        <f t="shared" si="35"/>
        <v>-0.57317906125348339</v>
      </c>
      <c r="H70" s="144">
        <f t="shared" si="35"/>
        <v>-0.36079531412189214</v>
      </c>
      <c r="I70" s="144">
        <f t="shared" si="35"/>
        <v>-0.40219264084590145</v>
      </c>
      <c r="J70" s="144">
        <f t="shared" si="35"/>
        <v>-0.61383795031863708</v>
      </c>
      <c r="K70" s="144">
        <f t="shared" si="35"/>
        <v>-0.67790948009205421</v>
      </c>
      <c r="L70" s="144">
        <f t="shared" si="35"/>
        <v>-0.72264738481026014</v>
      </c>
      <c r="M70" s="144">
        <f t="shared" si="35"/>
        <v>-0.62786775951998119</v>
      </c>
      <c r="N70" s="144"/>
      <c r="O70" s="144">
        <f>O58/O$129-1</f>
        <v>-0.52317253516017148</v>
      </c>
      <c r="P70" s="144">
        <f>P58/P$129-1</f>
        <v>-0.72116848643817333</v>
      </c>
      <c r="Q70" s="144">
        <f>Q58/Q$129-1</f>
        <v>-0.45547346548369005</v>
      </c>
      <c r="R70" s="144">
        <f>R58/R$129-1</f>
        <v>-0.67603289476506501</v>
      </c>
      <c r="S70" s="144">
        <f>S58/S$129-1</f>
        <v>-0.59154720679241235</v>
      </c>
    </row>
    <row r="71" spans="1:19" s="481" customFormat="1">
      <c r="A71" s="480" t="s">
        <v>196</v>
      </c>
      <c r="B71" s="146">
        <f t="shared" ref="B71:M71" si="36">B59/B$130-1</f>
        <v>-0.40283289417588963</v>
      </c>
      <c r="C71" s="146">
        <f t="shared" si="36"/>
        <v>-0.35637703292032052</v>
      </c>
      <c r="D71" s="146">
        <f t="shared" si="36"/>
        <v>-0.67359671251504127</v>
      </c>
      <c r="E71" s="146">
        <f t="shared" si="36"/>
        <v>-0.83398846624782474</v>
      </c>
      <c r="F71" s="146">
        <f t="shared" si="36"/>
        <v>-0.75516257044227419</v>
      </c>
      <c r="G71" s="146">
        <f t="shared" si="36"/>
        <v>-0.54132521984509929</v>
      </c>
      <c r="H71" s="146">
        <f t="shared" si="36"/>
        <v>-0.36609856882388569</v>
      </c>
      <c r="I71" s="146">
        <f t="shared" si="36"/>
        <v>-0.39553784429952499</v>
      </c>
      <c r="J71" s="146">
        <f t="shared" si="36"/>
        <v>-0.54567809338014961</v>
      </c>
      <c r="K71" s="146">
        <f t="shared" si="36"/>
        <v>-0.66652380218177276</v>
      </c>
      <c r="L71" s="146">
        <f t="shared" si="36"/>
        <v>-0.73203460089775618</v>
      </c>
      <c r="M71" s="146">
        <f t="shared" si="36"/>
        <v>-0.62588522552187298</v>
      </c>
      <c r="N71" s="146"/>
      <c r="O71" s="146">
        <f>O59/O$130-1</f>
        <v>-0.47773280971460141</v>
      </c>
      <c r="P71" s="146">
        <f>P59/P$130-1</f>
        <v>-0.70998602078648276</v>
      </c>
      <c r="Q71" s="146">
        <f>Q59/Q$130-1</f>
        <v>-0.43261941126591164</v>
      </c>
      <c r="R71" s="146">
        <f>R59/R$130-1</f>
        <v>-0.67487001323814855</v>
      </c>
      <c r="S71" s="146">
        <f>S59/S$130-1</f>
        <v>-0.57145376118415081</v>
      </c>
    </row>
    <row r="72" spans="1:19"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5"/>
    </row>
    <row r="74" spans="1:19">
      <c r="A74" s="500">
        <v>2021</v>
      </c>
      <c r="B74" s="472" t="s">
        <v>51</v>
      </c>
      <c r="C74" s="472" t="s">
        <v>52</v>
      </c>
      <c r="D74" s="472" t="s">
        <v>53</v>
      </c>
      <c r="E74" s="472" t="s">
        <v>54</v>
      </c>
      <c r="F74" s="472" t="s">
        <v>55</v>
      </c>
      <c r="G74" s="472" t="s">
        <v>77</v>
      </c>
      <c r="H74" s="472" t="s">
        <v>78</v>
      </c>
      <c r="I74" s="472" t="s">
        <v>79</v>
      </c>
      <c r="J74" s="472" t="s">
        <v>80</v>
      </c>
      <c r="K74" s="472" t="s">
        <v>81</v>
      </c>
      <c r="L74" s="472" t="s">
        <v>82</v>
      </c>
      <c r="M74" s="472" t="s">
        <v>44</v>
      </c>
      <c r="N74" s="473" t="s">
        <v>133</v>
      </c>
      <c r="O74" s="473" t="s">
        <v>129</v>
      </c>
      <c r="P74" s="473" t="s">
        <v>130</v>
      </c>
      <c r="Q74" s="473" t="s">
        <v>131</v>
      </c>
      <c r="R74" s="473" t="s">
        <v>132</v>
      </c>
      <c r="S74" s="445" t="s">
        <v>171</v>
      </c>
    </row>
    <row r="75" spans="1:19">
      <c r="A75" s="474" t="s">
        <v>22</v>
      </c>
      <c r="B75" s="34">
        <v>6001.55</v>
      </c>
      <c r="C75" s="15">
        <v>5052.34</v>
      </c>
      <c r="D75" s="34">
        <v>11126.13</v>
      </c>
      <c r="E75" s="34">
        <v>11967.16</v>
      </c>
      <c r="F75" s="15">
        <v>11770.12</v>
      </c>
      <c r="G75" s="15">
        <v>8426.19</v>
      </c>
      <c r="H75" s="15">
        <v>11121.58</v>
      </c>
      <c r="I75" s="512">
        <v>4535.8900000000003</v>
      </c>
      <c r="J75" s="475">
        <v>8106.73</v>
      </c>
      <c r="K75" s="15">
        <v>8601.66</v>
      </c>
      <c r="L75" s="15">
        <v>4939.71</v>
      </c>
      <c r="M75" s="15">
        <v>6121.32</v>
      </c>
      <c r="N75" s="15"/>
      <c r="O75" s="15">
        <f>SUM(B75:D75)</f>
        <v>22180.019999999997</v>
      </c>
      <c r="P75" s="15">
        <f>SUM(E75:G75)</f>
        <v>32163.47</v>
      </c>
      <c r="Q75" s="15">
        <f>SUM(H75:J75)</f>
        <v>23764.2</v>
      </c>
      <c r="R75" s="15">
        <f>SUM(K75:M75)</f>
        <v>19662.689999999999</v>
      </c>
      <c r="S75" s="1">
        <f>SUM(B75:M75)</f>
        <v>97770.38</v>
      </c>
    </row>
    <row r="76" spans="1:19">
      <c r="A76" s="474" t="s">
        <v>25</v>
      </c>
      <c r="B76" s="15">
        <v>5101.74</v>
      </c>
      <c r="C76" s="15">
        <v>3859.27</v>
      </c>
      <c r="D76" s="15">
        <v>8568.2199999999993</v>
      </c>
      <c r="E76" s="15">
        <v>9270.0400000000009</v>
      </c>
      <c r="F76" s="15">
        <v>9281.5300000000007</v>
      </c>
      <c r="G76" s="15">
        <v>7968.48</v>
      </c>
      <c r="H76" s="15">
        <v>8747.36</v>
      </c>
      <c r="I76" s="475">
        <v>3517.81</v>
      </c>
      <c r="J76" s="475">
        <v>6088.03</v>
      </c>
      <c r="K76" s="15">
        <v>7094.03</v>
      </c>
      <c r="L76" s="15">
        <v>4256.8500000000004</v>
      </c>
      <c r="M76" s="15">
        <v>4759.38</v>
      </c>
      <c r="N76" s="15"/>
      <c r="O76" s="15">
        <f>SUM(B76:D76)</f>
        <v>17529.23</v>
      </c>
      <c r="P76" s="15">
        <f>SUM(E76:G76)</f>
        <v>26520.05</v>
      </c>
      <c r="Q76" s="15">
        <f>SUM(H76:J76)</f>
        <v>18353.2</v>
      </c>
      <c r="R76" s="15">
        <f>SUM(K76:M76)</f>
        <v>16110.260000000002</v>
      </c>
      <c r="S76" s="1">
        <f>SUM(B76:M76)</f>
        <v>78512.740000000005</v>
      </c>
    </row>
    <row r="77" spans="1:19">
      <c r="A77" s="474" t="s">
        <v>172</v>
      </c>
      <c r="B77" s="15">
        <v>4358.3999999999996</v>
      </c>
      <c r="C77" s="15">
        <v>3470.3</v>
      </c>
      <c r="D77" s="15">
        <v>7509.7</v>
      </c>
      <c r="E77" s="15">
        <v>8311.7999999999993</v>
      </c>
      <c r="F77" s="15">
        <v>8192.5</v>
      </c>
      <c r="G77" s="15">
        <v>6161.7</v>
      </c>
      <c r="H77" s="15">
        <v>7608.6</v>
      </c>
      <c r="I77" s="512">
        <v>3156.4</v>
      </c>
      <c r="J77" s="475">
        <v>5437.9</v>
      </c>
      <c r="K77" s="15">
        <v>6443.7</v>
      </c>
      <c r="L77" s="15">
        <v>3036.1</v>
      </c>
      <c r="M77" s="15">
        <v>4181.7</v>
      </c>
      <c r="N77" s="15"/>
      <c r="O77" s="15">
        <f>SUM(B77:D77)</f>
        <v>15338.4</v>
      </c>
      <c r="P77" s="15">
        <f>SUM(E77:G77)</f>
        <v>22666</v>
      </c>
      <c r="Q77" s="15">
        <f>SUM(H77:J77)</f>
        <v>16202.9</v>
      </c>
      <c r="R77" s="15">
        <f>SUM(K77:M77)</f>
        <v>13661.5</v>
      </c>
      <c r="S77" s="1">
        <f>SUM(B77:M77)</f>
        <v>67868.799999999988</v>
      </c>
    </row>
    <row r="78" spans="1:19">
      <c r="A78" s="513" t="s">
        <v>196</v>
      </c>
      <c r="B78" s="45">
        <f t="shared" ref="B78:M78" si="37">SUM(B75:B77)</f>
        <v>15461.69</v>
      </c>
      <c r="C78" s="45">
        <f t="shared" si="37"/>
        <v>12381.91</v>
      </c>
      <c r="D78" s="45">
        <f t="shared" si="37"/>
        <v>27204.05</v>
      </c>
      <c r="E78" s="45">
        <f t="shared" si="37"/>
        <v>29549</v>
      </c>
      <c r="F78" s="45">
        <f t="shared" si="37"/>
        <v>29244.15</v>
      </c>
      <c r="G78" s="45">
        <f t="shared" si="37"/>
        <v>22556.37</v>
      </c>
      <c r="H78" s="45">
        <f t="shared" si="37"/>
        <v>27477.54</v>
      </c>
      <c r="I78" s="45">
        <f t="shared" si="37"/>
        <v>11210.1</v>
      </c>
      <c r="J78" s="45">
        <f t="shared" si="37"/>
        <v>19632.659999999996</v>
      </c>
      <c r="K78" s="45">
        <f t="shared" si="37"/>
        <v>22139.39</v>
      </c>
      <c r="L78" s="45">
        <f t="shared" si="37"/>
        <v>12232.660000000002</v>
      </c>
      <c r="M78" s="45">
        <f t="shared" si="37"/>
        <v>15062.400000000001</v>
      </c>
      <c r="N78" s="45"/>
      <c r="O78" s="21">
        <f>SUM(B78:D78)</f>
        <v>55047.649999999994</v>
      </c>
      <c r="P78" s="21">
        <f>SUM(E78:G78)</f>
        <v>81349.52</v>
      </c>
      <c r="Q78" s="21">
        <f>SUM(H78:J78)</f>
        <v>58320.299999999996</v>
      </c>
      <c r="R78" s="21">
        <f>SUM(K78:M78)</f>
        <v>49434.450000000004</v>
      </c>
      <c r="S78" s="21">
        <f>SUM(B78:M78)</f>
        <v>244151.91999999998</v>
      </c>
    </row>
    <row r="79" spans="1:19">
      <c r="A79" s="474" t="s">
        <v>181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21"/>
      <c r="O79" s="15"/>
      <c r="P79" s="15"/>
      <c r="Q79" s="15"/>
      <c r="R79" s="15"/>
      <c r="S79" s="1"/>
    </row>
    <row r="80" spans="1:19">
      <c r="A80" s="513" t="s">
        <v>197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21"/>
      <c r="P80" s="21"/>
      <c r="Q80" s="21"/>
      <c r="R80" s="21"/>
      <c r="S80" s="44"/>
    </row>
    <row r="81" spans="1:19">
      <c r="A81" s="474"/>
      <c r="B81" s="15"/>
      <c r="C81" s="483"/>
      <c r="D81" s="483"/>
      <c r="E81" s="483"/>
      <c r="F81" s="15"/>
      <c r="G81" s="483"/>
      <c r="H81" s="15"/>
      <c r="I81" s="15"/>
      <c r="J81" s="15"/>
      <c r="K81" s="15"/>
      <c r="L81" s="15"/>
      <c r="M81" s="15"/>
      <c r="N81" s="488"/>
      <c r="O81" s="15"/>
      <c r="P81" s="19"/>
      <c r="Q81" s="15"/>
      <c r="R81" s="15"/>
      <c r="S81" s="36"/>
    </row>
    <row r="82" spans="1:19">
      <c r="A82" s="504" t="s">
        <v>183</v>
      </c>
      <c r="B82" s="488"/>
      <c r="C82" s="483"/>
      <c r="D82" s="483"/>
      <c r="E82" s="488"/>
      <c r="F82" s="488"/>
      <c r="G82" s="488"/>
      <c r="H82" s="488"/>
      <c r="I82" s="488"/>
      <c r="J82" s="488"/>
      <c r="K82" s="488"/>
      <c r="L82" s="488"/>
      <c r="M82" s="488"/>
      <c r="N82" s="514"/>
      <c r="O82" s="488"/>
      <c r="P82" s="19"/>
      <c r="Q82" s="488"/>
      <c r="R82" s="488"/>
    </row>
    <row r="83" spans="1:19">
      <c r="A83" s="474" t="s">
        <v>22</v>
      </c>
      <c r="B83" s="24">
        <f t="shared" ref="B83:M83" si="38">B75/B102-1</f>
        <v>-0.36696784183346265</v>
      </c>
      <c r="C83" s="24">
        <f t="shared" si="38"/>
        <v>2.5700789293310438</v>
      </c>
      <c r="D83" s="24">
        <f t="shared" si="38"/>
        <v>2.0767378000724515</v>
      </c>
      <c r="E83" s="24">
        <f t="shared" si="38"/>
        <v>2.118128782963733</v>
      </c>
      <c r="F83" s="24">
        <f t="shared" si="38"/>
        <v>1.0188919706551816</v>
      </c>
      <c r="G83" s="24">
        <f t="shared" si="38"/>
        <v>0.18988605537519554</v>
      </c>
      <c r="H83" s="24">
        <f t="shared" si="38"/>
        <v>0.23979902948229026</v>
      </c>
      <c r="I83" s="24">
        <f t="shared" si="38"/>
        <v>-0.55758377923909586</v>
      </c>
      <c r="J83" s="24">
        <f t="shared" si="38"/>
        <v>-0.26945335592242803</v>
      </c>
      <c r="K83" s="24">
        <f t="shared" si="38"/>
        <v>-0.27059513886121167</v>
      </c>
      <c r="L83" s="24">
        <f t="shared" si="38"/>
        <v>-0.53357688218442356</v>
      </c>
      <c r="M83" s="24">
        <f t="shared" si="38"/>
        <v>-0.38414391827380179</v>
      </c>
      <c r="N83" s="19"/>
      <c r="O83" s="24">
        <f t="shared" ref="O83:S86" si="39">O75/O102-1</f>
        <v>0.52838746309960527</v>
      </c>
      <c r="P83" s="24">
        <f t="shared" si="39"/>
        <v>0.92027251076603811</v>
      </c>
      <c r="Q83" s="24">
        <f t="shared" si="39"/>
        <v>-0.21621540504376513</v>
      </c>
      <c r="R83" s="24">
        <f t="shared" si="39"/>
        <v>-0.3916785210219641</v>
      </c>
      <c r="S83" s="24">
        <f t="shared" si="39"/>
        <v>4.1172199649557761E-2</v>
      </c>
    </row>
    <row r="84" spans="1:19">
      <c r="A84" s="474" t="s">
        <v>25</v>
      </c>
      <c r="B84" s="24">
        <f t="shared" ref="B84:M84" si="40">B76/B103-1</f>
        <v>-0.38537473932513067</v>
      </c>
      <c r="C84" s="24">
        <f t="shared" si="40"/>
        <v>2.839955026218123</v>
      </c>
      <c r="D84" s="24">
        <f t="shared" si="40"/>
        <v>3.050306081448392</v>
      </c>
      <c r="E84" s="24">
        <f t="shared" si="40"/>
        <v>2.5088933217758638</v>
      </c>
      <c r="F84" s="24">
        <f t="shared" si="40"/>
        <v>1.2422891737994979</v>
      </c>
      <c r="G84" s="24">
        <f t="shared" si="40"/>
        <v>0.54002311441636075</v>
      </c>
      <c r="H84" s="24">
        <f t="shared" si="40"/>
        <v>0.21489423758003356</v>
      </c>
      <c r="I84" s="24">
        <f t="shared" si="40"/>
        <v>-0.58659814652467501</v>
      </c>
      <c r="J84" s="24">
        <f t="shared" si="40"/>
        <v>-0.31944697514227482</v>
      </c>
      <c r="K84" s="24">
        <f t="shared" si="40"/>
        <v>-0.22220297412361156</v>
      </c>
      <c r="L84" s="24">
        <f t="shared" si="40"/>
        <v>-0.44784500202347222</v>
      </c>
      <c r="M84" s="24">
        <f t="shared" si="40"/>
        <v>-0.32447945497125819</v>
      </c>
      <c r="N84" s="19"/>
      <c r="O84" s="24">
        <f t="shared" si="39"/>
        <v>0.53481772691652707</v>
      </c>
      <c r="P84" s="24">
        <f t="shared" si="39"/>
        <v>1.2182412357888959</v>
      </c>
      <c r="Q84" s="24">
        <f t="shared" si="39"/>
        <v>-0.25560621417849272</v>
      </c>
      <c r="R84" s="24">
        <f t="shared" si="39"/>
        <v>-0.32524421283740912</v>
      </c>
      <c r="S84" s="24">
        <f t="shared" si="39"/>
        <v>9.1858822338337864E-2</v>
      </c>
    </row>
    <row r="85" spans="1:19">
      <c r="A85" s="474" t="s">
        <v>172</v>
      </c>
      <c r="B85" s="24">
        <f t="shared" ref="B85:M85" si="41">B77/B104-1</f>
        <v>-0.40572675211344433</v>
      </c>
      <c r="C85" s="24">
        <f t="shared" si="41"/>
        <v>1.7645184418067399</v>
      </c>
      <c r="D85" s="24">
        <f t="shared" si="41"/>
        <v>1.715298116209278</v>
      </c>
      <c r="E85" s="24">
        <f t="shared" si="41"/>
        <v>2.1375938998150312</v>
      </c>
      <c r="F85" s="24">
        <f t="shared" si="41"/>
        <v>1.0257906579955987</v>
      </c>
      <c r="G85" s="24">
        <f t="shared" si="41"/>
        <v>0.39389209365456401</v>
      </c>
      <c r="H85" s="24">
        <f t="shared" si="41"/>
        <v>0.31214431069568516</v>
      </c>
      <c r="I85" s="24">
        <f t="shared" si="41"/>
        <v>-0.56568881061148113</v>
      </c>
      <c r="J85" s="24">
        <f t="shared" si="41"/>
        <v>-0.30065460344406292</v>
      </c>
      <c r="K85" s="24">
        <f t="shared" si="41"/>
        <v>-0.23035486067150002</v>
      </c>
      <c r="L85" s="24">
        <f t="shared" si="41"/>
        <v>-0.59331591989819832</v>
      </c>
      <c r="M85" s="24">
        <f t="shared" si="41"/>
        <v>-0.3749701064211407</v>
      </c>
      <c r="N85" s="19"/>
      <c r="O85" s="24">
        <f t="shared" si="39"/>
        <v>0.35080581241743714</v>
      </c>
      <c r="P85" s="24">
        <f t="shared" si="39"/>
        <v>1.0394648047005046</v>
      </c>
      <c r="Q85" s="24">
        <f t="shared" si="39"/>
        <v>-0.22258047490871757</v>
      </c>
      <c r="R85" s="24">
        <f t="shared" si="39"/>
        <v>-0.39358226578244149</v>
      </c>
      <c r="S85" s="24">
        <f t="shared" si="39"/>
        <v>3.0832882737838574E-2</v>
      </c>
    </row>
    <row r="86" spans="1:19" s="445" customFormat="1">
      <c r="A86" s="513" t="s">
        <v>196</v>
      </c>
      <c r="B86" s="53">
        <f t="shared" ref="B86:M86" si="42">B78/B105-1</f>
        <v>-0.3843694717264956</v>
      </c>
      <c r="C86" s="53">
        <f t="shared" si="42"/>
        <v>2.3687505441406924</v>
      </c>
      <c r="D86" s="53">
        <f t="shared" si="42"/>
        <v>2.201470809757383</v>
      </c>
      <c r="E86" s="53">
        <f t="shared" si="42"/>
        <v>2.2368631489007438</v>
      </c>
      <c r="F86" s="53">
        <f t="shared" si="42"/>
        <v>1.0868704240227212</v>
      </c>
      <c r="G86" s="53">
        <f t="shared" si="42"/>
        <v>0.35260283024921035</v>
      </c>
      <c r="H86" s="53">
        <f t="shared" si="42"/>
        <v>0.25073182100188607</v>
      </c>
      <c r="I86" s="53">
        <f t="shared" si="42"/>
        <v>-0.56933194414350452</v>
      </c>
      <c r="J86" s="53">
        <f t="shared" si="42"/>
        <v>-0.29425149928769689</v>
      </c>
      <c r="K86" s="53">
        <f t="shared" si="42"/>
        <v>-0.24401994421847117</v>
      </c>
      <c r="L86" s="53">
        <f t="shared" si="42"/>
        <v>-0.52523360568571165</v>
      </c>
      <c r="M86" s="53">
        <f t="shared" si="42"/>
        <v>-0.36379613802156918</v>
      </c>
      <c r="N86" s="28"/>
      <c r="O86" s="53">
        <f t="shared" si="39"/>
        <v>0.47627969145107718</v>
      </c>
      <c r="P86" s="53">
        <f t="shared" si="39"/>
        <v>1.0430045579236022</v>
      </c>
      <c r="Q86" s="53">
        <f t="shared" si="39"/>
        <v>-0.23077481101189268</v>
      </c>
      <c r="R86" s="53">
        <f t="shared" si="39"/>
        <v>-0.37207556516685869</v>
      </c>
      <c r="S86" s="53">
        <f t="shared" si="39"/>
        <v>5.3967412524954073E-2</v>
      </c>
    </row>
    <row r="87" spans="1:19">
      <c r="A87" s="474" t="s">
        <v>181</v>
      </c>
      <c r="B87" s="515"/>
      <c r="C87" s="515"/>
      <c r="D87" s="515"/>
      <c r="E87" s="515"/>
      <c r="F87" s="515"/>
      <c r="G87" s="515"/>
      <c r="H87" s="515"/>
      <c r="I87" s="515"/>
      <c r="J87" s="515"/>
      <c r="K87" s="515"/>
      <c r="L87" s="515"/>
      <c r="M87" s="515"/>
      <c r="N87" s="21"/>
      <c r="O87" s="515"/>
      <c r="P87" s="515"/>
      <c r="Q87" s="515"/>
      <c r="R87" s="515"/>
      <c r="S87" s="515"/>
    </row>
    <row r="88" spans="1:19" s="489" customFormat="1">
      <c r="A88" s="516" t="s">
        <v>197</v>
      </c>
      <c r="B88" s="517"/>
      <c r="C88" s="517"/>
      <c r="D88" s="517"/>
      <c r="E88" s="517"/>
      <c r="F88" s="517"/>
      <c r="G88" s="517"/>
      <c r="H88" s="517"/>
      <c r="I88" s="517"/>
      <c r="J88" s="517"/>
      <c r="K88" s="517"/>
      <c r="L88" s="517"/>
      <c r="M88" s="517"/>
      <c r="N88" s="47"/>
      <c r="O88" s="517"/>
      <c r="P88" s="517"/>
      <c r="Q88" s="517"/>
      <c r="R88" s="517"/>
      <c r="S88" s="517"/>
    </row>
    <row r="90" spans="1:19">
      <c r="A90" s="504" t="s">
        <v>179</v>
      </c>
      <c r="B90" s="488"/>
      <c r="C90" s="483"/>
      <c r="D90" s="483"/>
      <c r="E90" s="488"/>
      <c r="F90" s="488"/>
      <c r="G90" s="488"/>
      <c r="H90" s="488"/>
      <c r="I90" s="488"/>
      <c r="J90" s="488"/>
      <c r="K90" s="488"/>
      <c r="L90" s="488"/>
      <c r="M90" s="488"/>
      <c r="N90" s="514"/>
      <c r="O90" s="488"/>
      <c r="P90" s="19"/>
      <c r="Q90" s="488"/>
      <c r="R90" s="488"/>
    </row>
    <row r="91" spans="1:19">
      <c r="A91" s="474" t="s">
        <v>22</v>
      </c>
      <c r="B91" s="24">
        <f t="shared" ref="B91:M91" si="43">B75/B127-1</f>
        <v>-0.4054250855719076</v>
      </c>
      <c r="C91" s="24">
        <f t="shared" si="43"/>
        <v>-0.5138371945328648</v>
      </c>
      <c r="D91" s="24">
        <f t="shared" si="43"/>
        <v>8.0222527512536557E-2</v>
      </c>
      <c r="E91" s="24">
        <f t="shared" si="43"/>
        <v>0.19086053873105935</v>
      </c>
      <c r="F91" s="24">
        <f t="shared" si="43"/>
        <v>0.12411346840385162</v>
      </c>
      <c r="G91" s="24">
        <f t="shared" si="43"/>
        <v>-0.18004456813670144</v>
      </c>
      <c r="H91" s="24">
        <f t="shared" si="43"/>
        <v>-4.3094221179029613E-2</v>
      </c>
      <c r="I91" s="24">
        <f t="shared" si="43"/>
        <v>-0.62963679683583262</v>
      </c>
      <c r="J91" s="24">
        <f t="shared" si="43"/>
        <v>-0.25111592708783681</v>
      </c>
      <c r="K91" s="24">
        <f t="shared" si="43"/>
        <v>-0.24643087425183274</v>
      </c>
      <c r="L91" s="24">
        <f t="shared" si="43"/>
        <v>-0.53669558268640416</v>
      </c>
      <c r="M91" s="24">
        <f t="shared" si="43"/>
        <v>-0.40830399656658334</v>
      </c>
      <c r="N91" s="19"/>
      <c r="O91" s="24">
        <f t="shared" ref="O91:S94" si="44">O75/O127-1</f>
        <v>-0.27954153156729156</v>
      </c>
      <c r="P91" s="24">
        <f t="shared" si="44"/>
        <v>4.4399056375553414E-2</v>
      </c>
      <c r="Q91" s="24">
        <f t="shared" si="44"/>
        <v>-0.31504733005021524</v>
      </c>
      <c r="R91" s="24">
        <f t="shared" si="44"/>
        <v>-0.39353584079872062</v>
      </c>
      <c r="S91" s="24">
        <f t="shared" si="44"/>
        <v>-0.24031535997583198</v>
      </c>
    </row>
    <row r="92" spans="1:19">
      <c r="A92" s="474" t="s">
        <v>25</v>
      </c>
      <c r="B92" s="24">
        <f t="shared" ref="B92:M92" si="45">B76/B128-1</f>
        <v>-0.42506341866914898</v>
      </c>
      <c r="C92" s="24">
        <f t="shared" si="45"/>
        <v>-0.55810526412212336</v>
      </c>
      <c r="D92" s="24">
        <f t="shared" si="45"/>
        <v>-3.4667916488751116E-2</v>
      </c>
      <c r="E92" s="24">
        <f t="shared" si="45"/>
        <v>5.8890990669919985E-2</v>
      </c>
      <c r="F92" s="24">
        <f t="shared" si="45"/>
        <v>2.3184312584195066E-2</v>
      </c>
      <c r="G92" s="24">
        <f t="shared" si="45"/>
        <v>-0.10572021772066664</v>
      </c>
      <c r="H92" s="24">
        <f t="shared" si="45"/>
        <v>-9.3520915416038797E-2</v>
      </c>
      <c r="I92" s="24">
        <f t="shared" si="45"/>
        <v>-0.64809583354173961</v>
      </c>
      <c r="J92" s="24">
        <f t="shared" si="45"/>
        <v>-0.31116856373469715</v>
      </c>
      <c r="K92" s="24">
        <f t="shared" si="45"/>
        <v>-0.24250274156468332</v>
      </c>
      <c r="L92" s="24">
        <f t="shared" si="45"/>
        <v>-0.52751277824950471</v>
      </c>
      <c r="M92" s="24">
        <f t="shared" si="45"/>
        <v>-0.46451017675716422</v>
      </c>
      <c r="N92" s="19"/>
      <c r="O92" s="24">
        <f t="shared" si="44"/>
        <v>-0.33809400459767336</v>
      </c>
      <c r="P92" s="24">
        <f t="shared" si="44"/>
        <v>-8.0845445500855595E-3</v>
      </c>
      <c r="Q92" s="24">
        <f t="shared" si="44"/>
        <v>-0.35567810164959768</v>
      </c>
      <c r="R92" s="24">
        <f t="shared" si="44"/>
        <v>-0.40906756695292124</v>
      </c>
      <c r="S92" s="24">
        <f t="shared" si="44"/>
        <v>-0.27947567555860475</v>
      </c>
    </row>
    <row r="93" spans="1:19">
      <c r="A93" s="474" t="s">
        <v>172</v>
      </c>
      <c r="B93" s="24">
        <f t="shared" ref="B93:M93" si="46">B77/B129-1</f>
        <v>-0.43068605308842112</v>
      </c>
      <c r="C93" s="24">
        <f t="shared" si="46"/>
        <v>-0.54044283179278008</v>
      </c>
      <c r="D93" s="24">
        <f t="shared" si="46"/>
        <v>-3.2253782851074941E-3</v>
      </c>
      <c r="E93" s="24">
        <f t="shared" si="46"/>
        <v>0.12752824992878153</v>
      </c>
      <c r="F93" s="24">
        <f t="shared" si="46"/>
        <v>8.1860919631302265E-2</v>
      </c>
      <c r="G93" s="24">
        <f t="shared" si="46"/>
        <v>-0.15828370034424344</v>
      </c>
      <c r="H93" s="24">
        <f t="shared" si="46"/>
        <v>-5.9784489150313758E-2</v>
      </c>
      <c r="I93" s="24">
        <f t="shared" si="46"/>
        <v>-0.62751067997828591</v>
      </c>
      <c r="J93" s="24">
        <f t="shared" si="46"/>
        <v>-0.29276889062296796</v>
      </c>
      <c r="K93" s="24">
        <f t="shared" si="46"/>
        <v>-0.20272945485140181</v>
      </c>
      <c r="L93" s="24">
        <f t="shared" si="46"/>
        <v>-0.59939568269383026</v>
      </c>
      <c r="M93" s="24">
        <f t="shared" si="46"/>
        <v>-0.45335111180830623</v>
      </c>
      <c r="N93" s="19"/>
      <c r="O93" s="24">
        <f t="shared" si="44"/>
        <v>-0.32551571109888644</v>
      </c>
      <c r="P93" s="24">
        <f t="shared" si="44"/>
        <v>1.8024047034094437E-2</v>
      </c>
      <c r="Q93" s="24">
        <f t="shared" si="44"/>
        <v>-0.33198242026452052</v>
      </c>
      <c r="R93" s="24">
        <f t="shared" si="44"/>
        <v>-0.4139386633606027</v>
      </c>
      <c r="S93" s="24">
        <f t="shared" si="44"/>
        <v>-0.26685018601291355</v>
      </c>
    </row>
    <row r="94" spans="1:19" s="445" customFormat="1">
      <c r="A94" s="513" t="s">
        <v>196</v>
      </c>
      <c r="B94" s="53">
        <f t="shared" ref="B94:M94" si="47">B78/B130-1</f>
        <v>-0.41923453261190058</v>
      </c>
      <c r="C94" s="53">
        <f t="shared" si="47"/>
        <v>-0.53586066572353708</v>
      </c>
      <c r="D94" s="53">
        <f t="shared" si="47"/>
        <v>1.8505206707056354E-2</v>
      </c>
      <c r="E94" s="53">
        <f t="shared" si="47"/>
        <v>0.12888652873791551</v>
      </c>
      <c r="F94" s="53">
        <f t="shared" si="47"/>
        <v>7.8546823827928991E-2</v>
      </c>
      <c r="G94" s="53">
        <f t="shared" si="47"/>
        <v>-0.14905063888061043</v>
      </c>
      <c r="H94" s="53">
        <f t="shared" si="47"/>
        <v>-6.426500426022308E-2</v>
      </c>
      <c r="I94" s="53">
        <f t="shared" si="47"/>
        <v>-0.63505747874822904</v>
      </c>
      <c r="J94" s="53">
        <f t="shared" si="47"/>
        <v>-0.28222948873000731</v>
      </c>
      <c r="K94" s="53">
        <f t="shared" si="47"/>
        <v>-0.23291854125775036</v>
      </c>
      <c r="L94" s="53">
        <f t="shared" si="47"/>
        <v>-0.55109768162829131</v>
      </c>
      <c r="M94" s="53">
        <f t="shared" si="47"/>
        <v>-0.43970497318377644</v>
      </c>
      <c r="N94" s="28"/>
      <c r="O94" s="53">
        <f t="shared" si="44"/>
        <v>-0.31198925832525415</v>
      </c>
      <c r="P94" s="53">
        <f t="shared" si="44"/>
        <v>1.9455230487843922E-2</v>
      </c>
      <c r="Q94" s="53">
        <f t="shared" si="44"/>
        <v>-0.33298206037487776</v>
      </c>
      <c r="R94" s="53">
        <f t="shared" si="44"/>
        <v>-0.4043682636747109</v>
      </c>
      <c r="S94" s="53">
        <f t="shared" si="44"/>
        <v>-0.26067507601905293</v>
      </c>
    </row>
    <row r="95" spans="1:19">
      <c r="A95" s="474" t="s">
        <v>181</v>
      </c>
      <c r="B95" s="515"/>
      <c r="C95" s="515"/>
      <c r="D95" s="515"/>
      <c r="E95" s="515"/>
      <c r="F95" s="515"/>
      <c r="G95" s="515"/>
      <c r="H95" s="515"/>
      <c r="I95" s="515"/>
      <c r="J95" s="515"/>
      <c r="K95" s="515"/>
      <c r="L95" s="515"/>
      <c r="M95" s="515"/>
      <c r="N95" s="21"/>
      <c r="O95" s="515"/>
      <c r="P95" s="515"/>
      <c r="Q95" s="515"/>
      <c r="R95" s="515"/>
      <c r="S95" s="515"/>
    </row>
    <row r="96" spans="1:19" s="489" customFormat="1">
      <c r="A96" s="516" t="s">
        <v>197</v>
      </c>
      <c r="B96" s="517"/>
      <c r="C96" s="517"/>
      <c r="D96" s="517"/>
      <c r="E96" s="517"/>
      <c r="F96" s="517"/>
      <c r="G96" s="517"/>
      <c r="H96" s="517"/>
      <c r="I96" s="517"/>
      <c r="J96" s="517"/>
      <c r="K96" s="517"/>
      <c r="L96" s="517"/>
      <c r="M96" s="517"/>
      <c r="N96" s="47"/>
      <c r="O96" s="517"/>
      <c r="P96" s="517"/>
      <c r="Q96" s="517"/>
      <c r="R96" s="517"/>
      <c r="S96" s="517"/>
    </row>
    <row r="101" spans="1:19">
      <c r="A101" s="471" t="s">
        <v>159</v>
      </c>
      <c r="B101" s="472" t="s">
        <v>51</v>
      </c>
      <c r="C101" s="472" t="s">
        <v>52</v>
      </c>
      <c r="D101" s="472" t="s">
        <v>53</v>
      </c>
      <c r="E101" s="472" t="s">
        <v>54</v>
      </c>
      <c r="F101" s="472" t="s">
        <v>55</v>
      </c>
      <c r="G101" s="472" t="s">
        <v>77</v>
      </c>
      <c r="H101" s="472" t="s">
        <v>78</v>
      </c>
      <c r="I101" s="472" t="s">
        <v>79</v>
      </c>
      <c r="J101" s="472" t="s">
        <v>80</v>
      </c>
      <c r="K101" s="472" t="s">
        <v>81</v>
      </c>
      <c r="L101" s="472" t="s">
        <v>82</v>
      </c>
      <c r="M101" s="472" t="s">
        <v>44</v>
      </c>
      <c r="N101" s="473" t="s">
        <v>133</v>
      </c>
      <c r="O101" s="473" t="s">
        <v>129</v>
      </c>
      <c r="P101" s="473" t="s">
        <v>130</v>
      </c>
      <c r="Q101" s="473" t="s">
        <v>131</v>
      </c>
      <c r="R101" s="473" t="s">
        <v>132</v>
      </c>
      <c r="S101" s="445" t="s">
        <v>171</v>
      </c>
    </row>
    <row r="102" spans="1:19">
      <c r="A102" s="474" t="s">
        <v>22</v>
      </c>
      <c r="B102" s="34">
        <v>9480.64</v>
      </c>
      <c r="C102" s="15">
        <v>1415.19</v>
      </c>
      <c r="D102" s="34">
        <v>3616.21</v>
      </c>
      <c r="E102" s="34">
        <v>3837.93</v>
      </c>
      <c r="F102" s="15">
        <v>5829.99</v>
      </c>
      <c r="G102" s="15">
        <v>7081.51</v>
      </c>
      <c r="H102" s="15">
        <v>8970.4699999999993</v>
      </c>
      <c r="I102" s="15">
        <v>10252.540000000001</v>
      </c>
      <c r="J102" s="15">
        <v>11096.8</v>
      </c>
      <c r="K102" s="15">
        <v>11792.71</v>
      </c>
      <c r="L102" s="15">
        <v>10590.62</v>
      </c>
      <c r="M102" s="15">
        <v>9939.5300000000007</v>
      </c>
      <c r="N102" s="15"/>
      <c r="O102" s="15">
        <f>SUM(B102:D102)</f>
        <v>14512.04</v>
      </c>
      <c r="P102" s="15">
        <f>SUM(E102:G102)</f>
        <v>16749.43</v>
      </c>
      <c r="Q102" s="15">
        <f>SUM(H102:J102)</f>
        <v>30319.81</v>
      </c>
      <c r="R102" s="15">
        <f>SUM(K102:M102)</f>
        <v>32322.86</v>
      </c>
      <c r="S102" s="1">
        <f>SUM(B102:M102)</f>
        <v>93904.139999999985</v>
      </c>
    </row>
    <row r="103" spans="1:19">
      <c r="A103" s="474" t="s">
        <v>25</v>
      </c>
      <c r="B103" s="15">
        <v>8300.57</v>
      </c>
      <c r="C103" s="15">
        <v>1005.03</v>
      </c>
      <c r="D103" s="15">
        <v>2115.4499999999998</v>
      </c>
      <c r="E103" s="15">
        <v>2641.87</v>
      </c>
      <c r="F103" s="15">
        <v>4139.3100000000004</v>
      </c>
      <c r="G103" s="15">
        <v>5174.26</v>
      </c>
      <c r="H103" s="15">
        <v>7200.1</v>
      </c>
      <c r="I103" s="475">
        <v>8509.42</v>
      </c>
      <c r="J103" s="475">
        <v>8945.7099999999991</v>
      </c>
      <c r="K103" s="15">
        <v>9120.67</v>
      </c>
      <c r="L103" s="15">
        <v>7709.52</v>
      </c>
      <c r="M103" s="15">
        <v>7045.5</v>
      </c>
      <c r="N103" s="15"/>
      <c r="O103" s="15">
        <f>SUM(B103:D103)</f>
        <v>11421.05</v>
      </c>
      <c r="P103" s="15">
        <f>SUM(E103:G103)</f>
        <v>11955.44</v>
      </c>
      <c r="Q103" s="15">
        <f>SUM(H103:J103)</f>
        <v>24655.23</v>
      </c>
      <c r="R103" s="15">
        <f>SUM(K103:M103)</f>
        <v>23875.690000000002</v>
      </c>
      <c r="S103" s="1">
        <f>SUM(B103:M103)</f>
        <v>71907.409999999989</v>
      </c>
    </row>
    <row r="104" spans="1:19">
      <c r="A104" s="474" t="s">
        <v>172</v>
      </c>
      <c r="B104" s="15">
        <v>7334</v>
      </c>
      <c r="C104" s="15">
        <v>1255.3</v>
      </c>
      <c r="D104" s="15">
        <v>2765.7</v>
      </c>
      <c r="E104" s="15">
        <v>2649.1</v>
      </c>
      <c r="F104" s="15">
        <v>4044.1</v>
      </c>
      <c r="G104" s="15">
        <v>4420.5</v>
      </c>
      <c r="H104" s="15">
        <v>5798.6</v>
      </c>
      <c r="I104" s="15">
        <v>7267.6</v>
      </c>
      <c r="J104" s="15">
        <v>7775.7</v>
      </c>
      <c r="K104" s="15">
        <v>8372.2999999999993</v>
      </c>
      <c r="L104" s="15">
        <v>7465.5</v>
      </c>
      <c r="M104" s="15">
        <v>6690.4</v>
      </c>
      <c r="N104" s="15"/>
      <c r="O104" s="15">
        <f>SUM(B104:D104)</f>
        <v>11355</v>
      </c>
      <c r="P104" s="15">
        <f>SUM(E104:G104)</f>
        <v>11113.7</v>
      </c>
      <c r="Q104" s="15">
        <f>SUM(H104:J104)</f>
        <v>20841.900000000001</v>
      </c>
      <c r="R104" s="15">
        <f>SUM(K104:M104)</f>
        <v>22528.199999999997</v>
      </c>
      <c r="S104" s="1">
        <f>SUM(B104:M104)</f>
        <v>65838.799999999988</v>
      </c>
    </row>
    <row r="105" spans="1:19">
      <c r="A105" s="513" t="s">
        <v>196</v>
      </c>
      <c r="B105" s="45">
        <f t="shared" ref="B105:N105" si="48">SUM(B102:B104)</f>
        <v>25115.21</v>
      </c>
      <c r="C105" s="45">
        <f t="shared" si="48"/>
        <v>3675.5200000000004</v>
      </c>
      <c r="D105" s="45">
        <f t="shared" si="48"/>
        <v>8497.36</v>
      </c>
      <c r="E105" s="45">
        <f t="shared" si="48"/>
        <v>9128.9</v>
      </c>
      <c r="F105" s="45">
        <f t="shared" si="48"/>
        <v>14013.4</v>
      </c>
      <c r="G105" s="45">
        <f t="shared" si="48"/>
        <v>16676.27</v>
      </c>
      <c r="H105" s="45">
        <f t="shared" si="48"/>
        <v>21969.17</v>
      </c>
      <c r="I105" s="45">
        <f t="shared" si="48"/>
        <v>26029.559999999998</v>
      </c>
      <c r="J105" s="45">
        <f t="shared" si="48"/>
        <v>27818.21</v>
      </c>
      <c r="K105" s="45">
        <f t="shared" si="48"/>
        <v>29285.679999999997</v>
      </c>
      <c r="L105" s="45">
        <f t="shared" si="48"/>
        <v>25765.64</v>
      </c>
      <c r="M105" s="45">
        <f t="shared" si="48"/>
        <v>23675.43</v>
      </c>
      <c r="N105" s="45">
        <f t="shared" si="48"/>
        <v>0</v>
      </c>
      <c r="O105" s="21">
        <f>SUM(B105:D105)</f>
        <v>37288.089999999997</v>
      </c>
      <c r="P105" s="21">
        <f>SUM(E105:G105)</f>
        <v>39818.57</v>
      </c>
      <c r="Q105" s="21">
        <f>SUM(H105:J105)</f>
        <v>75816.94</v>
      </c>
      <c r="R105" s="21">
        <f>SUM(K105:M105)</f>
        <v>78726.75</v>
      </c>
      <c r="S105" s="44">
        <f>SUM(O105:R105)</f>
        <v>231650.35</v>
      </c>
    </row>
    <row r="106" spans="1:19">
      <c r="A106" s="474" t="s">
        <v>181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21"/>
      <c r="O106" s="15"/>
      <c r="P106" s="15"/>
      <c r="Q106" s="15"/>
      <c r="R106" s="15"/>
      <c r="S106" s="1"/>
    </row>
    <row r="107" spans="1:19">
      <c r="A107" s="513" t="s">
        <v>197</v>
      </c>
      <c r="B107" s="45">
        <f>B105+B106</f>
        <v>25115.21</v>
      </c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>
        <f>N106+N105</f>
        <v>0</v>
      </c>
      <c r="O107" s="21">
        <f>SUM(B107:D107)</f>
        <v>25115.21</v>
      </c>
      <c r="P107" s="21">
        <f>SUM(E107:G107)</f>
        <v>0</v>
      </c>
      <c r="Q107" s="21">
        <f>SUM(H107:J107)</f>
        <v>0</v>
      </c>
      <c r="R107" s="21">
        <f>SUM(K107:M107)</f>
        <v>0</v>
      </c>
      <c r="S107" s="44">
        <f>SUM(O107:R107)</f>
        <v>25115.21</v>
      </c>
    </row>
    <row r="108" spans="1:19">
      <c r="A108" s="474"/>
      <c r="B108" s="15"/>
      <c r="C108" s="483"/>
      <c r="D108" s="483"/>
      <c r="E108" s="483"/>
      <c r="F108" s="15"/>
      <c r="G108" s="483"/>
      <c r="H108" s="15"/>
      <c r="I108" s="15"/>
      <c r="J108" s="15"/>
      <c r="K108" s="15"/>
      <c r="L108" s="15"/>
      <c r="M108" s="15"/>
      <c r="N108" s="488"/>
      <c r="O108" s="15"/>
      <c r="P108" s="19"/>
      <c r="Q108" s="15"/>
      <c r="R108" s="15"/>
      <c r="S108" s="36"/>
    </row>
    <row r="109" spans="1:19">
      <c r="A109" s="504" t="s">
        <v>184</v>
      </c>
      <c r="B109" s="488"/>
      <c r="C109" s="483"/>
      <c r="D109" s="483"/>
      <c r="E109" s="488"/>
      <c r="F109" s="488"/>
      <c r="G109" s="488"/>
      <c r="H109" s="488"/>
      <c r="I109" s="488"/>
      <c r="J109" s="488"/>
      <c r="K109" s="488"/>
      <c r="L109" s="488"/>
      <c r="M109" s="488"/>
      <c r="N109" s="514"/>
      <c r="O109" s="488"/>
      <c r="P109" s="19"/>
      <c r="Q109" s="488"/>
      <c r="R109" s="488"/>
    </row>
    <row r="110" spans="1:19">
      <c r="A110" s="474" t="s">
        <v>22</v>
      </c>
      <c r="B110" s="24">
        <f t="shared" ref="B110:M110" si="49">B102/B127-1</f>
        <v>-6.0750853242320879E-2</v>
      </c>
      <c r="C110" s="24">
        <f t="shared" si="49"/>
        <v>-0.86382295319217728</v>
      </c>
      <c r="D110" s="24">
        <f t="shared" si="49"/>
        <v>-0.64890653747384675</v>
      </c>
      <c r="E110" s="24">
        <f t="shared" si="49"/>
        <v>-0.61808487666145562</v>
      </c>
      <c r="F110" s="24">
        <f t="shared" si="49"/>
        <v>-0.44320276431678096</v>
      </c>
      <c r="G110" s="24">
        <f t="shared" si="49"/>
        <v>-0.31089583900976991</v>
      </c>
      <c r="H110" s="24">
        <f t="shared" si="49"/>
        <v>-0.22817669955706388</v>
      </c>
      <c r="I110" s="24">
        <f t="shared" si="49"/>
        <v>-0.16286251320716494</v>
      </c>
      <c r="J110" s="24">
        <f t="shared" si="49"/>
        <v>2.5100969230712256E-2</v>
      </c>
      <c r="K110" s="24">
        <f t="shared" si="49"/>
        <v>3.3128740836265269E-2</v>
      </c>
      <c r="L110" s="24">
        <f t="shared" si="49"/>
        <v>-6.6864192250730703E-3</v>
      </c>
      <c r="M110" s="24">
        <f t="shared" si="49"/>
        <v>-3.9230071780833486E-2</v>
      </c>
      <c r="N110" s="19"/>
      <c r="O110" s="24">
        <f t="shared" ref="O110:P113" si="50">O102/O127-1</f>
        <v>-0.52861529826239084</v>
      </c>
      <c r="P110" s="24">
        <f t="shared" si="50"/>
        <v>-0.45611935258141034</v>
      </c>
      <c r="Q110" s="24" t="e">
        <f t="shared" ref="Q110:S112" si="51">Q102/Q125-1</f>
        <v>#DIV/0!</v>
      </c>
      <c r="R110" s="24" t="e">
        <f t="shared" si="51"/>
        <v>#DIV/0!</v>
      </c>
      <c r="S110" s="24" t="e">
        <f t="shared" si="51"/>
        <v>#DIV/0!</v>
      </c>
    </row>
    <row r="111" spans="1:19">
      <c r="A111" s="474" t="s">
        <v>25</v>
      </c>
      <c r="B111" s="24">
        <f t="shared" ref="B111:M111" si="52">B103/B128-1</f>
        <v>-6.4573784846459814E-2</v>
      </c>
      <c r="C111" s="24">
        <f t="shared" si="52"/>
        <v>-0.88492189807934085</v>
      </c>
      <c r="D111" s="24">
        <f t="shared" si="52"/>
        <v>-0.76166441150392128</v>
      </c>
      <c r="E111" s="24">
        <f t="shared" si="52"/>
        <v>-0.69822650802788977</v>
      </c>
      <c r="F111" s="24">
        <f t="shared" si="52"/>
        <v>-0.54368761864446014</v>
      </c>
      <c r="G111" s="24">
        <f t="shared" si="52"/>
        <v>-0.41930755849840073</v>
      </c>
      <c r="H111" s="24">
        <f t="shared" si="52"/>
        <v>-0.25386173006335866</v>
      </c>
      <c r="I111" s="24">
        <f t="shared" si="52"/>
        <v>-0.1487600660231081</v>
      </c>
      <c r="J111" s="24">
        <f t="shared" si="52"/>
        <v>1.2164241587653501E-2</v>
      </c>
      <c r="K111" s="24">
        <f t="shared" si="52"/>
        <v>-2.6099055107852709E-2</v>
      </c>
      <c r="L111" s="24">
        <f t="shared" si="52"/>
        <v>-0.14428516724106355</v>
      </c>
      <c r="M111" s="24">
        <f t="shared" si="52"/>
        <v>-0.20729306135307546</v>
      </c>
      <c r="N111" s="19"/>
      <c r="O111" s="24">
        <f t="shared" si="50"/>
        <v>-0.56873967260457292</v>
      </c>
      <c r="P111" s="24">
        <f t="shared" si="50"/>
        <v>-0.55283697758095762</v>
      </c>
      <c r="Q111" s="24" t="e">
        <f t="shared" si="51"/>
        <v>#VALUE!</v>
      </c>
      <c r="R111" s="24" t="e">
        <f t="shared" si="51"/>
        <v>#VALUE!</v>
      </c>
      <c r="S111" s="24" t="e">
        <f t="shared" si="51"/>
        <v>#VALUE!</v>
      </c>
    </row>
    <row r="112" spans="1:19">
      <c r="A112" s="474" t="s">
        <v>172</v>
      </c>
      <c r="B112" s="24">
        <f t="shared" ref="B112:M112" si="53">B104/B129-1</f>
        <v>-4.1999704788564629E-2</v>
      </c>
      <c r="C112" s="24">
        <f t="shared" si="53"/>
        <v>-0.83376592419948614</v>
      </c>
      <c r="D112" s="24">
        <f t="shared" si="53"/>
        <v>-0.63290416777276348</v>
      </c>
      <c r="E112" s="24">
        <f t="shared" si="53"/>
        <v>-0.64063920126972063</v>
      </c>
      <c r="F112" s="24">
        <f t="shared" si="53"/>
        <v>-0.46595621054855663</v>
      </c>
      <c r="G112" s="24">
        <f t="shared" si="53"/>
        <v>-0.39613955521556199</v>
      </c>
      <c r="H112" s="24">
        <f t="shared" si="53"/>
        <v>-0.28345113934061583</v>
      </c>
      <c r="I112" s="24">
        <f t="shared" si="53"/>
        <v>-0.14234463876891112</v>
      </c>
      <c r="J112" s="24">
        <f t="shared" si="53"/>
        <v>1.1275848614904493E-2</v>
      </c>
      <c r="K112" s="24">
        <f t="shared" si="53"/>
        <v>3.5893692311499192E-2</v>
      </c>
      <c r="L112" s="24">
        <f t="shared" si="53"/>
        <v>-1.4949596242149199E-2</v>
      </c>
      <c r="M112" s="24">
        <f t="shared" si="53"/>
        <v>-0.12540361059910854</v>
      </c>
      <c r="N112" s="19"/>
      <c r="O112" s="24">
        <f t="shared" si="50"/>
        <v>-0.50068005134354665</v>
      </c>
      <c r="P112" s="24">
        <f t="shared" si="50"/>
        <v>-0.50083764883425319</v>
      </c>
      <c r="Q112" s="24">
        <f t="shared" si="51"/>
        <v>-0.39927643043626893</v>
      </c>
      <c r="R112" s="24">
        <f t="shared" si="51"/>
        <v>-0.30515377746797301</v>
      </c>
      <c r="S112" s="24">
        <f t="shared" si="51"/>
        <v>-0.48842660652824321</v>
      </c>
    </row>
    <row r="113" spans="1:19">
      <c r="A113" s="513" t="s">
        <v>196</v>
      </c>
      <c r="B113" s="518">
        <f t="shared" ref="B113:M113" si="54">B105/B130-1</f>
        <v>-5.6633092876634539E-2</v>
      </c>
      <c r="C113" s="518">
        <f t="shared" si="54"/>
        <v>-0.86222211226540768</v>
      </c>
      <c r="D113" s="518">
        <f t="shared" si="54"/>
        <v>-0.68186334743303756</v>
      </c>
      <c r="E113" s="518">
        <f t="shared" si="54"/>
        <v>-0.65124057557969617</v>
      </c>
      <c r="F113" s="518">
        <f t="shared" si="54"/>
        <v>-0.48317499188623025</v>
      </c>
      <c r="G113" s="518">
        <f t="shared" si="54"/>
        <v>-0.37088009718077664</v>
      </c>
      <c r="H113" s="518">
        <f t="shared" si="54"/>
        <v>-0.25185001290667097</v>
      </c>
      <c r="I113" s="518">
        <f t="shared" si="54"/>
        <v>-0.15261297816484709</v>
      </c>
      <c r="J113" s="518">
        <f t="shared" si="54"/>
        <v>1.7034411756533752E-2</v>
      </c>
      <c r="K113" s="518">
        <f t="shared" si="54"/>
        <v>1.4684782853489731E-2</v>
      </c>
      <c r="L113" s="518">
        <f t="shared" si="54"/>
        <v>-5.4477478297375148E-2</v>
      </c>
      <c r="M113" s="518">
        <f t="shared" si="54"/>
        <v>-0.11931526936373871</v>
      </c>
      <c r="N113" s="28"/>
      <c r="O113" s="518">
        <f t="shared" si="50"/>
        <v>-0.5339563731324648</v>
      </c>
      <c r="P113" s="518">
        <f t="shared" si="50"/>
        <v>-0.5010019793964815</v>
      </c>
      <c r="Q113" s="518">
        <f>Q105/Q130-1</f>
        <v>-0.13287038805559093</v>
      </c>
      <c r="R113" s="518">
        <f>R105/R130-1</f>
        <v>-5.1427682562525834E-2</v>
      </c>
      <c r="S113" s="518">
        <f>S105/S130-1</f>
        <v>-0.29853151511604004</v>
      </c>
    </row>
    <row r="114" spans="1:19">
      <c r="A114" s="474" t="s">
        <v>181</v>
      </c>
      <c r="B114" s="515">
        <f t="shared" ref="B114:M114" si="55">B106/B131-1</f>
        <v>-1</v>
      </c>
      <c r="C114" s="515">
        <f t="shared" si="55"/>
        <v>-1</v>
      </c>
      <c r="D114" s="515">
        <f t="shared" si="55"/>
        <v>-1</v>
      </c>
      <c r="E114" s="515">
        <f t="shared" si="55"/>
        <v>-1</v>
      </c>
      <c r="F114" s="515">
        <f t="shared" si="55"/>
        <v>-1</v>
      </c>
      <c r="G114" s="515">
        <f t="shared" si="55"/>
        <v>-1</v>
      </c>
      <c r="H114" s="515">
        <f t="shared" si="55"/>
        <v>-1</v>
      </c>
      <c r="I114" s="515">
        <f t="shared" si="55"/>
        <v>-1</v>
      </c>
      <c r="J114" s="515">
        <f t="shared" si="55"/>
        <v>-1</v>
      </c>
      <c r="K114" s="515">
        <f t="shared" si="55"/>
        <v>-1</v>
      </c>
      <c r="L114" s="515">
        <f t="shared" si="55"/>
        <v>-1</v>
      </c>
      <c r="M114" s="515">
        <f t="shared" si="55"/>
        <v>-1</v>
      </c>
      <c r="N114" s="21"/>
      <c r="O114" s="515">
        <f t="shared" ref="O114:S115" si="56">O106/O129-1</f>
        <v>-1</v>
      </c>
      <c r="P114" s="515">
        <f t="shared" si="56"/>
        <v>-1</v>
      </c>
      <c r="Q114" s="515">
        <f t="shared" si="56"/>
        <v>-1</v>
      </c>
      <c r="R114" s="515">
        <f t="shared" si="56"/>
        <v>-1</v>
      </c>
      <c r="S114" s="515">
        <f t="shared" si="56"/>
        <v>-1</v>
      </c>
    </row>
    <row r="115" spans="1:19" s="489" customFormat="1">
      <c r="A115" s="516" t="s">
        <v>197</v>
      </c>
      <c r="B115" s="517">
        <f t="shared" ref="B115:M115" si="57">B107/B130-1</f>
        <v>-5.6633092876634539E-2</v>
      </c>
      <c r="C115" s="517">
        <f t="shared" si="57"/>
        <v>-1</v>
      </c>
      <c r="D115" s="517">
        <f t="shared" si="57"/>
        <v>-1</v>
      </c>
      <c r="E115" s="517">
        <f t="shared" si="57"/>
        <v>-1</v>
      </c>
      <c r="F115" s="517">
        <f t="shared" si="57"/>
        <v>-1</v>
      </c>
      <c r="G115" s="517">
        <f t="shared" si="57"/>
        <v>-1</v>
      </c>
      <c r="H115" s="517">
        <f t="shared" si="57"/>
        <v>-1</v>
      </c>
      <c r="I115" s="517">
        <f t="shared" si="57"/>
        <v>-1</v>
      </c>
      <c r="J115" s="517">
        <f t="shared" si="57"/>
        <v>-1</v>
      </c>
      <c r="K115" s="517">
        <f t="shared" si="57"/>
        <v>-1</v>
      </c>
      <c r="L115" s="517">
        <f t="shared" si="57"/>
        <v>-1</v>
      </c>
      <c r="M115" s="517">
        <f t="shared" si="57"/>
        <v>-1</v>
      </c>
      <c r="N115" s="47"/>
      <c r="O115" s="517">
        <f t="shared" si="56"/>
        <v>-0.68609860258490607</v>
      </c>
      <c r="P115" s="517">
        <f t="shared" si="56"/>
        <v>-1</v>
      </c>
      <c r="Q115" s="517">
        <f t="shared" si="56"/>
        <v>-1</v>
      </c>
      <c r="R115" s="517">
        <f t="shared" si="56"/>
        <v>-1</v>
      </c>
      <c r="S115" s="517">
        <f t="shared" si="56"/>
        <v>-0.92394775873965884</v>
      </c>
    </row>
    <row r="116" spans="1:19">
      <c r="A116" s="474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508"/>
      <c r="O116" s="483"/>
      <c r="P116" s="19"/>
      <c r="Q116" s="19"/>
      <c r="R116" s="19"/>
    </row>
    <row r="117" spans="1:19">
      <c r="A117" s="504" t="s">
        <v>185</v>
      </c>
      <c r="B117" s="488"/>
      <c r="C117" s="488"/>
      <c r="D117" s="488"/>
      <c r="E117" s="488"/>
      <c r="F117" s="488"/>
      <c r="G117" s="488"/>
      <c r="H117" s="488"/>
      <c r="I117" s="488"/>
      <c r="J117" s="488"/>
      <c r="K117" s="488"/>
      <c r="L117" s="488"/>
      <c r="M117" s="488"/>
      <c r="N117" s="488"/>
      <c r="O117" s="488"/>
      <c r="P117" s="488"/>
      <c r="Q117" s="488"/>
      <c r="R117" s="488"/>
    </row>
    <row r="118" spans="1:19">
      <c r="A118" s="474" t="s">
        <v>22</v>
      </c>
      <c r="B118" s="483">
        <f t="shared" ref="B118:B123" si="58">B102/M127-1</f>
        <v>-8.3587069783806811E-2</v>
      </c>
      <c r="C118" s="483">
        <f t="shared" ref="C118:M118" si="59">C102/B102-1</f>
        <v>-0.85072843183582547</v>
      </c>
      <c r="D118" s="483">
        <f t="shared" si="59"/>
        <v>1.5552823295811868</v>
      </c>
      <c r="E118" s="483">
        <f t="shared" si="59"/>
        <v>6.1312810926356542E-2</v>
      </c>
      <c r="F118" s="483">
        <f t="shared" si="59"/>
        <v>0.51904542292329459</v>
      </c>
      <c r="G118" s="483">
        <f t="shared" si="59"/>
        <v>0.21466932190278198</v>
      </c>
      <c r="H118" s="483">
        <f t="shared" si="59"/>
        <v>0.26674536927858594</v>
      </c>
      <c r="I118" s="483">
        <f t="shared" si="59"/>
        <v>0.14292116243630515</v>
      </c>
      <c r="J118" s="483">
        <f t="shared" si="59"/>
        <v>8.2346423422878567E-2</v>
      </c>
      <c r="K118" s="483">
        <f t="shared" si="59"/>
        <v>6.2712673924014029E-2</v>
      </c>
      <c r="L118" s="483">
        <f t="shared" si="59"/>
        <v>-0.10193500900132357</v>
      </c>
      <c r="M118" s="483">
        <f t="shared" si="59"/>
        <v>-6.1477987124455402E-2</v>
      </c>
      <c r="N118" s="488"/>
      <c r="O118" s="19"/>
      <c r="P118" s="19"/>
      <c r="Q118" s="19"/>
      <c r="R118" s="19"/>
    </row>
    <row r="119" spans="1:19">
      <c r="A119" s="474" t="s">
        <v>25</v>
      </c>
      <c r="B119" s="483">
        <f t="shared" si="58"/>
        <v>-6.6081976619899008E-2</v>
      </c>
      <c r="C119" s="483">
        <f t="shared" ref="C119:M119" si="60">C103/B103-1</f>
        <v>-0.87892036330035161</v>
      </c>
      <c r="D119" s="483">
        <f t="shared" si="60"/>
        <v>1.1048625414166739</v>
      </c>
      <c r="E119" s="483">
        <f t="shared" si="60"/>
        <v>0.24884539932402094</v>
      </c>
      <c r="F119" s="483">
        <f t="shared" si="60"/>
        <v>0.56681063034895751</v>
      </c>
      <c r="G119" s="483">
        <f t="shared" si="60"/>
        <v>0.25002959430436467</v>
      </c>
      <c r="H119" s="483">
        <f t="shared" si="60"/>
        <v>0.39152265251456253</v>
      </c>
      <c r="I119" s="483">
        <f t="shared" si="60"/>
        <v>0.1818474743406342</v>
      </c>
      <c r="J119" s="483">
        <f t="shared" si="60"/>
        <v>5.1271414502986001E-2</v>
      </c>
      <c r="K119" s="483">
        <f t="shared" si="60"/>
        <v>1.9557978069935311E-2</v>
      </c>
      <c r="L119" s="483">
        <f t="shared" si="60"/>
        <v>-0.15471999315839735</v>
      </c>
      <c r="M119" s="483">
        <f t="shared" si="60"/>
        <v>-8.6129875789932475E-2</v>
      </c>
      <c r="N119" s="488"/>
      <c r="O119" s="19"/>
      <c r="P119" s="19"/>
      <c r="Q119" s="19"/>
      <c r="R119" s="19"/>
    </row>
    <row r="120" spans="1:19">
      <c r="A120" s="474" t="s">
        <v>172</v>
      </c>
      <c r="B120" s="483">
        <f t="shared" si="58"/>
        <v>-4.1269592271592326E-2</v>
      </c>
      <c r="C120" s="483">
        <f t="shared" ref="C120:M120" si="61">C104/B104-1</f>
        <v>-0.82883828742841559</v>
      </c>
      <c r="D120" s="483">
        <f t="shared" si="61"/>
        <v>1.2032183541782842</v>
      </c>
      <c r="E120" s="483">
        <f t="shared" si="61"/>
        <v>-4.2159308674114992E-2</v>
      </c>
      <c r="F120" s="483">
        <f t="shared" si="61"/>
        <v>0.52659393756370099</v>
      </c>
      <c r="G120" s="483">
        <f t="shared" si="61"/>
        <v>9.3073860685937593E-2</v>
      </c>
      <c r="H120" s="483">
        <f t="shared" si="61"/>
        <v>0.311752064246126</v>
      </c>
      <c r="I120" s="483">
        <f t="shared" si="61"/>
        <v>0.25333701238229911</v>
      </c>
      <c r="J120" s="483">
        <f t="shared" si="61"/>
        <v>6.991303869227794E-2</v>
      </c>
      <c r="K120" s="483">
        <f t="shared" si="61"/>
        <v>7.672621114497713E-2</v>
      </c>
      <c r="L120" s="483">
        <f t="shared" si="61"/>
        <v>-0.10830954456959252</v>
      </c>
      <c r="M120" s="483">
        <f t="shared" si="61"/>
        <v>-0.10382425825463804</v>
      </c>
      <c r="N120" s="488"/>
      <c r="O120" s="19"/>
      <c r="P120" s="19"/>
      <c r="Q120" s="19"/>
      <c r="R120" s="19"/>
    </row>
    <row r="121" spans="1:19">
      <c r="A121" s="513" t="s">
        <v>196</v>
      </c>
      <c r="B121" s="519">
        <f t="shared" si="58"/>
        <v>-6.5757962844892992E-2</v>
      </c>
      <c r="C121" s="519">
        <f t="shared" ref="C121:M121" si="62">C105/B105-1</f>
        <v>-0.8536536226454009</v>
      </c>
      <c r="D121" s="519">
        <f t="shared" si="62"/>
        <v>1.3118796796099597</v>
      </c>
      <c r="E121" s="519">
        <f t="shared" si="62"/>
        <v>7.4321907039362589E-2</v>
      </c>
      <c r="F121" s="519">
        <f t="shared" si="62"/>
        <v>0.53505898848711242</v>
      </c>
      <c r="G121" s="519">
        <f t="shared" si="62"/>
        <v>0.19002312072730398</v>
      </c>
      <c r="H121" s="519">
        <f t="shared" si="62"/>
        <v>0.31739111923709551</v>
      </c>
      <c r="I121" s="519">
        <f t="shared" si="62"/>
        <v>0.18482218490730418</v>
      </c>
      <c r="J121" s="519">
        <f t="shared" si="62"/>
        <v>6.8716105842741904E-2</v>
      </c>
      <c r="K121" s="519">
        <f t="shared" si="62"/>
        <v>5.2752136100777003E-2</v>
      </c>
      <c r="L121" s="519">
        <f t="shared" si="62"/>
        <v>-0.12019662852288204</v>
      </c>
      <c r="M121" s="519">
        <f t="shared" si="62"/>
        <v>-8.1123930940586009E-2</v>
      </c>
      <c r="O121" s="151"/>
      <c r="P121" s="151"/>
      <c r="Q121" s="151"/>
      <c r="R121" s="151"/>
    </row>
    <row r="122" spans="1:19">
      <c r="A122" s="474" t="s">
        <v>181</v>
      </c>
      <c r="B122" s="483">
        <f t="shared" si="58"/>
        <v>-1</v>
      </c>
      <c r="C122" s="483" t="e">
        <f t="shared" ref="C122:M122" si="63">C106/B106-1</f>
        <v>#DIV/0!</v>
      </c>
      <c r="D122" s="483" t="e">
        <f t="shared" si="63"/>
        <v>#DIV/0!</v>
      </c>
      <c r="E122" s="483" t="e">
        <f t="shared" si="63"/>
        <v>#DIV/0!</v>
      </c>
      <c r="F122" s="483" t="e">
        <f t="shared" si="63"/>
        <v>#DIV/0!</v>
      </c>
      <c r="G122" s="483" t="e">
        <f t="shared" si="63"/>
        <v>#DIV/0!</v>
      </c>
      <c r="H122" s="483" t="e">
        <f t="shared" si="63"/>
        <v>#DIV/0!</v>
      </c>
      <c r="I122" s="483" t="e">
        <f t="shared" si="63"/>
        <v>#DIV/0!</v>
      </c>
      <c r="J122" s="483" t="e">
        <f t="shared" si="63"/>
        <v>#DIV/0!</v>
      </c>
      <c r="K122" s="483" t="e">
        <f t="shared" si="63"/>
        <v>#DIV/0!</v>
      </c>
      <c r="L122" s="483" t="e">
        <f t="shared" si="63"/>
        <v>#DIV/0!</v>
      </c>
      <c r="M122" s="483" t="e">
        <f t="shared" si="63"/>
        <v>#DIV/0!</v>
      </c>
      <c r="N122" s="484"/>
      <c r="O122" s="484"/>
      <c r="P122" s="484"/>
      <c r="Q122" s="484"/>
      <c r="R122" s="484"/>
    </row>
    <row r="123" spans="1:19">
      <c r="A123" s="513" t="s">
        <v>197</v>
      </c>
      <c r="B123" s="519">
        <f t="shared" si="58"/>
        <v>-0.1989310451733407</v>
      </c>
      <c r="C123" s="519">
        <f t="shared" ref="C123:M123" si="64">C107/B107-1</f>
        <v>-1</v>
      </c>
      <c r="D123" s="519" t="e">
        <f t="shared" si="64"/>
        <v>#DIV/0!</v>
      </c>
      <c r="E123" s="519" t="e">
        <f t="shared" si="64"/>
        <v>#DIV/0!</v>
      </c>
      <c r="F123" s="519" t="e">
        <f t="shared" si="64"/>
        <v>#DIV/0!</v>
      </c>
      <c r="G123" s="519" t="e">
        <f t="shared" si="64"/>
        <v>#DIV/0!</v>
      </c>
      <c r="H123" s="519" t="e">
        <f t="shared" si="64"/>
        <v>#DIV/0!</v>
      </c>
      <c r="I123" s="519" t="e">
        <f t="shared" si="64"/>
        <v>#DIV/0!</v>
      </c>
      <c r="J123" s="519" t="e">
        <f t="shared" si="64"/>
        <v>#DIV/0!</v>
      </c>
      <c r="K123" s="519" t="e">
        <f t="shared" si="64"/>
        <v>#DIV/0!</v>
      </c>
      <c r="L123" s="519" t="e">
        <f t="shared" si="64"/>
        <v>#DIV/0!</v>
      </c>
      <c r="M123" s="519" t="e">
        <f t="shared" si="64"/>
        <v>#DIV/0!</v>
      </c>
      <c r="N123" s="484"/>
      <c r="O123" s="484"/>
      <c r="P123" s="484"/>
      <c r="Q123" s="484"/>
      <c r="R123" s="484"/>
    </row>
    <row r="126" spans="1:19">
      <c r="A126" s="471" t="s">
        <v>160</v>
      </c>
      <c r="B126" s="472" t="s">
        <v>51</v>
      </c>
      <c r="C126" s="472" t="s">
        <v>52</v>
      </c>
      <c r="D126" s="472" t="s">
        <v>53</v>
      </c>
      <c r="E126" s="472" t="s">
        <v>54</v>
      </c>
      <c r="F126" s="472" t="s">
        <v>55</v>
      </c>
      <c r="G126" s="472" t="s">
        <v>77</v>
      </c>
      <c r="H126" s="472" t="s">
        <v>78</v>
      </c>
      <c r="I126" s="472" t="s">
        <v>79</v>
      </c>
      <c r="J126" s="472" t="s">
        <v>80</v>
      </c>
      <c r="K126" s="472" t="s">
        <v>81</v>
      </c>
      <c r="L126" s="472" t="s">
        <v>82</v>
      </c>
      <c r="M126" s="472" t="s">
        <v>44</v>
      </c>
      <c r="N126" s="473" t="s">
        <v>133</v>
      </c>
      <c r="O126" s="473" t="s">
        <v>129</v>
      </c>
      <c r="P126" s="473" t="s">
        <v>130</v>
      </c>
      <c r="Q126" s="473" t="s">
        <v>131</v>
      </c>
      <c r="R126" s="473" t="s">
        <v>132</v>
      </c>
      <c r="S126" s="445" t="s">
        <v>171</v>
      </c>
    </row>
    <row r="127" spans="1:19">
      <c r="A127" s="474" t="s">
        <v>22</v>
      </c>
      <c r="B127" s="34">
        <v>10093.85</v>
      </c>
      <c r="C127" s="15">
        <v>10392.280000000001</v>
      </c>
      <c r="D127" s="34">
        <v>10299.85</v>
      </c>
      <c r="E127" s="34">
        <v>10049.17</v>
      </c>
      <c r="F127" s="15">
        <v>10470.58</v>
      </c>
      <c r="G127" s="15">
        <v>10276.4</v>
      </c>
      <c r="H127" s="15">
        <v>11622.44</v>
      </c>
      <c r="I127" s="15">
        <v>12247.14</v>
      </c>
      <c r="J127" s="15">
        <v>10825.08</v>
      </c>
      <c r="K127" s="15">
        <v>11414.56</v>
      </c>
      <c r="L127" s="15">
        <v>10661.91</v>
      </c>
      <c r="M127" s="15">
        <v>10345.379999999999</v>
      </c>
      <c r="N127" s="15"/>
      <c r="O127" s="15">
        <f>SUM(B127:D127)</f>
        <v>30785.980000000003</v>
      </c>
      <c r="P127" s="15">
        <f>SUM(E127:G127)</f>
        <v>30796.15</v>
      </c>
      <c r="Q127" s="15">
        <f>SUM(H127:J127)</f>
        <v>34694.660000000003</v>
      </c>
      <c r="R127" s="15">
        <f>SUM(K127:M127)</f>
        <v>32421.85</v>
      </c>
      <c r="S127" s="1">
        <f>SUM(B127:M127)</f>
        <v>128698.64000000001</v>
      </c>
    </row>
    <row r="128" spans="1:19">
      <c r="A128" s="474" t="s">
        <v>25</v>
      </c>
      <c r="B128" s="15">
        <v>8873.57</v>
      </c>
      <c r="C128" s="15">
        <v>8733.4599999999991</v>
      </c>
      <c r="D128" s="15">
        <v>8875.93</v>
      </c>
      <c r="E128" s="15">
        <v>8754.48</v>
      </c>
      <c r="F128" s="15">
        <v>9071.2199999999993</v>
      </c>
      <c r="G128" s="15">
        <v>8910.5</v>
      </c>
      <c r="H128" s="15">
        <v>9649.82</v>
      </c>
      <c r="I128" s="475">
        <v>9996.5</v>
      </c>
      <c r="J128" s="475">
        <v>8838.2000000000007</v>
      </c>
      <c r="K128" s="15">
        <v>9365.09</v>
      </c>
      <c r="L128" s="15">
        <v>9009.4500000000007</v>
      </c>
      <c r="M128" s="15">
        <v>8887.9</v>
      </c>
      <c r="N128" s="15"/>
      <c r="O128" s="15">
        <f>SUM(B128:D128)</f>
        <v>26482.959999999999</v>
      </c>
      <c r="P128" s="15">
        <f>SUM(E128:G128)</f>
        <v>26736.199999999997</v>
      </c>
      <c r="Q128" s="15">
        <f>SUM(H128:J128)</f>
        <v>28484.52</v>
      </c>
      <c r="R128" s="15">
        <f>SUM(K128:M128)</f>
        <v>27262.440000000002</v>
      </c>
      <c r="S128" s="1">
        <f>SUM(B128:M128)</f>
        <v>108966.12</v>
      </c>
    </row>
    <row r="129" spans="1:19">
      <c r="A129" s="474" t="s">
        <v>172</v>
      </c>
      <c r="B129" s="15">
        <v>7655.53</v>
      </c>
      <c r="C129" s="15">
        <v>7551.4</v>
      </c>
      <c r="D129" s="15">
        <v>7534</v>
      </c>
      <c r="E129" s="15">
        <v>7371.7</v>
      </c>
      <c r="F129" s="15">
        <v>7572.6</v>
      </c>
      <c r="G129" s="15">
        <v>7320.4</v>
      </c>
      <c r="H129" s="15">
        <v>8092.4</v>
      </c>
      <c r="I129" s="15">
        <v>8473.7999999999993</v>
      </c>
      <c r="J129" s="15">
        <v>7689</v>
      </c>
      <c r="K129" s="15">
        <v>8082.2</v>
      </c>
      <c r="L129" s="15">
        <v>7578.8</v>
      </c>
      <c r="M129" s="15">
        <v>7649.7</v>
      </c>
      <c r="N129" s="15"/>
      <c r="O129" s="15">
        <f>SUM(B129:D129)</f>
        <v>22740.93</v>
      </c>
      <c r="P129" s="15">
        <f>SUM(E129:G129)</f>
        <v>22264.699999999997</v>
      </c>
      <c r="Q129" s="15">
        <f>SUM(H129:J129)</f>
        <v>24255.199999999997</v>
      </c>
      <c r="R129" s="15">
        <f>SUM(K129:M129)</f>
        <v>23310.7</v>
      </c>
      <c r="S129" s="1">
        <f>SUM(B129:M129)</f>
        <v>92571.53</v>
      </c>
    </row>
    <row r="130" spans="1:19">
      <c r="A130" s="513" t="s">
        <v>196</v>
      </c>
      <c r="B130" s="45">
        <f t="shared" ref="B130:N130" si="65">SUM(B127:B129)</f>
        <v>26622.949999999997</v>
      </c>
      <c r="C130" s="45">
        <f t="shared" si="65"/>
        <v>26677.14</v>
      </c>
      <c r="D130" s="45">
        <f t="shared" si="65"/>
        <v>26709.78</v>
      </c>
      <c r="E130" s="45">
        <f t="shared" si="65"/>
        <v>26175.350000000002</v>
      </c>
      <c r="F130" s="45">
        <f t="shared" si="65"/>
        <v>27114.400000000001</v>
      </c>
      <c r="G130" s="45">
        <f t="shared" si="65"/>
        <v>26507.300000000003</v>
      </c>
      <c r="H130" s="45">
        <f t="shared" si="65"/>
        <v>29364.660000000003</v>
      </c>
      <c r="I130" s="45">
        <f t="shared" si="65"/>
        <v>30717.439999999999</v>
      </c>
      <c r="J130" s="45">
        <f t="shared" si="65"/>
        <v>27352.28</v>
      </c>
      <c r="K130" s="45">
        <f t="shared" si="65"/>
        <v>28861.850000000002</v>
      </c>
      <c r="L130" s="45">
        <f t="shared" si="65"/>
        <v>27250.16</v>
      </c>
      <c r="M130" s="45">
        <f t="shared" si="65"/>
        <v>26882.98</v>
      </c>
      <c r="N130" s="45">
        <f t="shared" si="65"/>
        <v>0</v>
      </c>
      <c r="O130" s="21">
        <f>SUM(B130:D130)</f>
        <v>80009.87</v>
      </c>
      <c r="P130" s="21">
        <f>SUM(E130:G130)</f>
        <v>79797.05</v>
      </c>
      <c r="Q130" s="21">
        <f>SUM(H130:J130)</f>
        <v>87434.38</v>
      </c>
      <c r="R130" s="21">
        <f>SUM(K130:M130)</f>
        <v>82994.990000000005</v>
      </c>
      <c r="S130" s="44">
        <f>SUM(O130:R130)</f>
        <v>330236.28999999998</v>
      </c>
    </row>
    <row r="131" spans="1:19">
      <c r="A131" s="474" t="s">
        <v>181</v>
      </c>
      <c r="B131" s="15">
        <v>6641.69</v>
      </c>
      <c r="C131" s="15">
        <v>6931.01</v>
      </c>
      <c r="D131" s="15">
        <v>6570.52</v>
      </c>
      <c r="E131" s="15">
        <v>6358.93</v>
      </c>
      <c r="F131" s="15">
        <v>6564.1</v>
      </c>
      <c r="G131" s="15">
        <v>6381.25</v>
      </c>
      <c r="H131" s="15">
        <v>7094</v>
      </c>
      <c r="I131" s="15">
        <v>7098.1</v>
      </c>
      <c r="J131" s="15">
        <v>6511.76</v>
      </c>
      <c r="K131" s="15">
        <v>6607.77</v>
      </c>
      <c r="L131" s="15">
        <v>4743.4399999999996</v>
      </c>
      <c r="M131" s="15">
        <v>4469.1400000000003</v>
      </c>
      <c r="N131" s="21"/>
      <c r="O131" s="15"/>
      <c r="P131" s="15"/>
      <c r="Q131" s="15"/>
      <c r="R131" s="15"/>
      <c r="S131" s="1"/>
    </row>
    <row r="132" spans="1:19">
      <c r="A132" s="513" t="s">
        <v>197</v>
      </c>
      <c r="B132" s="45">
        <f t="shared" ref="B132:N132" si="66">B131+B130</f>
        <v>33264.639999999999</v>
      </c>
      <c r="C132" s="45">
        <f t="shared" si="66"/>
        <v>33608.15</v>
      </c>
      <c r="D132" s="45">
        <f t="shared" si="66"/>
        <v>33280.300000000003</v>
      </c>
      <c r="E132" s="45">
        <f t="shared" si="66"/>
        <v>32534.280000000002</v>
      </c>
      <c r="F132" s="45">
        <f t="shared" si="66"/>
        <v>33678.5</v>
      </c>
      <c r="G132" s="45">
        <f t="shared" si="66"/>
        <v>32888.550000000003</v>
      </c>
      <c r="H132" s="45">
        <f t="shared" si="66"/>
        <v>36458.660000000003</v>
      </c>
      <c r="I132" s="45">
        <f t="shared" si="66"/>
        <v>37815.54</v>
      </c>
      <c r="J132" s="45">
        <f t="shared" si="66"/>
        <v>33864.04</v>
      </c>
      <c r="K132" s="45">
        <f t="shared" si="66"/>
        <v>35469.620000000003</v>
      </c>
      <c r="L132" s="45">
        <f t="shared" si="66"/>
        <v>31993.599999999999</v>
      </c>
      <c r="M132" s="45">
        <f t="shared" si="66"/>
        <v>31352.12</v>
      </c>
      <c r="N132" s="45">
        <f t="shared" si="66"/>
        <v>0</v>
      </c>
      <c r="O132" s="21">
        <f>SUM(B132:D132)</f>
        <v>100153.09000000001</v>
      </c>
      <c r="P132" s="21">
        <f>SUM(E132:G132)</f>
        <v>99101.33</v>
      </c>
      <c r="Q132" s="21">
        <f>SUM(H132:J132)</f>
        <v>108138.24000000002</v>
      </c>
      <c r="R132" s="21">
        <f>SUM(K132:M132)</f>
        <v>98815.34</v>
      </c>
      <c r="S132" s="44">
        <f>SUM(O132:R132)</f>
        <v>406208</v>
      </c>
    </row>
    <row r="133" spans="1:19">
      <c r="A133" s="474"/>
      <c r="B133" s="15"/>
      <c r="C133" s="483">
        <f>SUM(B130:C130)/SUM(B154:C154)-1</f>
        <v>0.11457707517485538</v>
      </c>
      <c r="D133" s="483"/>
      <c r="E133" s="483"/>
      <c r="F133" s="15"/>
      <c r="G133" s="483">
        <f>(F132+G132)/(F156+G156)-1</f>
        <v>6.4247624961509819E-2</v>
      </c>
      <c r="H133" s="15"/>
      <c r="I133" s="15"/>
      <c r="J133" s="15"/>
      <c r="K133" s="15"/>
      <c r="L133" s="15"/>
      <c r="M133" s="15"/>
      <c r="N133" s="488"/>
      <c r="O133" s="15"/>
      <c r="P133" s="19"/>
      <c r="Q133" s="15"/>
      <c r="R133" s="15"/>
      <c r="S133" s="36"/>
    </row>
    <row r="134" spans="1:19">
      <c r="A134" s="504" t="s">
        <v>184</v>
      </c>
      <c r="B134" s="488"/>
      <c r="C134" s="483">
        <f>SUM(B132:C132)/SUM(B156:C157)-1</f>
        <v>0.1154896464961126</v>
      </c>
      <c r="D134" s="483"/>
      <c r="E134" s="488"/>
      <c r="F134" s="488"/>
      <c r="G134" s="488"/>
      <c r="H134" s="488"/>
      <c r="I134" s="488"/>
      <c r="J134" s="488"/>
      <c r="K134" s="488"/>
      <c r="L134" s="488"/>
      <c r="M134" s="488"/>
      <c r="N134" s="514"/>
      <c r="O134" s="488"/>
      <c r="P134" s="19"/>
      <c r="Q134" s="488"/>
      <c r="R134" s="488"/>
    </row>
    <row r="135" spans="1:19">
      <c r="A135" s="474" t="s">
        <v>22</v>
      </c>
      <c r="B135" s="24">
        <f t="shared" ref="B135:M135" si="67">B127/B151-1</f>
        <v>0.12996465869388296</v>
      </c>
      <c r="C135" s="24">
        <f t="shared" si="67"/>
        <v>0.10742193535737177</v>
      </c>
      <c r="D135" s="24">
        <f t="shared" si="67"/>
        <v>2.956596665157285E-2</v>
      </c>
      <c r="E135" s="24">
        <f t="shared" si="67"/>
        <v>2.0218233059425161E-2</v>
      </c>
      <c r="F135" s="24">
        <f t="shared" si="67"/>
        <v>6.9821665396302635E-2</v>
      </c>
      <c r="G135" s="24">
        <f t="shared" si="67"/>
        <v>8.7647698840423782E-2</v>
      </c>
      <c r="H135" s="24">
        <f t="shared" si="67"/>
        <v>9.3682159126517783E-2</v>
      </c>
      <c r="I135" s="24">
        <f t="shared" si="67"/>
        <v>7.5854471856102279E-2</v>
      </c>
      <c r="J135" s="24">
        <f t="shared" si="67"/>
        <v>9.2806609487813052E-2</v>
      </c>
      <c r="K135" s="24">
        <f t="shared" si="67"/>
        <v>7.0773190895778715E-2</v>
      </c>
      <c r="L135" s="24">
        <f t="shared" si="67"/>
        <v>8.9357271740840627E-2</v>
      </c>
      <c r="M135" s="24">
        <f t="shared" si="67"/>
        <v>6.4186228321023719E-2</v>
      </c>
      <c r="N135" s="19"/>
      <c r="O135" s="24">
        <f t="shared" ref="O135:S140" si="68">O127/O151-1</f>
        <v>8.7030655866265683E-2</v>
      </c>
      <c r="P135" s="24">
        <f t="shared" si="68"/>
        <v>5.8813801506729213E-2</v>
      </c>
      <c r="Q135" s="24">
        <f t="shared" si="68"/>
        <v>8.7051784527587772E-2</v>
      </c>
      <c r="R135" s="24">
        <f t="shared" si="68"/>
        <v>7.4679677879667228E-2</v>
      </c>
      <c r="S135" s="24">
        <f t="shared" si="68"/>
        <v>7.7049702896005767E-2</v>
      </c>
    </row>
    <row r="136" spans="1:19">
      <c r="A136" s="474" t="s">
        <v>25</v>
      </c>
      <c r="B136" s="24">
        <f t="shared" ref="B136:M136" si="69">B128/B152-1</f>
        <v>0.17269938771923088</v>
      </c>
      <c r="C136" s="24">
        <f t="shared" si="69"/>
        <v>0.12001610747894853</v>
      </c>
      <c r="D136" s="24">
        <f t="shared" si="69"/>
        <v>5.5317828425083926E-2</v>
      </c>
      <c r="E136" s="24">
        <f t="shared" si="69"/>
        <v>1.8237478017325559E-2</v>
      </c>
      <c r="F136" s="24">
        <f t="shared" si="69"/>
        <v>7.8394822498923933E-2</v>
      </c>
      <c r="G136" s="24">
        <f t="shared" si="69"/>
        <v>8.0260945363200831E-2</v>
      </c>
      <c r="H136" s="24">
        <f t="shared" si="69"/>
        <v>8.5713321332133274E-2</v>
      </c>
      <c r="I136" s="24">
        <f t="shared" si="69"/>
        <v>6.8558106621714687E-2</v>
      </c>
      <c r="J136" s="24">
        <f t="shared" si="69"/>
        <v>6.6637380461595619E-2</v>
      </c>
      <c r="K136" s="24">
        <f t="shared" si="69"/>
        <v>4.6430215563670219E-2</v>
      </c>
      <c r="L136" s="24">
        <f t="shared" si="69"/>
        <v>7.3515901754787505E-2</v>
      </c>
      <c r="M136" s="24">
        <f t="shared" si="69"/>
        <v>6.9042289469790852E-2</v>
      </c>
      <c r="N136" s="19"/>
      <c r="O136" s="24">
        <f t="shared" si="68"/>
        <v>0.11389572611322429</v>
      </c>
      <c r="P136" s="24">
        <f t="shared" si="68"/>
        <v>5.8526965590608437E-2</v>
      </c>
      <c r="Q136" s="24">
        <f t="shared" si="68"/>
        <v>7.3705660599257428E-2</v>
      </c>
      <c r="R136" s="24">
        <f t="shared" si="68"/>
        <v>6.2617906510466392E-2</v>
      </c>
      <c r="S136" s="24">
        <f t="shared" si="68"/>
        <v>7.6547771594210889E-2</v>
      </c>
    </row>
    <row r="137" spans="1:19">
      <c r="A137" s="474" t="s">
        <v>172</v>
      </c>
      <c r="B137" s="24">
        <f t="shared" ref="B137:M137" si="70">B129/B153-1</f>
        <v>9.6655111162044616E-2</v>
      </c>
      <c r="C137" s="24">
        <f t="shared" si="70"/>
        <v>5.4871064174559114E-2</v>
      </c>
      <c r="D137" s="24">
        <f t="shared" si="70"/>
        <v>-2.0999012422683094E-2</v>
      </c>
      <c r="E137" s="24">
        <f t="shared" si="70"/>
        <v>-1.0496785191747571E-2</v>
      </c>
      <c r="F137" s="24">
        <f t="shared" si="70"/>
        <v>4.2411728267602866E-2</v>
      </c>
      <c r="G137" s="24">
        <f t="shared" si="70"/>
        <v>6.5034166998940712E-3</v>
      </c>
      <c r="H137" s="24">
        <f t="shared" si="70"/>
        <v>6.8148519686910047E-2</v>
      </c>
      <c r="I137" s="24">
        <f t="shared" si="70"/>
        <v>6.0497597116539792E-2</v>
      </c>
      <c r="J137" s="24">
        <f t="shared" si="70"/>
        <v>5.7110646722393188E-2</v>
      </c>
      <c r="K137" s="24">
        <f t="shared" si="70"/>
        <v>1.2883174173496714E-2</v>
      </c>
      <c r="L137" s="24">
        <f t="shared" si="70"/>
        <v>3.357608488121544E-2</v>
      </c>
      <c r="M137" s="24">
        <f t="shared" si="70"/>
        <v>5.4026124338624193E-2</v>
      </c>
      <c r="N137" s="19"/>
      <c r="O137" s="24">
        <f t="shared" si="68"/>
        <v>4.1489809938172639E-2</v>
      </c>
      <c r="P137" s="24">
        <f t="shared" si="68"/>
        <v>1.2607163160886836E-2</v>
      </c>
      <c r="Q137" s="24">
        <f t="shared" si="68"/>
        <v>6.1956821555071873E-2</v>
      </c>
      <c r="R137" s="24">
        <f t="shared" si="68"/>
        <v>3.2836204452006301E-2</v>
      </c>
      <c r="S137" s="24">
        <f t="shared" si="68"/>
        <v>3.7422925804810214E-2</v>
      </c>
    </row>
    <row r="138" spans="1:19">
      <c r="A138" s="513" t="s">
        <v>196</v>
      </c>
      <c r="B138" s="518">
        <f t="shared" ref="B138:M138" si="71">B130/B154-1</f>
        <v>0.13383329471969896</v>
      </c>
      <c r="C138" s="518">
        <f t="shared" si="71"/>
        <v>9.6001179929853242E-2</v>
      </c>
      <c r="D138" s="518">
        <f t="shared" si="71"/>
        <v>2.2957954588105789E-2</v>
      </c>
      <c r="E138" s="518">
        <f t="shared" si="71"/>
        <v>1.0724932040034663E-2</v>
      </c>
      <c r="F138" s="518">
        <f t="shared" si="71"/>
        <v>6.4833978047008411E-2</v>
      </c>
      <c r="G138" s="518">
        <f t="shared" si="71"/>
        <v>6.1572256140906001E-2</v>
      </c>
      <c r="H138" s="518">
        <f t="shared" si="71"/>
        <v>8.3927165452425623E-2</v>
      </c>
      <c r="I138" s="518">
        <f t="shared" si="71"/>
        <v>6.9207359627862619E-2</v>
      </c>
      <c r="J138" s="518">
        <f t="shared" si="71"/>
        <v>7.4095831991643379E-2</v>
      </c>
      <c r="K138" s="518">
        <f t="shared" si="71"/>
        <v>4.6133486920726385E-2</v>
      </c>
      <c r="L138" s="518">
        <f t="shared" si="71"/>
        <v>6.811391005397005E-2</v>
      </c>
      <c r="M138" s="518">
        <f t="shared" si="71"/>
        <v>6.2867074501964826E-2</v>
      </c>
      <c r="N138" s="28"/>
      <c r="O138" s="518">
        <f t="shared" si="68"/>
        <v>8.2219900245160238E-2</v>
      </c>
      <c r="P138" s="518">
        <f t="shared" si="68"/>
        <v>4.5408841367754471E-2</v>
      </c>
      <c r="Q138" s="518">
        <f t="shared" si="68"/>
        <v>7.5644677849300734E-2</v>
      </c>
      <c r="R138" s="518">
        <f t="shared" si="68"/>
        <v>5.8685591835230033E-2</v>
      </c>
      <c r="S138" s="518">
        <f t="shared" si="68"/>
        <v>6.5477255383125765E-2</v>
      </c>
    </row>
    <row r="139" spans="1:19">
      <c r="A139" s="474" t="s">
        <v>181</v>
      </c>
      <c r="B139" s="515">
        <f t="shared" ref="B139:M139" si="72">B131/B155-1</f>
        <v>0.12495320945058985</v>
      </c>
      <c r="C139" s="515">
        <f t="shared" si="72"/>
        <v>0.11352437748919963</v>
      </c>
      <c r="D139" s="515">
        <f t="shared" si="72"/>
        <v>1.5329175500516268E-2</v>
      </c>
      <c r="E139" s="515">
        <f t="shared" si="72"/>
        <v>2.2237404751953127E-2</v>
      </c>
      <c r="F139" s="515">
        <f t="shared" si="72"/>
        <v>6.2499393005480908E-2</v>
      </c>
      <c r="G139" s="515">
        <f t="shared" si="72"/>
        <v>7.4803819353795431E-2</v>
      </c>
      <c r="H139" s="515">
        <f t="shared" si="72"/>
        <v>0.11057535756330927</v>
      </c>
      <c r="I139" s="515">
        <f t="shared" si="72"/>
        <v>6.6634408618308605E-2</v>
      </c>
      <c r="J139" s="515">
        <f t="shared" si="72"/>
        <v>6.0578323143023916E-2</v>
      </c>
      <c r="K139" s="515">
        <f t="shared" si="72"/>
        <v>-8.3351967715744602E-3</v>
      </c>
      <c r="L139" s="515">
        <f t="shared" si="72"/>
        <v>-0.2313560777679472</v>
      </c>
      <c r="M139" s="515">
        <f t="shared" si="72"/>
        <v>-0.25492850438543113</v>
      </c>
      <c r="N139" s="21"/>
      <c r="O139" s="515">
        <f t="shared" si="68"/>
        <v>-1</v>
      </c>
      <c r="P139" s="515">
        <f t="shared" si="68"/>
        <v>-1</v>
      </c>
      <c r="Q139" s="515">
        <f t="shared" si="68"/>
        <v>-1</v>
      </c>
      <c r="R139" s="515">
        <f t="shared" si="68"/>
        <v>-1</v>
      </c>
      <c r="S139" s="515">
        <f t="shared" si="68"/>
        <v>-1</v>
      </c>
    </row>
    <row r="140" spans="1:19" s="489" customFormat="1">
      <c r="A140" s="516" t="s">
        <v>197</v>
      </c>
      <c r="B140" s="517">
        <f t="shared" ref="B140:M140" si="73">B132/B156-1</f>
        <v>0.13204909399359188</v>
      </c>
      <c r="C140" s="517">
        <f t="shared" si="73"/>
        <v>9.9569701375633812E-2</v>
      </c>
      <c r="D140" s="517">
        <f t="shared" si="73"/>
        <v>2.1442738031150155E-2</v>
      </c>
      <c r="E140" s="517">
        <f t="shared" si="73"/>
        <v>1.2954648766120291E-2</v>
      </c>
      <c r="F140" s="517">
        <f t="shared" si="73"/>
        <v>6.4378151717302767E-2</v>
      </c>
      <c r="G140" s="517">
        <f t="shared" si="73"/>
        <v>6.4113996255862116E-2</v>
      </c>
      <c r="H140" s="517">
        <f t="shared" si="73"/>
        <v>8.9011600520570333E-2</v>
      </c>
      <c r="I140" s="517">
        <f t="shared" si="73"/>
        <v>6.872346246196015E-2</v>
      </c>
      <c r="J140" s="517">
        <f t="shared" si="73"/>
        <v>7.1469839475884145E-2</v>
      </c>
      <c r="K140" s="517">
        <f t="shared" si="73"/>
        <v>3.5537384555467622E-2</v>
      </c>
      <c r="L140" s="517">
        <f t="shared" si="73"/>
        <v>9.7845603986164154E-3</v>
      </c>
      <c r="M140" s="517">
        <f t="shared" si="73"/>
        <v>1.9481540473411663E-3</v>
      </c>
      <c r="N140" s="47"/>
      <c r="O140" s="517">
        <f t="shared" si="68"/>
        <v>8.2374185583134363E-2</v>
      </c>
      <c r="P140" s="517">
        <f t="shared" si="68"/>
        <v>4.6845108932754398E-2</v>
      </c>
      <c r="Q140" s="517">
        <f t="shared" si="68"/>
        <v>7.6347997511240884E-2</v>
      </c>
      <c r="R140" s="517">
        <f t="shared" si="68"/>
        <v>1.6335049692405734E-2</v>
      </c>
      <c r="S140" s="517">
        <f t="shared" si="68"/>
        <v>5.5380535523624985E-2</v>
      </c>
    </row>
    <row r="141" spans="1:19">
      <c r="A141" s="474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508"/>
      <c r="O141" s="483"/>
      <c r="P141" s="19"/>
      <c r="Q141" s="19"/>
      <c r="R141" s="19"/>
    </row>
    <row r="142" spans="1:19">
      <c r="A142" s="504" t="s">
        <v>185</v>
      </c>
      <c r="B142" s="488"/>
      <c r="C142" s="488"/>
      <c r="D142" s="488"/>
      <c r="E142" s="488"/>
      <c r="F142" s="488"/>
      <c r="G142" s="488"/>
      <c r="H142" s="488"/>
      <c r="I142" s="488"/>
      <c r="J142" s="488"/>
      <c r="K142" s="488"/>
      <c r="L142" s="488"/>
      <c r="M142" s="488"/>
      <c r="N142" s="488"/>
      <c r="O142" s="488"/>
      <c r="P142" s="488"/>
      <c r="Q142" s="488"/>
      <c r="R142" s="488"/>
    </row>
    <row r="143" spans="1:19">
      <c r="A143" s="474" t="s">
        <v>22</v>
      </c>
      <c r="B143" s="483">
        <f t="shared" ref="B143:B148" si="74">B127/M151-1</f>
        <v>3.8312382990104421E-2</v>
      </c>
      <c r="C143" s="483">
        <f t="shared" ref="C143:M143" si="75">C127/B127-1</f>
        <v>2.9565527524185509E-2</v>
      </c>
      <c r="D143" s="483">
        <f t="shared" si="75"/>
        <v>-8.8941021604499459E-3</v>
      </c>
      <c r="E143" s="483">
        <f t="shared" si="75"/>
        <v>-2.4338218517745425E-2</v>
      </c>
      <c r="F143" s="483">
        <f t="shared" si="75"/>
        <v>4.1934806556163329E-2</v>
      </c>
      <c r="G143" s="483">
        <f t="shared" si="75"/>
        <v>-1.8545295485063895E-2</v>
      </c>
      <c r="H143" s="483">
        <f t="shared" si="75"/>
        <v>0.13098361293838323</v>
      </c>
      <c r="I143" s="483">
        <f t="shared" si="75"/>
        <v>5.3749470851215397E-2</v>
      </c>
      <c r="J143" s="483">
        <f t="shared" si="75"/>
        <v>-0.11611363959259058</v>
      </c>
      <c r="K143" s="483">
        <f t="shared" si="75"/>
        <v>5.4455024812749553E-2</v>
      </c>
      <c r="L143" s="483">
        <f t="shared" si="75"/>
        <v>-6.593771463814635E-2</v>
      </c>
      <c r="M143" s="483">
        <f t="shared" si="75"/>
        <v>-2.9687926459705638E-2</v>
      </c>
      <c r="N143" s="488"/>
      <c r="O143" s="19"/>
      <c r="P143" s="19"/>
      <c r="Q143" s="19"/>
      <c r="R143" s="19"/>
    </row>
    <row r="144" spans="1:19">
      <c r="A144" s="474" t="s">
        <v>25</v>
      </c>
      <c r="B144" s="483">
        <f t="shared" si="74"/>
        <v>6.7318667915981623E-2</v>
      </c>
      <c r="C144" s="483">
        <f t="shared" ref="C144:I148" si="76">C128/B128-1</f>
        <v>-1.578958637842498E-2</v>
      </c>
      <c r="D144" s="483">
        <f t="shared" si="76"/>
        <v>1.63131221760906E-2</v>
      </c>
      <c r="E144" s="483">
        <f t="shared" si="76"/>
        <v>-1.3683073210356667E-2</v>
      </c>
      <c r="F144" s="483">
        <f t="shared" si="76"/>
        <v>3.618033281245725E-2</v>
      </c>
      <c r="G144" s="483">
        <f t="shared" si="76"/>
        <v>-1.7717572718994767E-2</v>
      </c>
      <c r="H144" s="483">
        <f t="shared" si="76"/>
        <v>8.297177487234153E-2</v>
      </c>
      <c r="I144" s="483">
        <f t="shared" si="76"/>
        <v>3.5926058724411458E-2</v>
      </c>
      <c r="J144" s="483">
        <f>J128/I129-1</f>
        <v>4.3003139087540498E-2</v>
      </c>
      <c r="K144" s="483">
        <f t="shared" ref="K144:M148" si="77">K128/J128-1</f>
        <v>5.9615079993663889E-2</v>
      </c>
      <c r="L144" s="483">
        <f t="shared" si="77"/>
        <v>-3.7975075519829482E-2</v>
      </c>
      <c r="M144" s="483">
        <f t="shared" si="77"/>
        <v>-1.3491389596479331E-2</v>
      </c>
      <c r="N144" s="488"/>
      <c r="O144" s="19"/>
      <c r="P144" s="19"/>
      <c r="Q144" s="19"/>
      <c r="R144" s="19"/>
    </row>
    <row r="145" spans="1:19">
      <c r="A145" s="474" t="s">
        <v>172</v>
      </c>
      <c r="B145" s="483">
        <f t="shared" si="74"/>
        <v>5.4829420194003387E-2</v>
      </c>
      <c r="C145" s="483">
        <f t="shared" si="76"/>
        <v>-1.3601932198032074E-2</v>
      </c>
      <c r="D145" s="483">
        <f t="shared" si="76"/>
        <v>-2.304208491140658E-3</v>
      </c>
      <c r="E145" s="483">
        <f t="shared" si="76"/>
        <v>-2.1542341385718089E-2</v>
      </c>
      <c r="F145" s="483">
        <f t="shared" si="76"/>
        <v>2.7252872471750234E-2</v>
      </c>
      <c r="G145" s="483">
        <f t="shared" si="76"/>
        <v>-3.3304281224414423E-2</v>
      </c>
      <c r="H145" s="483">
        <f t="shared" si="76"/>
        <v>0.10545871810283591</v>
      </c>
      <c r="I145" s="483">
        <f t="shared" si="76"/>
        <v>4.7130641095348702E-2</v>
      </c>
      <c r="J145" s="483">
        <f>J129/I129-1</f>
        <v>-9.2614883523330693E-2</v>
      </c>
      <c r="K145" s="483">
        <f t="shared" si="77"/>
        <v>5.1137989335414247E-2</v>
      </c>
      <c r="L145" s="483">
        <f t="shared" si="77"/>
        <v>-6.2285021405062979E-2</v>
      </c>
      <c r="M145" s="483">
        <f t="shared" si="77"/>
        <v>9.3550430147253394E-3</v>
      </c>
      <c r="N145" s="488"/>
      <c r="O145" s="19"/>
      <c r="P145" s="19"/>
      <c r="Q145" s="19"/>
      <c r="R145" s="19"/>
    </row>
    <row r="146" spans="1:19">
      <c r="A146" s="513" t="s">
        <v>196</v>
      </c>
      <c r="B146" s="519">
        <f t="shared" si="74"/>
        <v>5.2586319712772944E-2</v>
      </c>
      <c r="C146" s="519">
        <f t="shared" si="76"/>
        <v>2.0354618853284379E-3</v>
      </c>
      <c r="D146" s="519">
        <f t="shared" si="76"/>
        <v>1.2235194627310264E-3</v>
      </c>
      <c r="E146" s="519">
        <f t="shared" si="76"/>
        <v>-2.0008775811706347E-2</v>
      </c>
      <c r="F146" s="519">
        <f t="shared" si="76"/>
        <v>3.5875356012431414E-2</v>
      </c>
      <c r="G146" s="519">
        <f t="shared" si="76"/>
        <v>-2.2390316584545378E-2</v>
      </c>
      <c r="H146" s="519">
        <f t="shared" si="76"/>
        <v>0.10779521113051871</v>
      </c>
      <c r="I146" s="519">
        <f t="shared" si="76"/>
        <v>4.6068301148387114E-2</v>
      </c>
      <c r="J146" s="519">
        <f>J130/I130-1</f>
        <v>-0.10955209809150768</v>
      </c>
      <c r="K146" s="519">
        <f t="shared" si="77"/>
        <v>5.5189914698153153E-2</v>
      </c>
      <c r="L146" s="519">
        <f t="shared" si="77"/>
        <v>-5.5841534759552891E-2</v>
      </c>
      <c r="M146" s="519">
        <f t="shared" si="77"/>
        <v>-1.3474416297005187E-2</v>
      </c>
      <c r="O146" s="151"/>
      <c r="P146" s="151"/>
      <c r="Q146" s="151"/>
      <c r="R146" s="151"/>
    </row>
    <row r="147" spans="1:19">
      <c r="A147" s="474" t="s">
        <v>181</v>
      </c>
      <c r="B147" s="483">
        <f t="shared" si="74"/>
        <v>0.10726759549003284</v>
      </c>
      <c r="C147" s="483">
        <f t="shared" si="76"/>
        <v>4.3561202043455927E-2</v>
      </c>
      <c r="D147" s="483">
        <f t="shared" si="76"/>
        <v>-5.2011178745954734E-2</v>
      </c>
      <c r="E147" s="483">
        <f t="shared" si="76"/>
        <v>-3.2202930666066054E-2</v>
      </c>
      <c r="F147" s="483">
        <f t="shared" si="76"/>
        <v>3.2264862170207964E-2</v>
      </c>
      <c r="G147" s="483">
        <f t="shared" si="76"/>
        <v>-2.7856065568775623E-2</v>
      </c>
      <c r="H147" s="483">
        <f t="shared" si="76"/>
        <v>0.11169441723800189</v>
      </c>
      <c r="I147" s="483">
        <f t="shared" si="76"/>
        <v>5.7795319988729332E-4</v>
      </c>
      <c r="J147" s="483">
        <f>J131/I131-1</f>
        <v>-8.2605204209577177E-2</v>
      </c>
      <c r="K147" s="483">
        <f t="shared" si="77"/>
        <v>1.4744093762669497E-2</v>
      </c>
      <c r="L147" s="483">
        <f t="shared" si="77"/>
        <v>-0.28214208424324705</v>
      </c>
      <c r="M147" s="483">
        <f t="shared" si="77"/>
        <v>-5.7827230870422963E-2</v>
      </c>
      <c r="N147" s="484"/>
      <c r="O147" s="484"/>
      <c r="P147" s="484"/>
      <c r="Q147" s="484"/>
      <c r="R147" s="484"/>
    </row>
    <row r="148" spans="1:19">
      <c r="A148" s="513" t="s">
        <v>197</v>
      </c>
      <c r="B148" s="519">
        <f t="shared" si="74"/>
        <v>6.3068291491910067E-2</v>
      </c>
      <c r="C148" s="519">
        <f t="shared" si="76"/>
        <v>1.0326581018162306E-2</v>
      </c>
      <c r="D148" s="519">
        <f t="shared" si="76"/>
        <v>-9.7550742900158749E-3</v>
      </c>
      <c r="E148" s="519">
        <f t="shared" si="76"/>
        <v>-2.2416264276463815E-2</v>
      </c>
      <c r="F148" s="519">
        <f t="shared" si="76"/>
        <v>3.5169673341472363E-2</v>
      </c>
      <c r="G148" s="519">
        <f t="shared" si="76"/>
        <v>-2.3455617085083924E-2</v>
      </c>
      <c r="H148" s="519">
        <f t="shared" si="76"/>
        <v>0.10855176041509895</v>
      </c>
      <c r="I148" s="519">
        <f t="shared" si="76"/>
        <v>3.7216946536158924E-2</v>
      </c>
      <c r="J148" s="519">
        <f>J132/I132-1</f>
        <v>-0.10449407836037772</v>
      </c>
      <c r="K148" s="519">
        <f t="shared" si="77"/>
        <v>4.7412535539173684E-2</v>
      </c>
      <c r="L148" s="519">
        <f t="shared" si="77"/>
        <v>-9.7999922186930766E-2</v>
      </c>
      <c r="M148" s="519">
        <f t="shared" si="77"/>
        <v>-2.0050260052010382E-2</v>
      </c>
      <c r="N148" s="484"/>
      <c r="O148" s="484"/>
      <c r="P148" s="484"/>
      <c r="Q148" s="484"/>
      <c r="R148" s="484"/>
    </row>
    <row r="150" spans="1:19">
      <c r="A150" s="471" t="s">
        <v>161</v>
      </c>
      <c r="B150" s="472" t="s">
        <v>51</v>
      </c>
      <c r="C150" s="472" t="s">
        <v>52</v>
      </c>
      <c r="D150" s="472" t="s">
        <v>53</v>
      </c>
      <c r="E150" s="472" t="s">
        <v>54</v>
      </c>
      <c r="F150" s="472" t="s">
        <v>55</v>
      </c>
      <c r="G150" s="472" t="s">
        <v>77</v>
      </c>
      <c r="H150" s="472" t="s">
        <v>78</v>
      </c>
      <c r="I150" s="472" t="s">
        <v>79</v>
      </c>
      <c r="J150" s="472" t="s">
        <v>80</v>
      </c>
      <c r="K150" s="472" t="s">
        <v>81</v>
      </c>
      <c r="L150" s="472" t="s">
        <v>82</v>
      </c>
      <c r="M150" s="472" t="s">
        <v>44</v>
      </c>
      <c r="N150" s="473" t="s">
        <v>133</v>
      </c>
      <c r="O150" s="473" t="s">
        <v>129</v>
      </c>
      <c r="P150" s="473" t="s">
        <v>130</v>
      </c>
      <c r="Q150" s="473" t="s">
        <v>131</v>
      </c>
      <c r="R150" s="473" t="s">
        <v>132</v>
      </c>
      <c r="S150" s="445" t="s">
        <v>171</v>
      </c>
    </row>
    <row r="151" spans="1:19">
      <c r="A151" s="474" t="s">
        <v>22</v>
      </c>
      <c r="B151" s="34">
        <v>8932.89</v>
      </c>
      <c r="C151" s="15">
        <v>9384.2099999999991</v>
      </c>
      <c r="D151" s="34">
        <v>10004.07</v>
      </c>
      <c r="E151" s="34">
        <v>9850.02</v>
      </c>
      <c r="F151" s="15">
        <v>9787.2199999999993</v>
      </c>
      <c r="G151" s="15">
        <v>9448.2800000000007</v>
      </c>
      <c r="H151" s="15">
        <v>10626.89</v>
      </c>
      <c r="I151" s="15">
        <v>11383.64</v>
      </c>
      <c r="J151" s="15">
        <v>9905.76</v>
      </c>
      <c r="K151" s="15">
        <v>10660.11</v>
      </c>
      <c r="L151" s="15">
        <v>9787.34</v>
      </c>
      <c r="M151" s="15">
        <v>9721.4</v>
      </c>
      <c r="N151" s="15"/>
      <c r="O151" s="15">
        <f t="shared" ref="O151:O156" si="78">SUM(B151:D151)</f>
        <v>28321.17</v>
      </c>
      <c r="P151" s="15">
        <f t="shared" ref="P151:P156" si="79">SUM(E151:G151)</f>
        <v>29085.519999999997</v>
      </c>
      <c r="Q151" s="15">
        <f t="shared" ref="Q151:Q156" si="80">SUM(H151:J151)</f>
        <v>31916.29</v>
      </c>
      <c r="R151" s="15">
        <f t="shared" ref="R151:R156" si="81">SUM(K151:M151)</f>
        <v>30168.85</v>
      </c>
      <c r="S151" s="1">
        <f t="shared" ref="S151:S156" si="82">SUM(O151:R151)</f>
        <v>119491.82999999999</v>
      </c>
    </row>
    <row r="152" spans="1:19">
      <c r="A152" s="474" t="s">
        <v>25</v>
      </c>
      <c r="B152" s="15">
        <v>7566.79</v>
      </c>
      <c r="C152" s="15">
        <v>7797.62</v>
      </c>
      <c r="D152" s="15">
        <v>8410.67</v>
      </c>
      <c r="E152" s="15">
        <v>8597.68</v>
      </c>
      <c r="F152" s="15">
        <v>8411.7800000000007</v>
      </c>
      <c r="G152" s="15">
        <v>8248.4699999999993</v>
      </c>
      <c r="H152" s="15">
        <v>8888</v>
      </c>
      <c r="I152" s="475">
        <v>9355.1299999999992</v>
      </c>
      <c r="J152" s="475">
        <v>8286.0400000000009</v>
      </c>
      <c r="K152" s="15">
        <v>8949.56</v>
      </c>
      <c r="L152" s="15">
        <v>8392.4699999999993</v>
      </c>
      <c r="M152" s="15">
        <v>8313.89</v>
      </c>
      <c r="N152" s="15"/>
      <c r="O152" s="15">
        <f t="shared" si="78"/>
        <v>23775.08</v>
      </c>
      <c r="P152" s="15">
        <f t="shared" si="79"/>
        <v>25257.93</v>
      </c>
      <c r="Q152" s="15">
        <f t="shared" si="80"/>
        <v>26529.17</v>
      </c>
      <c r="R152" s="15">
        <f t="shared" si="81"/>
        <v>25655.919999999998</v>
      </c>
      <c r="S152" s="1">
        <f t="shared" si="82"/>
        <v>101218.09999999999</v>
      </c>
    </row>
    <row r="153" spans="1:19">
      <c r="A153" s="474" t="s">
        <v>172</v>
      </c>
      <c r="B153" s="15">
        <f>14139.4-C153</f>
        <v>6980.7999999999993</v>
      </c>
      <c r="C153" s="15">
        <v>7158.6</v>
      </c>
      <c r="D153" s="15">
        <v>7695.6</v>
      </c>
      <c r="E153" s="15">
        <v>7449.9</v>
      </c>
      <c r="F153" s="15">
        <v>7264.5</v>
      </c>
      <c r="G153" s="15">
        <v>7273.1</v>
      </c>
      <c r="H153" s="15">
        <v>7576.1</v>
      </c>
      <c r="I153" s="15">
        <v>7990.4</v>
      </c>
      <c r="J153" s="15">
        <v>7273.6</v>
      </c>
      <c r="K153" s="15">
        <v>7979.4</v>
      </c>
      <c r="L153" s="15">
        <v>7332.6</v>
      </c>
      <c r="M153" s="15">
        <v>7257.6</v>
      </c>
      <c r="N153" s="15"/>
      <c r="O153" s="15">
        <f t="shared" si="78"/>
        <v>21835</v>
      </c>
      <c r="P153" s="15">
        <f t="shared" si="79"/>
        <v>21987.5</v>
      </c>
      <c r="Q153" s="15">
        <f t="shared" si="80"/>
        <v>22840.1</v>
      </c>
      <c r="R153" s="15">
        <f t="shared" si="81"/>
        <v>22569.599999999999</v>
      </c>
      <c r="S153" s="1">
        <f t="shared" si="82"/>
        <v>89232.200000000012</v>
      </c>
    </row>
    <row r="154" spans="1:19">
      <c r="A154" s="513" t="s">
        <v>196</v>
      </c>
      <c r="B154" s="45">
        <f t="shared" ref="B154:N154" si="83">SUM(B151:B153)</f>
        <v>23480.48</v>
      </c>
      <c r="C154" s="45">
        <f t="shared" si="83"/>
        <v>24340.43</v>
      </c>
      <c r="D154" s="45">
        <f t="shared" si="83"/>
        <v>26110.339999999997</v>
      </c>
      <c r="E154" s="45">
        <f t="shared" si="83"/>
        <v>25897.599999999999</v>
      </c>
      <c r="F154" s="45">
        <f t="shared" si="83"/>
        <v>25463.5</v>
      </c>
      <c r="G154" s="45">
        <f t="shared" si="83"/>
        <v>24969.85</v>
      </c>
      <c r="H154" s="45">
        <f t="shared" si="83"/>
        <v>27090.989999999998</v>
      </c>
      <c r="I154" s="45">
        <f t="shared" si="83"/>
        <v>28729.17</v>
      </c>
      <c r="J154" s="45">
        <f t="shared" si="83"/>
        <v>25465.4</v>
      </c>
      <c r="K154" s="45">
        <f t="shared" si="83"/>
        <v>27589.07</v>
      </c>
      <c r="L154" s="45">
        <f t="shared" si="83"/>
        <v>25512.409999999996</v>
      </c>
      <c r="M154" s="45">
        <f t="shared" si="83"/>
        <v>25292.89</v>
      </c>
      <c r="N154" s="45">
        <f t="shared" si="83"/>
        <v>0</v>
      </c>
      <c r="O154" s="21">
        <f t="shared" si="78"/>
        <v>73931.25</v>
      </c>
      <c r="P154" s="21">
        <f t="shared" si="79"/>
        <v>76330.95</v>
      </c>
      <c r="Q154" s="21">
        <f t="shared" si="80"/>
        <v>81285.56</v>
      </c>
      <c r="R154" s="21">
        <f t="shared" si="81"/>
        <v>78394.37</v>
      </c>
      <c r="S154" s="44">
        <f t="shared" si="82"/>
        <v>309942.13</v>
      </c>
    </row>
    <row r="155" spans="1:19">
      <c r="A155" s="474" t="s">
        <v>181</v>
      </c>
      <c r="B155" s="15">
        <v>5903.97</v>
      </c>
      <c r="C155" s="15">
        <v>6224.39</v>
      </c>
      <c r="D155" s="15">
        <v>6471.32</v>
      </c>
      <c r="E155" s="15">
        <v>6220.6</v>
      </c>
      <c r="F155" s="15">
        <v>6177.98</v>
      </c>
      <c r="G155" s="15">
        <v>5937.13</v>
      </c>
      <c r="H155" s="15">
        <v>6387.68</v>
      </c>
      <c r="I155" s="15">
        <v>6654.67</v>
      </c>
      <c r="J155" s="15">
        <v>6139.82</v>
      </c>
      <c r="K155" s="15">
        <v>6663.31</v>
      </c>
      <c r="L155" s="15">
        <v>6171.18</v>
      </c>
      <c r="M155" s="21">
        <v>5998.27</v>
      </c>
      <c r="N155" s="21"/>
      <c r="O155" s="15">
        <f t="shared" si="78"/>
        <v>18599.68</v>
      </c>
      <c r="P155" s="15">
        <f t="shared" si="79"/>
        <v>18335.71</v>
      </c>
      <c r="Q155" s="15">
        <f t="shared" si="80"/>
        <v>19182.169999999998</v>
      </c>
      <c r="R155" s="15">
        <f t="shared" si="81"/>
        <v>18832.760000000002</v>
      </c>
      <c r="S155" s="1">
        <f t="shared" si="82"/>
        <v>74950.320000000007</v>
      </c>
    </row>
    <row r="156" spans="1:19">
      <c r="A156" s="513" t="s">
        <v>197</v>
      </c>
      <c r="B156" s="45">
        <f t="shared" ref="B156:N156" si="84">B155+B154</f>
        <v>29384.45</v>
      </c>
      <c r="C156" s="45">
        <f t="shared" si="84"/>
        <v>30564.82</v>
      </c>
      <c r="D156" s="45">
        <f t="shared" si="84"/>
        <v>32581.659999999996</v>
      </c>
      <c r="E156" s="45">
        <f t="shared" si="84"/>
        <v>32118.199999999997</v>
      </c>
      <c r="F156" s="45">
        <f t="shared" si="84"/>
        <v>31641.48</v>
      </c>
      <c r="G156" s="45">
        <f t="shared" si="84"/>
        <v>30906.98</v>
      </c>
      <c r="H156" s="45">
        <f t="shared" si="84"/>
        <v>33478.67</v>
      </c>
      <c r="I156" s="45">
        <f t="shared" si="84"/>
        <v>35383.839999999997</v>
      </c>
      <c r="J156" s="45">
        <f t="shared" si="84"/>
        <v>31605.22</v>
      </c>
      <c r="K156" s="45">
        <f t="shared" si="84"/>
        <v>34252.379999999997</v>
      </c>
      <c r="L156" s="45">
        <f t="shared" si="84"/>
        <v>31683.589999999997</v>
      </c>
      <c r="M156" s="45">
        <f t="shared" si="84"/>
        <v>31291.16</v>
      </c>
      <c r="N156" s="45">
        <f t="shared" si="84"/>
        <v>0</v>
      </c>
      <c r="O156" s="21">
        <f t="shared" si="78"/>
        <v>92530.93</v>
      </c>
      <c r="P156" s="21">
        <f t="shared" si="79"/>
        <v>94666.659999999989</v>
      </c>
      <c r="Q156" s="21">
        <f t="shared" si="80"/>
        <v>100467.73</v>
      </c>
      <c r="R156" s="21">
        <f t="shared" si="81"/>
        <v>97227.13</v>
      </c>
      <c r="S156" s="44">
        <f t="shared" si="82"/>
        <v>384892.44999999995</v>
      </c>
    </row>
    <row r="157" spans="1:19">
      <c r="A157" s="474"/>
      <c r="B157" s="15"/>
      <c r="C157" s="15"/>
      <c r="D157" s="483"/>
      <c r="E157" s="483"/>
      <c r="F157" s="15"/>
      <c r="G157" s="483">
        <f>(F156+G156)/(F180+G180)-1</f>
        <v>0.10515246602955064</v>
      </c>
      <c r="H157" s="15"/>
      <c r="I157" s="15"/>
      <c r="J157" s="15"/>
      <c r="K157" s="15"/>
      <c r="L157" s="15"/>
      <c r="M157" s="15"/>
      <c r="N157" s="488"/>
      <c r="O157" s="15"/>
      <c r="P157" s="19"/>
      <c r="Q157" s="15"/>
      <c r="R157" s="15"/>
      <c r="S157" s="36"/>
    </row>
    <row r="158" spans="1:19">
      <c r="A158" s="504" t="s">
        <v>184</v>
      </c>
      <c r="B158" s="488"/>
      <c r="C158" s="488"/>
      <c r="D158" s="483"/>
      <c r="E158" s="488"/>
      <c r="F158" s="488"/>
      <c r="G158" s="488"/>
      <c r="H158" s="488"/>
      <c r="I158" s="488"/>
      <c r="J158" s="488"/>
      <c r="K158" s="488"/>
      <c r="L158" s="488"/>
      <c r="M158" s="488"/>
      <c r="N158" s="514"/>
      <c r="O158" s="488"/>
      <c r="P158" s="19"/>
      <c r="Q158" s="488"/>
      <c r="R158" s="488"/>
    </row>
    <row r="159" spans="1:19">
      <c r="A159" s="474" t="s">
        <v>22</v>
      </c>
      <c r="B159" s="24">
        <f t="shared" ref="B159:M159" si="85">B151/B175-1</f>
        <v>2.9533321654465317E-2</v>
      </c>
      <c r="C159" s="24">
        <f t="shared" si="85"/>
        <v>0.10582003723692557</v>
      </c>
      <c r="D159" s="24">
        <f t="shared" si="85"/>
        <v>0.14513487062378738</v>
      </c>
      <c r="E159" s="24">
        <f t="shared" si="85"/>
        <v>0.12671709621000593</v>
      </c>
      <c r="F159" s="24">
        <f t="shared" si="85"/>
        <v>0.10229599479217111</v>
      </c>
      <c r="G159" s="24">
        <f t="shared" si="85"/>
        <v>0.10644666424648408</v>
      </c>
      <c r="H159" s="24">
        <f t="shared" si="85"/>
        <v>0.10562828573301308</v>
      </c>
      <c r="I159" s="24">
        <f t="shared" si="85"/>
        <v>0.13655573981794955</v>
      </c>
      <c r="J159" s="24">
        <f t="shared" si="85"/>
        <v>9.44744605389638E-2</v>
      </c>
      <c r="K159" s="24">
        <f t="shared" si="85"/>
        <v>0.12251622156093434</v>
      </c>
      <c r="L159" s="24">
        <f t="shared" si="85"/>
        <v>6.5355962607707596E-2</v>
      </c>
      <c r="M159" s="24">
        <f t="shared" si="85"/>
        <v>5.7548689731397484E-2</v>
      </c>
      <c r="N159" s="19"/>
      <c r="O159" s="24">
        <f t="shared" ref="O159:S164" si="86">O151/O175-1</f>
        <v>9.3524110399672011E-2</v>
      </c>
      <c r="P159" s="24">
        <f t="shared" si="86"/>
        <v>0.11181182906882015</v>
      </c>
      <c r="Q159" s="24">
        <f t="shared" si="86"/>
        <v>0.11290964856978669</v>
      </c>
      <c r="R159" s="24">
        <f t="shared" si="86"/>
        <v>8.2254475456065457E-2</v>
      </c>
      <c r="S159" s="24">
        <f t="shared" si="86"/>
        <v>0.10015501737673249</v>
      </c>
    </row>
    <row r="160" spans="1:19">
      <c r="A160" s="474" t="s">
        <v>25</v>
      </c>
      <c r="B160" s="24">
        <f t="shared" ref="B160:M160" si="87">B152/B176-1</f>
        <v>3.893555784575331E-2</v>
      </c>
      <c r="C160" s="24">
        <f t="shared" si="87"/>
        <v>9.9858723751899969E-2</v>
      </c>
      <c r="D160" s="24">
        <f t="shared" si="87"/>
        <v>0.10027105588827046</v>
      </c>
      <c r="E160" s="24">
        <f t="shared" si="87"/>
        <v>0.14999853536256746</v>
      </c>
      <c r="F160" s="24">
        <f t="shared" si="87"/>
        <v>9.3235176996441238E-2</v>
      </c>
      <c r="G160" s="24">
        <f t="shared" si="87"/>
        <v>0.13213894539195747</v>
      </c>
      <c r="H160" s="24">
        <f t="shared" si="87"/>
        <v>9.0094708723455819E-2</v>
      </c>
      <c r="I160" s="24">
        <f t="shared" si="87"/>
        <v>0.1024387657099759</v>
      </c>
      <c r="J160" s="24">
        <f t="shared" si="87"/>
        <v>6.2946636513644405E-2</v>
      </c>
      <c r="K160" s="24">
        <f t="shared" si="87"/>
        <v>0.10480197703849381</v>
      </c>
      <c r="L160" s="24">
        <f t="shared" si="87"/>
        <v>6.7355898489862343E-2</v>
      </c>
      <c r="M160" s="24">
        <f t="shared" si="87"/>
        <v>8.5281062665302221E-2</v>
      </c>
      <c r="N160" s="19"/>
      <c r="O160" s="24">
        <f t="shared" si="86"/>
        <v>7.9848571902230381E-2</v>
      </c>
      <c r="P160" s="24">
        <f t="shared" si="86"/>
        <v>0.12475494163463963</v>
      </c>
      <c r="Q160" s="24">
        <f t="shared" si="86"/>
        <v>8.572063268103336E-2</v>
      </c>
      <c r="R160" s="24">
        <f t="shared" si="86"/>
        <v>8.600862985039659E-2</v>
      </c>
      <c r="S160" s="24">
        <f t="shared" si="86"/>
        <v>9.3870103588482134E-2</v>
      </c>
    </row>
    <row r="161" spans="1:19">
      <c r="A161" s="474" t="s">
        <v>172</v>
      </c>
      <c r="B161" s="24">
        <f t="shared" ref="B161:M161" si="88">B153/B177-1</f>
        <v>2.0808656869196307E-2</v>
      </c>
      <c r="C161" s="24">
        <f t="shared" si="88"/>
        <v>9.1616090762145941E-2</v>
      </c>
      <c r="D161" s="24">
        <f t="shared" si="88"/>
        <v>9.8884779597606665E-2</v>
      </c>
      <c r="E161" s="24">
        <f t="shared" si="88"/>
        <v>0.10197470601286884</v>
      </c>
      <c r="F161" s="24">
        <f t="shared" si="88"/>
        <v>5.9320180235356013E-2</v>
      </c>
      <c r="G161" s="24">
        <f t="shared" si="88"/>
        <v>0.10444474815118521</v>
      </c>
      <c r="H161" s="24">
        <f t="shared" si="88"/>
        <v>7.7390179041226581E-2</v>
      </c>
      <c r="I161" s="24">
        <f t="shared" si="88"/>
        <v>8.3737962837379554E-2</v>
      </c>
      <c r="J161" s="24">
        <f t="shared" si="88"/>
        <v>3.7455427185850931E-2</v>
      </c>
      <c r="K161" s="24">
        <f t="shared" si="88"/>
        <v>7.3538908621246346E-2</v>
      </c>
      <c r="L161" s="24">
        <f t="shared" si="88"/>
        <v>2.4463849109325864E-2</v>
      </c>
      <c r="M161" s="24">
        <f t="shared" si="88"/>
        <v>4.9635543214161748E-2</v>
      </c>
      <c r="N161" s="19"/>
      <c r="O161" s="24">
        <f t="shared" si="86"/>
        <v>7.0374618861339E-2</v>
      </c>
      <c r="P161" s="24">
        <f t="shared" si="86"/>
        <v>8.8301531912787334E-2</v>
      </c>
      <c r="Q161" s="24">
        <f t="shared" si="86"/>
        <v>6.650199151098013E-2</v>
      </c>
      <c r="R161" s="24">
        <f t="shared" si="86"/>
        <v>4.9519407385362424E-2</v>
      </c>
      <c r="S161" s="24">
        <f t="shared" si="86"/>
        <v>6.8348428885284029E-2</v>
      </c>
    </row>
    <row r="162" spans="1:19">
      <c r="A162" s="513" t="s">
        <v>196</v>
      </c>
      <c r="B162" s="518">
        <f t="shared" ref="B162:M162" si="89">B154/B178-1</f>
        <v>2.9919967029198746E-2</v>
      </c>
      <c r="C162" s="518">
        <f t="shared" si="89"/>
        <v>9.9702191088539616E-2</v>
      </c>
      <c r="D162" s="518">
        <f t="shared" si="89"/>
        <v>0.1166171943123826</v>
      </c>
      <c r="E162" s="518">
        <f t="shared" si="89"/>
        <v>0.1270124530750556</v>
      </c>
      <c r="F162" s="518">
        <f t="shared" si="89"/>
        <v>8.6742572841008281E-2</v>
      </c>
      <c r="G162" s="518">
        <f t="shared" si="89"/>
        <v>0.11421111861756672</v>
      </c>
      <c r="H162" s="518">
        <f t="shared" si="89"/>
        <v>9.2512990508913484E-2</v>
      </c>
      <c r="I162" s="518">
        <f t="shared" si="89"/>
        <v>0.11031638554328604</v>
      </c>
      <c r="J162" s="518">
        <f t="shared" si="89"/>
        <v>6.7416175403756107E-2</v>
      </c>
      <c r="K162" s="518">
        <f t="shared" si="89"/>
        <v>0.10223918709456936</v>
      </c>
      <c r="L162" s="518">
        <f t="shared" si="89"/>
        <v>5.3914772746049833E-2</v>
      </c>
      <c r="M162" s="518">
        <f t="shared" si="89"/>
        <v>6.4185164395717642E-2</v>
      </c>
      <c r="N162" s="28"/>
      <c r="O162" s="518">
        <f t="shared" si="86"/>
        <v>8.2204110813016706E-2</v>
      </c>
      <c r="P162" s="518">
        <f t="shared" si="86"/>
        <v>0.1091333370773806</v>
      </c>
      <c r="Q162" s="518">
        <f t="shared" si="86"/>
        <v>9.0660318119613503E-2</v>
      </c>
      <c r="R162" s="518">
        <f t="shared" si="86"/>
        <v>7.3826666285686349E-2</v>
      </c>
      <c r="S162" s="518">
        <f t="shared" si="86"/>
        <v>8.8779872072722199E-2</v>
      </c>
    </row>
    <row r="163" spans="1:19">
      <c r="A163" s="474" t="s">
        <v>181</v>
      </c>
      <c r="B163" s="515">
        <f t="shared" ref="B163:M163" si="90">B155/B179-1</f>
        <v>9.8453895958919402E-2</v>
      </c>
      <c r="C163" s="515">
        <f t="shared" si="90"/>
        <v>0.19132097428025685</v>
      </c>
      <c r="D163" s="515">
        <f t="shared" si="90"/>
        <v>0.19698281283525332</v>
      </c>
      <c r="E163" s="515">
        <f t="shared" si="90"/>
        <v>0.14784983438973298</v>
      </c>
      <c r="F163" s="515">
        <f t="shared" si="90"/>
        <v>0.12693059084698821</v>
      </c>
      <c r="G163" s="515">
        <f t="shared" si="90"/>
        <v>0.12581466655794959</v>
      </c>
      <c r="H163" s="515">
        <f t="shared" si="90"/>
        <v>0.11488537294155643</v>
      </c>
      <c r="I163" s="515">
        <f t="shared" si="90"/>
        <v>0.11310958526039361</v>
      </c>
      <c r="J163" s="515">
        <f t="shared" si="90"/>
        <v>5.3807549190569626E-2</v>
      </c>
      <c r="K163" s="515">
        <f t="shared" si="90"/>
        <v>9.5103407925530625E-2</v>
      </c>
      <c r="L163" s="515">
        <f t="shared" si="90"/>
        <v>7.4251953563589046E-2</v>
      </c>
      <c r="M163" s="515">
        <f t="shared" si="90"/>
        <v>2.8250766696323204E-2</v>
      </c>
      <c r="N163" s="21"/>
      <c r="O163" s="515">
        <f t="shared" si="86"/>
        <v>0.16204858946116274</v>
      </c>
      <c r="P163" s="515">
        <f t="shared" si="86"/>
        <v>0.13357559855852585</v>
      </c>
      <c r="Q163" s="515">
        <f t="shared" si="86"/>
        <v>9.3984790883198555E-2</v>
      </c>
      <c r="R163" s="515">
        <f t="shared" si="86"/>
        <v>6.624227045180997E-2</v>
      </c>
      <c r="S163" s="515">
        <f t="shared" si="86"/>
        <v>0.11238548006983273</v>
      </c>
    </row>
    <row r="164" spans="1:19" s="489" customFormat="1">
      <c r="A164" s="516" t="s">
        <v>197</v>
      </c>
      <c r="B164" s="517">
        <f t="shared" ref="B164:M164" si="91">B156/B180-1</f>
        <v>4.2994689199512548E-2</v>
      </c>
      <c r="C164" s="517">
        <f t="shared" si="91"/>
        <v>0.11719909719985466</v>
      </c>
      <c r="D164" s="517">
        <f t="shared" si="91"/>
        <v>0.13170884539275884</v>
      </c>
      <c r="E164" s="517">
        <f t="shared" si="91"/>
        <v>0.13098892107505034</v>
      </c>
      <c r="F164" s="517">
        <f t="shared" si="91"/>
        <v>9.4362491380223235E-2</v>
      </c>
      <c r="G164" s="517">
        <f t="shared" si="91"/>
        <v>0.11642152480298162</v>
      </c>
      <c r="H164" s="517">
        <f t="shared" si="91"/>
        <v>9.6712026311651655E-2</v>
      </c>
      <c r="I164" s="517">
        <f t="shared" si="91"/>
        <v>0.11084063427202451</v>
      </c>
      <c r="J164" s="517">
        <f t="shared" si="91"/>
        <v>6.4745042922856877E-2</v>
      </c>
      <c r="K164" s="517">
        <f t="shared" si="91"/>
        <v>0.10084374693974651</v>
      </c>
      <c r="L164" s="517">
        <f t="shared" si="91"/>
        <v>5.781534466416316E-2</v>
      </c>
      <c r="M164" s="517">
        <f t="shared" si="91"/>
        <v>5.7103534908984122E-2</v>
      </c>
      <c r="N164" s="47"/>
      <c r="O164" s="517">
        <f t="shared" si="86"/>
        <v>9.7360242443849776E-2</v>
      </c>
      <c r="P164" s="517">
        <f t="shared" si="86"/>
        <v>0.11378483546151541</v>
      </c>
      <c r="Q164" s="517">
        <f t="shared" si="86"/>
        <v>9.1293493772344636E-2</v>
      </c>
      <c r="R164" s="517">
        <f t="shared" si="86"/>
        <v>7.2349165165374041E-2</v>
      </c>
      <c r="S164" s="517">
        <f t="shared" si="86"/>
        <v>9.3297728490655096E-2</v>
      </c>
    </row>
    <row r="165" spans="1:19">
      <c r="A165" s="474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508"/>
      <c r="O165" s="483"/>
      <c r="P165" s="19"/>
      <c r="Q165" s="19"/>
      <c r="R165" s="19"/>
    </row>
    <row r="166" spans="1:19">
      <c r="A166" s="504" t="s">
        <v>185</v>
      </c>
      <c r="B166" s="488"/>
      <c r="C166" s="488"/>
      <c r="D166" s="488"/>
      <c r="E166" s="488"/>
      <c r="F166" s="488"/>
      <c r="G166" s="488"/>
      <c r="H166" s="488"/>
      <c r="I166" s="488"/>
      <c r="J166" s="488"/>
      <c r="K166" s="488"/>
      <c r="L166" s="488"/>
      <c r="M166" s="488"/>
      <c r="N166" s="488"/>
      <c r="O166" s="488"/>
      <c r="P166" s="488"/>
      <c r="Q166" s="488"/>
      <c r="R166" s="488"/>
    </row>
    <row r="167" spans="1:19">
      <c r="A167" s="474" t="s">
        <v>22</v>
      </c>
      <c r="B167" s="483">
        <f t="shared" ref="B167:B172" si="92">B151/M175-1</f>
        <v>-2.8229872753440577E-2</v>
      </c>
      <c r="C167" s="483">
        <f t="shared" ref="C167:M167" si="93">C151/B151-1</f>
        <v>5.0523402840514153E-2</v>
      </c>
      <c r="D167" s="483">
        <f t="shared" si="93"/>
        <v>6.6053509032726332E-2</v>
      </c>
      <c r="E167" s="483">
        <f t="shared" si="93"/>
        <v>-1.5398732715784624E-2</v>
      </c>
      <c r="F167" s="483">
        <f t="shared" si="93"/>
        <v>-6.3756215723420606E-3</v>
      </c>
      <c r="G167" s="483">
        <f t="shared" si="93"/>
        <v>-3.4630875774734671E-2</v>
      </c>
      <c r="H167" s="483">
        <f t="shared" si="93"/>
        <v>0.12474333952846428</v>
      </c>
      <c r="I167" s="483">
        <f t="shared" si="93"/>
        <v>7.1210862256031682E-2</v>
      </c>
      <c r="J167" s="483">
        <f t="shared" si="93"/>
        <v>-0.12982490662037793</v>
      </c>
      <c r="K167" s="483">
        <f t="shared" si="93"/>
        <v>7.6152662693220963E-2</v>
      </c>
      <c r="L167" s="483">
        <f t="shared" si="93"/>
        <v>-8.1872513510648615E-2</v>
      </c>
      <c r="M167" s="483">
        <f t="shared" si="93"/>
        <v>-6.7372748877632116E-3</v>
      </c>
      <c r="N167" s="488"/>
      <c r="O167" s="19"/>
      <c r="P167" s="19"/>
      <c r="Q167" s="19"/>
      <c r="R167" s="19"/>
    </row>
    <row r="168" spans="1:19">
      <c r="A168" s="474" t="s">
        <v>25</v>
      </c>
      <c r="B168" s="483">
        <f t="shared" si="92"/>
        <v>-1.2244100876342867E-2</v>
      </c>
      <c r="C168" s="483">
        <f t="shared" ref="C168:H172" si="94">C152/B152-1</f>
        <v>3.050567017189576E-2</v>
      </c>
      <c r="D168" s="483">
        <f t="shared" si="94"/>
        <v>7.8620143069295434E-2</v>
      </c>
      <c r="E168" s="483">
        <f t="shared" si="94"/>
        <v>2.2234851682446211E-2</v>
      </c>
      <c r="F168" s="483">
        <f t="shared" si="94"/>
        <v>-2.1622112011612349E-2</v>
      </c>
      <c r="G168" s="483">
        <f t="shared" si="94"/>
        <v>-1.9414440225493435E-2</v>
      </c>
      <c r="H168" s="483">
        <f t="shared" si="94"/>
        <v>7.7533166756986516E-2</v>
      </c>
      <c r="I168" s="483">
        <f>I153/H152-1</f>
        <v>-0.10099009900990108</v>
      </c>
      <c r="J168" s="483">
        <f>J152/I153-1</f>
        <v>3.6999399279135092E-2</v>
      </c>
      <c r="K168" s="483">
        <f t="shared" ref="K168:M172" si="95">K152/J152-1</f>
        <v>8.0076852151329092E-2</v>
      </c>
      <c r="L168" s="483">
        <f t="shared" si="95"/>
        <v>-6.2247752962156788E-2</v>
      </c>
      <c r="M168" s="483">
        <f t="shared" si="95"/>
        <v>-9.3631553046957805E-3</v>
      </c>
      <c r="N168" s="488"/>
      <c r="O168" s="19"/>
      <c r="P168" s="19"/>
      <c r="Q168" s="19"/>
      <c r="R168" s="19"/>
    </row>
    <row r="169" spans="1:19">
      <c r="A169" s="474" t="s">
        <v>172</v>
      </c>
      <c r="B169" s="483">
        <f t="shared" si="92"/>
        <v>9.6031470554205356E-3</v>
      </c>
      <c r="C169" s="483">
        <f t="shared" si="94"/>
        <v>2.5469860187944171E-2</v>
      </c>
      <c r="D169" s="483">
        <f t="shared" si="94"/>
        <v>7.5014667672449908E-2</v>
      </c>
      <c r="E169" s="483">
        <f t="shared" si="94"/>
        <v>-3.1927335100576992E-2</v>
      </c>
      <c r="F169" s="483">
        <f t="shared" si="94"/>
        <v>-2.4886240083759503E-2</v>
      </c>
      <c r="G169" s="483">
        <f t="shared" si="94"/>
        <v>1.183839218115601E-3</v>
      </c>
      <c r="H169" s="483">
        <f t="shared" si="94"/>
        <v>4.1660364906298541E-2</v>
      </c>
      <c r="I169" s="483">
        <f t="shared" ref="I169:J172" si="96">I153/H153-1</f>
        <v>5.4685128232203839E-2</v>
      </c>
      <c r="J169" s="483">
        <f t="shared" si="96"/>
        <v>-8.9707649179014748E-2</v>
      </c>
      <c r="K169" s="483">
        <f t="shared" si="95"/>
        <v>9.703585569731632E-2</v>
      </c>
      <c r="L169" s="483">
        <f t="shared" si="95"/>
        <v>-8.1058726220016419E-2</v>
      </c>
      <c r="M169" s="483">
        <f t="shared" si="95"/>
        <v>-1.022829555682836E-2</v>
      </c>
      <c r="N169" s="488"/>
      <c r="O169" s="19"/>
      <c r="P169" s="19"/>
      <c r="Q169" s="19"/>
      <c r="R169" s="19"/>
    </row>
    <row r="170" spans="1:19">
      <c r="A170" s="513" t="s">
        <v>196</v>
      </c>
      <c r="B170" s="519">
        <f t="shared" si="92"/>
        <v>-1.2071041747686362E-2</v>
      </c>
      <c r="C170" s="519">
        <f t="shared" si="94"/>
        <v>3.6624038350153043E-2</v>
      </c>
      <c r="D170" s="519">
        <f t="shared" si="94"/>
        <v>7.2714820568083427E-2</v>
      </c>
      <c r="E170" s="519">
        <f t="shared" si="94"/>
        <v>-8.1477299797704239E-3</v>
      </c>
      <c r="F170" s="519">
        <f t="shared" si="94"/>
        <v>-1.6762171011985627E-2</v>
      </c>
      <c r="G170" s="519">
        <f t="shared" si="94"/>
        <v>-1.9386572937734492E-2</v>
      </c>
      <c r="H170" s="519">
        <f t="shared" si="94"/>
        <v>8.4948047345098088E-2</v>
      </c>
      <c r="I170" s="519">
        <f t="shared" si="96"/>
        <v>6.046955094664308E-2</v>
      </c>
      <c r="J170" s="519">
        <f t="shared" si="96"/>
        <v>-0.1136047438892247</v>
      </c>
      <c r="K170" s="519">
        <f t="shared" si="95"/>
        <v>8.3394331131653177E-2</v>
      </c>
      <c r="L170" s="519">
        <f t="shared" si="95"/>
        <v>-7.527111279938048E-2</v>
      </c>
      <c r="M170" s="519">
        <f t="shared" si="95"/>
        <v>-8.604439956867882E-3</v>
      </c>
      <c r="O170" s="151"/>
      <c r="P170" s="151"/>
      <c r="Q170" s="151"/>
      <c r="R170" s="151"/>
    </row>
    <row r="171" spans="1:19">
      <c r="A171" s="474" t="s">
        <v>181</v>
      </c>
      <c r="B171" s="483">
        <f t="shared" si="92"/>
        <v>1.2085431141327652E-2</v>
      </c>
      <c r="C171" s="483">
        <f t="shared" si="94"/>
        <v>5.4271955988936194E-2</v>
      </c>
      <c r="D171" s="483">
        <f t="shared" si="94"/>
        <v>3.9671357353893155E-2</v>
      </c>
      <c r="E171" s="483">
        <f t="shared" si="94"/>
        <v>-3.8743254853723763E-2</v>
      </c>
      <c r="F171" s="483">
        <f t="shared" si="94"/>
        <v>-6.8514291225928448E-3</v>
      </c>
      <c r="G171" s="483">
        <f t="shared" si="94"/>
        <v>-3.8985234655987799E-2</v>
      </c>
      <c r="H171" s="483">
        <f t="shared" si="94"/>
        <v>7.5886834211142506E-2</v>
      </c>
      <c r="I171" s="483">
        <f t="shared" si="96"/>
        <v>4.1797647972346752E-2</v>
      </c>
      <c r="J171" s="483">
        <f t="shared" si="96"/>
        <v>-7.7366721415186634E-2</v>
      </c>
      <c r="K171" s="483">
        <f t="shared" si="95"/>
        <v>8.5261457176269095E-2</v>
      </c>
      <c r="L171" s="483">
        <f t="shared" si="95"/>
        <v>-7.3856686841824892E-2</v>
      </c>
      <c r="M171" s="483">
        <f t="shared" si="95"/>
        <v>-2.8018952615221027E-2</v>
      </c>
      <c r="N171" s="484"/>
      <c r="O171" s="484"/>
      <c r="P171" s="484"/>
      <c r="Q171" s="484"/>
      <c r="R171" s="484"/>
    </row>
    <row r="172" spans="1:19">
      <c r="A172" s="513" t="s">
        <v>197</v>
      </c>
      <c r="B172" s="519">
        <f t="shared" si="92"/>
        <v>-7.3105002704821898E-3</v>
      </c>
      <c r="C172" s="519">
        <f t="shared" si="94"/>
        <v>4.0169885772917358E-2</v>
      </c>
      <c r="D172" s="519">
        <f t="shared" si="94"/>
        <v>6.5985665873379729E-2</v>
      </c>
      <c r="E172" s="519">
        <f t="shared" si="94"/>
        <v>-1.422456682685902E-2</v>
      </c>
      <c r="F172" s="519">
        <f t="shared" si="94"/>
        <v>-1.4842674869699923E-2</v>
      </c>
      <c r="G172" s="519">
        <f t="shared" si="94"/>
        <v>-2.3213199888247993E-2</v>
      </c>
      <c r="H172" s="519">
        <f t="shared" si="94"/>
        <v>8.3207417871302924E-2</v>
      </c>
      <c r="I172" s="519">
        <f t="shared" si="96"/>
        <v>5.6906979877038077E-2</v>
      </c>
      <c r="J172" s="519">
        <f t="shared" si="96"/>
        <v>-0.1067894270378793</v>
      </c>
      <c r="K172" s="519">
        <f t="shared" si="95"/>
        <v>8.3757050259419152E-2</v>
      </c>
      <c r="L172" s="519">
        <f t="shared" si="95"/>
        <v>-7.4995956485359616E-2</v>
      </c>
      <c r="M172" s="519">
        <f t="shared" si="95"/>
        <v>-1.2385907026318588E-2</v>
      </c>
      <c r="N172" s="484"/>
      <c r="O172" s="484"/>
      <c r="P172" s="484"/>
      <c r="Q172" s="484"/>
      <c r="R172" s="484"/>
    </row>
    <row r="174" spans="1:19" s="445" customFormat="1">
      <c r="A174" s="471" t="s">
        <v>162</v>
      </c>
      <c r="B174" s="472" t="s">
        <v>51</v>
      </c>
      <c r="C174" s="472" t="s">
        <v>52</v>
      </c>
      <c r="D174" s="472" t="s">
        <v>53</v>
      </c>
      <c r="E174" s="472" t="s">
        <v>54</v>
      </c>
      <c r="F174" s="472" t="s">
        <v>55</v>
      </c>
      <c r="G174" s="472" t="s">
        <v>77</v>
      </c>
      <c r="H174" s="472" t="s">
        <v>78</v>
      </c>
      <c r="I174" s="472" t="s">
        <v>79</v>
      </c>
      <c r="J174" s="472" t="s">
        <v>80</v>
      </c>
      <c r="K174" s="472" t="s">
        <v>81</v>
      </c>
      <c r="L174" s="472" t="s">
        <v>82</v>
      </c>
      <c r="M174" s="472" t="s">
        <v>44</v>
      </c>
      <c r="N174" s="473" t="s">
        <v>133</v>
      </c>
      <c r="O174" s="473" t="s">
        <v>129</v>
      </c>
      <c r="P174" s="473" t="s">
        <v>130</v>
      </c>
      <c r="Q174" s="473" t="s">
        <v>131</v>
      </c>
      <c r="R174" s="473" t="s">
        <v>132</v>
      </c>
      <c r="S174" s="445" t="s">
        <v>171</v>
      </c>
    </row>
    <row r="175" spans="1:19">
      <c r="A175" s="474" t="s">
        <v>22</v>
      </c>
      <c r="B175" s="34">
        <v>8676.64</v>
      </c>
      <c r="C175" s="15">
        <v>8486.2000000000007</v>
      </c>
      <c r="D175" s="34">
        <v>8736.15</v>
      </c>
      <c r="E175" s="34">
        <v>8742.23</v>
      </c>
      <c r="F175" s="15">
        <v>8878.94</v>
      </c>
      <c r="G175" s="15">
        <v>8539.2999999999993</v>
      </c>
      <c r="H175" s="15">
        <v>9611.6299999999992</v>
      </c>
      <c r="I175" s="15">
        <v>10015.91</v>
      </c>
      <c r="J175" s="15">
        <v>9050.7000000000007</v>
      </c>
      <c r="K175" s="15">
        <v>9496.6200000000008</v>
      </c>
      <c r="L175" s="15">
        <v>9186.92</v>
      </c>
      <c r="M175" s="15">
        <v>9192.39</v>
      </c>
      <c r="N175" s="15"/>
      <c r="O175" s="15">
        <f t="shared" ref="O175:O180" si="97">SUM(B175:D175)</f>
        <v>25898.989999999998</v>
      </c>
      <c r="P175" s="15">
        <f t="shared" ref="P175:P180" si="98">SUM(E175:G175)</f>
        <v>26160.469999999998</v>
      </c>
      <c r="Q175" s="15">
        <f t="shared" ref="Q175:Q180" si="99">SUM(H175:J175)</f>
        <v>28678.240000000002</v>
      </c>
      <c r="R175" s="15">
        <f t="shared" ref="R175:R180" si="100">SUM(K175:M175)</f>
        <v>27875.93</v>
      </c>
      <c r="S175" s="1">
        <f t="shared" ref="S175:S180" si="101">SUM(O175:R175)</f>
        <v>108613.63</v>
      </c>
    </row>
    <row r="176" spans="1:19">
      <c r="A176" s="474" t="s">
        <v>25</v>
      </c>
      <c r="B176" s="15">
        <v>7283.2139999999999</v>
      </c>
      <c r="C176" s="15">
        <v>7089.6559999999999</v>
      </c>
      <c r="D176" s="15">
        <v>7644.18</v>
      </c>
      <c r="E176" s="15">
        <v>7476.2529999999997</v>
      </c>
      <c r="F176" s="15">
        <v>7694.3919999999998</v>
      </c>
      <c r="G176" s="15">
        <v>7285.74</v>
      </c>
      <c r="H176" s="15">
        <v>8153.42</v>
      </c>
      <c r="I176" s="475">
        <v>8485.85</v>
      </c>
      <c r="J176" s="475">
        <v>7795.3490000000002</v>
      </c>
      <c r="K176" s="15">
        <v>8100.6009999999997</v>
      </c>
      <c r="L176" s="15">
        <v>7862.86</v>
      </c>
      <c r="M176" s="15">
        <v>7660.5870000000004</v>
      </c>
      <c r="N176" s="15"/>
      <c r="O176" s="15">
        <f t="shared" si="97"/>
        <v>22017.05</v>
      </c>
      <c r="P176" s="15">
        <f t="shared" si="98"/>
        <v>22456.385000000002</v>
      </c>
      <c r="Q176" s="15">
        <f t="shared" si="99"/>
        <v>24434.618999999999</v>
      </c>
      <c r="R176" s="15">
        <f t="shared" si="100"/>
        <v>23624.047999999999</v>
      </c>
      <c r="S176" s="1">
        <f t="shared" si="101"/>
        <v>92532.101999999999</v>
      </c>
    </row>
    <row r="177" spans="1:19">
      <c r="A177" s="474" t="s">
        <v>172</v>
      </c>
      <c r="B177" s="15">
        <v>6838.5</v>
      </c>
      <c r="C177" s="15">
        <v>6557.8</v>
      </c>
      <c r="D177" s="15">
        <v>7003.1</v>
      </c>
      <c r="E177" s="470">
        <v>6760.5</v>
      </c>
      <c r="F177" s="15">
        <v>6857.7</v>
      </c>
      <c r="G177" s="15">
        <v>6585.3</v>
      </c>
      <c r="H177" s="15">
        <v>7031.9</v>
      </c>
      <c r="I177" s="15">
        <v>7373</v>
      </c>
      <c r="J177" s="15">
        <v>7011</v>
      </c>
      <c r="K177" s="15">
        <v>7432.8</v>
      </c>
      <c r="L177" s="15">
        <v>7157.5</v>
      </c>
      <c r="M177" s="15">
        <v>6914.4</v>
      </c>
      <c r="N177" s="15"/>
      <c r="O177" s="15">
        <f t="shared" si="97"/>
        <v>20399.400000000001</v>
      </c>
      <c r="P177" s="15">
        <f t="shared" si="98"/>
        <v>20203.5</v>
      </c>
      <c r="Q177" s="15">
        <f t="shared" si="99"/>
        <v>21415.9</v>
      </c>
      <c r="R177" s="15">
        <f t="shared" si="100"/>
        <v>21504.699999999997</v>
      </c>
      <c r="S177" s="1">
        <f t="shared" si="101"/>
        <v>83523.5</v>
      </c>
    </row>
    <row r="178" spans="1:19" s="520" customFormat="1">
      <c r="A178" s="513" t="s">
        <v>196</v>
      </c>
      <c r="B178" s="45">
        <f t="shared" ref="B178:M178" si="102">SUM(B175:B177)</f>
        <v>22798.353999999999</v>
      </c>
      <c r="C178" s="45">
        <f t="shared" si="102"/>
        <v>22133.655999999999</v>
      </c>
      <c r="D178" s="45">
        <f t="shared" si="102"/>
        <v>23383.43</v>
      </c>
      <c r="E178" s="45">
        <f t="shared" si="102"/>
        <v>22978.983</v>
      </c>
      <c r="F178" s="45">
        <f t="shared" si="102"/>
        <v>23431.032000000003</v>
      </c>
      <c r="G178" s="45">
        <f t="shared" si="102"/>
        <v>22410.34</v>
      </c>
      <c r="H178" s="45">
        <f t="shared" si="102"/>
        <v>24796.949999999997</v>
      </c>
      <c r="I178" s="45">
        <f t="shared" si="102"/>
        <v>25874.760000000002</v>
      </c>
      <c r="J178" s="45">
        <f t="shared" si="102"/>
        <v>23857.048999999999</v>
      </c>
      <c r="K178" s="45">
        <f t="shared" si="102"/>
        <v>25030.021000000001</v>
      </c>
      <c r="L178" s="45">
        <f t="shared" si="102"/>
        <v>24207.279999999999</v>
      </c>
      <c r="M178" s="45">
        <f t="shared" si="102"/>
        <v>23767.377</v>
      </c>
      <c r="N178" s="45"/>
      <c r="O178" s="21">
        <f t="shared" si="97"/>
        <v>68315.44</v>
      </c>
      <c r="P178" s="21">
        <f t="shared" si="98"/>
        <v>68820.354999999996</v>
      </c>
      <c r="Q178" s="21">
        <f t="shared" si="99"/>
        <v>74528.758999999991</v>
      </c>
      <c r="R178" s="21">
        <f t="shared" si="100"/>
        <v>73004.678</v>
      </c>
      <c r="S178" s="44">
        <f t="shared" si="101"/>
        <v>284669.23199999996</v>
      </c>
    </row>
    <row r="179" spans="1:19">
      <c r="A179" s="474" t="s">
        <v>181</v>
      </c>
      <c r="B179" s="15">
        <v>5374.8</v>
      </c>
      <c r="C179" s="15">
        <v>5224.78</v>
      </c>
      <c r="D179" s="15">
        <v>5406.36</v>
      </c>
      <c r="E179" s="15">
        <v>5419.35</v>
      </c>
      <c r="F179" s="15">
        <v>5482.13</v>
      </c>
      <c r="G179" s="15">
        <v>5273.63</v>
      </c>
      <c r="H179" s="15">
        <v>5729.45</v>
      </c>
      <c r="I179" s="15">
        <v>5978.45</v>
      </c>
      <c r="J179" s="15">
        <v>5826.32</v>
      </c>
      <c r="K179" s="15">
        <v>6084.64</v>
      </c>
      <c r="L179" s="15">
        <v>5744.63</v>
      </c>
      <c r="M179" s="15">
        <v>5833.47</v>
      </c>
      <c r="N179" s="21"/>
      <c r="O179" s="15">
        <f t="shared" si="97"/>
        <v>16005.939999999999</v>
      </c>
      <c r="P179" s="15">
        <f t="shared" si="98"/>
        <v>16175.11</v>
      </c>
      <c r="Q179" s="15">
        <f t="shared" si="99"/>
        <v>17534.22</v>
      </c>
      <c r="R179" s="15">
        <f t="shared" si="100"/>
        <v>17662.740000000002</v>
      </c>
      <c r="S179" s="1">
        <f t="shared" si="101"/>
        <v>67378.010000000009</v>
      </c>
    </row>
    <row r="180" spans="1:19" s="520" customFormat="1">
      <c r="A180" s="513" t="s">
        <v>197</v>
      </c>
      <c r="B180" s="45">
        <f t="shared" ref="B180:M180" si="103">B178+B179</f>
        <v>28173.153999999999</v>
      </c>
      <c r="C180" s="45">
        <f t="shared" si="103"/>
        <v>27358.435999999998</v>
      </c>
      <c r="D180" s="45">
        <f t="shared" si="103"/>
        <v>28789.79</v>
      </c>
      <c r="E180" s="45">
        <f t="shared" si="103"/>
        <v>28398.332999999999</v>
      </c>
      <c r="F180" s="45">
        <f t="shared" si="103"/>
        <v>28913.162000000004</v>
      </c>
      <c r="G180" s="45">
        <f t="shared" si="103"/>
        <v>27683.97</v>
      </c>
      <c r="H180" s="45">
        <f t="shared" si="103"/>
        <v>30526.399999999998</v>
      </c>
      <c r="I180" s="45">
        <f t="shared" si="103"/>
        <v>31853.210000000003</v>
      </c>
      <c r="J180" s="45">
        <f t="shared" si="103"/>
        <v>29683.368999999999</v>
      </c>
      <c r="K180" s="45">
        <f t="shared" si="103"/>
        <v>31114.661</v>
      </c>
      <c r="L180" s="45">
        <f t="shared" si="103"/>
        <v>29951.91</v>
      </c>
      <c r="M180" s="45">
        <f t="shared" si="103"/>
        <v>29600.847000000002</v>
      </c>
      <c r="N180" s="45"/>
      <c r="O180" s="21">
        <f t="shared" si="97"/>
        <v>84321.38</v>
      </c>
      <c r="P180" s="21">
        <f t="shared" si="98"/>
        <v>84995.464999999997</v>
      </c>
      <c r="Q180" s="21">
        <f t="shared" si="99"/>
        <v>92062.978999999992</v>
      </c>
      <c r="R180" s="21">
        <f t="shared" si="100"/>
        <v>90667.418000000005</v>
      </c>
      <c r="S180" s="44">
        <f t="shared" si="101"/>
        <v>352047.24199999997</v>
      </c>
    </row>
    <row r="181" spans="1:19">
      <c r="A181" s="474"/>
      <c r="B181" s="15"/>
      <c r="C181" s="15"/>
      <c r="D181" s="483"/>
      <c r="E181" s="483"/>
      <c r="F181" s="15"/>
      <c r="G181" s="15"/>
      <c r="H181" s="15"/>
      <c r="I181" s="15"/>
      <c r="J181" s="15"/>
      <c r="K181" s="15"/>
      <c r="L181" s="15"/>
      <c r="M181" s="15"/>
      <c r="N181" s="488"/>
      <c r="O181" s="15"/>
      <c r="P181" s="19"/>
      <c r="Q181" s="15"/>
      <c r="R181" s="15"/>
      <c r="S181" s="36"/>
    </row>
    <row r="182" spans="1:19">
      <c r="A182" s="504" t="s">
        <v>184</v>
      </c>
      <c r="B182" s="488"/>
      <c r="C182" s="488"/>
      <c r="D182" s="483"/>
      <c r="E182" s="488"/>
      <c r="F182" s="488"/>
      <c r="G182" s="488"/>
      <c r="H182" s="488"/>
      <c r="I182" s="488"/>
      <c r="J182" s="488"/>
      <c r="K182" s="488"/>
      <c r="L182" s="488"/>
      <c r="M182" s="488"/>
      <c r="N182" s="514"/>
      <c r="O182" s="488"/>
      <c r="P182" s="19"/>
      <c r="Q182" s="488"/>
      <c r="R182" s="488"/>
    </row>
    <row r="183" spans="1:19">
      <c r="A183" s="474" t="s">
        <v>22</v>
      </c>
      <c r="B183" s="24">
        <f t="shared" ref="B183:M183" si="104">B175/B199-1</f>
        <v>0.16402312312433165</v>
      </c>
      <c r="C183" s="24">
        <f t="shared" si="104"/>
        <v>8.6285046459800396E-2</v>
      </c>
      <c r="D183" s="24">
        <f t="shared" si="104"/>
        <v>0.1149832232110608</v>
      </c>
      <c r="E183" s="24">
        <f t="shared" si="104"/>
        <v>8.4567220432302026E-2</v>
      </c>
      <c r="F183" s="24">
        <f t="shared" si="104"/>
        <v>0.14251927266363595</v>
      </c>
      <c r="G183" s="24">
        <f t="shared" si="104"/>
        <v>0.12625659125140776</v>
      </c>
      <c r="H183" s="24">
        <f t="shared" si="104"/>
        <v>9.0619539316918019E-2</v>
      </c>
      <c r="I183" s="24">
        <f t="shared" si="104"/>
        <v>4.655738458612757E-2</v>
      </c>
      <c r="J183" s="24">
        <f t="shared" si="104"/>
        <v>7.3197049825693306E-2</v>
      </c>
      <c r="K183" s="24">
        <f t="shared" si="104"/>
        <v>6.164067329738887E-2</v>
      </c>
      <c r="L183" s="24">
        <f t="shared" si="104"/>
        <v>0.13832215280686144</v>
      </c>
      <c r="M183" s="24">
        <f t="shared" si="104"/>
        <v>0.13502270689948959</v>
      </c>
      <c r="N183" s="19"/>
      <c r="O183" s="24">
        <f t="shared" ref="O183:S188" si="105">O175/O199-1</f>
        <v>0.12110190867468029</v>
      </c>
      <c r="P183" s="24">
        <f t="shared" si="105"/>
        <v>0.11730224191038152</v>
      </c>
      <c r="Q183" s="24">
        <f t="shared" si="105"/>
        <v>6.9415596377486732E-2</v>
      </c>
      <c r="R183" s="24">
        <f t="shared" si="105"/>
        <v>0.10994609923204246</v>
      </c>
      <c r="S183" s="24">
        <f t="shared" si="105"/>
        <v>0.10327299817139712</v>
      </c>
    </row>
    <row r="184" spans="1:19">
      <c r="A184" s="474" t="s">
        <v>25</v>
      </c>
      <c r="B184" s="24">
        <f t="shared" ref="B184:M184" si="106">B176/B200-1</f>
        <v>0.11887639413770867</v>
      </c>
      <c r="C184" s="24">
        <f t="shared" si="106"/>
        <v>7.6148567317193994E-2</v>
      </c>
      <c r="D184" s="24">
        <f t="shared" si="106"/>
        <v>0.10451302294801512</v>
      </c>
      <c r="E184" s="24">
        <f t="shared" si="106"/>
        <v>8.1425738392352232E-2</v>
      </c>
      <c r="F184" s="24">
        <f t="shared" si="106"/>
        <v>0.13334992863529171</v>
      </c>
      <c r="G184" s="24">
        <f t="shared" si="106"/>
        <v>0.12491477146400398</v>
      </c>
      <c r="H184" s="24">
        <f t="shared" si="106"/>
        <v>9.3648100331980899E-2</v>
      </c>
      <c r="I184" s="24">
        <f t="shared" si="106"/>
        <v>5.3947778609922059E-2</v>
      </c>
      <c r="J184" s="24">
        <f t="shared" si="106"/>
        <v>7.8033848332476063E-2</v>
      </c>
      <c r="K184" s="24">
        <f t="shared" si="106"/>
        <v>7.1743398682779569E-2</v>
      </c>
      <c r="L184" s="24">
        <f t="shared" si="106"/>
        <v>0.14283762492514662</v>
      </c>
      <c r="M184" s="24">
        <f t="shared" si="106"/>
        <v>0.1230790003544906</v>
      </c>
      <c r="N184" s="19"/>
      <c r="O184" s="24">
        <f t="shared" si="105"/>
        <v>9.9848887889800508E-2</v>
      </c>
      <c r="P184" s="24">
        <f t="shared" si="105"/>
        <v>0.11285342500836526</v>
      </c>
      <c r="Q184" s="24">
        <f t="shared" si="105"/>
        <v>7.4624524250785695E-2</v>
      </c>
      <c r="R184" s="24">
        <f t="shared" si="105"/>
        <v>0.11122218293001751</v>
      </c>
      <c r="S184" s="24">
        <f t="shared" si="105"/>
        <v>9.9025363736706895E-2</v>
      </c>
    </row>
    <row r="185" spans="1:19">
      <c r="A185" s="474" t="s">
        <v>172</v>
      </c>
      <c r="B185" s="24">
        <f t="shared" ref="B185:M185" si="107">B177/B201-1</f>
        <v>0.13253949852605085</v>
      </c>
      <c r="C185" s="24">
        <f t="shared" si="107"/>
        <v>4.3703845174433376E-2</v>
      </c>
      <c r="D185" s="24">
        <f t="shared" si="107"/>
        <v>9.7664576802507952E-2</v>
      </c>
      <c r="E185" s="24">
        <f t="shared" si="107"/>
        <v>2.744722564172708E-2</v>
      </c>
      <c r="F185" s="24">
        <f t="shared" si="107"/>
        <v>5.0585982382229E-2</v>
      </c>
      <c r="G185" s="24">
        <f t="shared" si="107"/>
        <v>3.2000752221403861E-2</v>
      </c>
      <c r="H185" s="24">
        <f t="shared" si="107"/>
        <v>2.4938782649253755E-2</v>
      </c>
      <c r="I185" s="24">
        <f t="shared" si="107"/>
        <v>3.6727692004836943E-2</v>
      </c>
      <c r="J185" s="24">
        <f t="shared" si="107"/>
        <v>4.2063020214030855E-2</v>
      </c>
      <c r="K185" s="24">
        <f t="shared" si="107"/>
        <v>4.8157601568118658E-2</v>
      </c>
      <c r="L185" s="24">
        <f t="shared" si="107"/>
        <v>0.11141304347826098</v>
      </c>
      <c r="M185" s="24">
        <f t="shared" si="107"/>
        <v>6.8934065084640839E-2</v>
      </c>
      <c r="N185" s="19"/>
      <c r="O185" s="24">
        <f t="shared" si="105"/>
        <v>9.0795341525233386E-2</v>
      </c>
      <c r="P185" s="24">
        <f t="shared" si="105"/>
        <v>3.6688303358390906E-2</v>
      </c>
      <c r="Q185" s="24">
        <f t="shared" si="105"/>
        <v>3.4554553974281088E-2</v>
      </c>
      <c r="R185" s="24">
        <f t="shared" si="105"/>
        <v>7.5245752457524517E-2</v>
      </c>
      <c r="S185" s="24">
        <f t="shared" si="105"/>
        <v>5.8729653709011176E-2</v>
      </c>
    </row>
    <row r="186" spans="1:19" s="520" customFormat="1">
      <c r="A186" s="513" t="s">
        <v>196</v>
      </c>
      <c r="B186" s="518">
        <f t="shared" ref="B186:M186" si="108">B178/B202-1</f>
        <v>0.13982594401150705</v>
      </c>
      <c r="C186" s="518">
        <f t="shared" si="108"/>
        <v>7.012104439712763E-2</v>
      </c>
      <c r="D186" s="518">
        <f t="shared" si="108"/>
        <v>0.10632713997716703</v>
      </c>
      <c r="E186" s="518">
        <f t="shared" si="108"/>
        <v>6.61221223171784E-2</v>
      </c>
      <c r="F186" s="518">
        <f t="shared" si="108"/>
        <v>0.11111052098972229</v>
      </c>
      <c r="G186" s="518">
        <f t="shared" si="108"/>
        <v>9.64057224758883E-2</v>
      </c>
      <c r="H186" s="518">
        <f t="shared" si="108"/>
        <v>7.2112775924648709E-2</v>
      </c>
      <c r="I186" s="518">
        <f t="shared" si="108"/>
        <v>4.6136778143766266E-2</v>
      </c>
      <c r="J186" s="518">
        <f t="shared" si="108"/>
        <v>6.5404501868484344E-2</v>
      </c>
      <c r="K186" s="518">
        <f t="shared" si="108"/>
        <v>6.0824704692164167E-2</v>
      </c>
      <c r="L186" s="518">
        <f t="shared" si="108"/>
        <v>0.13167311027689599</v>
      </c>
      <c r="M186" s="518">
        <f t="shared" si="108"/>
        <v>0.1112265058593862</v>
      </c>
      <c r="N186" s="28"/>
      <c r="O186" s="518">
        <f t="shared" si="105"/>
        <v>0.10505197099627273</v>
      </c>
      <c r="P186" s="518">
        <f t="shared" si="105"/>
        <v>9.0974139449047309E-2</v>
      </c>
      <c r="Q186" s="518">
        <f t="shared" si="105"/>
        <v>6.0829681407031044E-2</v>
      </c>
      <c r="R186" s="518">
        <f t="shared" si="105"/>
        <v>9.9898924259304689E-2</v>
      </c>
      <c r="S186" s="518">
        <f t="shared" si="105"/>
        <v>8.8469188128956988E-2</v>
      </c>
    </row>
    <row r="187" spans="1:19">
      <c r="A187" s="474" t="s">
        <v>181</v>
      </c>
      <c r="B187" s="515">
        <f t="shared" ref="B187:M187" si="109">B179/B203-1</f>
        <v>0.50059467638995137</v>
      </c>
      <c r="C187" s="515">
        <f t="shared" si="109"/>
        <v>0.3968464962807563</v>
      </c>
      <c r="D187" s="515">
        <f t="shared" si="109"/>
        <v>0.49369779416579362</v>
      </c>
      <c r="E187" s="515">
        <f t="shared" si="109"/>
        <v>0.54510523514218812</v>
      </c>
      <c r="F187" s="515">
        <f t="shared" si="109"/>
        <v>0.56300437556718874</v>
      </c>
      <c r="G187" s="515">
        <f t="shared" si="109"/>
        <v>0.5616963688160006</v>
      </c>
      <c r="H187" s="515">
        <f t="shared" si="109"/>
        <v>0.50062204528489662</v>
      </c>
      <c r="I187" s="515">
        <f t="shared" si="109"/>
        <v>0.48987469845890064</v>
      </c>
      <c r="J187" s="515">
        <f t="shared" si="109"/>
        <v>0.54880762186287968</v>
      </c>
      <c r="K187" s="515">
        <f t="shared" si="109"/>
        <v>0.50372431654960725</v>
      </c>
      <c r="L187" s="515">
        <f t="shared" si="109"/>
        <v>0.51822516108230388</v>
      </c>
      <c r="M187" s="515">
        <f t="shared" si="109"/>
        <v>0.53193886394075474</v>
      </c>
      <c r="N187" s="21"/>
      <c r="O187" s="515">
        <f t="shared" si="105"/>
        <v>0.46284678765647325</v>
      </c>
      <c r="P187" s="515">
        <f t="shared" si="105"/>
        <v>0.55653798282902489</v>
      </c>
      <c r="Q187" s="515">
        <f t="shared" si="105"/>
        <v>0.51253819253349997</v>
      </c>
      <c r="R187" s="515">
        <f t="shared" si="105"/>
        <v>0.51767047085167128</v>
      </c>
      <c r="S187" s="515">
        <f t="shared" si="105"/>
        <v>0.5119381114801187</v>
      </c>
    </row>
    <row r="188" spans="1:19" s="520" customFormat="1">
      <c r="A188" s="513" t="s">
        <v>197</v>
      </c>
      <c r="B188" s="518">
        <f t="shared" ref="B188:M188" si="110">B180/B204-1</f>
        <v>0.19461850056332008</v>
      </c>
      <c r="C188" s="518">
        <f t="shared" si="110"/>
        <v>0.12015793164443211</v>
      </c>
      <c r="D188" s="518">
        <f t="shared" si="110"/>
        <v>0.16296366344224333</v>
      </c>
      <c r="E188" s="518">
        <f t="shared" si="110"/>
        <v>0.13315794423665772</v>
      </c>
      <c r="F188" s="518">
        <f t="shared" si="110"/>
        <v>0.17555299328479346</v>
      </c>
      <c r="G188" s="518">
        <f t="shared" si="110"/>
        <v>0.16237718063522188</v>
      </c>
      <c r="H188" s="518">
        <f t="shared" si="110"/>
        <v>0.13282690901803895</v>
      </c>
      <c r="I188" s="518">
        <f t="shared" si="110"/>
        <v>0.1080784169120601</v>
      </c>
      <c r="J188" s="518">
        <f t="shared" si="110"/>
        <v>0.13493308363560996</v>
      </c>
      <c r="K188" s="518">
        <f t="shared" si="110"/>
        <v>0.12566041694930585</v>
      </c>
      <c r="L188" s="518">
        <f t="shared" si="110"/>
        <v>0.18977273810620909</v>
      </c>
      <c r="M188" s="518">
        <f t="shared" si="110"/>
        <v>0.17480843828054571</v>
      </c>
      <c r="N188" s="28"/>
      <c r="O188" s="518">
        <f t="shared" si="105"/>
        <v>0.15885513693026465</v>
      </c>
      <c r="P188" s="518">
        <f t="shared" si="105"/>
        <v>0.15682133775805274</v>
      </c>
      <c r="Q188" s="518">
        <f t="shared" si="105"/>
        <v>0.12480783220159775</v>
      </c>
      <c r="R188" s="518">
        <f t="shared" si="105"/>
        <v>0.16222327607653653</v>
      </c>
      <c r="S188" s="518">
        <f t="shared" si="105"/>
        <v>0.15012136791244135</v>
      </c>
    </row>
    <row r="189" spans="1:19">
      <c r="A189" s="474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508"/>
      <c r="O189" s="19"/>
      <c r="P189" s="19"/>
      <c r="Q189" s="19"/>
      <c r="R189" s="19"/>
    </row>
    <row r="190" spans="1:19">
      <c r="A190" s="504" t="s">
        <v>185</v>
      </c>
      <c r="B190" s="488"/>
      <c r="C190" s="488"/>
      <c r="D190" s="488"/>
      <c r="E190" s="488"/>
      <c r="F190" s="488"/>
      <c r="G190" s="488"/>
      <c r="H190" s="488"/>
      <c r="I190" s="488"/>
      <c r="J190" s="488"/>
      <c r="K190" s="488"/>
      <c r="L190" s="488"/>
      <c r="M190" s="488"/>
      <c r="N190" s="488"/>
      <c r="O190" s="488"/>
      <c r="P190" s="488"/>
      <c r="Q190" s="488"/>
      <c r="R190" s="488"/>
    </row>
    <row r="191" spans="1:19">
      <c r="A191" s="474" t="s">
        <v>22</v>
      </c>
      <c r="B191" s="483">
        <f>B175/M199-1</f>
        <v>7.1340904769313207E-2</v>
      </c>
      <c r="C191" s="483">
        <f t="shared" ref="C191:M191" si="111">C175/B175-1</f>
        <v>-2.1948588393663759E-2</v>
      </c>
      <c r="D191" s="483">
        <f t="shared" si="111"/>
        <v>2.9453701303292279E-2</v>
      </c>
      <c r="E191" s="483">
        <f t="shared" si="111"/>
        <v>6.9595874612948805E-4</v>
      </c>
      <c r="F191" s="483">
        <f t="shared" si="111"/>
        <v>1.5637886443161664E-2</v>
      </c>
      <c r="G191" s="483">
        <f t="shared" si="111"/>
        <v>-3.82523139023353E-2</v>
      </c>
      <c r="H191" s="483">
        <f t="shared" si="111"/>
        <v>0.12557586687433386</v>
      </c>
      <c r="I191" s="483">
        <f t="shared" si="111"/>
        <v>4.206154419177599E-2</v>
      </c>
      <c r="J191" s="483">
        <f t="shared" si="111"/>
        <v>-9.6367679022674846E-2</v>
      </c>
      <c r="K191" s="483">
        <f t="shared" si="111"/>
        <v>4.9269117305843713E-2</v>
      </c>
      <c r="L191" s="483">
        <f t="shared" si="111"/>
        <v>-3.2611602865019407E-2</v>
      </c>
      <c r="M191" s="483">
        <f t="shared" si="111"/>
        <v>5.9541173755728316E-4</v>
      </c>
      <c r="N191" s="488"/>
      <c r="O191" s="19"/>
      <c r="P191" s="19"/>
      <c r="Q191" s="19"/>
      <c r="R191" s="19"/>
    </row>
    <row r="192" spans="1:19">
      <c r="A192" s="474" t="s">
        <v>25</v>
      </c>
      <c r="B192" s="483">
        <f>B176/M201-1</f>
        <v>0.1259509932751024</v>
      </c>
      <c r="C192" s="483">
        <f t="shared" ref="C192:H196" si="112">C176/B176-1</f>
        <v>-2.6575904538847839E-2</v>
      </c>
      <c r="D192" s="483">
        <f t="shared" si="112"/>
        <v>7.8215924721876551E-2</v>
      </c>
      <c r="E192" s="483">
        <f t="shared" si="112"/>
        <v>-2.1967954705409909E-2</v>
      </c>
      <c r="F192" s="483">
        <f t="shared" si="112"/>
        <v>2.9177584011670143E-2</v>
      </c>
      <c r="G192" s="483">
        <f t="shared" si="112"/>
        <v>-5.3110369214357633E-2</v>
      </c>
      <c r="H192" s="483">
        <f t="shared" si="112"/>
        <v>0.11909291300540503</v>
      </c>
      <c r="I192" s="483">
        <f>I177/H176-1</f>
        <v>-9.5716889354405921E-2</v>
      </c>
      <c r="J192" s="483">
        <f>J176/I177-1</f>
        <v>5.7283195442831891E-2</v>
      </c>
      <c r="K192" s="483">
        <f t="shared" ref="K192:M196" si="113">K176/J176-1</f>
        <v>3.9158221139297122E-2</v>
      </c>
      <c r="L192" s="483">
        <f t="shared" si="113"/>
        <v>-2.9348563149820595E-2</v>
      </c>
      <c r="M192" s="483">
        <f t="shared" si="113"/>
        <v>-2.5725117832442579E-2</v>
      </c>
      <c r="N192" s="488"/>
      <c r="O192" s="19"/>
      <c r="P192" s="19"/>
      <c r="Q192" s="19"/>
      <c r="R192" s="19"/>
    </row>
    <row r="193" spans="1:256">
      <c r="A193" s="474" t="s">
        <v>172</v>
      </c>
      <c r="B193" s="483">
        <f>B177/M203-1</f>
        <v>0.7958717403293154</v>
      </c>
      <c r="C193" s="483">
        <f t="shared" si="112"/>
        <v>-4.1047013233896257E-2</v>
      </c>
      <c r="D193" s="483">
        <f t="shared" si="112"/>
        <v>6.790387020037203E-2</v>
      </c>
      <c r="E193" s="483">
        <f t="shared" si="112"/>
        <v>-3.4641801487912516E-2</v>
      </c>
      <c r="F193" s="483">
        <f t="shared" si="112"/>
        <v>1.4377634790326166E-2</v>
      </c>
      <c r="G193" s="483">
        <f t="shared" si="112"/>
        <v>-3.9721772605975758E-2</v>
      </c>
      <c r="H193" s="483">
        <f t="shared" si="112"/>
        <v>6.7817715214189001E-2</v>
      </c>
      <c r="I193" s="483">
        <f t="shared" ref="I193:J196" si="114">I177/H177-1</f>
        <v>4.8507515749655283E-2</v>
      </c>
      <c r="J193" s="483">
        <f t="shared" si="114"/>
        <v>-4.9098060490980644E-2</v>
      </c>
      <c r="K193" s="483">
        <f t="shared" si="113"/>
        <v>6.0162601626016388E-2</v>
      </c>
      <c r="L193" s="483">
        <f t="shared" si="113"/>
        <v>-3.7038531912603645E-2</v>
      </c>
      <c r="M193" s="483">
        <f t="shared" si="113"/>
        <v>-3.3964373035277773E-2</v>
      </c>
      <c r="N193" s="488"/>
      <c r="O193" s="19"/>
      <c r="P193" s="19"/>
      <c r="Q193" s="19"/>
      <c r="R193" s="19"/>
    </row>
    <row r="194" spans="1:256">
      <c r="A194" s="513" t="s">
        <v>196</v>
      </c>
      <c r="B194" s="483">
        <f>B178/M202-1</f>
        <v>6.5920536993432588E-2</v>
      </c>
      <c r="C194" s="483">
        <f t="shared" si="112"/>
        <v>-2.9155525876999766E-2</v>
      </c>
      <c r="D194" s="483">
        <f t="shared" si="112"/>
        <v>5.6464869608527479E-2</v>
      </c>
      <c r="E194" s="483">
        <f t="shared" si="112"/>
        <v>-1.7296307684544154E-2</v>
      </c>
      <c r="F194" s="483">
        <f t="shared" si="112"/>
        <v>1.9672280535653064E-2</v>
      </c>
      <c r="G194" s="483">
        <f t="shared" si="112"/>
        <v>-4.3561546926315642E-2</v>
      </c>
      <c r="H194" s="483">
        <f t="shared" si="112"/>
        <v>0.10649593000373914</v>
      </c>
      <c r="I194" s="483">
        <f t="shared" si="114"/>
        <v>4.3465426191527712E-2</v>
      </c>
      <c r="J194" s="483">
        <f t="shared" si="114"/>
        <v>-7.7979892373881032E-2</v>
      </c>
      <c r="K194" s="483">
        <f t="shared" si="113"/>
        <v>4.9166684446177777E-2</v>
      </c>
      <c r="L194" s="483">
        <f t="shared" si="113"/>
        <v>-3.2870168187234095E-2</v>
      </c>
      <c r="M194" s="483">
        <f t="shared" si="113"/>
        <v>-1.8172343195931084E-2</v>
      </c>
      <c r="O194" s="151"/>
      <c r="P194" s="151"/>
      <c r="Q194" s="151"/>
      <c r="R194" s="151"/>
    </row>
    <row r="195" spans="1:256">
      <c r="A195" s="474" t="s">
        <v>181</v>
      </c>
      <c r="B195" s="483">
        <f>B179/M203-1</f>
        <v>0.4114866461829354</v>
      </c>
      <c r="C195" s="483">
        <f t="shared" si="112"/>
        <v>-2.7911736250651242E-2</v>
      </c>
      <c r="D195" s="483">
        <f t="shared" si="112"/>
        <v>3.4753616420212907E-2</v>
      </c>
      <c r="E195" s="483">
        <f t="shared" si="112"/>
        <v>2.40272567864519E-3</v>
      </c>
      <c r="F195" s="483">
        <f t="shared" si="112"/>
        <v>1.1584415105132528E-2</v>
      </c>
      <c r="G195" s="483">
        <f t="shared" si="112"/>
        <v>-3.8032662487026081E-2</v>
      </c>
      <c r="H195" s="483">
        <f t="shared" si="112"/>
        <v>8.643382262312671E-2</v>
      </c>
      <c r="I195" s="483">
        <f t="shared" si="114"/>
        <v>4.3459668903647053E-2</v>
      </c>
      <c r="J195" s="483">
        <f t="shared" si="114"/>
        <v>-2.5446394968595576E-2</v>
      </c>
      <c r="K195" s="483">
        <f t="shared" si="113"/>
        <v>4.4336733993326938E-2</v>
      </c>
      <c r="L195" s="483">
        <f t="shared" si="113"/>
        <v>-5.5880052065528929E-2</v>
      </c>
      <c r="M195" s="483">
        <f t="shared" si="113"/>
        <v>1.5464877633546426E-2</v>
      </c>
      <c r="N195" s="484"/>
      <c r="O195" s="484"/>
      <c r="P195" s="484"/>
      <c r="Q195" s="484"/>
      <c r="R195" s="484"/>
      <c r="IV195" s="483"/>
    </row>
    <row r="196" spans="1:256">
      <c r="A196" s="513" t="s">
        <v>197</v>
      </c>
      <c r="B196" s="483">
        <f>B180/M204-1</f>
        <v>0.11814567509427376</v>
      </c>
      <c r="C196" s="483">
        <f t="shared" si="112"/>
        <v>-2.8918238973172805E-2</v>
      </c>
      <c r="D196" s="483">
        <f t="shared" si="112"/>
        <v>5.2318560900191935E-2</v>
      </c>
      <c r="E196" s="483">
        <f t="shared" si="112"/>
        <v>-1.3597077297194615E-2</v>
      </c>
      <c r="F196" s="483">
        <f t="shared" si="112"/>
        <v>1.8128845802322546E-2</v>
      </c>
      <c r="G196" s="483">
        <f t="shared" si="112"/>
        <v>-4.2513233246505577E-2</v>
      </c>
      <c r="H196" s="483">
        <f t="shared" si="112"/>
        <v>0.10267421905167495</v>
      </c>
      <c r="I196" s="483">
        <f t="shared" si="114"/>
        <v>4.3464345615598532E-2</v>
      </c>
      <c r="J196" s="483">
        <f t="shared" si="114"/>
        <v>-6.8120010510714701E-2</v>
      </c>
      <c r="K196" s="483">
        <f t="shared" si="113"/>
        <v>4.8218650652491757E-2</v>
      </c>
      <c r="L196" s="483">
        <f t="shared" si="113"/>
        <v>-3.7369875249484541E-2</v>
      </c>
      <c r="M196" s="483">
        <f t="shared" si="113"/>
        <v>-1.172088858440079E-2</v>
      </c>
      <c r="N196" s="484"/>
      <c r="O196" s="484"/>
      <c r="P196" s="484"/>
      <c r="Q196" s="484"/>
      <c r="R196" s="484"/>
      <c r="IV196" s="337"/>
    </row>
    <row r="197" spans="1:256">
      <c r="G197" s="2"/>
      <c r="I197" s="2"/>
      <c r="J197" s="2"/>
      <c r="O197" s="151"/>
      <c r="P197" s="151"/>
      <c r="Q197" s="151"/>
      <c r="R197" s="151"/>
    </row>
    <row r="198" spans="1:256" s="445" customFormat="1">
      <c r="A198" s="500">
        <v>2016</v>
      </c>
      <c r="B198" s="472" t="s">
        <v>51</v>
      </c>
      <c r="C198" s="472" t="s">
        <v>52</v>
      </c>
      <c r="D198" s="472" t="s">
        <v>53</v>
      </c>
      <c r="E198" s="472" t="s">
        <v>54</v>
      </c>
      <c r="F198" s="472" t="s">
        <v>55</v>
      </c>
      <c r="G198" s="472" t="s">
        <v>77</v>
      </c>
      <c r="H198" s="472" t="s">
        <v>78</v>
      </c>
      <c r="I198" s="472" t="s">
        <v>79</v>
      </c>
      <c r="J198" s="472" t="s">
        <v>80</v>
      </c>
      <c r="K198" s="472" t="s">
        <v>81</v>
      </c>
      <c r="L198" s="472" t="s">
        <v>82</v>
      </c>
      <c r="M198" s="472" t="s">
        <v>44</v>
      </c>
      <c r="N198" s="473" t="s">
        <v>133</v>
      </c>
      <c r="O198" s="473" t="s">
        <v>129</v>
      </c>
      <c r="P198" s="473" t="s">
        <v>130</v>
      </c>
      <c r="Q198" s="473" t="s">
        <v>131</v>
      </c>
      <c r="R198" s="473" t="s">
        <v>132</v>
      </c>
      <c r="S198" s="445" t="s">
        <v>171</v>
      </c>
    </row>
    <row r="199" spans="1:256">
      <c r="A199" s="474" t="s">
        <v>22</v>
      </c>
      <c r="B199" s="15">
        <v>7454.01</v>
      </c>
      <c r="C199" s="15">
        <v>7812.13</v>
      </c>
      <c r="D199" s="15">
        <v>7835.23</v>
      </c>
      <c r="E199" s="34">
        <v>8060.57</v>
      </c>
      <c r="F199" s="15">
        <v>7771.37</v>
      </c>
      <c r="G199" s="15">
        <v>7582.02</v>
      </c>
      <c r="H199" s="15">
        <v>8813</v>
      </c>
      <c r="I199" s="15">
        <v>9570.34</v>
      </c>
      <c r="J199" s="15">
        <v>8433.4</v>
      </c>
      <c r="K199" s="15">
        <v>8945.23</v>
      </c>
      <c r="L199" s="15">
        <v>8070.58</v>
      </c>
      <c r="M199" s="15">
        <v>8098.86</v>
      </c>
      <c r="N199" s="15"/>
      <c r="O199" s="15">
        <f t="shared" ref="O199:O204" si="115">SUM(B199:D199)</f>
        <v>23101.37</v>
      </c>
      <c r="P199" s="15">
        <f t="shared" ref="P199:P204" si="116">SUM(E199:G199)</f>
        <v>23413.96</v>
      </c>
      <c r="Q199" s="15">
        <f t="shared" ref="Q199:Q204" si="117">SUM(H199:J199)</f>
        <v>26816.739999999998</v>
      </c>
      <c r="R199" s="15">
        <f t="shared" ref="R199:R204" si="118">SUM(K199:M199)</f>
        <v>25114.67</v>
      </c>
      <c r="S199" s="1">
        <f t="shared" ref="S199:S204" si="119">SUM(O199:R199)</f>
        <v>98446.74</v>
      </c>
    </row>
    <row r="200" spans="1:256">
      <c r="A200" s="474" t="s">
        <v>25</v>
      </c>
      <c r="B200" s="15">
        <v>6509.4</v>
      </c>
      <c r="C200" s="15">
        <v>6587.99</v>
      </c>
      <c r="D200" s="15">
        <v>6920.86</v>
      </c>
      <c r="E200" s="15">
        <v>6913.33</v>
      </c>
      <c r="F200" s="15">
        <v>6789.07</v>
      </c>
      <c r="G200" s="15">
        <v>6476.7039999999997</v>
      </c>
      <c r="H200" s="15">
        <v>7455.25</v>
      </c>
      <c r="I200" s="15">
        <v>8051.49</v>
      </c>
      <c r="J200" s="15">
        <v>7231.08</v>
      </c>
      <c r="K200" s="15">
        <v>7558.34</v>
      </c>
      <c r="L200" s="15">
        <v>6880.12</v>
      </c>
      <c r="M200" s="15">
        <v>6821.058</v>
      </c>
      <c r="N200" s="15"/>
      <c r="O200" s="15">
        <f t="shared" si="115"/>
        <v>20018.25</v>
      </c>
      <c r="P200" s="15">
        <f t="shared" si="116"/>
        <v>20179.103999999999</v>
      </c>
      <c r="Q200" s="15">
        <f t="shared" si="117"/>
        <v>22737.82</v>
      </c>
      <c r="R200" s="15">
        <f t="shared" si="118"/>
        <v>21259.518</v>
      </c>
      <c r="S200" s="1">
        <f t="shared" si="119"/>
        <v>84194.691999999995</v>
      </c>
    </row>
    <row r="201" spans="1:256">
      <c r="A201" s="474" t="s">
        <v>172</v>
      </c>
      <c r="B201" s="15">
        <v>6038.2</v>
      </c>
      <c r="C201" s="15">
        <v>6283.2</v>
      </c>
      <c r="D201" s="15">
        <v>6380</v>
      </c>
      <c r="E201" s="470">
        <v>6579.9</v>
      </c>
      <c r="F201" s="15">
        <v>6527.5</v>
      </c>
      <c r="G201" s="15">
        <v>6381.1</v>
      </c>
      <c r="H201" s="15">
        <v>6860.8</v>
      </c>
      <c r="I201" s="15">
        <v>7111.8</v>
      </c>
      <c r="J201" s="15">
        <v>6728</v>
      </c>
      <c r="K201" s="15">
        <v>7091.3</v>
      </c>
      <c r="L201" s="15">
        <v>6440</v>
      </c>
      <c r="M201" s="15">
        <v>6468.5</v>
      </c>
      <c r="N201" s="15"/>
      <c r="O201" s="15">
        <f t="shared" si="115"/>
        <v>18701.400000000001</v>
      </c>
      <c r="P201" s="15">
        <f t="shared" si="116"/>
        <v>19488.5</v>
      </c>
      <c r="Q201" s="15">
        <f t="shared" si="117"/>
        <v>20700.599999999999</v>
      </c>
      <c r="R201" s="15">
        <f t="shared" si="118"/>
        <v>19999.8</v>
      </c>
      <c r="S201" s="1">
        <f t="shared" si="119"/>
        <v>78890.3</v>
      </c>
    </row>
    <row r="202" spans="1:256" s="520" customFormat="1">
      <c r="A202" s="513" t="s">
        <v>196</v>
      </c>
      <c r="B202" s="45">
        <f t="shared" ref="B202:M202" si="120">SUM(B199:B201)</f>
        <v>20001.61</v>
      </c>
      <c r="C202" s="45">
        <f t="shared" si="120"/>
        <v>20683.32</v>
      </c>
      <c r="D202" s="45">
        <f t="shared" si="120"/>
        <v>21136.09</v>
      </c>
      <c r="E202" s="45">
        <f t="shared" si="120"/>
        <v>21553.8</v>
      </c>
      <c r="F202" s="45">
        <f t="shared" si="120"/>
        <v>21087.94</v>
      </c>
      <c r="G202" s="45">
        <f t="shared" si="120"/>
        <v>20439.824000000001</v>
      </c>
      <c r="H202" s="45">
        <f t="shared" si="120"/>
        <v>23129.05</v>
      </c>
      <c r="I202" s="45">
        <f t="shared" si="120"/>
        <v>24733.63</v>
      </c>
      <c r="J202" s="45">
        <f t="shared" si="120"/>
        <v>22392.48</v>
      </c>
      <c r="K202" s="45">
        <f t="shared" si="120"/>
        <v>23594.87</v>
      </c>
      <c r="L202" s="45">
        <f t="shared" si="120"/>
        <v>21390.7</v>
      </c>
      <c r="M202" s="45">
        <f t="shared" si="120"/>
        <v>21388.417999999998</v>
      </c>
      <c r="N202" s="45"/>
      <c r="O202" s="21">
        <f t="shared" si="115"/>
        <v>61821.020000000004</v>
      </c>
      <c r="P202" s="21">
        <f t="shared" si="116"/>
        <v>63081.563999999998</v>
      </c>
      <c r="Q202" s="21">
        <f t="shared" si="117"/>
        <v>70255.16</v>
      </c>
      <c r="R202" s="21">
        <f t="shared" si="118"/>
        <v>66373.987999999998</v>
      </c>
      <c r="S202" s="44">
        <f t="shared" si="119"/>
        <v>261531.73200000002</v>
      </c>
    </row>
    <row r="203" spans="1:256">
      <c r="A203" s="474" t="s">
        <v>181</v>
      </c>
      <c r="B203" s="15">
        <f>3581780/1000</f>
        <v>3581.78</v>
      </c>
      <c r="C203" s="15">
        <f>3740411/1000</f>
        <v>3740.4110000000001</v>
      </c>
      <c r="D203" s="15">
        <v>3619.4470000000001</v>
      </c>
      <c r="E203" s="15">
        <v>3507.431</v>
      </c>
      <c r="F203" s="15">
        <v>3507.431</v>
      </c>
      <c r="G203" s="15">
        <v>3376.86</v>
      </c>
      <c r="H203" s="15">
        <v>3818.05</v>
      </c>
      <c r="I203" s="15">
        <v>4012.72</v>
      </c>
      <c r="J203" s="15">
        <v>3761.81</v>
      </c>
      <c r="K203" s="15">
        <v>4046.38</v>
      </c>
      <c r="L203" s="15">
        <v>3783.78</v>
      </c>
      <c r="M203" s="15">
        <v>3807.9</v>
      </c>
      <c r="N203" s="21"/>
      <c r="O203" s="15">
        <f t="shared" si="115"/>
        <v>10941.638000000001</v>
      </c>
      <c r="P203" s="15">
        <f t="shared" si="116"/>
        <v>10391.722</v>
      </c>
      <c r="Q203" s="15">
        <f t="shared" si="117"/>
        <v>11592.58</v>
      </c>
      <c r="R203" s="15">
        <f t="shared" si="118"/>
        <v>11638.06</v>
      </c>
      <c r="S203" s="1">
        <f t="shared" si="119"/>
        <v>44564</v>
      </c>
    </row>
    <row r="204" spans="1:256" s="520" customFormat="1">
      <c r="A204" s="513" t="s">
        <v>197</v>
      </c>
      <c r="B204" s="45">
        <f t="shared" ref="B204:M204" si="121">SUM(B202:B203)</f>
        <v>23583.39</v>
      </c>
      <c r="C204" s="45">
        <f t="shared" si="121"/>
        <v>24423.731</v>
      </c>
      <c r="D204" s="45">
        <f t="shared" si="121"/>
        <v>24755.537</v>
      </c>
      <c r="E204" s="45">
        <f t="shared" si="121"/>
        <v>25061.231</v>
      </c>
      <c r="F204" s="45">
        <f t="shared" si="121"/>
        <v>24595.370999999999</v>
      </c>
      <c r="G204" s="45">
        <f t="shared" si="121"/>
        <v>23816.684000000001</v>
      </c>
      <c r="H204" s="45">
        <f t="shared" si="121"/>
        <v>26947.1</v>
      </c>
      <c r="I204" s="45">
        <f t="shared" si="121"/>
        <v>28746.350000000002</v>
      </c>
      <c r="J204" s="45">
        <f t="shared" si="121"/>
        <v>26154.29</v>
      </c>
      <c r="K204" s="45">
        <f t="shared" si="121"/>
        <v>27641.25</v>
      </c>
      <c r="L204" s="45">
        <f t="shared" si="121"/>
        <v>25174.48</v>
      </c>
      <c r="M204" s="45">
        <f t="shared" si="121"/>
        <v>25196.317999999999</v>
      </c>
      <c r="N204" s="45"/>
      <c r="O204" s="21">
        <f t="shared" si="115"/>
        <v>72762.657999999996</v>
      </c>
      <c r="P204" s="21">
        <f t="shared" si="116"/>
        <v>73473.285999999993</v>
      </c>
      <c r="Q204" s="21">
        <f t="shared" si="117"/>
        <v>81847.739999999991</v>
      </c>
      <c r="R204" s="21">
        <f t="shared" si="118"/>
        <v>78012.047999999995</v>
      </c>
      <c r="S204" s="44">
        <f t="shared" si="119"/>
        <v>306095.73199999996</v>
      </c>
    </row>
    <row r="205" spans="1:256">
      <c r="A205" s="474"/>
      <c r="B205" s="15"/>
      <c r="C205" s="15"/>
      <c r="D205" s="483"/>
      <c r="E205" s="483">
        <f>E204/(E223+E227)-1</f>
        <v>0.7634162576741077</v>
      </c>
      <c r="F205" s="15"/>
      <c r="G205" s="15"/>
      <c r="H205" s="15"/>
      <c r="I205" s="15"/>
      <c r="J205" s="15"/>
      <c r="K205" s="15"/>
      <c r="L205" s="15"/>
      <c r="M205" s="15"/>
      <c r="N205" s="488"/>
      <c r="O205" s="15"/>
      <c r="P205" s="19"/>
      <c r="Q205" s="15"/>
      <c r="R205" s="15"/>
      <c r="S205" s="36"/>
    </row>
    <row r="206" spans="1:256">
      <c r="A206" s="504" t="s">
        <v>184</v>
      </c>
      <c r="B206" s="488"/>
      <c r="C206" s="488"/>
      <c r="D206" s="483"/>
      <c r="E206" s="488"/>
      <c r="F206" s="488"/>
      <c r="G206" s="488"/>
      <c r="H206" s="488"/>
      <c r="I206" s="488"/>
      <c r="J206" s="488"/>
      <c r="K206" s="488"/>
      <c r="L206" s="488"/>
      <c r="M206" s="488"/>
      <c r="N206" s="514"/>
      <c r="O206" s="488"/>
      <c r="P206" s="19"/>
      <c r="Q206" s="488"/>
      <c r="R206" s="488"/>
    </row>
    <row r="207" spans="1:256">
      <c r="A207" s="474" t="s">
        <v>22</v>
      </c>
      <c r="B207" s="24">
        <f t="shared" ref="B207:M207" si="122">B199/B223-1</f>
        <v>2.1841945088749704E-2</v>
      </c>
      <c r="C207" s="24">
        <f t="shared" si="122"/>
        <v>-3.7391043748286057E-3</v>
      </c>
      <c r="D207" s="24">
        <f t="shared" si="122"/>
        <v>-5.2181129099181267E-2</v>
      </c>
      <c r="E207" s="24">
        <f t="shared" si="122"/>
        <v>-3.0524720942457506E-3</v>
      </c>
      <c r="F207" s="24">
        <f t="shared" si="122"/>
        <v>2.2142517052434307E-2</v>
      </c>
      <c r="G207" s="24">
        <f t="shared" si="122"/>
        <v>6.6196150904920259E-3</v>
      </c>
      <c r="H207" s="24">
        <f t="shared" si="122"/>
        <v>1.1260064694022853E-2</v>
      </c>
      <c r="I207" s="24">
        <f t="shared" si="122"/>
        <v>4.066495802148018E-2</v>
      </c>
      <c r="J207" s="24">
        <f t="shared" si="122"/>
        <v>5.0482553823311127E-2</v>
      </c>
      <c r="K207" s="24">
        <f t="shared" si="122"/>
        <v>7.8909756253475072E-2</v>
      </c>
      <c r="L207" s="24">
        <f t="shared" si="122"/>
        <v>0.11369651674012582</v>
      </c>
      <c r="M207" s="24">
        <f t="shared" si="122"/>
        <v>0.15332396303717211</v>
      </c>
      <c r="N207" s="19"/>
      <c r="O207" s="483">
        <f>O199/O223-1</f>
        <v>-1.2876708348431354E-2</v>
      </c>
      <c r="P207" s="483">
        <f>P199/P223-1</f>
        <v>8.334470980942088E-3</v>
      </c>
      <c r="Q207" s="483">
        <f>Q199/Q223-1</f>
        <v>3.3824273228020951E-2</v>
      </c>
      <c r="R207" s="483">
        <f>R199/R223-1</f>
        <v>0.11324681380719004</v>
      </c>
      <c r="S207" s="483">
        <f>S199/S223-1</f>
        <v>3.4948568869461294E-2</v>
      </c>
    </row>
    <row r="208" spans="1:256">
      <c r="A208" s="474" t="s">
        <v>25</v>
      </c>
      <c r="B208" s="24">
        <f t="shared" ref="B208:M208" si="123">B200/B225-1</f>
        <v>0.16927487497844451</v>
      </c>
      <c r="C208" s="24">
        <f t="shared" si="123"/>
        <v>0.10470944320077802</v>
      </c>
      <c r="D208" s="24">
        <f t="shared" si="123"/>
        <v>3.9956723942328631E-2</v>
      </c>
      <c r="E208" s="24">
        <f t="shared" si="123"/>
        <v>4.1912639049437761E-2</v>
      </c>
      <c r="F208" s="24">
        <f t="shared" si="123"/>
        <v>4.76337439828034E-2</v>
      </c>
      <c r="G208" s="24">
        <f t="shared" si="123"/>
        <v>6.9774555809370753E-2</v>
      </c>
      <c r="H208" s="24">
        <f t="shared" si="123"/>
        <v>2.285029938805283E-2</v>
      </c>
      <c r="I208" s="24">
        <f t="shared" si="123"/>
        <v>4.6561822744715986E-2</v>
      </c>
      <c r="J208" s="24">
        <f t="shared" si="123"/>
        <v>8.3596499561980675E-2</v>
      </c>
      <c r="K208" s="24">
        <f t="shared" si="123"/>
        <v>8.5149539456720325E-2</v>
      </c>
      <c r="L208" s="24">
        <f t="shared" si="123"/>
        <v>9.1013173595721586E-2</v>
      </c>
      <c r="M208" s="24">
        <f t="shared" si="123"/>
        <v>0.10334239864047889</v>
      </c>
      <c r="N208" s="19"/>
      <c r="O208" s="483">
        <f>O200/O225-1</f>
        <v>0.10077842065729148</v>
      </c>
      <c r="P208" s="483">
        <f>P200/P225-1</f>
        <v>5.2646064386927538E-2</v>
      </c>
      <c r="Q208" s="483">
        <f>Q200/Q225-1</f>
        <v>4.9993535040082859E-2</v>
      </c>
      <c r="R208" s="483">
        <f>R200/R225-1</f>
        <v>9.283184750753648E-2</v>
      </c>
      <c r="S208" s="483">
        <f>S200/S225-1</f>
        <v>7.3032808364178248E-2</v>
      </c>
    </row>
    <row r="209" spans="1:256">
      <c r="A209" s="474" t="s">
        <v>172</v>
      </c>
      <c r="B209" s="24">
        <f t="shared" ref="B209:M209" si="124">B201/B227-1</f>
        <v>7.0982617949627569E-2</v>
      </c>
      <c r="C209" s="24">
        <f t="shared" si="124"/>
        <v>4.6502331778814021E-2</v>
      </c>
      <c r="D209" s="24">
        <f t="shared" si="124"/>
        <v>-2.1562432904947415E-2</v>
      </c>
      <c r="E209" s="24">
        <f t="shared" si="124"/>
        <v>7.4006365787970152E-2</v>
      </c>
      <c r="F209" s="24">
        <f t="shared" si="124"/>
        <v>6.8068395647549629E-2</v>
      </c>
      <c r="G209" s="24">
        <f t="shared" si="124"/>
        <v>7.6488351299829782E-2</v>
      </c>
      <c r="H209" s="24">
        <f t="shared" si="124"/>
        <v>2.5745297969679726E-2</v>
      </c>
      <c r="I209" s="24">
        <f t="shared" si="124"/>
        <v>2.7924724655276956E-2</v>
      </c>
      <c r="J209" s="24">
        <f t="shared" si="124"/>
        <v>8.1567694434620419E-2</v>
      </c>
      <c r="K209" s="24">
        <f t="shared" si="124"/>
        <v>0.13997042085972411</v>
      </c>
      <c r="L209" s="24">
        <f t="shared" si="124"/>
        <v>0.10891089108910901</v>
      </c>
      <c r="M209" s="24">
        <f t="shared" si="124"/>
        <v>0.11376080443541436</v>
      </c>
      <c r="N209" s="19"/>
      <c r="O209" s="483">
        <f>O201/O227-1</f>
        <v>2.9665356281589839E-2</v>
      </c>
      <c r="P209" s="483">
        <f>P201/P227-1</f>
        <v>7.2818553647808759E-2</v>
      </c>
      <c r="Q209" s="483">
        <f>Q201/Q227-1</f>
        <v>4.4019003621178054E-2</v>
      </c>
      <c r="R209" s="483">
        <f>R201/R227-1</f>
        <v>0.1213227255142717</v>
      </c>
      <c r="S209" s="483">
        <f>S201/S227-1</f>
        <v>6.6200400043247898E-2</v>
      </c>
    </row>
    <row r="210" spans="1:256" s="520" customFormat="1">
      <c r="A210" s="513" t="s">
        <v>196</v>
      </c>
      <c r="B210" s="518">
        <f t="shared" ref="B210:M210" si="125">B202/B229-1</f>
        <v>8.1184471981197603E-2</v>
      </c>
      <c r="C210" s="518">
        <f t="shared" si="125"/>
        <v>4.4137513251552241E-2</v>
      </c>
      <c r="D210" s="518">
        <f t="shared" si="125"/>
        <v>-1.4273295482633674E-2</v>
      </c>
      <c r="E210" s="518">
        <f t="shared" si="125"/>
        <v>3.3905150770039638E-2</v>
      </c>
      <c r="F210" s="518">
        <f t="shared" si="125"/>
        <v>4.422080717884036E-2</v>
      </c>
      <c r="G210" s="518">
        <f t="shared" si="125"/>
        <v>4.74371135172309E-2</v>
      </c>
      <c r="H210" s="518">
        <f t="shared" si="125"/>
        <v>1.9252410886556381E-2</v>
      </c>
      <c r="I210" s="518">
        <f t="shared" si="125"/>
        <v>3.886817034450285E-2</v>
      </c>
      <c r="J210" s="518">
        <f t="shared" si="125"/>
        <v>7.0286878722825907E-2</v>
      </c>
      <c r="K210" s="518">
        <f t="shared" si="125"/>
        <v>9.8619154529329789E-2</v>
      </c>
      <c r="L210" s="518">
        <f t="shared" si="125"/>
        <v>0.10487241052388829</v>
      </c>
      <c r="M210" s="518">
        <f t="shared" si="125"/>
        <v>0.12498580514257007</v>
      </c>
      <c r="N210" s="28"/>
      <c r="O210" s="484">
        <f t="shared" ref="O210:S212" si="126">O202/O229-1</f>
        <v>3.4646530610605408E-2</v>
      </c>
      <c r="P210" s="484">
        <f t="shared" si="126"/>
        <v>4.170599733156144E-2</v>
      </c>
      <c r="Q210" s="484">
        <f t="shared" si="126"/>
        <v>4.2015734839302654E-2</v>
      </c>
      <c r="R210" s="484">
        <f t="shared" si="126"/>
        <v>0.10901780310240317</v>
      </c>
      <c r="S210" s="484">
        <f t="shared" si="126"/>
        <v>5.6358482451747349E-2</v>
      </c>
    </row>
    <row r="211" spans="1:256">
      <c r="A211" s="474" t="s">
        <v>181</v>
      </c>
      <c r="B211" s="19">
        <f t="shared" ref="B211:M211" si="127">B203/B230-1</f>
        <v>0.18781496274502252</v>
      </c>
      <c r="C211" s="19">
        <f t="shared" si="127"/>
        <v>0.15350865560694715</v>
      </c>
      <c r="D211" s="19" t="e">
        <f t="shared" si="127"/>
        <v>#DIV/0!</v>
      </c>
      <c r="E211" s="19" t="e">
        <f t="shared" si="127"/>
        <v>#DIV/0!</v>
      </c>
      <c r="F211" s="19" t="e">
        <f t="shared" si="127"/>
        <v>#DIV/0!</v>
      </c>
      <c r="G211" s="19" t="e">
        <f t="shared" si="127"/>
        <v>#DIV/0!</v>
      </c>
      <c r="H211" s="19" t="e">
        <f t="shared" si="127"/>
        <v>#DIV/0!</v>
      </c>
      <c r="I211" s="19" t="e">
        <f t="shared" si="127"/>
        <v>#DIV/0!</v>
      </c>
      <c r="J211" s="19" t="e">
        <f t="shared" si="127"/>
        <v>#DIV/0!</v>
      </c>
      <c r="K211" s="19" t="e">
        <f t="shared" si="127"/>
        <v>#DIV/0!</v>
      </c>
      <c r="L211" s="19" t="e">
        <f t="shared" si="127"/>
        <v>#DIV/0!</v>
      </c>
      <c r="M211" s="19">
        <f t="shared" si="127"/>
        <v>0.12719424571170967</v>
      </c>
      <c r="N211" s="21"/>
      <c r="O211" s="19" t="e">
        <f t="shared" si="126"/>
        <v>#DIV/0!</v>
      </c>
      <c r="P211" s="19" t="e">
        <f t="shared" si="126"/>
        <v>#DIV/0!</v>
      </c>
      <c r="Q211" s="19" t="e">
        <f t="shared" si="126"/>
        <v>#DIV/0!</v>
      </c>
      <c r="R211" s="19" t="e">
        <f t="shared" si="126"/>
        <v>#DIV/0!</v>
      </c>
      <c r="S211" s="19" t="e">
        <f t="shared" si="126"/>
        <v>#DIV/0!</v>
      </c>
    </row>
    <row r="212" spans="1:256" s="520" customFormat="1">
      <c r="A212" s="513" t="s">
        <v>197</v>
      </c>
      <c r="B212" s="518">
        <f t="shared" ref="B212:M212" si="128">B204/B231-1</f>
        <v>9.6129165877300471E-2</v>
      </c>
      <c r="C212" s="518">
        <f t="shared" si="128"/>
        <v>5.952258143217426E-2</v>
      </c>
      <c r="D212" s="518">
        <f t="shared" si="128"/>
        <v>0.15452734661745526</v>
      </c>
      <c r="E212" s="518">
        <f t="shared" si="128"/>
        <v>0.20215163059589458</v>
      </c>
      <c r="F212" s="518">
        <f t="shared" si="128"/>
        <v>0.21789981185848606</v>
      </c>
      <c r="G212" s="518">
        <f t="shared" si="128"/>
        <v>0.22048402875249873</v>
      </c>
      <c r="H212" s="518">
        <f t="shared" si="128"/>
        <v>0.1875064752508695</v>
      </c>
      <c r="I212" s="518">
        <f t="shared" si="128"/>
        <v>0.20741144864634498</v>
      </c>
      <c r="J212" s="518">
        <f t="shared" si="128"/>
        <v>0.25008902137287237</v>
      </c>
      <c r="K212" s="518">
        <f t="shared" si="128"/>
        <v>0.28702581133669458</v>
      </c>
      <c r="L212" s="518">
        <f t="shared" si="128"/>
        <v>0.30031221050668799</v>
      </c>
      <c r="M212" s="518">
        <f t="shared" si="128"/>
        <v>0.12531900979965593</v>
      </c>
      <c r="N212" s="518"/>
      <c r="O212" s="518">
        <f t="shared" si="126"/>
        <v>0.21776754342950033</v>
      </c>
      <c r="P212" s="518">
        <f t="shared" si="126"/>
        <v>0.21331111368540334</v>
      </c>
      <c r="Q212" s="518">
        <f t="shared" si="126"/>
        <v>0.21395542962305081</v>
      </c>
      <c r="R212" s="518">
        <f t="shared" si="126"/>
        <v>0.30347373565197278</v>
      </c>
      <c r="S212" s="518">
        <f t="shared" si="126"/>
        <v>0.23635789992962186</v>
      </c>
    </row>
    <row r="213" spans="1:256">
      <c r="A213" s="474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508"/>
      <c r="O213" s="19"/>
      <c r="P213" s="19"/>
      <c r="Q213" s="19"/>
      <c r="R213" s="19"/>
    </row>
    <row r="214" spans="1:256">
      <c r="A214" s="504" t="s">
        <v>185</v>
      </c>
      <c r="B214" s="488"/>
      <c r="C214" s="488"/>
      <c r="D214" s="488"/>
      <c r="E214" s="488"/>
      <c r="F214" s="488"/>
      <c r="G214" s="488"/>
      <c r="H214" s="488"/>
      <c r="I214" s="488"/>
      <c r="J214" s="488"/>
      <c r="K214" s="488"/>
      <c r="L214" s="488"/>
      <c r="M214" s="488"/>
      <c r="N214" s="488"/>
      <c r="O214" s="488"/>
      <c r="P214" s="488"/>
      <c r="Q214" s="488"/>
      <c r="R214" s="488"/>
    </row>
    <row r="215" spans="1:256">
      <c r="A215" s="474" t="s">
        <v>22</v>
      </c>
      <c r="B215" s="483">
        <f>B199/M223-1</f>
        <v>6.1493636600547852E-2</v>
      </c>
      <c r="C215" s="483">
        <f t="shared" ref="C215:M215" si="129">C199/B199-1</f>
        <v>4.8043938765845562E-2</v>
      </c>
      <c r="D215" s="483">
        <f t="shared" si="129"/>
        <v>2.956940040680367E-3</v>
      </c>
      <c r="E215" s="483">
        <f t="shared" si="129"/>
        <v>2.8759844956689262E-2</v>
      </c>
      <c r="F215" s="483">
        <f t="shared" si="129"/>
        <v>-3.5878355997156497E-2</v>
      </c>
      <c r="G215" s="483">
        <f t="shared" si="129"/>
        <v>-2.4365073339707055E-2</v>
      </c>
      <c r="H215" s="483">
        <f t="shared" si="129"/>
        <v>0.16235515073819373</v>
      </c>
      <c r="I215" s="483">
        <f t="shared" si="129"/>
        <v>8.5934415068648518E-2</v>
      </c>
      <c r="J215" s="483">
        <f t="shared" si="129"/>
        <v>-0.11879828720818697</v>
      </c>
      <c r="K215" s="483">
        <f t="shared" si="129"/>
        <v>6.0690824578461866E-2</v>
      </c>
      <c r="L215" s="483">
        <f t="shared" si="129"/>
        <v>-9.7778369030198209E-2</v>
      </c>
      <c r="M215" s="483">
        <f t="shared" si="129"/>
        <v>3.504085208250185E-3</v>
      </c>
      <c r="N215" s="488"/>
      <c r="O215" s="19"/>
      <c r="P215" s="19"/>
      <c r="Q215" s="19"/>
      <c r="R215" s="19"/>
    </row>
    <row r="216" spans="1:256">
      <c r="A216" s="474" t="s">
        <v>25</v>
      </c>
      <c r="B216" s="483">
        <f>B200/M225-1</f>
        <v>5.2930060074307228E-2</v>
      </c>
      <c r="C216" s="483">
        <f t="shared" ref="C216:M216" si="130">C200/B200-1</f>
        <v>1.2073309367991003E-2</v>
      </c>
      <c r="D216" s="483">
        <f t="shared" si="130"/>
        <v>5.0526791935021187E-2</v>
      </c>
      <c r="E216" s="483">
        <f t="shared" si="130"/>
        <v>-1.0880150732711646E-3</v>
      </c>
      <c r="F216" s="483">
        <f t="shared" si="130"/>
        <v>-1.7973972022165885E-2</v>
      </c>
      <c r="G216" s="483">
        <f t="shared" si="130"/>
        <v>-4.6010130989958875E-2</v>
      </c>
      <c r="H216" s="483">
        <f t="shared" si="130"/>
        <v>0.15108703439280236</v>
      </c>
      <c r="I216" s="483">
        <f t="shared" si="130"/>
        <v>7.9975855940444651E-2</v>
      </c>
      <c r="J216" s="483">
        <f t="shared" si="130"/>
        <v>-0.10189542556719311</v>
      </c>
      <c r="K216" s="483">
        <f t="shared" si="130"/>
        <v>4.5257416596137912E-2</v>
      </c>
      <c r="L216" s="483">
        <f t="shared" si="130"/>
        <v>-8.9731343125606933E-2</v>
      </c>
      <c r="M216" s="483">
        <f t="shared" si="130"/>
        <v>-8.5844432945937355E-3</v>
      </c>
      <c r="N216" s="488"/>
      <c r="O216" s="19"/>
      <c r="P216" s="19"/>
      <c r="Q216" s="19"/>
      <c r="R216" s="19"/>
    </row>
    <row r="217" spans="1:256">
      <c r="A217" s="474" t="s">
        <v>172</v>
      </c>
      <c r="B217" s="483">
        <f>B201/M227-1</f>
        <v>3.9670787561555176E-2</v>
      </c>
      <c r="C217" s="483">
        <f t="shared" ref="C217:M217" si="131">C201/B201-1</f>
        <v>4.0575005796429364E-2</v>
      </c>
      <c r="D217" s="483">
        <f t="shared" si="131"/>
        <v>1.540616246498594E-2</v>
      </c>
      <c r="E217" s="483">
        <f t="shared" si="131"/>
        <v>3.1332288401253905E-2</v>
      </c>
      <c r="F217" s="483">
        <f t="shared" si="131"/>
        <v>-7.9636468639340263E-3</v>
      </c>
      <c r="G217" s="483">
        <f t="shared" si="131"/>
        <v>-2.2428188433550322E-2</v>
      </c>
      <c r="H217" s="483">
        <f t="shared" si="131"/>
        <v>7.5175126545579785E-2</v>
      </c>
      <c r="I217" s="483">
        <f t="shared" si="131"/>
        <v>3.6584654850746245E-2</v>
      </c>
      <c r="J217" s="483">
        <f t="shared" si="131"/>
        <v>-5.3966646981073785E-2</v>
      </c>
      <c r="K217" s="483">
        <f t="shared" si="131"/>
        <v>5.3998216409036903E-2</v>
      </c>
      <c r="L217" s="483">
        <f t="shared" si="131"/>
        <v>-9.1844936753486706E-2</v>
      </c>
      <c r="M217" s="483">
        <f t="shared" si="131"/>
        <v>4.4254658385092238E-3</v>
      </c>
      <c r="N217" s="488"/>
      <c r="O217" s="19"/>
      <c r="P217" s="19"/>
      <c r="Q217" s="19"/>
      <c r="R217" s="19"/>
    </row>
    <row r="218" spans="1:256">
      <c r="A218" s="513" t="s">
        <v>196</v>
      </c>
      <c r="B218" s="483">
        <f>B202/M229-1</f>
        <v>5.2042620917436944E-2</v>
      </c>
      <c r="C218" s="483">
        <f t="shared" ref="C218:M218" si="132">C202/B202-1</f>
        <v>3.408275633811475E-2</v>
      </c>
      <c r="D218" s="483">
        <f t="shared" si="132"/>
        <v>2.1890586230837172E-2</v>
      </c>
      <c r="E218" s="483">
        <f t="shared" si="132"/>
        <v>1.9762879510827114E-2</v>
      </c>
      <c r="F218" s="483">
        <f t="shared" si="132"/>
        <v>-2.1613822156649865E-2</v>
      </c>
      <c r="G218" s="483">
        <f t="shared" si="132"/>
        <v>-3.0733964531386104E-2</v>
      </c>
      <c r="H218" s="483">
        <f t="shared" si="132"/>
        <v>0.13156796262042181</v>
      </c>
      <c r="I218" s="483">
        <f t="shared" si="132"/>
        <v>6.9375093226915929E-2</v>
      </c>
      <c r="J218" s="483">
        <f t="shared" si="132"/>
        <v>-9.4654525033325165E-2</v>
      </c>
      <c r="K218" s="483">
        <f t="shared" si="132"/>
        <v>5.3696151565168382E-2</v>
      </c>
      <c r="L218" s="483">
        <f t="shared" si="132"/>
        <v>-9.3417340294733475E-2</v>
      </c>
      <c r="M218" s="483">
        <f t="shared" si="132"/>
        <v>-1.0668187576856614E-4</v>
      </c>
      <c r="O218" s="151"/>
      <c r="P218" s="151"/>
      <c r="Q218" s="151"/>
      <c r="R218" s="151"/>
    </row>
    <row r="219" spans="1:256">
      <c r="A219" s="474" t="s">
        <v>181</v>
      </c>
      <c r="B219" s="483">
        <f>B203/M230-1</f>
        <v>6.0259409492184002E-2</v>
      </c>
      <c r="C219" s="483">
        <f t="shared" ref="C219:M219" si="133">C203/B203-1</f>
        <v>4.4288314748532898E-2</v>
      </c>
      <c r="D219" s="483">
        <f t="shared" si="133"/>
        <v>-3.2339761593044192E-2</v>
      </c>
      <c r="E219" s="483">
        <f t="shared" si="133"/>
        <v>-3.094837415770979E-2</v>
      </c>
      <c r="F219" s="483">
        <f t="shared" si="133"/>
        <v>0</v>
      </c>
      <c r="G219" s="483">
        <f t="shared" si="133"/>
        <v>-3.7226961841872241E-2</v>
      </c>
      <c r="H219" s="483">
        <f t="shared" si="133"/>
        <v>0.13065095976735774</v>
      </c>
      <c r="I219" s="483">
        <f t="shared" si="133"/>
        <v>5.0986760257199171E-2</v>
      </c>
      <c r="J219" s="483">
        <f t="shared" si="133"/>
        <v>-6.252865886480985E-2</v>
      </c>
      <c r="K219" s="483">
        <f t="shared" si="133"/>
        <v>7.5647095414175691E-2</v>
      </c>
      <c r="L219" s="483">
        <f t="shared" si="133"/>
        <v>-6.4897513332904944E-2</v>
      </c>
      <c r="M219" s="483">
        <f t="shared" si="133"/>
        <v>6.3745778031492062E-3</v>
      </c>
      <c r="N219" s="484"/>
      <c r="O219" s="484"/>
      <c r="P219" s="484"/>
      <c r="Q219" s="484"/>
      <c r="R219" s="484"/>
      <c r="IV219" s="483"/>
    </row>
    <row r="220" spans="1:256">
      <c r="A220" s="513" t="s">
        <v>197</v>
      </c>
      <c r="B220" s="483">
        <f>B204/M231-1</f>
        <v>5.3282351910271641E-2</v>
      </c>
      <c r="C220" s="483">
        <f t="shared" ref="C220:M220" si="134">C204/B204-1</f>
        <v>3.5632748302937056E-2</v>
      </c>
      <c r="D220" s="483">
        <f t="shared" si="134"/>
        <v>1.3585393648497091E-2</v>
      </c>
      <c r="E220" s="483">
        <f t="shared" si="134"/>
        <v>1.2348510153506354E-2</v>
      </c>
      <c r="F220" s="483">
        <f t="shared" si="134"/>
        <v>-1.8588871392630324E-2</v>
      </c>
      <c r="G220" s="483">
        <f t="shared" si="134"/>
        <v>-3.1659900556084253E-2</v>
      </c>
      <c r="H220" s="483">
        <f t="shared" si="134"/>
        <v>0.13143794492969696</v>
      </c>
      <c r="I220" s="483">
        <f t="shared" si="134"/>
        <v>6.6769708057639043E-2</v>
      </c>
      <c r="J220" s="483">
        <f t="shared" si="134"/>
        <v>-9.0170056372374296E-2</v>
      </c>
      <c r="K220" s="483">
        <f t="shared" si="134"/>
        <v>5.6853388105737146E-2</v>
      </c>
      <c r="L220" s="483">
        <f t="shared" si="134"/>
        <v>-8.9242346131235051E-2</v>
      </c>
      <c r="M220" s="483">
        <f t="shared" si="134"/>
        <v>8.6746578280871844E-4</v>
      </c>
      <c r="N220" s="484"/>
      <c r="O220" s="484"/>
      <c r="P220" s="484"/>
      <c r="Q220" s="484"/>
      <c r="R220" s="484"/>
      <c r="IV220" s="337"/>
    </row>
    <row r="221" spans="1:256">
      <c r="G221" s="2"/>
      <c r="I221" s="2"/>
      <c r="J221" s="2"/>
      <c r="O221" s="151"/>
      <c r="P221" s="151"/>
      <c r="Q221" s="151"/>
      <c r="R221" s="151"/>
    </row>
    <row r="222" spans="1:256" s="445" customFormat="1">
      <c r="A222" s="500">
        <v>2015</v>
      </c>
      <c r="B222" s="472" t="s">
        <v>51</v>
      </c>
      <c r="C222" s="472" t="s">
        <v>52</v>
      </c>
      <c r="D222" s="472" t="s">
        <v>53</v>
      </c>
      <c r="E222" s="472" t="s">
        <v>54</v>
      </c>
      <c r="F222" s="472" t="s">
        <v>55</v>
      </c>
      <c r="G222" s="472" t="s">
        <v>77</v>
      </c>
      <c r="H222" s="472" t="s">
        <v>78</v>
      </c>
      <c r="I222" s="472" t="s">
        <v>79</v>
      </c>
      <c r="J222" s="472" t="s">
        <v>80</v>
      </c>
      <c r="K222" s="472" t="s">
        <v>81</v>
      </c>
      <c r="L222" s="472" t="s">
        <v>82</v>
      </c>
      <c r="M222" s="472" t="s">
        <v>44</v>
      </c>
      <c r="N222" s="473" t="s">
        <v>133</v>
      </c>
      <c r="O222" s="473" t="s">
        <v>129</v>
      </c>
      <c r="P222" s="473" t="s">
        <v>130</v>
      </c>
      <c r="Q222" s="473" t="s">
        <v>131</v>
      </c>
      <c r="R222" s="473" t="s">
        <v>132</v>
      </c>
      <c r="S222" s="445" t="s">
        <v>171</v>
      </c>
    </row>
    <row r="223" spans="1:256">
      <c r="A223" s="474" t="s">
        <v>22</v>
      </c>
      <c r="B223" s="15">
        <v>7294.68</v>
      </c>
      <c r="C223" s="15">
        <v>7841.45</v>
      </c>
      <c r="D223" s="15">
        <v>8266.59</v>
      </c>
      <c r="E223" s="15">
        <v>8085.25</v>
      </c>
      <c r="F223" s="15">
        <v>7603.02</v>
      </c>
      <c r="G223" s="15">
        <v>7532.16</v>
      </c>
      <c r="H223" s="15">
        <v>8714.8700000000008</v>
      </c>
      <c r="I223" s="15">
        <v>9196.3700000000008</v>
      </c>
      <c r="J223" s="15">
        <v>8028.12</v>
      </c>
      <c r="K223" s="15">
        <v>8290.99</v>
      </c>
      <c r="L223" s="15">
        <v>7246.66</v>
      </c>
      <c r="M223" s="15">
        <v>7022.19</v>
      </c>
      <c r="N223" s="15"/>
      <c r="O223" s="15">
        <f>SUM(B223:D223)</f>
        <v>23402.720000000001</v>
      </c>
      <c r="P223" s="15">
        <f>SUM(E223:G223)</f>
        <v>23220.43</v>
      </c>
      <c r="Q223" s="15">
        <f>SUM(H223:J223)</f>
        <v>25939.360000000001</v>
      </c>
      <c r="R223" s="15">
        <f>SUM(K223:M223)</f>
        <v>22559.84</v>
      </c>
      <c r="S223" s="1">
        <f>SUM(O223:R223)</f>
        <v>95122.35</v>
      </c>
    </row>
    <row r="224" spans="1:256" s="33" customFormat="1">
      <c r="A224" s="496" t="s">
        <v>186</v>
      </c>
      <c r="B224" s="32">
        <f>B223/'CAAC Air Industry + domestic'!B16</f>
        <v>0.24685888324873098</v>
      </c>
      <c r="C224" s="32">
        <f>C223/'CAAC Air Industry + domestic'!C16</f>
        <v>0.24881643661748373</v>
      </c>
      <c r="D224" s="32">
        <f>D223/'CAAC Air Industry + domestic'!D16</f>
        <v>0.24771035598705501</v>
      </c>
      <c r="E224" s="32">
        <f>E223/'CAAC Air Industry + domestic'!E16</f>
        <v>0.25017017853275164</v>
      </c>
      <c r="F224" s="32">
        <f>F223/'CAAC Air Industry + domestic'!F16</f>
        <v>0.23827942835652502</v>
      </c>
      <c r="G224" s="32">
        <f>G223/'CAAC Air Industry + domestic'!G16</f>
        <v>0.2441068187710656</v>
      </c>
      <c r="H224" s="32">
        <f>H223/'CAAC Air Industry + domestic'!H16</f>
        <v>0.24547546617091998</v>
      </c>
      <c r="I224" s="32">
        <f>I223/'CAAC Air Industry + domestic'!I16</f>
        <v>0.24492303185256206</v>
      </c>
      <c r="J224" s="32">
        <f>J223/'CAAC Air Industry + domestic'!J16</f>
        <v>0.24191285481829686</v>
      </c>
      <c r="K224" s="32">
        <f>K223/'CAAC Air Industry + domestic'!K16</f>
        <v>0.23824683908045977</v>
      </c>
      <c r="L224" s="32">
        <f>L223/'CAAC Air Industry + domestic'!L16</f>
        <v>0.23009652632247413</v>
      </c>
      <c r="M224" s="32">
        <f>M223/'CAAC Air Industry + domestic'!M16</f>
        <v>0.22261571138726857</v>
      </c>
      <c r="N224" s="32"/>
      <c r="O224" s="32">
        <f>O223/'CAAC Air Industry + domestic'!O16</f>
        <v>0.24781303938075119</v>
      </c>
      <c r="P224" s="32">
        <f>P223/'CAAC Air Industry + domestic'!P16</f>
        <v>0.2442122145914622</v>
      </c>
      <c r="Q224" s="32">
        <f>Q223/'CAAC Air Industry + domestic'!Q16</f>
        <v>0.2441673255770172</v>
      </c>
      <c r="R224" s="32">
        <f>R223/'CAAC Air Industry + domestic'!R16</f>
        <v>0.23058361781720804</v>
      </c>
      <c r="S224" s="33">
        <f>S223/'CAAC Air Industry + domestic'!S16</f>
        <v>0.24167632128538546</v>
      </c>
    </row>
    <row r="225" spans="1:19">
      <c r="A225" s="474" t="s">
        <v>25</v>
      </c>
      <c r="B225" s="15">
        <v>5567.04</v>
      </c>
      <c r="C225" s="15">
        <v>5963.55</v>
      </c>
      <c r="D225" s="15">
        <v>6654.95</v>
      </c>
      <c r="E225" s="15">
        <v>6635.23</v>
      </c>
      <c r="F225" s="15">
        <v>6480.3850000000002</v>
      </c>
      <c r="G225" s="15">
        <v>6054.27</v>
      </c>
      <c r="H225" s="15">
        <v>7288.701</v>
      </c>
      <c r="I225" s="15">
        <v>7693.277</v>
      </c>
      <c r="J225" s="15">
        <v>6673.2219999999998</v>
      </c>
      <c r="K225" s="15">
        <v>6965.2520000000004</v>
      </c>
      <c r="L225" s="15">
        <v>6306.1750000000002</v>
      </c>
      <c r="M225" s="15">
        <v>6182.1769999999997</v>
      </c>
      <c r="N225" s="15"/>
      <c r="O225" s="15">
        <f>SUM(B225:D225)</f>
        <v>18185.54</v>
      </c>
      <c r="P225" s="15">
        <f>SUM(E225:G225)</f>
        <v>19169.885000000002</v>
      </c>
      <c r="Q225" s="15">
        <f>SUM(H225:J225)</f>
        <v>21655.199999999997</v>
      </c>
      <c r="R225" s="15">
        <f>SUM(K225:M225)</f>
        <v>19453.603999999999</v>
      </c>
      <c r="S225" s="1">
        <f>SUM(O225:R225)</f>
        <v>78464.228999999992</v>
      </c>
    </row>
    <row r="226" spans="1:19" s="33" customFormat="1">
      <c r="A226" s="496" t="s">
        <v>187</v>
      </c>
      <c r="B226" s="32">
        <f>B225/'CAAC Air Industry + domestic'!B16</f>
        <v>0.18839390862944164</v>
      </c>
      <c r="C226" s="32">
        <f>C225/'CAAC Air Industry + domestic'!C16</f>
        <v>0.18922893860066636</v>
      </c>
      <c r="D226" s="32">
        <f>D225/'CAAC Air Industry + domestic'!D16</f>
        <v>0.19941717607575213</v>
      </c>
      <c r="E226" s="32">
        <f>E225/'CAAC Air Industry + domestic'!E16</f>
        <v>0.20530431015811132</v>
      </c>
      <c r="F226" s="32">
        <f>F225/'CAAC Air Industry + domestic'!F16</f>
        <v>0.20309593205465715</v>
      </c>
      <c r="G226" s="32">
        <f>G225/'CAAC Air Industry + domestic'!G16</f>
        <v>0.19621046149857405</v>
      </c>
      <c r="H226" s="32">
        <f>H225/'CAAC Air Industry + domestic'!H16</f>
        <v>0.20530395470677709</v>
      </c>
      <c r="I226" s="32">
        <f>I225/'CAAC Air Industry + domestic'!I16</f>
        <v>0.20489179183977843</v>
      </c>
      <c r="J226" s="32">
        <f>J225/'CAAC Air Industry + domestic'!J16</f>
        <v>0.20108545772313627</v>
      </c>
      <c r="K226" s="32">
        <f>K225/'CAAC Air Industry + domestic'!K16</f>
        <v>0.2001509195402299</v>
      </c>
      <c r="L226" s="32">
        <f>L225/'CAAC Air Industry + domestic'!L16</f>
        <v>0.20023417158823903</v>
      </c>
      <c r="M226" s="32">
        <f>M225/'CAAC Air Industry + domestic'!M16</f>
        <v>0.19598582931777833</v>
      </c>
      <c r="N226" s="32"/>
      <c r="O226" s="32">
        <f>O225/'CAAC Air Industry + domestic'!O16</f>
        <v>0.19256795535648105</v>
      </c>
      <c r="P226" s="32">
        <f>P225/'CAAC Air Industry + domestic'!P16</f>
        <v>0.20161211783389252</v>
      </c>
      <c r="Q226" s="32">
        <f>Q225/'CAAC Air Industry + domestic'!Q16</f>
        <v>0.20384050604314918</v>
      </c>
      <c r="R226" s="32">
        <f>R225/'CAAC Air Industry + domestic'!R16</f>
        <v>0.19883484944500091</v>
      </c>
      <c r="S226" s="33">
        <f>S225/'CAAC Air Industry + domestic'!S16</f>
        <v>0.19935321422582658</v>
      </c>
    </row>
    <row r="227" spans="1:19">
      <c r="A227" s="474" t="s">
        <v>172</v>
      </c>
      <c r="B227" s="15">
        <v>5638</v>
      </c>
      <c r="C227" s="15">
        <v>6004</v>
      </c>
      <c r="D227" s="15">
        <v>6520.6</v>
      </c>
      <c r="E227" s="470">
        <v>6126.5</v>
      </c>
      <c r="F227" s="15">
        <v>6111.5</v>
      </c>
      <c r="G227" s="15">
        <v>5927.7</v>
      </c>
      <c r="H227" s="15">
        <v>6688.6</v>
      </c>
      <c r="I227" s="15">
        <v>6918.6</v>
      </c>
      <c r="J227" s="15">
        <v>6220.6</v>
      </c>
      <c r="K227" s="15">
        <v>6220.6</v>
      </c>
      <c r="L227" s="15">
        <v>5807.5</v>
      </c>
      <c r="M227" s="15">
        <v>5807.8</v>
      </c>
      <c r="N227" s="15"/>
      <c r="O227" s="15">
        <f>SUM(B227:D227)</f>
        <v>18162.599999999999</v>
      </c>
      <c r="P227" s="15">
        <f>SUM(E227:G227)</f>
        <v>18165.7</v>
      </c>
      <c r="Q227" s="15">
        <f>SUM(H227:J227)</f>
        <v>19827.800000000003</v>
      </c>
      <c r="R227" s="15">
        <f>SUM(K227:M227)</f>
        <v>17835.900000000001</v>
      </c>
      <c r="S227" s="1">
        <f>SUM(O227:R227)</f>
        <v>73992</v>
      </c>
    </row>
    <row r="228" spans="1:19" s="33" customFormat="1">
      <c r="A228" s="496" t="s">
        <v>188</v>
      </c>
      <c r="B228" s="32">
        <f>B227/'CAAC Air Industry + domestic'!B16</f>
        <v>0.19079526226734347</v>
      </c>
      <c r="C228" s="32">
        <f>C227/'CAAC Air Industry + domestic'!C16</f>
        <v>0.19051245438679992</v>
      </c>
      <c r="D228" s="32">
        <f>D227/'CAAC Air Industry + domestic'!D16</f>
        <v>0.19539134603859523</v>
      </c>
      <c r="E228" s="32">
        <f>E227/'CAAC Air Industry + domestic'!E16</f>
        <v>0.18956341470961355</v>
      </c>
      <c r="F228" s="32">
        <f>F227/'CAAC Air Industry + domestic'!F16</f>
        <v>0.1915350382349254</v>
      </c>
      <c r="G228" s="32">
        <f>G227/'CAAC Air Industry + domestic'!G16</f>
        <v>0.19210850401866736</v>
      </c>
      <c r="H228" s="32">
        <f>H227/'CAAC Air Industry + domestic'!H16</f>
        <v>0.18840065348431076</v>
      </c>
      <c r="I228" s="32">
        <f>I227/'CAAC Air Industry + domestic'!I16</f>
        <v>0.18426014701182489</v>
      </c>
      <c r="J228" s="32">
        <f>J227/'CAAC Air Industry + domestic'!J16</f>
        <v>0.18744651359006811</v>
      </c>
      <c r="K228" s="32">
        <f>K227/'CAAC Air Industry + domestic'!K16</f>
        <v>0.1787528735632184</v>
      </c>
      <c r="L228" s="32">
        <f>L227/'CAAC Air Industry + domestic'!L16</f>
        <v>0.18440020321331047</v>
      </c>
      <c r="M228" s="32">
        <f>M227/'CAAC Air Industry + domestic'!M16</f>
        <v>0.18411742328176517</v>
      </c>
      <c r="N228" s="32"/>
      <c r="O228" s="32">
        <f>O227/'CAAC Air Industry + domestic'!O16</f>
        <v>0.19232504209155307</v>
      </c>
      <c r="P228" s="32">
        <f>P227/'CAAC Air Industry + domestic'!P16</f>
        <v>0.1910509765152551</v>
      </c>
      <c r="Q228" s="32">
        <f>Q227/'CAAC Air Industry + domestic'!Q16</f>
        <v>0.18663918069204416</v>
      </c>
      <c r="R228" s="32">
        <f>R227/'CAAC Air Industry + domestic'!R16</f>
        <v>0.18230033320386763</v>
      </c>
      <c r="S228" s="33">
        <f>S227/'CAAC Air Industry + domestic'!S16</f>
        <v>0.1879906705894907</v>
      </c>
    </row>
    <row r="229" spans="1:19" s="520" customFormat="1">
      <c r="A229" s="513" t="s">
        <v>133</v>
      </c>
      <c r="B229" s="45">
        <f t="shared" ref="B229:M229" si="135">SUM(B223,B225,B227)</f>
        <v>18499.72</v>
      </c>
      <c r="C229" s="45">
        <f t="shared" si="135"/>
        <v>19809</v>
      </c>
      <c r="D229" s="45">
        <f t="shared" si="135"/>
        <v>21442.14</v>
      </c>
      <c r="E229" s="45">
        <f t="shared" si="135"/>
        <v>20846.98</v>
      </c>
      <c r="F229" s="45">
        <f t="shared" si="135"/>
        <v>20194.904999999999</v>
      </c>
      <c r="G229" s="45">
        <f t="shared" si="135"/>
        <v>19514.13</v>
      </c>
      <c r="H229" s="45">
        <f t="shared" si="135"/>
        <v>22692.171000000002</v>
      </c>
      <c r="I229" s="45">
        <f t="shared" si="135"/>
        <v>23808.247000000003</v>
      </c>
      <c r="J229" s="45">
        <f t="shared" si="135"/>
        <v>20921.942000000003</v>
      </c>
      <c r="K229" s="45">
        <f t="shared" si="135"/>
        <v>21476.842000000001</v>
      </c>
      <c r="L229" s="45">
        <f t="shared" si="135"/>
        <v>19360.334999999999</v>
      </c>
      <c r="M229" s="45">
        <f t="shared" si="135"/>
        <v>19012.166999999998</v>
      </c>
      <c r="N229" s="45"/>
      <c r="O229" s="21">
        <f>SUM(O223,O225,O227)</f>
        <v>59750.86</v>
      </c>
      <c r="P229" s="21">
        <f>SUM(P223,P225,P227)</f>
        <v>60556.014999999999</v>
      </c>
      <c r="Q229" s="21">
        <f>SUM(Q223,Q225,Q227)</f>
        <v>67422.36</v>
      </c>
      <c r="R229" s="21">
        <f>SUM(R223,R225,R227)</f>
        <v>59849.344000000005</v>
      </c>
      <c r="S229" s="44">
        <f>SUM(S223,S225,S227)</f>
        <v>247578.579</v>
      </c>
    </row>
    <row r="230" spans="1:19">
      <c r="A230" s="474" t="s">
        <v>181</v>
      </c>
      <c r="B230" s="15">
        <f>3015436/1000</f>
        <v>3015.4360000000001</v>
      </c>
      <c r="C230" s="15">
        <f>3242638/1000</f>
        <v>3242.6379999999999</v>
      </c>
      <c r="D230" s="15"/>
      <c r="E230" s="15"/>
      <c r="F230" s="15"/>
      <c r="G230" s="15"/>
      <c r="H230" s="15"/>
      <c r="I230" s="15"/>
      <c r="J230" s="15"/>
      <c r="K230" s="15"/>
      <c r="L230" s="15"/>
      <c r="M230" s="21">
        <f>3378211/1000</f>
        <v>3378.2109999999998</v>
      </c>
      <c r="N230" s="21"/>
      <c r="O230" s="15"/>
      <c r="P230" s="15"/>
      <c r="Q230" s="21"/>
      <c r="R230" s="21"/>
      <c r="S230" s="445"/>
    </row>
    <row r="231" spans="1:19" s="520" customFormat="1">
      <c r="A231" s="513" t="s">
        <v>197</v>
      </c>
      <c r="B231" s="45">
        <f t="shared" ref="B231:M231" si="136">SUM(B229:B230)</f>
        <v>21515.156000000003</v>
      </c>
      <c r="C231" s="45">
        <f t="shared" si="136"/>
        <v>23051.637999999999</v>
      </c>
      <c r="D231" s="45">
        <f t="shared" si="136"/>
        <v>21442.14</v>
      </c>
      <c r="E231" s="45">
        <f t="shared" si="136"/>
        <v>20846.98</v>
      </c>
      <c r="F231" s="45">
        <f t="shared" si="136"/>
        <v>20194.904999999999</v>
      </c>
      <c r="G231" s="45">
        <f t="shared" si="136"/>
        <v>19514.13</v>
      </c>
      <c r="H231" s="45">
        <f t="shared" si="136"/>
        <v>22692.171000000002</v>
      </c>
      <c r="I231" s="45">
        <f t="shared" si="136"/>
        <v>23808.247000000003</v>
      </c>
      <c r="J231" s="45">
        <f t="shared" si="136"/>
        <v>20921.942000000003</v>
      </c>
      <c r="K231" s="45">
        <f t="shared" si="136"/>
        <v>21476.842000000001</v>
      </c>
      <c r="L231" s="45">
        <f t="shared" si="136"/>
        <v>19360.334999999999</v>
      </c>
      <c r="M231" s="45">
        <f t="shared" si="136"/>
        <v>22390.377999999997</v>
      </c>
      <c r="N231" s="45"/>
      <c r="O231" s="21">
        <f>SUM(O229:O230)</f>
        <v>59750.86</v>
      </c>
      <c r="P231" s="21">
        <f>SUM(P229:P230)</f>
        <v>60556.014999999999</v>
      </c>
      <c r="Q231" s="21">
        <f>SUM(Q229:Q230)</f>
        <v>67422.36</v>
      </c>
      <c r="R231" s="21">
        <f>SUM(R229:R230)</f>
        <v>59849.344000000005</v>
      </c>
      <c r="S231" s="44">
        <f>SUM(S229:S230)</f>
        <v>247578.579</v>
      </c>
    </row>
    <row r="232" spans="1:19">
      <c r="A232" s="474"/>
      <c r="B232" s="15"/>
      <c r="C232" s="15"/>
      <c r="D232" s="483"/>
      <c r="E232" s="15"/>
      <c r="F232" s="15"/>
      <c r="G232" s="15"/>
      <c r="H232" s="15"/>
      <c r="I232" s="15"/>
      <c r="J232" s="15"/>
      <c r="K232" s="15"/>
      <c r="L232" s="15"/>
      <c r="M232" s="15"/>
      <c r="N232" s="488"/>
      <c r="O232" s="15"/>
      <c r="P232" s="19"/>
      <c r="Q232" s="15"/>
      <c r="R232" s="15"/>
      <c r="S232" s="36"/>
    </row>
    <row r="233" spans="1:19">
      <c r="A233" s="504" t="s">
        <v>184</v>
      </c>
      <c r="B233" s="488"/>
      <c r="C233" s="488"/>
      <c r="D233" s="483"/>
      <c r="E233" s="488"/>
      <c r="F233" s="488"/>
      <c r="G233" s="488"/>
      <c r="H233" s="488"/>
      <c r="I233" s="488"/>
      <c r="J233" s="488"/>
      <c r="K233" s="488"/>
      <c r="L233" s="488"/>
      <c r="M233" s="488"/>
      <c r="N233" s="514"/>
      <c r="O233" s="488"/>
      <c r="P233" s="19"/>
      <c r="Q233" s="488"/>
      <c r="R233" s="488"/>
    </row>
    <row r="234" spans="1:19">
      <c r="A234" s="474" t="s">
        <v>22</v>
      </c>
      <c r="B234" s="24">
        <f t="shared" ref="B234:M234" si="137">B223/B248-1</f>
        <v>2.2137713702010453E-2</v>
      </c>
      <c r="C234" s="24">
        <f t="shared" si="137"/>
        <v>8.694205757232587E-2</v>
      </c>
      <c r="D234" s="24">
        <f t="shared" si="137"/>
        <v>0.19667427623455214</v>
      </c>
      <c r="E234" s="24">
        <f t="shared" si="137"/>
        <v>0.15480640272860091</v>
      </c>
      <c r="F234" s="24">
        <f t="shared" si="137"/>
        <v>8.4464793855238751E-2</v>
      </c>
      <c r="G234" s="24">
        <f t="shared" si="137"/>
        <v>0.10165844925706913</v>
      </c>
      <c r="H234" s="24">
        <f t="shared" si="137"/>
        <v>3.4075766906471516E-2</v>
      </c>
      <c r="I234" s="24">
        <f t="shared" si="137"/>
        <v>5.2170500596084191E-2</v>
      </c>
      <c r="J234" s="24">
        <f t="shared" si="137"/>
        <v>5.6499784834164402E-2</v>
      </c>
      <c r="K234" s="24">
        <f t="shared" si="137"/>
        <v>4.7600094512822988E-2</v>
      </c>
      <c r="L234" s="24">
        <f t="shared" si="137"/>
        <v>-9.4277594684258892E-3</v>
      </c>
      <c r="M234" s="24">
        <f t="shared" si="137"/>
        <v>-3.1543626937860281E-2</v>
      </c>
      <c r="N234" s="19"/>
      <c r="O234" s="483">
        <f>O223/O248-1</f>
        <v>0.10084392929263952</v>
      </c>
      <c r="P234" s="483">
        <f>P223/P248-1</f>
        <v>0.11372440867461076</v>
      </c>
      <c r="Q234" s="483">
        <f>Q223/Q248-1</f>
        <v>4.7341487778426394E-2</v>
      </c>
      <c r="R234" s="483">
        <f>R223/R248-1</f>
        <v>3.5154427264854071E-3</v>
      </c>
      <c r="S234" s="483">
        <f>S223/S248-1</f>
        <v>6.4533392363191222E-2</v>
      </c>
    </row>
    <row r="235" spans="1:19">
      <c r="A235" s="474" t="s">
        <v>25</v>
      </c>
      <c r="B235" s="24">
        <f t="shared" ref="B235:M235" si="138">B225/B250-1</f>
        <v>-2.8572874396788572E-2</v>
      </c>
      <c r="C235" s="24">
        <f t="shared" si="138"/>
        <v>6.6783656800319946E-2</v>
      </c>
      <c r="D235" s="24">
        <f t="shared" si="138"/>
        <v>0.18936600507275991</v>
      </c>
      <c r="E235" s="24">
        <f t="shared" si="138"/>
        <v>0.13514575125481865</v>
      </c>
      <c r="F235" s="24">
        <f t="shared" si="138"/>
        <v>9.915819322019126E-2</v>
      </c>
      <c r="G235" s="24">
        <f t="shared" si="138"/>
        <v>7.5577919693408324E-2</v>
      </c>
      <c r="H235" s="24">
        <f t="shared" si="138"/>
        <v>0.11217701445202777</v>
      </c>
      <c r="I235" s="24">
        <f t="shared" si="138"/>
        <v>0.15877823111709866</v>
      </c>
      <c r="J235" s="24">
        <f t="shared" si="138"/>
        <v>0.12087644818449417</v>
      </c>
      <c r="K235" s="24">
        <f t="shared" si="138"/>
        <v>0.10541535530636525</v>
      </c>
      <c r="L235" s="24">
        <f t="shared" si="138"/>
        <v>8.0781273833170797E-2</v>
      </c>
      <c r="M235" s="24">
        <f t="shared" si="138"/>
        <v>0.12394063174490499</v>
      </c>
      <c r="N235" s="19"/>
      <c r="O235" s="483">
        <f>O225/O250-1</f>
        <v>7.5025762019004683E-2</v>
      </c>
      <c r="P235" s="483">
        <f>P225/P250-1</f>
        <v>0.10362724786240762</v>
      </c>
      <c r="Q235" s="483">
        <f>Q225/Q250-1</f>
        <v>0.1310415038519035</v>
      </c>
      <c r="R235" s="483">
        <f>R225/R250-1</f>
        <v>0.10304306939577201</v>
      </c>
      <c r="S235" s="483">
        <f>S225/S250-1</f>
        <v>0.10405984092686271</v>
      </c>
    </row>
    <row r="236" spans="1:19">
      <c r="A236" s="474" t="s">
        <v>172</v>
      </c>
      <c r="B236" s="24">
        <f t="shared" ref="B236:M236" si="139">B227/B252-1</f>
        <v>-2.4820548300613976E-2</v>
      </c>
      <c r="C236" s="24">
        <f t="shared" si="139"/>
        <v>3.8233412301786451E-2</v>
      </c>
      <c r="D236" s="24">
        <f t="shared" si="139"/>
        <v>0.18780967647916058</v>
      </c>
      <c r="E236" s="24">
        <f t="shared" si="139"/>
        <v>8.7222715173025822E-2</v>
      </c>
      <c r="F236" s="24">
        <f t="shared" si="139"/>
        <v>0.10669467432048241</v>
      </c>
      <c r="G236" s="24">
        <f t="shared" si="139"/>
        <v>7.6686949414222161E-2</v>
      </c>
      <c r="H236" s="24">
        <f t="shared" si="139"/>
        <v>9.7463328192170184E-2</v>
      </c>
      <c r="I236" s="24">
        <f t="shared" si="139"/>
        <v>8.5355714173660724E-2</v>
      </c>
      <c r="J236" s="24">
        <f t="shared" si="139"/>
        <v>8.8050094451829652E-2</v>
      </c>
      <c r="K236" s="24">
        <f t="shared" si="139"/>
        <v>3.1112731853669251E-2</v>
      </c>
      <c r="L236" s="24">
        <f t="shared" si="139"/>
        <v>-3.0984800234112875E-4</v>
      </c>
      <c r="M236" s="24">
        <f t="shared" si="139"/>
        <v>3.2516133620153376E-2</v>
      </c>
      <c r="N236" s="19"/>
      <c r="O236" s="483">
        <f>O227/O252-1</f>
        <v>6.5005277354286406E-2</v>
      </c>
      <c r="P236" s="483">
        <f>P227/P252-1</f>
        <v>9.0194925222651712E-2</v>
      </c>
      <c r="Q236" s="483">
        <f>Q227/Q252-1</f>
        <v>9.0260250848166024E-2</v>
      </c>
      <c r="R236" s="483">
        <f>R227/R252-1</f>
        <v>2.1113979996679744E-2</v>
      </c>
      <c r="S236" s="483">
        <f>S227/S252-1</f>
        <v>6.6625150280667844E-2</v>
      </c>
    </row>
    <row r="237" spans="1:19" s="520" customFormat="1">
      <c r="A237" s="513" t="s">
        <v>133</v>
      </c>
      <c r="B237" s="518">
        <f t="shared" ref="B237:M237" si="140">B229/B254-1</f>
        <v>-8.0275836331754613E-3</v>
      </c>
      <c r="C237" s="518">
        <f t="shared" si="140"/>
        <v>6.5699572195785816E-2</v>
      </c>
      <c r="D237" s="518">
        <f t="shared" si="140"/>
        <v>0.19166736501403658</v>
      </c>
      <c r="E237" s="518">
        <f t="shared" si="140"/>
        <v>0.12795512092592487</v>
      </c>
      <c r="F237" s="518">
        <f t="shared" si="140"/>
        <v>9.5800275092742915E-2</v>
      </c>
      <c r="G237" s="518">
        <f t="shared" si="140"/>
        <v>8.581314204934265E-2</v>
      </c>
      <c r="H237" s="518">
        <f t="shared" si="140"/>
        <v>7.6668243055967755E-2</v>
      </c>
      <c r="I237" s="518">
        <f t="shared" si="140"/>
        <v>9.4407682547704486E-2</v>
      </c>
      <c r="J237" s="518">
        <f t="shared" si="140"/>
        <v>8.5725482592210245E-2</v>
      </c>
      <c r="K237" s="518">
        <f t="shared" si="140"/>
        <v>6.0655962887908199E-2</v>
      </c>
      <c r="L237" s="518">
        <f t="shared" si="140"/>
        <v>2.1103804156971995E-2</v>
      </c>
      <c r="M237" s="518">
        <f t="shared" si="140"/>
        <v>3.458108317592834E-2</v>
      </c>
      <c r="N237" s="28"/>
      <c r="O237" s="484">
        <f>O229/O254-1</f>
        <v>8.1843131055504337E-2</v>
      </c>
      <c r="P237" s="484">
        <f>P229/P254-1</f>
        <v>0.10335814339426519</v>
      </c>
      <c r="Q237" s="484">
        <f>Q229/Q254-1</f>
        <v>8.569301221422676E-2</v>
      </c>
      <c r="R237" s="484">
        <f>R229/R254-1</f>
        <v>3.9312288477915569E-2</v>
      </c>
      <c r="S237" s="484">
        <f>S229/S254-1</f>
        <v>7.7364180914758718E-2</v>
      </c>
    </row>
    <row r="238" spans="1:19">
      <c r="A238" s="474" t="s">
        <v>181</v>
      </c>
      <c r="B238" s="19"/>
      <c r="C238" s="19"/>
      <c r="D238" s="19"/>
      <c r="E238" s="19"/>
      <c r="F238" s="499"/>
      <c r="G238" s="19"/>
      <c r="H238" s="19"/>
      <c r="I238" s="19"/>
      <c r="J238" s="19"/>
      <c r="K238" s="19"/>
      <c r="L238" s="15"/>
      <c r="M238" s="21"/>
      <c r="N238" s="21"/>
      <c r="O238" s="483"/>
      <c r="P238" s="483"/>
      <c r="Q238" s="21"/>
      <c r="R238" s="21"/>
      <c r="S238" s="445"/>
    </row>
    <row r="239" spans="1:19">
      <c r="A239" s="474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508"/>
      <c r="O239" s="19"/>
      <c r="P239" s="19"/>
      <c r="Q239" s="19"/>
      <c r="R239" s="19"/>
    </row>
    <row r="240" spans="1:19">
      <c r="A240" s="504" t="s">
        <v>185</v>
      </c>
      <c r="B240" s="488"/>
      <c r="C240" s="488"/>
      <c r="D240" s="488"/>
      <c r="E240" s="488"/>
      <c r="F240" s="488"/>
      <c r="G240" s="488"/>
      <c r="H240" s="488"/>
      <c r="I240" s="488"/>
      <c r="J240" s="488"/>
      <c r="K240" s="488"/>
      <c r="L240" s="488"/>
      <c r="M240" s="488"/>
      <c r="N240" s="488"/>
      <c r="O240" s="488"/>
      <c r="P240" s="488"/>
      <c r="Q240" s="488"/>
      <c r="R240" s="488"/>
    </row>
    <row r="241" spans="1:256">
      <c r="A241" s="474" t="s">
        <v>22</v>
      </c>
      <c r="B241" s="483"/>
      <c r="C241" s="483"/>
      <c r="D241" s="483"/>
      <c r="E241" s="483"/>
      <c r="F241" s="483"/>
      <c r="G241" s="483"/>
      <c r="H241" s="483"/>
      <c r="I241" s="483"/>
      <c r="J241" s="483"/>
      <c r="K241" s="483"/>
      <c r="L241" s="483"/>
      <c r="M241" s="483"/>
      <c r="N241" s="488"/>
      <c r="O241" s="19"/>
      <c r="P241" s="19"/>
      <c r="Q241" s="19"/>
      <c r="R241" s="19"/>
    </row>
    <row r="242" spans="1:256">
      <c r="A242" s="474" t="s">
        <v>25</v>
      </c>
      <c r="B242" s="483"/>
      <c r="C242" s="483"/>
      <c r="D242" s="483"/>
      <c r="E242" s="483"/>
      <c r="F242" s="483"/>
      <c r="G242" s="483"/>
      <c r="H242" s="483"/>
      <c r="I242" s="483"/>
      <c r="J242" s="483"/>
      <c r="K242" s="483"/>
      <c r="L242" s="483"/>
      <c r="M242" s="483"/>
      <c r="N242" s="488"/>
      <c r="O242" s="19"/>
      <c r="P242" s="19"/>
      <c r="Q242" s="19"/>
      <c r="R242" s="19"/>
    </row>
    <row r="243" spans="1:256">
      <c r="A243" s="474" t="s">
        <v>172</v>
      </c>
      <c r="B243" s="483"/>
      <c r="C243" s="483"/>
      <c r="D243" s="483"/>
      <c r="E243" s="483"/>
      <c r="F243" s="483"/>
      <c r="G243" s="483"/>
      <c r="H243" s="483"/>
      <c r="I243" s="483"/>
      <c r="J243" s="483"/>
      <c r="K243" s="483"/>
      <c r="L243" s="483"/>
      <c r="M243" s="483"/>
      <c r="N243" s="488"/>
      <c r="O243" s="19"/>
      <c r="P243" s="19"/>
      <c r="Q243" s="19"/>
      <c r="R243" s="19"/>
    </row>
    <row r="244" spans="1:256">
      <c r="A244" s="478" t="s">
        <v>133</v>
      </c>
      <c r="B244" s="484"/>
      <c r="C244" s="484"/>
      <c r="D244" s="484"/>
      <c r="E244" s="484"/>
      <c r="F244" s="484"/>
      <c r="G244" s="484"/>
      <c r="H244" s="484"/>
      <c r="I244" s="484"/>
      <c r="J244" s="484"/>
      <c r="K244" s="484"/>
      <c r="L244" s="484"/>
      <c r="M244" s="483"/>
      <c r="O244" s="151"/>
      <c r="P244" s="151"/>
      <c r="Q244" s="151"/>
      <c r="R244" s="151"/>
    </row>
    <row r="245" spans="1:256">
      <c r="A245" s="469" t="s">
        <v>181</v>
      </c>
      <c r="B245" s="337"/>
      <c r="C245" s="483"/>
      <c r="D245" s="483"/>
      <c r="E245" s="483"/>
      <c r="F245" s="483"/>
      <c r="G245" s="483"/>
      <c r="H245" s="483"/>
      <c r="I245" s="483"/>
      <c r="J245" s="483"/>
      <c r="K245" s="483"/>
      <c r="L245" s="337"/>
      <c r="M245" s="337"/>
      <c r="O245" s="151"/>
      <c r="P245" s="151"/>
      <c r="Q245" s="151"/>
      <c r="R245" s="151"/>
      <c r="IV245" s="483"/>
    </row>
    <row r="246" spans="1:256">
      <c r="G246" s="2"/>
      <c r="I246" s="2"/>
      <c r="J246" s="2"/>
      <c r="O246" s="151"/>
      <c r="P246" s="151"/>
      <c r="Q246" s="151"/>
      <c r="R246" s="151"/>
    </row>
    <row r="247" spans="1:256" s="445" customFormat="1">
      <c r="A247" s="500">
        <v>2014</v>
      </c>
      <c r="B247" s="472" t="s">
        <v>51</v>
      </c>
      <c r="C247" s="472" t="s">
        <v>52</v>
      </c>
      <c r="D247" s="472" t="s">
        <v>53</v>
      </c>
      <c r="E247" s="472" t="s">
        <v>54</v>
      </c>
      <c r="F247" s="472" t="s">
        <v>55</v>
      </c>
      <c r="G247" s="472" t="s">
        <v>77</v>
      </c>
      <c r="H247" s="472" t="s">
        <v>78</v>
      </c>
      <c r="I247" s="472" t="s">
        <v>79</v>
      </c>
      <c r="J247" s="472" t="s">
        <v>80</v>
      </c>
      <c r="K247" s="472" t="s">
        <v>81</v>
      </c>
      <c r="L247" s="472" t="s">
        <v>82</v>
      </c>
      <c r="M247" s="472" t="s">
        <v>44</v>
      </c>
      <c r="N247" s="473" t="s">
        <v>133</v>
      </c>
      <c r="O247" s="473" t="s">
        <v>129</v>
      </c>
      <c r="P247" s="473" t="s">
        <v>130</v>
      </c>
      <c r="Q247" s="473" t="s">
        <v>131</v>
      </c>
      <c r="R247" s="473" t="s">
        <v>132</v>
      </c>
      <c r="S247" s="445" t="s">
        <v>171</v>
      </c>
    </row>
    <row r="248" spans="1:256">
      <c r="A248" s="474" t="s">
        <v>22</v>
      </c>
      <c r="B248" s="15">
        <v>7136.69</v>
      </c>
      <c r="C248" s="15">
        <v>7214.23</v>
      </c>
      <c r="D248" s="15">
        <v>6907.97</v>
      </c>
      <c r="E248" s="15">
        <v>7001.39</v>
      </c>
      <c r="F248" s="15">
        <v>7010.85</v>
      </c>
      <c r="G248" s="15">
        <v>6837.11</v>
      </c>
      <c r="H248" s="15">
        <v>8427.69</v>
      </c>
      <c r="I248" s="15">
        <v>8740.3799999999992</v>
      </c>
      <c r="J248" s="15">
        <v>7598.79</v>
      </c>
      <c r="K248" s="15">
        <v>7914.27</v>
      </c>
      <c r="L248" s="15">
        <v>7315.63</v>
      </c>
      <c r="M248" s="15">
        <v>7250.91</v>
      </c>
      <c r="N248" s="15"/>
      <c r="O248" s="15">
        <f>SUM(B248:D248)</f>
        <v>21258.89</v>
      </c>
      <c r="P248" s="15">
        <f>SUM(E248:G248)</f>
        <v>20849.350000000002</v>
      </c>
      <c r="Q248" s="15">
        <f>SUM(H248:J248)</f>
        <v>24766.86</v>
      </c>
      <c r="R248" s="15">
        <f>SUM(K248:M248)</f>
        <v>22480.81</v>
      </c>
      <c r="S248" s="1">
        <f>SUM(O248:R248)</f>
        <v>89355.91</v>
      </c>
    </row>
    <row r="249" spans="1:256" s="33" customFormat="1">
      <c r="A249" s="496" t="s">
        <v>186</v>
      </c>
      <c r="B249" s="32">
        <f>B248/'CAAC Air Industry + domestic'!B25</f>
        <v>0.252277917211637</v>
      </c>
      <c r="C249" s="32">
        <f>C248/'CAAC Air Industry + domestic'!C25</f>
        <v>0.25079888753693724</v>
      </c>
      <c r="D249" s="32">
        <f>D248/'CAAC Air Industry + domestic'!D25</f>
        <v>0.2473226880527013</v>
      </c>
      <c r="E249" s="32">
        <f>E248/'CAAC Air Industry + domestic'!E25</f>
        <v>0.24175235661752012</v>
      </c>
      <c r="F249" s="32">
        <f>F248/'CAAC Air Industry + domestic'!F25</f>
        <v>0.24205392901532938</v>
      </c>
      <c r="G249" s="32">
        <f>G248/'CAAC Air Industry + domestic'!G25</f>
        <v>0.24209872171665309</v>
      </c>
      <c r="H249" s="32">
        <f>H248/'CAAC Air Industry + domestic'!H25</f>
        <v>0.25593519390203168</v>
      </c>
      <c r="I249" s="32">
        <f>I248/'CAAC Air Industry + domestic'!I25</f>
        <v>0.25627855153203338</v>
      </c>
      <c r="J249" s="32">
        <f>J248/'CAAC Air Industry + domestic'!J25</f>
        <v>0.25007536365431449</v>
      </c>
      <c r="K249" s="32">
        <f>K248/'CAAC Air Industry + domestic'!K25</f>
        <v>0.24729002624671917</v>
      </c>
      <c r="L249" s="32">
        <f>L248/'CAAC Air Industry + domestic'!L25</f>
        <v>0.24621802638664514</v>
      </c>
      <c r="M249" s="32">
        <f>M248/'CAAC Air Industry + domestic'!M25</f>
        <v>0.2407900242420217</v>
      </c>
      <c r="N249" s="32">
        <f>N248/'CAAC Air Industry + domestic'!N25</f>
        <v>0</v>
      </c>
      <c r="O249" s="32">
        <f>O248/'CAAC Air Industry + domestic'!O25</f>
        <v>0.25014873212919925</v>
      </c>
      <c r="P249" s="32">
        <f>P248/'CAAC Air Industry + domestic'!P25</f>
        <v>0.24196724926305041</v>
      </c>
      <c r="Q249" s="32">
        <f>Q248/'CAAC Air Industry + domestic'!Q25</f>
        <v>0.25422767398891399</v>
      </c>
      <c r="R249" s="32">
        <f>R248/'CAAC Air Industry + domestic'!R25</f>
        <v>0.2448116608043211</v>
      </c>
      <c r="S249" s="33">
        <f>S248/'CAAC Air Industry + domestic'!S25</f>
        <v>0.24793537735849058</v>
      </c>
    </row>
    <row r="250" spans="1:256">
      <c r="A250" s="474" t="s">
        <v>25</v>
      </c>
      <c r="B250" s="15">
        <v>5730.7849999999999</v>
      </c>
      <c r="C250" s="15">
        <v>5590.2150000000001</v>
      </c>
      <c r="D250" s="15">
        <v>5595.3760000000002</v>
      </c>
      <c r="E250" s="15">
        <v>5845.2669999999998</v>
      </c>
      <c r="F250" s="15">
        <v>5895.7709999999997</v>
      </c>
      <c r="G250" s="15">
        <v>5628.8530000000001</v>
      </c>
      <c r="H250" s="15">
        <v>6553.5439999999999</v>
      </c>
      <c r="I250" s="15">
        <v>6639.1279999999997</v>
      </c>
      <c r="J250" s="15">
        <v>5953.5749999999998</v>
      </c>
      <c r="K250" s="15">
        <v>6301.027</v>
      </c>
      <c r="L250" s="15">
        <v>5834.83</v>
      </c>
      <c r="M250" s="15">
        <v>5500.4480000000003</v>
      </c>
      <c r="N250" s="15"/>
      <c r="O250" s="15">
        <f>SUM(B250:D250)</f>
        <v>16916.376</v>
      </c>
      <c r="P250" s="15">
        <f>SUM(E250:G250)</f>
        <v>17369.891</v>
      </c>
      <c r="Q250" s="15">
        <f>SUM(H250:J250)</f>
        <v>19146.246999999999</v>
      </c>
      <c r="R250" s="15">
        <f>SUM(K250:M250)</f>
        <v>17636.305</v>
      </c>
      <c r="S250" s="1">
        <f>SUM(O250:R250)</f>
        <v>71068.818999999989</v>
      </c>
    </row>
    <row r="251" spans="1:256" s="33" customFormat="1">
      <c r="A251" s="496" t="s">
        <v>187</v>
      </c>
      <c r="B251" s="32">
        <f>B250/'CAAC Air Industry + domestic'!B25</f>
        <v>0.20257997808335396</v>
      </c>
      <c r="C251" s="32">
        <f>C250/'CAAC Air Industry + domestic'!C25</f>
        <v>0.19434086563532071</v>
      </c>
      <c r="D251" s="32">
        <f>D250/'CAAC Air Industry + domestic'!D25</f>
        <v>0.20032852386237515</v>
      </c>
      <c r="E251" s="32">
        <f>E250/'CAAC Air Industry + domestic'!E25</f>
        <v>0.20183236076102343</v>
      </c>
      <c r="F251" s="32">
        <f>F250/'CAAC Air Industry + domestic'!F25</f>
        <v>0.20355513741195966</v>
      </c>
      <c r="G251" s="32">
        <f>G250/'CAAC Air Industry + domestic'!G25</f>
        <v>0.19931493219078644</v>
      </c>
      <c r="H251" s="32">
        <f>H250/'CAAC Air Industry + domestic'!H25</f>
        <v>0.19902043791187099</v>
      </c>
      <c r="I251" s="32">
        <f>I250/'CAAC Air Industry + domestic'!I25</f>
        <v>0.19466729218589648</v>
      </c>
      <c r="J251" s="32">
        <f>J250/'CAAC Air Industry + domestic'!J25</f>
        <v>0.19593151451326268</v>
      </c>
      <c r="K251" s="32">
        <f>K250/'CAAC Air Industry + domestic'!K25</f>
        <v>0.19688248343957004</v>
      </c>
      <c r="L251" s="32">
        <f>L250/'CAAC Air Industry + domestic'!L25</f>
        <v>0.19637957727517502</v>
      </c>
      <c r="M251" s="32">
        <f>M250/'CAAC Air Industry + domestic'!M25</f>
        <v>0.18266024640520706</v>
      </c>
      <c r="N251" s="32">
        <f>N250/'CAAC Air Industry + domestic'!N25</f>
        <v>0</v>
      </c>
      <c r="O251" s="32">
        <f>O250/'CAAC Air Industry + domestic'!O25</f>
        <v>0.19905131493793021</v>
      </c>
      <c r="P251" s="32">
        <f>P250/'CAAC Air Industry + domestic'!P25</f>
        <v>0.2015863681730613</v>
      </c>
      <c r="Q251" s="32">
        <f>Q250/'CAAC Air Industry + domestic'!Q25</f>
        <v>0.19653302196674194</v>
      </c>
      <c r="R251" s="32">
        <f>R250/'CAAC Air Industry + domestic'!R25</f>
        <v>0.19205594093369197</v>
      </c>
      <c r="S251" s="33">
        <f>S250/'CAAC Air Industry + domestic'!S25</f>
        <v>0.19719428135405101</v>
      </c>
    </row>
    <row r="252" spans="1:256">
      <c r="A252" s="474" t="s">
        <v>172</v>
      </c>
      <c r="B252" s="15">
        <v>5781.5</v>
      </c>
      <c r="C252" s="15">
        <v>5782.9</v>
      </c>
      <c r="D252" s="15">
        <v>5489.6</v>
      </c>
      <c r="E252" s="470">
        <v>5635</v>
      </c>
      <c r="F252" s="15">
        <v>5522.3</v>
      </c>
      <c r="G252" s="15">
        <v>5505.5</v>
      </c>
      <c r="H252" s="15">
        <v>6094.6</v>
      </c>
      <c r="I252" s="15">
        <v>6374.5</v>
      </c>
      <c r="J252" s="15">
        <v>5717.2</v>
      </c>
      <c r="K252" s="15">
        <v>6032.9</v>
      </c>
      <c r="L252" s="15">
        <v>5809.3</v>
      </c>
      <c r="M252" s="15">
        <v>5624.9</v>
      </c>
      <c r="N252" s="15"/>
      <c r="O252" s="15">
        <f>SUM(B252:D252)</f>
        <v>17054</v>
      </c>
      <c r="P252" s="15">
        <f>SUM(E252:G252)</f>
        <v>16662.8</v>
      </c>
      <c r="Q252" s="15">
        <f>SUM(H252:J252)</f>
        <v>18186.3</v>
      </c>
      <c r="R252" s="15">
        <f>SUM(K252:M252)</f>
        <v>17467.099999999999</v>
      </c>
      <c r="S252" s="1">
        <f>SUM(O252:R252)</f>
        <v>69370.200000000012</v>
      </c>
    </row>
    <row r="253" spans="1:256" s="33" customFormat="1">
      <c r="A253" s="496" t="s">
        <v>188</v>
      </c>
      <c r="B253" s="32">
        <f>B252/'CAAC Air Industry + domestic'!B25</f>
        <v>0.20437272438050125</v>
      </c>
      <c r="C253" s="32">
        <f>C252/'CAAC Air Industry + domestic'!C25</f>
        <v>0.20103945767425691</v>
      </c>
      <c r="D253" s="32">
        <f>D252/'CAAC Air Industry + domestic'!D25</f>
        <v>0.19654147721170026</v>
      </c>
      <c r="E253" s="32">
        <f>E252/'CAAC Air Industry + domestic'!E25</f>
        <v>0.19457201063499188</v>
      </c>
      <c r="F253" s="32">
        <f>F252/'CAAC Air Industry + domestic'!F25</f>
        <v>0.19066082032868389</v>
      </c>
      <c r="G253" s="32">
        <f>G252/'CAAC Air Industry + domestic'!G25</f>
        <v>0.194947062781063</v>
      </c>
      <c r="H253" s="32">
        <f>H252/'CAAC Air Industry + domestic'!H25</f>
        <v>0.18508305748732121</v>
      </c>
      <c r="I253" s="32">
        <f>I252/'CAAC Air Industry + domestic'!I25</f>
        <v>0.18690807799442896</v>
      </c>
      <c r="J253" s="32">
        <f>J252/'CAAC Air Industry + domestic'!J25</f>
        <v>0.18815243862305009</v>
      </c>
      <c r="K253" s="32">
        <f>K252/'CAAC Air Industry + domestic'!K25</f>
        <v>0.18850456192975876</v>
      </c>
      <c r="L253" s="32">
        <f>L252/'CAAC Air Industry + domestic'!L25</f>
        <v>0.19552032848680667</v>
      </c>
      <c r="M253" s="32">
        <f>M252/'CAAC Air Industry + domestic'!M25</f>
        <v>0.18679307940092318</v>
      </c>
      <c r="N253" s="32">
        <f>N252/'CAAC Air Industry + domestic'!N25</f>
        <v>0</v>
      </c>
      <c r="O253" s="32">
        <f>O252/'CAAC Air Industry + domestic'!O25</f>
        <v>0.20067070659528152</v>
      </c>
      <c r="P253" s="32">
        <f>P252/'CAAC Air Industry + domestic'!P25</f>
        <v>0.19338021957616691</v>
      </c>
      <c r="Q253" s="32">
        <f>Q252/'CAAC Air Industry + domestic'!Q25</f>
        <v>0.18667932662697598</v>
      </c>
      <c r="R253" s="32">
        <f>R252/'CAAC Air Industry + domestic'!R25</f>
        <v>0.19021333130056953</v>
      </c>
      <c r="S253" s="33">
        <f>S252/'CAAC Air Industry + domestic'!S25</f>
        <v>0.19248113207547174</v>
      </c>
    </row>
    <row r="254" spans="1:256" s="520" customFormat="1">
      <c r="A254" s="513" t="s">
        <v>133</v>
      </c>
      <c r="B254" s="45">
        <f t="shared" ref="B254:M254" si="141">SUM(B248:B252)</f>
        <v>18649.429857895295</v>
      </c>
      <c r="C254" s="45">
        <f t="shared" si="141"/>
        <v>18587.790139753171</v>
      </c>
      <c r="D254" s="45">
        <f t="shared" si="141"/>
        <v>17993.393651211918</v>
      </c>
      <c r="E254" s="45">
        <f t="shared" si="141"/>
        <v>18482.10058471738</v>
      </c>
      <c r="F254" s="45">
        <f t="shared" si="141"/>
        <v>18429.366609066426</v>
      </c>
      <c r="G254" s="45">
        <f t="shared" si="141"/>
        <v>17971.904413653909</v>
      </c>
      <c r="H254" s="45">
        <f t="shared" si="141"/>
        <v>21076.288955631815</v>
      </c>
      <c r="I254" s="45">
        <f t="shared" si="141"/>
        <v>21754.458945843719</v>
      </c>
      <c r="J254" s="45">
        <f t="shared" si="141"/>
        <v>19270.011006878169</v>
      </c>
      <c r="K254" s="45">
        <f t="shared" si="141"/>
        <v>20248.641172509684</v>
      </c>
      <c r="L254" s="45">
        <f t="shared" si="141"/>
        <v>18960.20259760366</v>
      </c>
      <c r="M254" s="45">
        <f t="shared" si="141"/>
        <v>18376.681450270647</v>
      </c>
      <c r="N254" s="45"/>
      <c r="O254" s="21">
        <f>SUM(B254:D254)</f>
        <v>55230.613648860388</v>
      </c>
      <c r="P254" s="21">
        <f>SUM(E254:G254)</f>
        <v>54883.371607437715</v>
      </c>
      <c r="Q254" s="21">
        <f>SUM(H254:J254)</f>
        <v>62100.758908353702</v>
      </c>
      <c r="R254" s="21">
        <f>SUM(K254:M254)</f>
        <v>57585.525220383992</v>
      </c>
      <c r="S254" s="44">
        <f>SUM(O254:R254)</f>
        <v>229800.26938503579</v>
      </c>
    </row>
    <row r="255" spans="1:256">
      <c r="A255" s="474" t="s">
        <v>181</v>
      </c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21"/>
      <c r="N255" s="21"/>
      <c r="O255" s="15"/>
      <c r="P255" s="15"/>
      <c r="Q255" s="21"/>
      <c r="R255" s="21"/>
      <c r="S255" s="445"/>
    </row>
    <row r="256" spans="1:256">
      <c r="A256" s="474"/>
      <c r="B256" s="15"/>
      <c r="C256" s="15"/>
      <c r="D256" s="483"/>
      <c r="E256" s="15"/>
      <c r="F256" s="15"/>
      <c r="G256" s="15"/>
      <c r="H256" s="15"/>
      <c r="I256" s="15"/>
      <c r="J256" s="15"/>
      <c r="K256" s="15"/>
      <c r="L256" s="15"/>
      <c r="M256" s="15"/>
      <c r="N256" s="488"/>
      <c r="O256" s="15"/>
      <c r="P256" s="19"/>
      <c r="Q256" s="15"/>
      <c r="R256" s="15"/>
      <c r="S256" s="36"/>
    </row>
    <row r="257" spans="1:256">
      <c r="A257" s="504" t="s">
        <v>184</v>
      </c>
      <c r="B257" s="488"/>
      <c r="C257" s="488"/>
      <c r="D257" s="483"/>
      <c r="E257" s="488"/>
      <c r="F257" s="488"/>
      <c r="G257" s="488"/>
      <c r="H257" s="488"/>
      <c r="I257" s="488"/>
      <c r="J257" s="488"/>
      <c r="K257" s="488"/>
      <c r="L257" s="488"/>
      <c r="M257" s="488"/>
      <c r="N257" s="514"/>
      <c r="O257" s="488"/>
      <c r="P257" s="19"/>
      <c r="Q257" s="488"/>
      <c r="R257" s="488"/>
    </row>
    <row r="258" spans="1:256">
      <c r="A258" s="474" t="s">
        <v>22</v>
      </c>
      <c r="B258" s="483">
        <f t="shared" ref="B258:M258" si="142">B248/B272-1</f>
        <v>0.16772093906054653</v>
      </c>
      <c r="C258" s="483">
        <f t="shared" si="142"/>
        <v>9.9966608676560043E-2</v>
      </c>
      <c r="D258" s="483">
        <f t="shared" si="142"/>
        <v>1.4875005876545444E-2</v>
      </c>
      <c r="E258" s="483">
        <f t="shared" si="142"/>
        <v>6.7197212424586983E-2</v>
      </c>
      <c r="F258" s="483">
        <f t="shared" si="142"/>
        <v>5.57888919174927E-2</v>
      </c>
      <c r="G258" s="483">
        <f t="shared" si="142"/>
        <v>2.7203862957554392E-2</v>
      </c>
      <c r="H258" s="483">
        <f t="shared" si="142"/>
        <v>9.3844626297106437E-2</v>
      </c>
      <c r="I258" s="483">
        <f t="shared" si="142"/>
        <v>6.7866436975405842E-2</v>
      </c>
      <c r="J258" s="483">
        <f t="shared" si="142"/>
        <v>8.5673260324468092E-2</v>
      </c>
      <c r="K258" s="483">
        <f t="shared" si="142"/>
        <v>8.3977296696132298E-2</v>
      </c>
      <c r="L258" s="483">
        <f t="shared" si="142"/>
        <v>0.13766682528870766</v>
      </c>
      <c r="M258" s="483">
        <f t="shared" si="142"/>
        <v>0.16603922867742726</v>
      </c>
      <c r="N258" s="19"/>
      <c r="O258" s="483">
        <f>O248/O272-1</f>
        <v>9.1489683959757429E-2</v>
      </c>
      <c r="P258" s="483">
        <f>P248/P272-1</f>
        <v>4.9976406269435891E-2</v>
      </c>
      <c r="Q258" s="483">
        <f>Q248/Q272-1</f>
        <v>8.2056211143490154E-2</v>
      </c>
      <c r="R258" s="483">
        <f>R248/R272-1</f>
        <v>0.12686159801061958</v>
      </c>
      <c r="S258" s="483">
        <f>S248/S272-1</f>
        <v>8.7418000293285392E-2</v>
      </c>
    </row>
    <row r="259" spans="1:256">
      <c r="A259" s="474" t="s">
        <v>25</v>
      </c>
      <c r="B259" s="483">
        <f t="shared" ref="B259:M259" si="143">B250/B273-1</f>
        <v>0.19542525652231046</v>
      </c>
      <c r="C259" s="483">
        <f t="shared" si="143"/>
        <v>6.147891175063247E-2</v>
      </c>
      <c r="D259" s="483">
        <f t="shared" si="143"/>
        <v>1.3467250543966136E-2</v>
      </c>
      <c r="E259" s="483">
        <f t="shared" si="143"/>
        <v>7.9633410551147366E-2</v>
      </c>
      <c r="F259" s="483">
        <f t="shared" si="143"/>
        <v>7.9898167655207519E-2</v>
      </c>
      <c r="G259" s="483">
        <f t="shared" si="143"/>
        <v>2.0308826853475015E-2</v>
      </c>
      <c r="H259" s="483">
        <f t="shared" si="143"/>
        <v>3.2572898826339403E-2</v>
      </c>
      <c r="I259" s="483">
        <f t="shared" si="143"/>
        <v>4.6179151137681895E-3</v>
      </c>
      <c r="J259" s="483">
        <f t="shared" si="143"/>
        <v>3.2977300290968348E-2</v>
      </c>
      <c r="K259" s="483">
        <f t="shared" si="143"/>
        <v>4.0443196189494213E-2</v>
      </c>
      <c r="L259" s="483">
        <f t="shared" si="143"/>
        <v>8.1774124173118468E-2</v>
      </c>
      <c r="M259" s="483">
        <f t="shared" si="143"/>
        <v>8.9702987009024682E-2</v>
      </c>
      <c r="N259" s="19"/>
      <c r="O259" s="483">
        <f>O250/O273-1</f>
        <v>8.5678026348478653E-2</v>
      </c>
      <c r="P259" s="483">
        <f>P250/P273-1</f>
        <v>5.9753770736787004E-2</v>
      </c>
      <c r="Q259" s="483">
        <f>Q250/Q273-1</f>
        <v>2.2828067629933946E-2</v>
      </c>
      <c r="R259" s="483">
        <f>R250/R273-1</f>
        <v>6.9027842189827826E-2</v>
      </c>
      <c r="S259" s="483">
        <f>S250/S273-1</f>
        <v>5.7755291666170994E-2</v>
      </c>
    </row>
    <row r="260" spans="1:256">
      <c r="A260" s="474" t="s">
        <v>172</v>
      </c>
      <c r="B260" s="483">
        <f t="shared" ref="B260:M260" si="144">B252/B274-1</f>
        <v>0.16522562831287657</v>
      </c>
      <c r="C260" s="483">
        <f t="shared" si="144"/>
        <v>8.0007470352040366E-2</v>
      </c>
      <c r="D260" s="483">
        <f t="shared" si="144"/>
        <v>-1.2519787019715012E-2</v>
      </c>
      <c r="E260" s="483">
        <f t="shared" si="144"/>
        <v>4.6930737217598217E-2</v>
      </c>
      <c r="F260" s="483">
        <f t="shared" si="144"/>
        <v>2.8150658151961494E-2</v>
      </c>
      <c r="G260" s="483">
        <f t="shared" si="144"/>
        <v>2.9546517064048539E-2</v>
      </c>
      <c r="H260" s="483">
        <f t="shared" si="144"/>
        <v>3.863392355016293E-2</v>
      </c>
      <c r="I260" s="483">
        <f t="shared" si="144"/>
        <v>2.0115862245551064E-2</v>
      </c>
      <c r="J260" s="483">
        <f t="shared" si="144"/>
        <v>2.5745913845381052E-2</v>
      </c>
      <c r="K260" s="483">
        <f t="shared" si="144"/>
        <v>3.0982979014286594E-2</v>
      </c>
      <c r="L260" s="483">
        <f t="shared" si="144"/>
        <v>0.11779646341228767</v>
      </c>
      <c r="M260" s="483">
        <f t="shared" si="144"/>
        <v>7.3024169702981423E-2</v>
      </c>
      <c r="N260" s="19"/>
      <c r="O260" s="483">
        <f>O252/O274-1</f>
        <v>7.4240649054511998E-2</v>
      </c>
      <c r="P260" s="483">
        <f>P252/P274-1</f>
        <v>3.4892242717843525E-2</v>
      </c>
      <c r="Q260" s="483">
        <f>Q252/Q274-1</f>
        <v>2.8032153032153007E-2</v>
      </c>
      <c r="R260" s="483">
        <f>R252/R274-1</f>
        <v>7.2206398703562602E-2</v>
      </c>
      <c r="S260" s="483">
        <f>S252/S274-1</f>
        <v>5.1739299186143839E-2</v>
      </c>
    </row>
    <row r="261" spans="1:256" s="520" customFormat="1">
      <c r="A261" s="513" t="s">
        <v>133</v>
      </c>
      <c r="B261" s="518">
        <f t="shared" ref="B261:M261" si="145">B254/B275-1</f>
        <v>0.17533954220828751</v>
      </c>
      <c r="C261" s="518">
        <f t="shared" si="145"/>
        <v>8.1973147097340382E-2</v>
      </c>
      <c r="D261" s="518">
        <f t="shared" si="145"/>
        <v>5.9513048826687065E-3</v>
      </c>
      <c r="E261" s="518">
        <f t="shared" si="145"/>
        <v>6.4817339750090408E-2</v>
      </c>
      <c r="F261" s="518">
        <f t="shared" si="145"/>
        <v>5.4851568701554054E-2</v>
      </c>
      <c r="G261" s="518">
        <f t="shared" si="145"/>
        <v>2.5772963230473067E-2</v>
      </c>
      <c r="H261" s="518">
        <f t="shared" si="145"/>
        <v>5.8080628877223761E-2</v>
      </c>
      <c r="I261" s="518">
        <f t="shared" si="145"/>
        <v>3.3843667631724861E-2</v>
      </c>
      <c r="J261" s="518">
        <f t="shared" si="145"/>
        <v>5.0918012456025563E-2</v>
      </c>
      <c r="K261" s="518">
        <f t="shared" si="145"/>
        <v>5.4131442952366049E-2</v>
      </c>
      <c r="L261" s="518">
        <f t="shared" si="145"/>
        <v>0.11391429752495474</v>
      </c>
      <c r="M261" s="518">
        <f t="shared" si="145"/>
        <v>0.11318720831231244</v>
      </c>
      <c r="N261" s="28"/>
      <c r="O261" s="484">
        <f>O254/O275-1</f>
        <v>8.4361965089830182E-2</v>
      </c>
      <c r="P261" s="484">
        <f>P254/P275-1</f>
        <v>4.8423664582913473E-2</v>
      </c>
      <c r="Q261" s="484">
        <f>Q254/Q275-1</f>
        <v>4.72651268238371E-2</v>
      </c>
      <c r="R261" s="484">
        <f>R254/R275-1</f>
        <v>9.1912008762520925E-2</v>
      </c>
      <c r="S261" s="484">
        <f>S254/S275-1</f>
        <v>6.7257496496507585E-2</v>
      </c>
    </row>
    <row r="262" spans="1:256">
      <c r="A262" s="474" t="s">
        <v>181</v>
      </c>
      <c r="B262" s="19"/>
      <c r="C262" s="19"/>
      <c r="D262" s="19"/>
      <c r="E262" s="19"/>
      <c r="F262" s="499"/>
      <c r="G262" s="19"/>
      <c r="H262" s="19"/>
      <c r="I262" s="19"/>
      <c r="J262" s="19"/>
      <c r="K262" s="19"/>
      <c r="L262" s="15"/>
      <c r="M262" s="21"/>
      <c r="N262" s="21"/>
      <c r="O262" s="483"/>
      <c r="P262" s="483"/>
      <c r="Q262" s="21"/>
      <c r="R262" s="21"/>
      <c r="S262" s="445"/>
    </row>
    <row r="263" spans="1:256">
      <c r="A263" s="474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508"/>
      <c r="O263" s="19"/>
      <c r="P263" s="19"/>
      <c r="Q263" s="19"/>
      <c r="R263" s="19"/>
    </row>
    <row r="264" spans="1:256">
      <c r="A264" s="504" t="s">
        <v>185</v>
      </c>
      <c r="B264" s="488"/>
      <c r="C264" s="488"/>
      <c r="D264" s="488"/>
      <c r="E264" s="488"/>
      <c r="F264" s="488"/>
      <c r="G264" s="488"/>
      <c r="H264" s="488"/>
      <c r="I264" s="488"/>
      <c r="J264" s="488"/>
      <c r="K264" s="488"/>
      <c r="L264" s="488"/>
      <c r="M264" s="488"/>
      <c r="N264" s="488"/>
      <c r="O264" s="488"/>
      <c r="P264" s="488"/>
      <c r="Q264" s="488"/>
      <c r="R264" s="488"/>
    </row>
    <row r="265" spans="1:256">
      <c r="A265" s="474" t="s">
        <v>22</v>
      </c>
      <c r="B265" s="483"/>
      <c r="C265" s="483"/>
      <c r="D265" s="483"/>
      <c r="E265" s="483"/>
      <c r="F265" s="483"/>
      <c r="G265" s="483"/>
      <c r="H265" s="483"/>
      <c r="I265" s="483"/>
      <c r="J265" s="483"/>
      <c r="K265" s="483"/>
      <c r="L265" s="483"/>
      <c r="M265" s="483"/>
      <c r="N265" s="488"/>
      <c r="O265" s="19"/>
      <c r="P265" s="19"/>
      <c r="Q265" s="19"/>
      <c r="R265" s="19"/>
    </row>
    <row r="266" spans="1:256">
      <c r="A266" s="474" t="s">
        <v>25</v>
      </c>
      <c r="B266" s="483"/>
      <c r="C266" s="483"/>
      <c r="D266" s="483"/>
      <c r="E266" s="483"/>
      <c r="F266" s="483"/>
      <c r="G266" s="483"/>
      <c r="H266" s="483"/>
      <c r="I266" s="483"/>
      <c r="J266" s="483"/>
      <c r="K266" s="483"/>
      <c r="L266" s="483"/>
      <c r="M266" s="483"/>
      <c r="N266" s="488"/>
      <c r="O266" s="19"/>
      <c r="P266" s="19"/>
      <c r="Q266" s="19"/>
      <c r="R266" s="19"/>
    </row>
    <row r="267" spans="1:256">
      <c r="A267" s="474" t="s">
        <v>172</v>
      </c>
      <c r="B267" s="483"/>
      <c r="C267" s="483"/>
      <c r="D267" s="483"/>
      <c r="E267" s="483"/>
      <c r="F267" s="483"/>
      <c r="G267" s="483"/>
      <c r="H267" s="483"/>
      <c r="I267" s="483"/>
      <c r="J267" s="483"/>
      <c r="K267" s="483"/>
      <c r="L267" s="483"/>
      <c r="M267" s="483"/>
      <c r="N267" s="488"/>
      <c r="O267" s="19"/>
      <c r="P267" s="19"/>
      <c r="Q267" s="19"/>
      <c r="R267" s="19"/>
    </row>
    <row r="268" spans="1:256">
      <c r="A268" s="478" t="s">
        <v>133</v>
      </c>
      <c r="B268" s="484"/>
      <c r="C268" s="484"/>
      <c r="D268" s="484"/>
      <c r="E268" s="484"/>
      <c r="F268" s="484"/>
      <c r="G268" s="484"/>
      <c r="H268" s="484"/>
      <c r="I268" s="484"/>
      <c r="J268" s="484"/>
      <c r="K268" s="484"/>
      <c r="L268" s="484"/>
      <c r="M268" s="483"/>
      <c r="O268" s="151"/>
      <c r="P268" s="151"/>
      <c r="Q268" s="151"/>
      <c r="R268" s="151"/>
    </row>
    <row r="269" spans="1:256">
      <c r="A269" s="469" t="s">
        <v>181</v>
      </c>
      <c r="B269" s="337"/>
      <c r="C269" s="483"/>
      <c r="D269" s="483"/>
      <c r="E269" s="483"/>
      <c r="F269" s="483"/>
      <c r="G269" s="483"/>
      <c r="H269" s="483"/>
      <c r="I269" s="483"/>
      <c r="J269" s="483"/>
      <c r="K269" s="483"/>
      <c r="L269" s="337"/>
      <c r="M269" s="337"/>
      <c r="O269" s="151"/>
      <c r="P269" s="151"/>
      <c r="Q269" s="151"/>
      <c r="R269" s="151"/>
      <c r="IV269" s="483"/>
    </row>
    <row r="270" spans="1:256">
      <c r="G270" s="2"/>
      <c r="I270" s="2"/>
      <c r="J270" s="2"/>
      <c r="O270" s="151"/>
      <c r="P270" s="151"/>
      <c r="Q270" s="151"/>
      <c r="R270" s="151"/>
    </row>
    <row r="271" spans="1:256" s="445" customFormat="1">
      <c r="A271" s="500">
        <v>2013</v>
      </c>
      <c r="B271" s="472" t="s">
        <v>51</v>
      </c>
      <c r="C271" s="472" t="s">
        <v>52</v>
      </c>
      <c r="D271" s="472" t="s">
        <v>53</v>
      </c>
      <c r="E271" s="472" t="s">
        <v>54</v>
      </c>
      <c r="F271" s="472" t="s">
        <v>55</v>
      </c>
      <c r="G271" s="472" t="s">
        <v>77</v>
      </c>
      <c r="H271" s="472" t="s">
        <v>78</v>
      </c>
      <c r="I271" s="472" t="s">
        <v>79</v>
      </c>
      <c r="J271" s="472" t="s">
        <v>80</v>
      </c>
      <c r="K271" s="472" t="s">
        <v>81</v>
      </c>
      <c r="L271" s="472" t="s">
        <v>82</v>
      </c>
      <c r="M271" s="472" t="s">
        <v>44</v>
      </c>
      <c r="N271" s="473" t="s">
        <v>133</v>
      </c>
      <c r="O271" s="473" t="s">
        <v>129</v>
      </c>
      <c r="P271" s="473" t="s">
        <v>130</v>
      </c>
      <c r="Q271" s="473" t="s">
        <v>131</v>
      </c>
      <c r="R271" s="473" t="s">
        <v>132</v>
      </c>
      <c r="S271" s="445" t="s">
        <v>171</v>
      </c>
    </row>
    <row r="272" spans="1:256">
      <c r="A272" s="474" t="s">
        <v>22</v>
      </c>
      <c r="B272" s="15">
        <v>6111.64</v>
      </c>
      <c r="C272" s="15">
        <v>6558.59</v>
      </c>
      <c r="D272" s="15">
        <v>6806.72</v>
      </c>
      <c r="E272" s="15">
        <v>6560.54</v>
      </c>
      <c r="F272" s="15">
        <v>6640.39</v>
      </c>
      <c r="G272" s="15">
        <v>6656.04</v>
      </c>
      <c r="H272" s="15">
        <v>7704.65</v>
      </c>
      <c r="I272" s="15">
        <v>8184.9</v>
      </c>
      <c r="J272" s="15">
        <v>6999.15</v>
      </c>
      <c r="K272" s="15">
        <v>7301.14</v>
      </c>
      <c r="L272" s="15">
        <v>6430.38</v>
      </c>
      <c r="M272" s="15">
        <v>6218.41</v>
      </c>
      <c r="N272" s="15"/>
      <c r="O272" s="15">
        <f>SUM(B272:D272)</f>
        <v>19476.95</v>
      </c>
      <c r="P272" s="15">
        <f>SUM(E272:G272)</f>
        <v>19856.97</v>
      </c>
      <c r="Q272" s="15">
        <f>SUM(H272:J272)</f>
        <v>22888.699999999997</v>
      </c>
      <c r="R272" s="15">
        <f>SUM(K272:M272)</f>
        <v>19949.93</v>
      </c>
      <c r="S272" s="1">
        <f>SUM(O272:R272)</f>
        <v>82172.549999999988</v>
      </c>
    </row>
    <row r="273" spans="1:19">
      <c r="A273" s="474" t="s">
        <v>25</v>
      </c>
      <c r="B273" s="15">
        <v>4793.93</v>
      </c>
      <c r="C273" s="15">
        <v>5266.44</v>
      </c>
      <c r="D273" s="15">
        <v>5521.0230000000001</v>
      </c>
      <c r="E273" s="15">
        <v>5414.1220000000003</v>
      </c>
      <c r="F273" s="15">
        <v>5459.5619999999999</v>
      </c>
      <c r="G273" s="15">
        <v>5516.8130000000001</v>
      </c>
      <c r="H273" s="15">
        <v>6346.81</v>
      </c>
      <c r="I273" s="15">
        <v>6608.61</v>
      </c>
      <c r="J273" s="15">
        <v>5763.51</v>
      </c>
      <c r="K273" s="15">
        <v>6056.0990000000002</v>
      </c>
      <c r="L273" s="15">
        <v>5393.76</v>
      </c>
      <c r="M273" s="15">
        <v>5047.6580000000004</v>
      </c>
      <c r="N273" s="15"/>
      <c r="O273" s="15">
        <f>SUM(B273:D273)</f>
        <v>15581.393</v>
      </c>
      <c r="P273" s="15">
        <f>SUM(E273:G273)</f>
        <v>16390.497000000003</v>
      </c>
      <c r="Q273" s="15">
        <f>SUM(H273:J273)</f>
        <v>18718.93</v>
      </c>
      <c r="R273" s="15">
        <f>SUM(K273:M273)</f>
        <v>16497.517</v>
      </c>
      <c r="S273" s="1">
        <f>SUM(O273:R273)</f>
        <v>67188.337</v>
      </c>
    </row>
    <row r="274" spans="1:19">
      <c r="A274" s="474" t="s">
        <v>172</v>
      </c>
      <c r="B274" s="15">
        <f>10316.2-C274</f>
        <v>4961.7000000000007</v>
      </c>
      <c r="C274" s="15">
        <v>5354.5</v>
      </c>
      <c r="D274" s="15">
        <v>5559.2</v>
      </c>
      <c r="E274" s="470">
        <v>5382.4</v>
      </c>
      <c r="F274" s="15">
        <v>5371.1</v>
      </c>
      <c r="G274" s="15">
        <v>5347.5</v>
      </c>
      <c r="H274" s="15">
        <v>5867.9</v>
      </c>
      <c r="I274" s="15">
        <v>6248.8</v>
      </c>
      <c r="J274" s="15">
        <v>5573.7</v>
      </c>
      <c r="K274" s="15">
        <v>5851.6</v>
      </c>
      <c r="L274" s="15">
        <v>5197.1000000000004</v>
      </c>
      <c r="M274" s="15">
        <v>5242.1000000000004</v>
      </c>
      <c r="N274" s="15"/>
      <c r="O274" s="15">
        <f>SUM(B274:D274)</f>
        <v>15875.400000000001</v>
      </c>
      <c r="P274" s="15">
        <f>SUM(E274:G274)</f>
        <v>16101</v>
      </c>
      <c r="Q274" s="15">
        <f>SUM(H274:J274)</f>
        <v>17690.400000000001</v>
      </c>
      <c r="R274" s="15">
        <f>SUM(K274:M274)</f>
        <v>16290.800000000001</v>
      </c>
      <c r="S274" s="1">
        <f>SUM(O274:R274)</f>
        <v>65957.600000000006</v>
      </c>
    </row>
    <row r="275" spans="1:19" s="520" customFormat="1">
      <c r="A275" s="513" t="s">
        <v>133</v>
      </c>
      <c r="B275" s="45">
        <f t="shared" ref="B275:M275" si="146">SUM(B272:B274)</f>
        <v>15867.27</v>
      </c>
      <c r="C275" s="45">
        <f t="shared" si="146"/>
        <v>17179.53</v>
      </c>
      <c r="D275" s="45">
        <f t="shared" si="146"/>
        <v>17886.942999999999</v>
      </c>
      <c r="E275" s="45">
        <f t="shared" si="146"/>
        <v>17357.061999999998</v>
      </c>
      <c r="F275" s="45">
        <f t="shared" si="146"/>
        <v>17471.052000000003</v>
      </c>
      <c r="G275" s="45">
        <f t="shared" si="146"/>
        <v>17520.352999999999</v>
      </c>
      <c r="H275" s="45">
        <f t="shared" si="146"/>
        <v>19919.36</v>
      </c>
      <c r="I275" s="45">
        <f t="shared" si="146"/>
        <v>21042.309999999998</v>
      </c>
      <c r="J275" s="45">
        <f t="shared" si="146"/>
        <v>18336.36</v>
      </c>
      <c r="K275" s="45">
        <f t="shared" si="146"/>
        <v>19208.839</v>
      </c>
      <c r="L275" s="45">
        <f t="shared" si="146"/>
        <v>17021.239999999998</v>
      </c>
      <c r="M275" s="45">
        <f t="shared" si="146"/>
        <v>16508.167999999998</v>
      </c>
      <c r="N275" s="45"/>
      <c r="O275" s="21">
        <f>SUM(B275:D275)</f>
        <v>50933.743000000002</v>
      </c>
      <c r="P275" s="21">
        <f>SUM(E275:G275)</f>
        <v>52348.467000000004</v>
      </c>
      <c r="Q275" s="21">
        <f>SUM(H275:J275)</f>
        <v>59298.03</v>
      </c>
      <c r="R275" s="21">
        <f>SUM(K275:M275)</f>
        <v>52738.246999999996</v>
      </c>
      <c r="S275" s="44">
        <f>SUM(O275:R275)</f>
        <v>215318.48699999999</v>
      </c>
    </row>
    <row r="276" spans="1:19">
      <c r="A276" s="474" t="s">
        <v>181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21"/>
      <c r="N276" s="21"/>
      <c r="O276" s="15"/>
      <c r="P276" s="15"/>
      <c r="Q276" s="21"/>
      <c r="R276" s="21"/>
      <c r="S276" s="445"/>
    </row>
    <row r="277" spans="1:19">
      <c r="A277" s="474"/>
      <c r="B277" s="15"/>
      <c r="C277" s="15"/>
      <c r="D277" s="483"/>
      <c r="E277" s="15"/>
      <c r="F277" s="15"/>
      <c r="G277" s="15"/>
      <c r="H277" s="15"/>
      <c r="I277" s="15"/>
      <c r="J277" s="15"/>
      <c r="K277" s="15"/>
      <c r="L277" s="15"/>
      <c r="M277" s="15"/>
      <c r="N277" s="488"/>
      <c r="O277" s="15"/>
      <c r="P277" s="19"/>
      <c r="Q277" s="15"/>
      <c r="R277" s="15"/>
      <c r="S277" s="36"/>
    </row>
    <row r="278" spans="1:19">
      <c r="A278" s="504" t="s">
        <v>184</v>
      </c>
      <c r="B278" s="488"/>
      <c r="C278" s="488"/>
      <c r="D278" s="483"/>
      <c r="E278" s="488"/>
      <c r="F278" s="488"/>
      <c r="G278" s="488"/>
      <c r="H278" s="488"/>
      <c r="I278" s="488"/>
      <c r="J278" s="488"/>
      <c r="K278" s="488"/>
      <c r="L278" s="488"/>
      <c r="M278" s="488"/>
      <c r="N278" s="521" t="s">
        <v>198</v>
      </c>
      <c r="O278" s="488"/>
      <c r="P278" s="19"/>
      <c r="Q278" s="488"/>
      <c r="R278" s="488"/>
    </row>
    <row r="279" spans="1:19">
      <c r="A279" s="474" t="s">
        <v>22</v>
      </c>
      <c r="B279" s="483">
        <f t="shared" ref="B279:M279" si="147">B272/B293-1</f>
        <v>-5.3129797957106262E-2</v>
      </c>
      <c r="C279" s="483">
        <f t="shared" si="147"/>
        <v>0.13877655907892072</v>
      </c>
      <c r="D279" s="483">
        <f t="shared" si="147"/>
        <v>0.11112163095271144</v>
      </c>
      <c r="E279" s="483">
        <f t="shared" si="147"/>
        <v>2.8671868140138779E-2</v>
      </c>
      <c r="F279" s="483">
        <f t="shared" si="147"/>
        <v>7.8023890463620571E-2</v>
      </c>
      <c r="G279" s="483">
        <f t="shared" si="147"/>
        <v>9.7559527735637586E-2</v>
      </c>
      <c r="H279" s="483">
        <f t="shared" si="147"/>
        <v>5.1202217925960802E-2</v>
      </c>
      <c r="I279" s="483">
        <f t="shared" si="147"/>
        <v>0.10054698593003741</v>
      </c>
      <c r="J279" s="483">
        <f t="shared" si="147"/>
        <v>5.29977974628697E-2</v>
      </c>
      <c r="K279" s="483">
        <f t="shared" si="147"/>
        <v>6.4338704246048373E-2</v>
      </c>
      <c r="L279" s="483">
        <f t="shared" si="147"/>
        <v>3.1180543751222922E-2</v>
      </c>
      <c r="M279" s="483">
        <f t="shared" si="147"/>
        <v>6.0117290192112094E-3</v>
      </c>
      <c r="N279" s="19"/>
      <c r="O279" s="483">
        <f t="shared" ref="O279:S282" si="148">O272/O293-1</f>
        <v>6.1999281347925317E-2</v>
      </c>
      <c r="P279" s="483">
        <f t="shared" si="148"/>
        <v>6.7472285029561485E-2</v>
      </c>
      <c r="Q279" s="483">
        <f t="shared" si="148"/>
        <v>6.8897609297368767E-2</v>
      </c>
      <c r="R279" s="483">
        <f t="shared" si="148"/>
        <v>3.490951383463603E-2</v>
      </c>
      <c r="S279" s="483">
        <f t="shared" si="148"/>
        <v>5.8486759987170123E-2</v>
      </c>
    </row>
    <row r="280" spans="1:19">
      <c r="A280" s="474" t="s">
        <v>25</v>
      </c>
      <c r="B280" s="483">
        <f t="shared" ref="B280:M280" si="149">B273/B294-1</f>
        <v>-1.4603161291303901E-2</v>
      </c>
      <c r="C280" s="483">
        <f t="shared" si="149"/>
        <v>0.19006798819612647</v>
      </c>
      <c r="D280" s="483">
        <f t="shared" si="149"/>
        <v>0.13083763566001028</v>
      </c>
      <c r="E280" s="483">
        <f t="shared" si="149"/>
        <v>4.9472784589419172E-2</v>
      </c>
      <c r="F280" s="483">
        <f t="shared" si="149"/>
        <v>8.3400340207061108E-2</v>
      </c>
      <c r="G280" s="483">
        <f t="shared" si="149"/>
        <v>9.1982180115274481E-2</v>
      </c>
      <c r="H280" s="483">
        <f t="shared" si="149"/>
        <v>5.2180741780617712E-2</v>
      </c>
      <c r="I280" s="483">
        <f t="shared" si="149"/>
        <v>7.8813538709066044E-2</v>
      </c>
      <c r="J280" s="483">
        <f t="shared" si="149"/>
        <v>4.0944341767975123E-2</v>
      </c>
      <c r="K280" s="483">
        <f t="shared" si="149"/>
        <v>7.0989945662650156E-2</v>
      </c>
      <c r="L280" s="483">
        <f t="shared" si="149"/>
        <v>0.10850357073642325</v>
      </c>
      <c r="M280" s="483">
        <f t="shared" si="149"/>
        <v>7.3190011938134347E-2</v>
      </c>
      <c r="N280" s="19"/>
      <c r="O280" s="483">
        <f t="shared" si="148"/>
        <v>9.9407001269990802E-2</v>
      </c>
      <c r="P280" s="483">
        <f t="shared" si="148"/>
        <v>7.4766250346714802E-2</v>
      </c>
      <c r="Q280" s="483">
        <f t="shared" si="148"/>
        <v>5.7884928657915502E-2</v>
      </c>
      <c r="R280" s="483">
        <f t="shared" si="148"/>
        <v>8.3659618709854167E-2</v>
      </c>
      <c r="S280" s="483">
        <f t="shared" si="148"/>
        <v>7.774828605068218E-2</v>
      </c>
    </row>
    <row r="281" spans="1:19">
      <c r="A281" s="474" t="s">
        <v>172</v>
      </c>
      <c r="B281" s="483">
        <f>B274/B295-1</f>
        <v>-1.0899189842989654E-2</v>
      </c>
      <c r="C281" s="483">
        <v>0.151</v>
      </c>
      <c r="D281" s="483">
        <v>0.14199999999999999</v>
      </c>
      <c r="E281" s="483">
        <v>0.1</v>
      </c>
      <c r="F281" s="483">
        <v>8.4000000000000005E-2</v>
      </c>
      <c r="G281" s="483">
        <v>7.0999999999999994E-2</v>
      </c>
      <c r="H281" s="483">
        <v>3.4000000000000002E-2</v>
      </c>
      <c r="I281" s="483">
        <v>8.1000000000000003E-2</v>
      </c>
      <c r="J281" s="483">
        <v>6.3E-2</v>
      </c>
      <c r="K281" s="483">
        <v>8.7999999999999995E-2</v>
      </c>
      <c r="L281" s="483">
        <v>3.4000000000000002E-2</v>
      </c>
      <c r="M281" s="483">
        <v>5.8000000000000003E-2</v>
      </c>
      <c r="N281" s="19"/>
      <c r="O281" s="483">
        <f t="shared" si="148"/>
        <v>9.2116063742226917E-2</v>
      </c>
      <c r="P281" s="483">
        <f t="shared" si="148"/>
        <v>8.4901590952751738E-2</v>
      </c>
      <c r="Q281" s="483">
        <f t="shared" si="148"/>
        <v>5.9375611613667445E-2</v>
      </c>
      <c r="R281" s="483">
        <f t="shared" si="148"/>
        <v>6.0651188572595327E-2</v>
      </c>
      <c r="S281" s="483">
        <f t="shared" si="148"/>
        <v>7.3607609061296486E-2</v>
      </c>
    </row>
    <row r="282" spans="1:19" s="520" customFormat="1">
      <c r="A282" s="513" t="s">
        <v>133</v>
      </c>
      <c r="B282" s="522">
        <f>B275/B296-1</f>
        <v>-2.8688219733333242E-2</v>
      </c>
      <c r="C282" s="522">
        <f t="shared" ref="C282:M282" si="150">C275/C296-1</f>
        <v>0.15790785700057364</v>
      </c>
      <c r="D282" s="522">
        <f t="shared" si="150"/>
        <v>0.12665261174147191</v>
      </c>
      <c r="E282" s="522">
        <f t="shared" si="150"/>
        <v>5.6446307742832769E-2</v>
      </c>
      <c r="F282" s="522">
        <f t="shared" si="150"/>
        <v>8.1534140698380941E-2</v>
      </c>
      <c r="G282" s="522">
        <f t="shared" si="150"/>
        <v>8.757852560487378E-2</v>
      </c>
      <c r="H282" s="522">
        <f t="shared" si="150"/>
        <v>4.6384113173201458E-2</v>
      </c>
      <c r="I282" s="522">
        <f t="shared" si="150"/>
        <v>8.782293185604706E-2</v>
      </c>
      <c r="J282" s="522">
        <f t="shared" si="150"/>
        <v>5.2177667297852226E-2</v>
      </c>
      <c r="K282" s="522">
        <f t="shared" si="150"/>
        <v>7.3552947296124493E-2</v>
      </c>
      <c r="L282" s="522">
        <f t="shared" si="150"/>
        <v>5.5387572345982683E-2</v>
      </c>
      <c r="M282" s="522">
        <f t="shared" si="150"/>
        <v>4.2222400241867186E-2</v>
      </c>
      <c r="N282" s="28"/>
      <c r="O282" s="484">
        <f t="shared" si="148"/>
        <v>8.2572624805441919E-2</v>
      </c>
      <c r="P282" s="484">
        <f t="shared" si="148"/>
        <v>7.5068901666425214E-2</v>
      </c>
      <c r="Q282" s="484">
        <f t="shared" si="148"/>
        <v>6.2556594398739174E-2</v>
      </c>
      <c r="R282" s="484">
        <f t="shared" si="148"/>
        <v>5.7724121681969276E-2</v>
      </c>
      <c r="S282" s="484">
        <f t="shared" si="148"/>
        <v>6.9061001150191759E-2</v>
      </c>
    </row>
    <row r="283" spans="1:19">
      <c r="A283" s="474" t="s">
        <v>181</v>
      </c>
      <c r="B283" s="19"/>
      <c r="C283" s="19"/>
      <c r="D283" s="19"/>
      <c r="E283" s="19"/>
      <c r="F283" s="499"/>
      <c r="G283" s="19"/>
      <c r="H283" s="19"/>
      <c r="I283" s="19"/>
      <c r="J283" s="19"/>
      <c r="K283" s="19"/>
      <c r="L283" s="15"/>
      <c r="M283" s="21"/>
      <c r="N283" s="21"/>
      <c r="O283" s="483"/>
      <c r="P283" s="483"/>
      <c r="Q283" s="21"/>
      <c r="R283" s="21"/>
      <c r="S283" s="445"/>
    </row>
    <row r="284" spans="1:19">
      <c r="A284" s="474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508"/>
      <c r="O284" s="19"/>
      <c r="P284" s="19"/>
      <c r="Q284" s="19"/>
      <c r="R284" s="19"/>
    </row>
    <row r="285" spans="1:19">
      <c r="A285" s="504" t="s">
        <v>185</v>
      </c>
      <c r="B285" s="488"/>
      <c r="C285" s="488"/>
      <c r="D285" s="488"/>
      <c r="E285" s="488"/>
      <c r="F285" s="488"/>
      <c r="G285" s="488"/>
      <c r="H285" s="488"/>
      <c r="I285" s="488"/>
      <c r="J285" s="488"/>
      <c r="K285" s="488"/>
      <c r="L285" s="488"/>
      <c r="M285" s="488"/>
      <c r="N285" s="488"/>
      <c r="O285" s="488"/>
      <c r="P285" s="488"/>
      <c r="Q285" s="488"/>
      <c r="R285" s="488"/>
    </row>
    <row r="286" spans="1:19">
      <c r="A286" s="474" t="s">
        <v>22</v>
      </c>
      <c r="B286" s="483"/>
      <c r="C286" s="483"/>
      <c r="D286" s="483"/>
      <c r="E286" s="483"/>
      <c r="F286" s="483"/>
      <c r="G286" s="483"/>
      <c r="H286" s="483"/>
      <c r="I286" s="483"/>
      <c r="J286" s="483"/>
      <c r="K286" s="483"/>
      <c r="L286" s="483"/>
      <c r="M286" s="483"/>
      <c r="N286" s="488"/>
      <c r="O286" s="19"/>
      <c r="P286" s="19"/>
      <c r="Q286" s="19"/>
      <c r="R286" s="19"/>
    </row>
    <row r="287" spans="1:19">
      <c r="A287" s="474" t="s">
        <v>25</v>
      </c>
      <c r="B287" s="483"/>
      <c r="C287" s="483"/>
      <c r="D287" s="483"/>
      <c r="E287" s="483"/>
      <c r="F287" s="483"/>
      <c r="G287" s="483"/>
      <c r="H287" s="483"/>
      <c r="I287" s="483"/>
      <c r="J287" s="483"/>
      <c r="K287" s="483"/>
      <c r="L287" s="483"/>
      <c r="M287" s="483"/>
      <c r="N287" s="488"/>
      <c r="O287" s="19"/>
      <c r="P287" s="19"/>
      <c r="Q287" s="19"/>
      <c r="R287" s="19"/>
    </row>
    <row r="288" spans="1:19">
      <c r="A288" s="474" t="s">
        <v>172</v>
      </c>
      <c r="B288" s="483"/>
      <c r="C288" s="483"/>
      <c r="D288" s="483"/>
      <c r="E288" s="483"/>
      <c r="F288" s="483"/>
      <c r="G288" s="483"/>
      <c r="H288" s="483"/>
      <c r="I288" s="483"/>
      <c r="J288" s="483"/>
      <c r="K288" s="483"/>
      <c r="L288" s="483"/>
      <c r="M288" s="483"/>
      <c r="N288" s="488"/>
      <c r="O288" s="19"/>
      <c r="P288" s="19"/>
      <c r="Q288" s="19"/>
      <c r="R288" s="19"/>
    </row>
    <row r="289" spans="1:256">
      <c r="A289" s="478" t="s">
        <v>133</v>
      </c>
      <c r="B289" s="484"/>
      <c r="C289" s="484"/>
      <c r="D289" s="484"/>
      <c r="E289" s="484"/>
      <c r="F289" s="484"/>
      <c r="G289" s="484"/>
      <c r="H289" s="484"/>
      <c r="I289" s="484"/>
      <c r="J289" s="484"/>
      <c r="K289" s="484"/>
      <c r="L289" s="484"/>
      <c r="M289" s="483"/>
      <c r="O289" s="151"/>
      <c r="P289" s="151"/>
      <c r="Q289" s="151"/>
      <c r="R289" s="151"/>
    </row>
    <row r="290" spans="1:256">
      <c r="A290" s="469" t="s">
        <v>181</v>
      </c>
      <c r="B290" s="337"/>
      <c r="C290" s="483"/>
      <c r="D290" s="483"/>
      <c r="E290" s="483"/>
      <c r="F290" s="483"/>
      <c r="G290" s="483"/>
      <c r="H290" s="483"/>
      <c r="I290" s="483"/>
      <c r="J290" s="483"/>
      <c r="K290" s="483"/>
      <c r="L290" s="337"/>
      <c r="M290" s="337"/>
      <c r="O290" s="151"/>
      <c r="P290" s="151"/>
      <c r="Q290" s="151"/>
      <c r="R290" s="151"/>
      <c r="IV290" s="483"/>
    </row>
    <row r="291" spans="1:256">
      <c r="G291" s="2"/>
      <c r="I291" s="2"/>
      <c r="J291" s="2"/>
      <c r="O291" s="151"/>
      <c r="P291" s="151"/>
      <c r="Q291" s="151"/>
      <c r="R291" s="151"/>
    </row>
    <row r="292" spans="1:256" s="445" customFormat="1">
      <c r="A292" s="500">
        <v>2012</v>
      </c>
      <c r="B292" s="472" t="s">
        <v>51</v>
      </c>
      <c r="C292" s="472" t="s">
        <v>52</v>
      </c>
      <c r="D292" s="472" t="s">
        <v>53</v>
      </c>
      <c r="E292" s="472" t="s">
        <v>54</v>
      </c>
      <c r="F292" s="472" t="s">
        <v>55</v>
      </c>
      <c r="G292" s="472" t="s">
        <v>77</v>
      </c>
      <c r="H292" s="472" t="s">
        <v>78</v>
      </c>
      <c r="I292" s="472" t="s">
        <v>79</v>
      </c>
      <c r="J292" s="472" t="s">
        <v>80</v>
      </c>
      <c r="K292" s="472" t="s">
        <v>81</v>
      </c>
      <c r="L292" s="472" t="s">
        <v>82</v>
      </c>
      <c r="M292" s="472" t="s">
        <v>44</v>
      </c>
      <c r="N292" s="473" t="s">
        <v>133</v>
      </c>
      <c r="O292" s="473" t="s">
        <v>129</v>
      </c>
      <c r="P292" s="473" t="s">
        <v>130</v>
      </c>
      <c r="Q292" s="473" t="s">
        <v>131</v>
      </c>
      <c r="R292" s="473" t="s">
        <v>132</v>
      </c>
      <c r="S292" s="445" t="s">
        <v>171</v>
      </c>
    </row>
    <row r="293" spans="1:256">
      <c r="A293" s="474" t="s">
        <v>22</v>
      </c>
      <c r="B293" s="15">
        <v>6454.57</v>
      </c>
      <c r="C293" s="15">
        <v>5759.33</v>
      </c>
      <c r="D293" s="15">
        <v>6125.99</v>
      </c>
      <c r="E293" s="15">
        <v>6377.68</v>
      </c>
      <c r="F293" s="15">
        <v>6159.78</v>
      </c>
      <c r="G293" s="15">
        <v>6064.4</v>
      </c>
      <c r="H293" s="15">
        <v>7329.37</v>
      </c>
      <c r="I293" s="15">
        <v>7437.12</v>
      </c>
      <c r="J293" s="15">
        <v>6646.88</v>
      </c>
      <c r="K293" s="15">
        <v>6859.79</v>
      </c>
      <c r="L293" s="15">
        <v>6235.94</v>
      </c>
      <c r="M293" s="15">
        <v>6181.25</v>
      </c>
      <c r="N293" s="15"/>
      <c r="O293" s="15">
        <f t="shared" ref="O293:O299" si="151">SUM(B293:D293)</f>
        <v>18339.89</v>
      </c>
      <c r="P293" s="15">
        <f t="shared" ref="P293:P299" si="152">SUM(E293:G293)</f>
        <v>18601.86</v>
      </c>
      <c r="Q293" s="15">
        <f t="shared" ref="Q293:Q298" si="153">SUM(H293:J293)</f>
        <v>21413.37</v>
      </c>
      <c r="R293" s="15">
        <f>SUM(K293:M293)</f>
        <v>19276.98</v>
      </c>
      <c r="S293" s="1">
        <f t="shared" ref="S293:S298" si="154">SUM(B293:M293)</f>
        <v>77632.100000000006</v>
      </c>
    </row>
    <row r="294" spans="1:256">
      <c r="A294" s="474" t="s">
        <v>25</v>
      </c>
      <c r="B294" s="15">
        <v>4864.9740000000002</v>
      </c>
      <c r="C294" s="15">
        <v>4425.3270000000002</v>
      </c>
      <c r="D294" s="15">
        <v>4882.2420000000002</v>
      </c>
      <c r="E294" s="15">
        <v>5158.8969999999999</v>
      </c>
      <c r="F294" s="15">
        <v>5039.2839999999997</v>
      </c>
      <c r="G294" s="15">
        <v>5052.1090000000004</v>
      </c>
      <c r="H294" s="15">
        <v>6032.0529999999999</v>
      </c>
      <c r="I294" s="15">
        <v>6125.8130000000001</v>
      </c>
      <c r="J294" s="15">
        <v>5536.8090000000002</v>
      </c>
      <c r="K294" s="15">
        <v>5654.674</v>
      </c>
      <c r="L294" s="15">
        <v>4865.8029999999999</v>
      </c>
      <c r="M294" s="15">
        <v>4703.415</v>
      </c>
      <c r="N294" s="15"/>
      <c r="O294" s="15">
        <f t="shared" si="151"/>
        <v>14172.543</v>
      </c>
      <c r="P294" s="15">
        <f t="shared" si="152"/>
        <v>15250.29</v>
      </c>
      <c r="Q294" s="15">
        <f t="shared" si="153"/>
        <v>17694.674999999999</v>
      </c>
      <c r="R294" s="15">
        <f>SUM(K294:M294)</f>
        <v>15223.892</v>
      </c>
      <c r="S294" s="1">
        <f t="shared" si="154"/>
        <v>62341.4</v>
      </c>
    </row>
    <row r="295" spans="1:256" s="501" customFormat="1">
      <c r="A295" s="502" t="s">
        <v>172</v>
      </c>
      <c r="B295" s="25">
        <f>10316.2/(1+6.7%)-C295</f>
        <v>5016.3744170954405</v>
      </c>
      <c r="C295" s="25">
        <f t="shared" ref="C295:M295" si="155">C274/(1+C281)</f>
        <v>4652.0417028670718</v>
      </c>
      <c r="D295" s="25">
        <f t="shared" si="155"/>
        <v>4867.9509632224172</v>
      </c>
      <c r="E295" s="25">
        <f t="shared" si="155"/>
        <v>4893.0909090909081</v>
      </c>
      <c r="F295" s="25">
        <f t="shared" si="155"/>
        <v>4954.8892988929892</v>
      </c>
      <c r="G295" s="25">
        <f t="shared" si="155"/>
        <v>4992.9971988795523</v>
      </c>
      <c r="H295" s="25">
        <f t="shared" si="155"/>
        <v>5674.9516441005799</v>
      </c>
      <c r="I295" s="25">
        <f t="shared" si="155"/>
        <v>5780.5735430157265</v>
      </c>
      <c r="J295" s="25">
        <f t="shared" si="155"/>
        <v>5243.367826904986</v>
      </c>
      <c r="K295" s="25">
        <f t="shared" si="155"/>
        <v>5378.3088235294117</v>
      </c>
      <c r="L295" s="25">
        <f t="shared" si="155"/>
        <v>5026.2088974854933</v>
      </c>
      <c r="M295" s="25">
        <f t="shared" si="155"/>
        <v>4954.7258979206053</v>
      </c>
      <c r="N295" s="25"/>
      <c r="O295" s="15">
        <f t="shared" si="151"/>
        <v>14536.36708318493</v>
      </c>
      <c r="P295" s="15">
        <f t="shared" si="152"/>
        <v>14840.977406863451</v>
      </c>
      <c r="Q295" s="15">
        <f t="shared" si="153"/>
        <v>16698.893014021291</v>
      </c>
      <c r="R295" s="15">
        <f>SUM(K295:M295)</f>
        <v>15359.24361893551</v>
      </c>
      <c r="S295" s="1">
        <f t="shared" si="154"/>
        <v>61435.481123005186</v>
      </c>
    </row>
    <row r="296" spans="1:256" s="520" customFormat="1">
      <c r="A296" s="513" t="s">
        <v>199</v>
      </c>
      <c r="B296" s="45">
        <f t="shared" ref="B296:M296" si="156">SUM(B293:B295)</f>
        <v>16335.91841709544</v>
      </c>
      <c r="C296" s="45">
        <f t="shared" si="156"/>
        <v>14836.69870286707</v>
      </c>
      <c r="D296" s="45">
        <f t="shared" si="156"/>
        <v>15876.182963222418</v>
      </c>
      <c r="E296" s="45">
        <f t="shared" si="156"/>
        <v>16429.667909090909</v>
      </c>
      <c r="F296" s="45">
        <f t="shared" si="156"/>
        <v>16153.953298892988</v>
      </c>
      <c r="G296" s="45">
        <f t="shared" si="156"/>
        <v>16109.506198879553</v>
      </c>
      <c r="H296" s="45">
        <f t="shared" si="156"/>
        <v>19036.374644100579</v>
      </c>
      <c r="I296" s="45">
        <f t="shared" si="156"/>
        <v>19343.506543015726</v>
      </c>
      <c r="J296" s="45">
        <f t="shared" si="156"/>
        <v>17427.056826904987</v>
      </c>
      <c r="K296" s="45">
        <f t="shared" si="156"/>
        <v>17892.772823529413</v>
      </c>
      <c r="L296" s="45">
        <f t="shared" si="156"/>
        <v>16127.951897485491</v>
      </c>
      <c r="M296" s="45">
        <f t="shared" si="156"/>
        <v>15839.390897920606</v>
      </c>
      <c r="N296" s="45"/>
      <c r="O296" s="21">
        <f t="shared" si="151"/>
        <v>47048.800083184928</v>
      </c>
      <c r="P296" s="21">
        <f t="shared" si="152"/>
        <v>48693.127406863452</v>
      </c>
      <c r="Q296" s="21">
        <f t="shared" si="153"/>
        <v>55806.938014021289</v>
      </c>
      <c r="R296" s="21">
        <f>SUM(K296:M296)</f>
        <v>49860.11561893551</v>
      </c>
      <c r="S296" s="44">
        <f t="shared" si="154"/>
        <v>201408.98112300519</v>
      </c>
    </row>
    <row r="297" spans="1:256">
      <c r="A297" s="474" t="s">
        <v>28</v>
      </c>
      <c r="B297" s="15">
        <v>3337.3</v>
      </c>
      <c r="C297" s="15">
        <v>3100.5</v>
      </c>
      <c r="D297" s="15">
        <v>3238.2</v>
      </c>
      <c r="E297" s="15">
        <v>3224.8</v>
      </c>
      <c r="F297" s="15">
        <v>3279.5</v>
      </c>
      <c r="G297" s="15">
        <v>3271.2</v>
      </c>
      <c r="H297" s="15">
        <v>3769.3</v>
      </c>
      <c r="I297" s="15">
        <v>3849.1</v>
      </c>
      <c r="J297" s="15">
        <v>3564.8</v>
      </c>
      <c r="K297" s="15">
        <v>3556.5</v>
      </c>
      <c r="L297" s="15">
        <v>3307</v>
      </c>
      <c r="M297" s="15">
        <v>3194.8</v>
      </c>
      <c r="N297" s="15"/>
      <c r="O297" s="15">
        <f t="shared" si="151"/>
        <v>9676</v>
      </c>
      <c r="P297" s="15">
        <f t="shared" si="152"/>
        <v>9775.5</v>
      </c>
      <c r="Q297" s="15">
        <f t="shared" si="153"/>
        <v>11183.2</v>
      </c>
      <c r="R297" s="15">
        <f>SUM(K297:M297)</f>
        <v>10058.299999999999</v>
      </c>
      <c r="S297" s="1">
        <f t="shared" si="154"/>
        <v>40693</v>
      </c>
    </row>
    <row r="298" spans="1:256" s="445" customFormat="1">
      <c r="A298" s="505" t="s">
        <v>133</v>
      </c>
      <c r="B298" s="21">
        <f t="shared" ref="B298:M298" si="157">SUM(B293,B294,B297)</f>
        <v>14656.844000000001</v>
      </c>
      <c r="C298" s="21">
        <f t="shared" si="157"/>
        <v>13285.156999999999</v>
      </c>
      <c r="D298" s="21">
        <f t="shared" si="157"/>
        <v>14246.432000000001</v>
      </c>
      <c r="E298" s="21">
        <f t="shared" si="157"/>
        <v>14761.377</v>
      </c>
      <c r="F298" s="21">
        <f t="shared" si="157"/>
        <v>14478.563999999998</v>
      </c>
      <c r="G298" s="21">
        <f t="shared" si="157"/>
        <v>14387.708999999999</v>
      </c>
      <c r="H298" s="21">
        <f t="shared" si="157"/>
        <v>17130.722999999998</v>
      </c>
      <c r="I298" s="21">
        <f t="shared" si="157"/>
        <v>17412.032999999999</v>
      </c>
      <c r="J298" s="21">
        <f t="shared" si="157"/>
        <v>15748.489000000001</v>
      </c>
      <c r="K298" s="21">
        <f t="shared" si="157"/>
        <v>16070.964</v>
      </c>
      <c r="L298" s="21">
        <f t="shared" si="157"/>
        <v>14408.742999999999</v>
      </c>
      <c r="M298" s="21">
        <f t="shared" si="157"/>
        <v>14079.465</v>
      </c>
      <c r="N298" s="21"/>
      <c r="O298" s="15">
        <f t="shared" si="151"/>
        <v>42188.433000000005</v>
      </c>
      <c r="P298" s="21">
        <f t="shared" si="152"/>
        <v>43627.649999999994</v>
      </c>
      <c r="Q298" s="15">
        <f t="shared" si="153"/>
        <v>50291.244999999995</v>
      </c>
      <c r="R298" s="21">
        <f>R293+R294+R297</f>
        <v>44559.172000000006</v>
      </c>
      <c r="S298" s="445">
        <f t="shared" si="154"/>
        <v>180666.5</v>
      </c>
    </row>
    <row r="299" spans="1:256">
      <c r="A299" s="474" t="s">
        <v>181</v>
      </c>
      <c r="B299" s="15">
        <v>2043.9680000000001</v>
      </c>
      <c r="C299" s="15">
        <v>1799.7159999999999</v>
      </c>
      <c r="D299" s="15">
        <v>1757.7539999999999</v>
      </c>
      <c r="E299" s="15">
        <v>1754.011</v>
      </c>
      <c r="F299" s="15">
        <v>1583.252</v>
      </c>
      <c r="G299" s="15">
        <v>1570.729</v>
      </c>
      <c r="H299" s="15">
        <v>1732.1849999999999</v>
      </c>
      <c r="I299" s="15">
        <v>1926.0540000000001</v>
      </c>
      <c r="J299" s="15">
        <v>1738.6420000000001</v>
      </c>
      <c r="K299" s="15">
        <v>1881.2809999999999</v>
      </c>
      <c r="L299" s="15"/>
      <c r="M299" s="21"/>
      <c r="N299" s="21"/>
      <c r="O299" s="15">
        <f t="shared" si="151"/>
        <v>5601.4380000000001</v>
      </c>
      <c r="P299" s="15">
        <f t="shared" si="152"/>
        <v>4907.9920000000002</v>
      </c>
      <c r="Q299" s="21"/>
      <c r="R299" s="21"/>
      <c r="S299" s="445"/>
    </row>
    <row r="300" spans="1:256">
      <c r="A300" s="474"/>
      <c r="B300" s="15"/>
      <c r="C300" s="15"/>
      <c r="D300" s="483"/>
      <c r="E300" s="15"/>
      <c r="F300" s="15"/>
      <c r="G300" s="15"/>
      <c r="H300" s="15"/>
      <c r="I300" s="15"/>
      <c r="J300" s="15"/>
      <c r="K300" s="15"/>
      <c r="L300" s="15"/>
      <c r="M300" s="15"/>
      <c r="N300" s="488"/>
      <c r="O300" s="15"/>
      <c r="P300" s="15"/>
      <c r="Q300" s="15"/>
      <c r="R300" s="15"/>
      <c r="S300" s="36"/>
    </row>
    <row r="301" spans="1:256">
      <c r="A301" s="504" t="s">
        <v>184</v>
      </c>
      <c r="B301" s="488"/>
      <c r="C301" s="488"/>
      <c r="D301" s="483"/>
      <c r="E301" s="488"/>
      <c r="F301" s="488"/>
      <c r="G301" s="488"/>
      <c r="H301" s="488"/>
      <c r="I301" s="488"/>
      <c r="J301" s="488"/>
      <c r="K301" s="488"/>
      <c r="L301" s="488"/>
      <c r="M301" s="488"/>
      <c r="N301" s="521" t="s">
        <v>198</v>
      </c>
      <c r="O301" s="488"/>
      <c r="P301" s="488"/>
      <c r="Q301" s="488"/>
      <c r="R301" s="488"/>
    </row>
    <row r="302" spans="1:256">
      <c r="A302" s="474" t="s">
        <v>22</v>
      </c>
      <c r="B302" s="483">
        <f t="shared" ref="B302:M302" si="158">B293/B316-1</f>
        <v>0.11991817372640945</v>
      </c>
      <c r="C302" s="483">
        <f t="shared" si="158"/>
        <v>6.5741313012808833E-2</v>
      </c>
      <c r="D302" s="483">
        <f t="shared" si="158"/>
        <v>6.1569760288630926E-2</v>
      </c>
      <c r="E302" s="483">
        <f t="shared" si="158"/>
        <v>4.3572738771376018E-2</v>
      </c>
      <c r="F302" s="483">
        <f t="shared" si="158"/>
        <v>2.9583187776940134E-2</v>
      </c>
      <c r="G302" s="483">
        <f t="shared" si="158"/>
        <v>6.2416347238670511E-2</v>
      </c>
      <c r="H302" s="483">
        <f t="shared" si="158"/>
        <v>6.2928452820337988E-2</v>
      </c>
      <c r="I302" s="483">
        <f t="shared" si="158"/>
        <v>7.8068466462565933E-2</v>
      </c>
      <c r="J302" s="483">
        <f t="shared" si="158"/>
        <v>7.3134976565615517E-2</v>
      </c>
      <c r="K302" s="483">
        <f t="shared" si="158"/>
        <v>3.3231613637869861E-2</v>
      </c>
      <c r="L302" s="483">
        <f t="shared" si="158"/>
        <v>5.7227480719314716E-2</v>
      </c>
      <c r="M302" s="483">
        <f t="shared" si="158"/>
        <v>9.2342601052183282E-2</v>
      </c>
      <c r="N302" s="19"/>
      <c r="O302" s="483">
        <f t="shared" ref="O302:S303" si="159">O293/O316-1</f>
        <v>8.275446358463534E-2</v>
      </c>
      <c r="P302" s="483">
        <f t="shared" si="159"/>
        <v>4.4913297719957557E-2</v>
      </c>
      <c r="Q302" s="483">
        <f t="shared" si="159"/>
        <v>7.1316646571175424E-2</v>
      </c>
      <c r="R302" s="483">
        <f t="shared" si="159"/>
        <v>5.9392424597142668E-2</v>
      </c>
      <c r="S302" s="483">
        <f t="shared" si="159"/>
        <v>6.455239271664559E-2</v>
      </c>
    </row>
    <row r="303" spans="1:256">
      <c r="A303" s="474" t="s">
        <v>25</v>
      </c>
      <c r="B303" s="483">
        <f t="shared" ref="B303:M303" si="160">B294/B317-1</f>
        <v>6.303143661873345E-2</v>
      </c>
      <c r="C303" s="483">
        <f t="shared" si="160"/>
        <v>5.43187781384038E-2</v>
      </c>
      <c r="D303" s="483">
        <f t="shared" si="160"/>
        <v>3.0585031716043654E-2</v>
      </c>
      <c r="E303" s="483">
        <f t="shared" si="160"/>
        <v>1.5204561210933498E-2</v>
      </c>
      <c r="F303" s="483">
        <f t="shared" si="160"/>
        <v>-2.6445175263278831E-4</v>
      </c>
      <c r="G303" s="483">
        <f t="shared" si="160"/>
        <v>5.8057450944953626E-2</v>
      </c>
      <c r="H303" s="483">
        <f t="shared" si="160"/>
        <v>7.9448655684852376E-2</v>
      </c>
      <c r="I303" s="483">
        <f t="shared" si="160"/>
        <v>0.11095850934776985</v>
      </c>
      <c r="J303" s="483">
        <f t="shared" si="160"/>
        <v>0.12864419207222921</v>
      </c>
      <c r="K303" s="483">
        <f t="shared" si="160"/>
        <v>8.2051189808269642E-2</v>
      </c>
      <c r="L303" s="483">
        <f t="shared" si="160"/>
        <v>4.333354489603547E-2</v>
      </c>
      <c r="M303" s="483">
        <f t="shared" si="160"/>
        <v>6.1744606472436292E-2</v>
      </c>
      <c r="N303" s="19"/>
      <c r="O303" s="483">
        <f t="shared" si="159"/>
        <v>4.8948305305090312E-2</v>
      </c>
      <c r="P303" s="483">
        <f t="shared" si="159"/>
        <v>2.3705823822168348E-2</v>
      </c>
      <c r="Q303" s="483">
        <f t="shared" si="159"/>
        <v>0.1053787989387418</v>
      </c>
      <c r="R303" s="483">
        <f t="shared" si="159"/>
        <v>6.3159184844985727E-2</v>
      </c>
      <c r="S303" s="483">
        <f t="shared" si="159"/>
        <v>6.1390149471840072E-2</v>
      </c>
    </row>
    <row r="304" spans="1:256">
      <c r="A304" s="474" t="s">
        <v>28</v>
      </c>
      <c r="B304" s="483">
        <f>B297/B318-1</f>
        <v>5.0588679720455998E-2</v>
      </c>
      <c r="C304" s="483">
        <v>2.1999999999999999E-2</v>
      </c>
      <c r="D304" s="483">
        <f t="shared" ref="D304:M304" si="161">D297/D318-1</f>
        <v>-1.6760794315904604E-2</v>
      </c>
      <c r="E304" s="483">
        <f t="shared" si="161"/>
        <v>-8.1175029204775262E-2</v>
      </c>
      <c r="F304" s="483">
        <f t="shared" si="161"/>
        <v>-5.1592006709274441E-2</v>
      </c>
      <c r="G304" s="483">
        <f t="shared" si="161"/>
        <v>-2.0950556686220478E-2</v>
      </c>
      <c r="H304" s="483">
        <f t="shared" si="161"/>
        <v>3.1469775333169192E-2</v>
      </c>
      <c r="I304" s="483">
        <f t="shared" si="161"/>
        <v>1.2814440585201536E-2</v>
      </c>
      <c r="J304" s="483">
        <f t="shared" si="161"/>
        <v>2.7734532664475564E-2</v>
      </c>
      <c r="K304" s="483">
        <f t="shared" si="161"/>
        <v>2.5223407321994795E-2</v>
      </c>
      <c r="L304" s="483">
        <f t="shared" si="161"/>
        <v>3.5443672114722213E-2</v>
      </c>
      <c r="M304" s="483">
        <f t="shared" si="161"/>
        <v>9.3809915091755736E-2</v>
      </c>
      <c r="N304" s="19"/>
      <c r="O304" s="483">
        <f t="shared" ref="O304:S305" si="162">O297/O318-1</f>
        <v>1.8730061801834008E-2</v>
      </c>
      <c r="P304" s="483">
        <f t="shared" si="162"/>
        <v>-5.173250038801791E-2</v>
      </c>
      <c r="Q304" s="483">
        <f t="shared" si="162"/>
        <v>2.3793176054855092E-2</v>
      </c>
      <c r="R304" s="483">
        <f t="shared" si="162"/>
        <v>4.9532534746859147E-2</v>
      </c>
      <c r="S304" s="483">
        <f t="shared" si="162"/>
        <v>9.4062082959185389E-3</v>
      </c>
    </row>
    <row r="305" spans="1:256" s="497" customFormat="1">
      <c r="A305" s="523" t="s">
        <v>133</v>
      </c>
      <c r="B305" s="499">
        <f>B298/B319-1</f>
        <v>8.4363601927712306E-2</v>
      </c>
      <c r="C305" s="499">
        <f>C298/C319-1</f>
        <v>5.191530649725995E-2</v>
      </c>
      <c r="D305" s="499">
        <f t="shared" ref="D305:M305" si="163">D298/D319-1</f>
        <v>3.224243267369209E-2</v>
      </c>
      <c r="E305" s="499">
        <f t="shared" si="163"/>
        <v>3.9893290514960711E-3</v>
      </c>
      <c r="F305" s="499">
        <f t="shared" si="163"/>
        <v>-1.8941660445426223E-4</v>
      </c>
      <c r="G305" s="499">
        <f t="shared" si="163"/>
        <v>4.0761675295609923E-2</v>
      </c>
      <c r="H305" s="499">
        <f t="shared" si="163"/>
        <v>6.1525345682943655E-2</v>
      </c>
      <c r="I305" s="499">
        <f t="shared" si="163"/>
        <v>7.3958414351392943E-2</v>
      </c>
      <c r="J305" s="499">
        <f t="shared" si="163"/>
        <v>8.1017657148886091E-2</v>
      </c>
      <c r="K305" s="499">
        <f t="shared" si="163"/>
        <v>4.8057772626712181E-2</v>
      </c>
      <c r="L305" s="499">
        <f t="shared" si="163"/>
        <v>4.7459278921666792E-2</v>
      </c>
      <c r="M305" s="499">
        <f t="shared" si="163"/>
        <v>8.2252967334473626E-2</v>
      </c>
      <c r="N305" s="20"/>
      <c r="O305" s="484">
        <f t="shared" si="162"/>
        <v>5.60976660526189E-2</v>
      </c>
      <c r="P305" s="484">
        <f t="shared" si="162"/>
        <v>1.4402100285849873E-2</v>
      </c>
      <c r="Q305" s="484">
        <f t="shared" si="162"/>
        <v>7.1873921079252279E-2</v>
      </c>
      <c r="R305" s="484">
        <f t="shared" si="162"/>
        <v>5.8429103825724749E-2</v>
      </c>
      <c r="S305" s="484">
        <f t="shared" si="162"/>
        <v>5.0545113631444982E-2</v>
      </c>
    </row>
    <row r="306" spans="1:256">
      <c r="A306" s="474" t="s">
        <v>181</v>
      </c>
      <c r="B306" s="19">
        <f>B299/B320-1</f>
        <v>0.3397797587834297</v>
      </c>
      <c r="C306" s="19">
        <f>C299/C320-1</f>
        <v>0.12553299270164286</v>
      </c>
      <c r="D306" s="19">
        <f t="shared" ref="D306:K306" si="164">D299/D320-1</f>
        <v>0.2669090804253893</v>
      </c>
      <c r="E306" s="19">
        <f t="shared" si="164"/>
        <v>0.13628463168478078</v>
      </c>
      <c r="F306" s="19">
        <f t="shared" si="164"/>
        <v>2.3298140841065074E-2</v>
      </c>
      <c r="G306" s="19">
        <f t="shared" si="164"/>
        <v>3.2382032796108406E-2</v>
      </c>
      <c r="H306" s="19">
        <f t="shared" si="164"/>
        <v>4.1501068446729628E-2</v>
      </c>
      <c r="I306" s="19">
        <f t="shared" si="164"/>
        <v>7.1208329162078421E-2</v>
      </c>
      <c r="J306" s="19">
        <f t="shared" si="164"/>
        <v>2.4832096876300502E-2</v>
      </c>
      <c r="K306" s="19">
        <f t="shared" si="164"/>
        <v>2.6691632485106753E-2</v>
      </c>
      <c r="L306" s="15"/>
      <c r="M306" s="21"/>
      <c r="N306" s="21"/>
      <c r="O306" s="483">
        <f>O299/O320-1</f>
        <v>-0.65239541091084019</v>
      </c>
      <c r="P306" s="483">
        <f>P299/P320-1</f>
        <v>6.4108754346798191E-2</v>
      </c>
      <c r="Q306" s="21"/>
      <c r="R306" s="21"/>
      <c r="S306" s="445"/>
    </row>
    <row r="307" spans="1:256">
      <c r="A307" s="474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508"/>
      <c r="O307" s="19"/>
      <c r="P307" s="19"/>
      <c r="Q307" s="19"/>
      <c r="R307" s="19"/>
    </row>
    <row r="308" spans="1:256">
      <c r="A308" s="504" t="s">
        <v>185</v>
      </c>
      <c r="B308" s="488"/>
      <c r="C308" s="488"/>
      <c r="D308" s="488"/>
      <c r="E308" s="488"/>
      <c r="F308" s="488"/>
      <c r="G308" s="488"/>
      <c r="H308" s="488"/>
      <c r="I308" s="488"/>
      <c r="J308" s="488"/>
      <c r="K308" s="488"/>
      <c r="L308" s="488"/>
      <c r="M308" s="488"/>
      <c r="N308" s="488"/>
      <c r="O308" s="488"/>
      <c r="P308" s="488"/>
      <c r="Q308" s="488"/>
      <c r="R308" s="488"/>
    </row>
    <row r="309" spans="1:256">
      <c r="A309" s="474" t="s">
        <v>22</v>
      </c>
      <c r="B309" s="483">
        <f>B293/M316-1</f>
        <v>0.1406433621797194</v>
      </c>
      <c r="C309" s="483">
        <f t="shared" ref="C309:M309" si="165">C293/B293-1</f>
        <v>-0.10771282982444996</v>
      </c>
      <c r="D309" s="483">
        <f t="shared" si="165"/>
        <v>6.3663655321018142E-2</v>
      </c>
      <c r="E309" s="483">
        <f t="shared" si="165"/>
        <v>4.1085604122762298E-2</v>
      </c>
      <c r="F309" s="483">
        <f t="shared" si="165"/>
        <v>-3.4166029026229006E-2</v>
      </c>
      <c r="G309" s="483">
        <f t="shared" si="165"/>
        <v>-1.548431924516791E-2</v>
      </c>
      <c r="H309" s="483">
        <f t="shared" si="165"/>
        <v>0.20858947298990826</v>
      </c>
      <c r="I309" s="483">
        <f t="shared" si="165"/>
        <v>1.470112710915128E-2</v>
      </c>
      <c r="J309" s="483">
        <f t="shared" si="165"/>
        <v>-0.10625618518996593</v>
      </c>
      <c r="K309" s="483">
        <f t="shared" si="165"/>
        <v>3.2031569698866225E-2</v>
      </c>
      <c r="L309" s="483">
        <f t="shared" si="165"/>
        <v>-9.0943017206066123E-2</v>
      </c>
      <c r="M309" s="483">
        <f t="shared" si="165"/>
        <v>-8.7701292828346045E-3</v>
      </c>
      <c r="N309" s="488"/>
      <c r="O309" s="19"/>
      <c r="P309" s="19"/>
      <c r="Q309" s="19"/>
      <c r="R309" s="19"/>
    </row>
    <row r="310" spans="1:256">
      <c r="A310" s="474" t="s">
        <v>25</v>
      </c>
      <c r="B310" s="483">
        <f>B294/M317-1</f>
        <v>9.8214787580648055E-2</v>
      </c>
      <c r="C310" s="483">
        <f t="shared" ref="C310:M310" si="166">C294/B294-1</f>
        <v>-9.0369856036229601E-2</v>
      </c>
      <c r="D310" s="483">
        <f t="shared" si="166"/>
        <v>0.10324999711885696</v>
      </c>
      <c r="E310" s="483">
        <f t="shared" si="166"/>
        <v>5.6665564713916261E-2</v>
      </c>
      <c r="F310" s="483">
        <f t="shared" si="166"/>
        <v>-2.3185770136523454E-2</v>
      </c>
      <c r="G310" s="483">
        <f t="shared" si="166"/>
        <v>2.545004409356677E-3</v>
      </c>
      <c r="H310" s="483">
        <f t="shared" si="166"/>
        <v>0.19396731147328761</v>
      </c>
      <c r="I310" s="483">
        <f t="shared" si="166"/>
        <v>1.5543630004577258E-2</v>
      </c>
      <c r="J310" s="483">
        <f t="shared" si="166"/>
        <v>-9.615115577311939E-2</v>
      </c>
      <c r="K310" s="483">
        <f t="shared" si="166"/>
        <v>2.128753222298263E-2</v>
      </c>
      <c r="L310" s="483">
        <f t="shared" si="166"/>
        <v>-0.13950777710616036</v>
      </c>
      <c r="M310" s="483">
        <f t="shared" si="166"/>
        <v>-3.3373319881631058E-2</v>
      </c>
      <c r="N310" s="488"/>
      <c r="O310" s="19"/>
      <c r="P310" s="19"/>
      <c r="Q310" s="19"/>
      <c r="R310" s="19"/>
    </row>
    <row r="311" spans="1:256">
      <c r="A311" s="474" t="s">
        <v>28</v>
      </c>
      <c r="B311" s="483">
        <f>B297/M318-1</f>
        <v>0.14259791837852642</v>
      </c>
      <c r="C311" s="483">
        <f t="shared" ref="C311:L311" si="167">C297/B297-1</f>
        <v>-7.0955562880172685E-2</v>
      </c>
      <c r="D311" s="483">
        <f t="shared" si="167"/>
        <v>4.4412191582002825E-2</v>
      </c>
      <c r="E311" s="483">
        <f t="shared" si="167"/>
        <v>-4.1381014143658801E-3</v>
      </c>
      <c r="F311" s="483">
        <f t="shared" si="167"/>
        <v>1.6962292235177312E-2</v>
      </c>
      <c r="G311" s="483">
        <f t="shared" si="167"/>
        <v>-2.5308736087819028E-3</v>
      </c>
      <c r="H311" s="483">
        <f t="shared" si="167"/>
        <v>0.1522682807532405</v>
      </c>
      <c r="I311" s="483">
        <f t="shared" si="167"/>
        <v>2.1171039715597084E-2</v>
      </c>
      <c r="J311" s="483">
        <f t="shared" si="167"/>
        <v>-7.3861422150632516E-2</v>
      </c>
      <c r="K311" s="483">
        <f t="shared" si="167"/>
        <v>-2.3283213644524903E-3</v>
      </c>
      <c r="L311" s="483">
        <f t="shared" si="167"/>
        <v>-7.0153240545480111E-2</v>
      </c>
      <c r="M311" s="483"/>
      <c r="N311" s="488"/>
      <c r="O311" s="19"/>
      <c r="P311" s="19"/>
      <c r="Q311" s="19"/>
      <c r="R311" s="19"/>
    </row>
    <row r="312" spans="1:256">
      <c r="A312" s="478" t="s">
        <v>133</v>
      </c>
      <c r="B312" s="484">
        <f>B298/M319-1</f>
        <v>0.12663463496364913</v>
      </c>
      <c r="C312" s="484">
        <f t="shared" ref="C312:L312" si="168">C298/B298-1</f>
        <v>-9.358679126283953E-2</v>
      </c>
      <c r="D312" s="484">
        <f t="shared" si="168"/>
        <v>7.2357067364729133E-2</v>
      </c>
      <c r="E312" s="484">
        <f t="shared" si="168"/>
        <v>3.6145541564372108E-2</v>
      </c>
      <c r="F312" s="484">
        <f t="shared" si="168"/>
        <v>-1.9158984964614212E-2</v>
      </c>
      <c r="G312" s="484">
        <f t="shared" si="168"/>
        <v>-6.275138888083065E-3</v>
      </c>
      <c r="H312" s="484">
        <f t="shared" si="168"/>
        <v>0.19064981089067068</v>
      </c>
      <c r="I312" s="484">
        <f t="shared" si="168"/>
        <v>1.6421373458668453E-2</v>
      </c>
      <c r="J312" s="484">
        <f t="shared" si="168"/>
        <v>-9.5539906224620497E-2</v>
      </c>
      <c r="K312" s="484">
        <f t="shared" si="168"/>
        <v>2.0476567624995612E-2</v>
      </c>
      <c r="L312" s="484">
        <f t="shared" si="168"/>
        <v>-0.10343007426312456</v>
      </c>
      <c r="M312" s="483"/>
      <c r="O312" s="151"/>
      <c r="P312" s="151"/>
      <c r="Q312" s="151"/>
      <c r="R312" s="151"/>
    </row>
    <row r="313" spans="1:256">
      <c r="A313" s="469" t="s">
        <v>181</v>
      </c>
      <c r="B313" s="337"/>
      <c r="C313" s="483">
        <f t="shared" ref="C313:K313" si="169">C299/B299-1</f>
        <v>-0.11949893540407686</v>
      </c>
      <c r="D313" s="483">
        <f t="shared" si="169"/>
        <v>-2.3315900953261526E-2</v>
      </c>
      <c r="E313" s="483">
        <f t="shared" si="169"/>
        <v>-2.1294219782744817E-3</v>
      </c>
      <c r="F313" s="483">
        <f t="shared" si="169"/>
        <v>-9.7353437350164884E-2</v>
      </c>
      <c r="G313" s="483">
        <f t="shared" si="169"/>
        <v>-7.9096694651261679E-3</v>
      </c>
      <c r="H313" s="483">
        <f t="shared" si="169"/>
        <v>0.10279048772894628</v>
      </c>
      <c r="I313" s="483">
        <f t="shared" si="169"/>
        <v>0.111921648091861</v>
      </c>
      <c r="J313" s="483">
        <f t="shared" si="169"/>
        <v>-9.7303606233262396E-2</v>
      </c>
      <c r="K313" s="483">
        <f t="shared" si="169"/>
        <v>8.2040466064894346E-2</v>
      </c>
      <c r="L313" s="337"/>
      <c r="M313" s="337"/>
      <c r="O313" s="151"/>
      <c r="P313" s="151"/>
      <c r="Q313" s="151"/>
      <c r="R313" s="151"/>
      <c r="IV313" s="483"/>
    </row>
    <row r="314" spans="1:256">
      <c r="G314" s="2"/>
      <c r="I314" s="2"/>
      <c r="J314" s="2"/>
      <c r="O314" s="151"/>
      <c r="P314" s="151"/>
      <c r="Q314" s="151"/>
      <c r="R314" s="151"/>
    </row>
    <row r="315" spans="1:256" s="445" customFormat="1">
      <c r="A315" s="500">
        <v>2011</v>
      </c>
      <c r="B315" s="472" t="s">
        <v>51</v>
      </c>
      <c r="C315" s="472" t="s">
        <v>52</v>
      </c>
      <c r="D315" s="472" t="s">
        <v>53</v>
      </c>
      <c r="E315" s="472" t="s">
        <v>54</v>
      </c>
      <c r="F315" s="472" t="s">
        <v>55</v>
      </c>
      <c r="G315" s="472" t="s">
        <v>77</v>
      </c>
      <c r="H315" s="472" t="s">
        <v>78</v>
      </c>
      <c r="I315" s="472" t="s">
        <v>79</v>
      </c>
      <c r="J315" s="472" t="s">
        <v>80</v>
      </c>
      <c r="K315" s="472" t="s">
        <v>81</v>
      </c>
      <c r="L315" s="472" t="s">
        <v>82</v>
      </c>
      <c r="M315" s="472" t="s">
        <v>44</v>
      </c>
      <c r="N315" s="473" t="s">
        <v>133</v>
      </c>
      <c r="O315" s="473" t="s">
        <v>129</v>
      </c>
      <c r="P315" s="473" t="s">
        <v>130</v>
      </c>
      <c r="Q315" s="473" t="s">
        <v>131</v>
      </c>
      <c r="R315" s="473" t="s">
        <v>132</v>
      </c>
      <c r="S315" s="445" t="s">
        <v>171</v>
      </c>
    </row>
    <row r="316" spans="1:256">
      <c r="A316" s="474" t="s">
        <v>22</v>
      </c>
      <c r="B316" s="15">
        <v>5763.43</v>
      </c>
      <c r="C316" s="15">
        <v>5404.06</v>
      </c>
      <c r="D316" s="15">
        <v>5770.69</v>
      </c>
      <c r="E316" s="15">
        <v>6111.39</v>
      </c>
      <c r="F316" s="15">
        <v>5982.79</v>
      </c>
      <c r="G316" s="15">
        <v>5708.12</v>
      </c>
      <c r="H316" s="15">
        <v>6895.45</v>
      </c>
      <c r="I316" s="15">
        <v>6898.56</v>
      </c>
      <c r="J316" s="15">
        <v>6193.89</v>
      </c>
      <c r="K316" s="15">
        <v>6639.16</v>
      </c>
      <c r="L316" s="15">
        <v>5898.39</v>
      </c>
      <c r="M316" s="15">
        <v>5658.71</v>
      </c>
      <c r="N316" s="15">
        <f>SUM(B316:M316)</f>
        <v>72924.639999999999</v>
      </c>
      <c r="O316" s="15">
        <f>SUM(B316:D316)</f>
        <v>16938.18</v>
      </c>
      <c r="P316" s="15">
        <f>SUM(E316:G316)</f>
        <v>17802.3</v>
      </c>
      <c r="Q316" s="15">
        <f>SUM(H316:J316)</f>
        <v>19987.900000000001</v>
      </c>
      <c r="R316" s="15">
        <f>SUM(K316:M316)</f>
        <v>18196.259999999998</v>
      </c>
      <c r="S316" s="385">
        <f>SUM(B316:M316)</f>
        <v>72924.639999999999</v>
      </c>
    </row>
    <row r="317" spans="1:256">
      <c r="A317" s="474" t="s">
        <v>25</v>
      </c>
      <c r="B317" s="15">
        <v>4576.51</v>
      </c>
      <c r="C317" s="15">
        <v>4197.3329999999996</v>
      </c>
      <c r="D317" s="15">
        <v>4737.3500000000004</v>
      </c>
      <c r="E317" s="15">
        <v>5081.6329999999998</v>
      </c>
      <c r="F317" s="15">
        <v>5040.6170000000002</v>
      </c>
      <c r="G317" s="15">
        <v>4774.8909999999996</v>
      </c>
      <c r="H317" s="15">
        <v>5588.0870000000004</v>
      </c>
      <c r="I317" s="15">
        <v>5513.9889999999996</v>
      </c>
      <c r="J317" s="15">
        <v>4905.7169999999996</v>
      </c>
      <c r="K317" s="15">
        <v>5225.884</v>
      </c>
      <c r="L317" s="15">
        <v>4663.7079999999996</v>
      </c>
      <c r="M317" s="15">
        <v>4429.893</v>
      </c>
      <c r="N317" s="15">
        <f>SUM(B317:M317)</f>
        <v>58735.611999999994</v>
      </c>
      <c r="O317" s="15">
        <f>SUM(B317:D317)</f>
        <v>13511.193000000001</v>
      </c>
      <c r="P317" s="15">
        <f>SUM(E317:G317)</f>
        <v>14897.141</v>
      </c>
      <c r="Q317" s="15">
        <f>SUM(H317:J317)</f>
        <v>16007.793000000001</v>
      </c>
      <c r="R317" s="15">
        <f>SUM(K317:M317)</f>
        <v>14319.485000000001</v>
      </c>
      <c r="S317" s="1">
        <f>SUM(B317:M317)</f>
        <v>58735.611999999994</v>
      </c>
    </row>
    <row r="318" spans="1:256">
      <c r="A318" s="474" t="s">
        <v>28</v>
      </c>
      <c r="B318" s="15">
        <v>3176.6</v>
      </c>
      <c r="C318" s="15">
        <v>3028.1</v>
      </c>
      <c r="D318" s="15">
        <v>3293.4</v>
      </c>
      <c r="E318" s="15">
        <v>3509.7</v>
      </c>
      <c r="F318" s="15">
        <v>3457.9</v>
      </c>
      <c r="G318" s="15">
        <v>3341.2</v>
      </c>
      <c r="H318" s="15">
        <v>3654.3</v>
      </c>
      <c r="I318" s="15">
        <v>3800.4</v>
      </c>
      <c r="J318" s="15">
        <v>3468.6</v>
      </c>
      <c r="K318" s="15">
        <v>3469</v>
      </c>
      <c r="L318" s="15">
        <v>3193.8</v>
      </c>
      <c r="M318" s="15">
        <v>2920.8</v>
      </c>
      <c r="N318" s="15">
        <f>SUM(B318:M318)</f>
        <v>40313.800000000003</v>
      </c>
      <c r="O318" s="15">
        <f>SUM(B318:D318)</f>
        <v>9498.1</v>
      </c>
      <c r="P318" s="15">
        <f>SUM(E318:G318)</f>
        <v>10308.799999999999</v>
      </c>
      <c r="Q318" s="15">
        <f>SUM(H318:J318)</f>
        <v>10923.300000000001</v>
      </c>
      <c r="R318" s="15">
        <f>SUM(K318:M318)</f>
        <v>9583.6</v>
      </c>
      <c r="S318" s="1">
        <f>SUM(B318:M318)</f>
        <v>40313.800000000003</v>
      </c>
    </row>
    <row r="319" spans="1:256" s="445" customFormat="1">
      <c r="A319" s="505" t="s">
        <v>133</v>
      </c>
      <c r="B319" s="21">
        <f t="shared" ref="B319:M319" si="170">SUM(B316:B318)</f>
        <v>13516.54</v>
      </c>
      <c r="C319" s="21">
        <f t="shared" si="170"/>
        <v>12629.493</v>
      </c>
      <c r="D319" s="21">
        <f t="shared" si="170"/>
        <v>13801.44</v>
      </c>
      <c r="E319" s="21">
        <f t="shared" si="170"/>
        <v>14702.723000000002</v>
      </c>
      <c r="F319" s="21">
        <f t="shared" si="170"/>
        <v>14481.306999999999</v>
      </c>
      <c r="G319" s="21">
        <f t="shared" si="170"/>
        <v>13824.210999999999</v>
      </c>
      <c r="H319" s="21">
        <f t="shared" si="170"/>
        <v>16137.837</v>
      </c>
      <c r="I319" s="21">
        <f t="shared" si="170"/>
        <v>16212.948999999999</v>
      </c>
      <c r="J319" s="21">
        <f t="shared" si="170"/>
        <v>14568.207</v>
      </c>
      <c r="K319" s="21">
        <f t="shared" si="170"/>
        <v>15334.044</v>
      </c>
      <c r="L319" s="21">
        <f t="shared" si="170"/>
        <v>13755.898000000001</v>
      </c>
      <c r="M319" s="21">
        <f t="shared" si="170"/>
        <v>13009.402999999998</v>
      </c>
      <c r="N319" s="21">
        <f>N316+N317+N318</f>
        <v>171974.05199999997</v>
      </c>
      <c r="O319" s="21">
        <f>O316+O317+O318</f>
        <v>39947.472999999998</v>
      </c>
      <c r="P319" s="21">
        <f>P316+P317+P318</f>
        <v>43008.240999999995</v>
      </c>
      <c r="Q319" s="21">
        <f>Q316+Q317+Q318</f>
        <v>46918.993000000002</v>
      </c>
      <c r="R319" s="21">
        <f>R316+R317+R318</f>
        <v>42099.345000000001</v>
      </c>
      <c r="S319" s="445">
        <f>SUM(B319:M319)</f>
        <v>171974.05199999997</v>
      </c>
    </row>
    <row r="320" spans="1:256">
      <c r="A320" s="474" t="s">
        <v>181</v>
      </c>
      <c r="B320" s="15">
        <v>1525.6</v>
      </c>
      <c r="C320" s="15">
        <v>1598.99</v>
      </c>
      <c r="D320" s="15">
        <v>1387.4349999999999</v>
      </c>
      <c r="E320" s="15">
        <v>1543.6369999999999</v>
      </c>
      <c r="F320" s="15">
        <v>1547.2049999999999</v>
      </c>
      <c r="G320" s="15">
        <v>1521.461</v>
      </c>
      <c r="H320" s="15">
        <v>1663.162</v>
      </c>
      <c r="I320" s="15">
        <v>1798.02</v>
      </c>
      <c r="J320" s="15">
        <v>1696.5139999999999</v>
      </c>
      <c r="K320" s="15">
        <v>1832.3720000000001</v>
      </c>
      <c r="L320" s="15"/>
      <c r="M320" s="21"/>
      <c r="N320" s="21"/>
      <c r="O320" s="15">
        <f>SUM(B320:K320)</f>
        <v>16114.395999999999</v>
      </c>
      <c r="P320" s="15">
        <f>SUM(E320:G320)</f>
        <v>4612.3029999999999</v>
      </c>
      <c r="Q320" s="21"/>
      <c r="R320" s="21"/>
      <c r="S320" s="445"/>
    </row>
    <row r="321" spans="1:19">
      <c r="A321" s="474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488"/>
      <c r="O321" s="15"/>
      <c r="P321" s="15"/>
      <c r="Q321" s="15"/>
      <c r="R321" s="15"/>
      <c r="S321" s="36"/>
    </row>
    <row r="322" spans="1:19">
      <c r="A322" s="504" t="s">
        <v>184</v>
      </c>
      <c r="B322" s="488"/>
      <c r="C322" s="488"/>
      <c r="D322" s="488"/>
      <c r="E322" s="488"/>
      <c r="F322" s="488"/>
      <c r="G322" s="488"/>
      <c r="H322" s="488"/>
      <c r="I322" s="488"/>
      <c r="J322" s="488"/>
      <c r="K322" s="488"/>
      <c r="L322" s="488"/>
      <c r="M322" s="488"/>
      <c r="N322" s="521" t="s">
        <v>195</v>
      </c>
      <c r="O322" s="488"/>
      <c r="P322" s="488"/>
      <c r="Q322" s="488"/>
      <c r="R322" s="488"/>
    </row>
    <row r="323" spans="1:19">
      <c r="A323" s="474" t="s">
        <v>22</v>
      </c>
      <c r="B323" s="483">
        <f t="shared" ref="B323:S323" si="171">B316/B335-1</f>
        <v>0.13462727233353955</v>
      </c>
      <c r="C323" s="483">
        <f t="shared" si="171"/>
        <v>9.8951432506528825E-3</v>
      </c>
      <c r="D323" s="483">
        <f t="shared" si="171"/>
        <v>9.9567212204787481E-4</v>
      </c>
      <c r="E323" s="483">
        <f t="shared" si="171"/>
        <v>7.0228496977423616E-2</v>
      </c>
      <c r="F323" s="483">
        <f t="shared" si="171"/>
        <v>9.2009053242557481E-2</v>
      </c>
      <c r="G323" s="483">
        <f t="shared" si="171"/>
        <v>1.6567855546393728E-2</v>
      </c>
      <c r="H323" s="483">
        <f t="shared" si="171"/>
        <v>4.1695307011911931E-2</v>
      </c>
      <c r="I323" s="483">
        <f t="shared" si="171"/>
        <v>-5.3936219447315858E-3</v>
      </c>
      <c r="J323" s="483">
        <f t="shared" si="171"/>
        <v>2.4569256421453911E-2</v>
      </c>
      <c r="K323" s="483">
        <f t="shared" si="171"/>
        <v>2.7484032518412693E-2</v>
      </c>
      <c r="L323" s="483">
        <f t="shared" si="171"/>
        <v>0.11661176737846457</v>
      </c>
      <c r="M323" s="483">
        <f t="shared" si="171"/>
        <v>5.5853579805088982E-2</v>
      </c>
      <c r="N323" s="19">
        <f t="shared" si="171"/>
        <v>4.6205872812586701E-2</v>
      </c>
      <c r="O323" s="19">
        <f t="shared" si="171"/>
        <v>4.5848141845583168E-2</v>
      </c>
      <c r="P323" s="19">
        <f t="shared" si="171"/>
        <v>5.9399017504604412E-2</v>
      </c>
      <c r="Q323" s="19">
        <f t="shared" si="171"/>
        <v>1.9750234429446234E-2</v>
      </c>
      <c r="R323" s="19">
        <f t="shared" si="171"/>
        <v>6.3900969050489476E-2</v>
      </c>
      <c r="S323" s="19">
        <f t="shared" si="171"/>
        <v>4.6205872812586701E-2</v>
      </c>
    </row>
    <row r="324" spans="1:19">
      <c r="A324" s="474" t="s">
        <v>25</v>
      </c>
      <c r="B324" s="483">
        <f t="shared" ref="B324:S324" si="172">B317/B336-1</f>
        <v>0.17447867144720663</v>
      </c>
      <c r="C324" s="483">
        <f t="shared" si="172"/>
        <v>6.0765115651374879E-2</v>
      </c>
      <c r="D324" s="483">
        <f t="shared" si="172"/>
        <v>6.6549865908767547E-2</v>
      </c>
      <c r="E324" s="19">
        <f t="shared" si="172"/>
        <v>0.17616508236296169</v>
      </c>
      <c r="F324" s="19">
        <f t="shared" si="172"/>
        <v>0.13386902086648478</v>
      </c>
      <c r="G324" s="483">
        <f t="shared" si="172"/>
        <v>1.6299474428150829E-2</v>
      </c>
      <c r="H324" s="483">
        <f t="shared" si="172"/>
        <v>3.6863177754324461E-2</v>
      </c>
      <c r="I324" s="483">
        <f t="shared" si="172"/>
        <v>-1.587612853507725E-3</v>
      </c>
      <c r="J324" s="483">
        <f t="shared" si="172"/>
        <v>2.5462665863417833E-2</v>
      </c>
      <c r="K324" s="483">
        <f t="shared" si="172"/>
        <v>-6.9488519800275927E-3</v>
      </c>
      <c r="L324" s="483">
        <f t="shared" si="172"/>
        <v>7.435316503664513E-2</v>
      </c>
      <c r="M324" s="483">
        <f t="shared" si="172"/>
        <v>1.6433114676386751E-2</v>
      </c>
      <c r="N324" s="19">
        <f t="shared" si="172"/>
        <v>5.9877731064967632E-2</v>
      </c>
      <c r="O324" s="19">
        <f t="shared" si="172"/>
        <v>9.8893111378151488E-2</v>
      </c>
      <c r="P324" s="19">
        <f t="shared" si="172"/>
        <v>0.10641589629125803</v>
      </c>
      <c r="Q324" s="19">
        <f t="shared" si="172"/>
        <v>1.9859354683421593E-2</v>
      </c>
      <c r="R324" s="19">
        <f t="shared" si="172"/>
        <v>2.5628381132056344E-2</v>
      </c>
      <c r="S324" s="19">
        <f t="shared" si="172"/>
        <v>5.9877731064967854E-2</v>
      </c>
    </row>
    <row r="325" spans="1:19">
      <c r="A325" s="474" t="s">
        <v>28</v>
      </c>
      <c r="B325" s="483">
        <f t="shared" ref="B325:S325" si="173">B318/B338-1</f>
        <v>0.12825430651749237</v>
      </c>
      <c r="C325" s="483">
        <f t="shared" si="173"/>
        <v>5.3435380066098492E-2</v>
      </c>
      <c r="D325" s="483">
        <f t="shared" si="173"/>
        <v>5.7610789980732102E-2</v>
      </c>
      <c r="E325" s="19">
        <f t="shared" si="173"/>
        <v>0.11845124282982789</v>
      </c>
      <c r="F325" s="19">
        <f t="shared" si="173"/>
        <v>8.2352572931012835E-2</v>
      </c>
      <c r="G325" s="483">
        <f t="shared" si="173"/>
        <v>6.8636857928740413E-2</v>
      </c>
      <c r="H325" s="483">
        <f t="shared" si="173"/>
        <v>7.4991039673568682E-3</v>
      </c>
      <c r="I325" s="483">
        <f t="shared" si="173"/>
        <v>2.7885213534200703E-2</v>
      </c>
      <c r="J325" s="483">
        <f t="shared" si="173"/>
        <v>5.1250189422639814E-2</v>
      </c>
      <c r="K325" s="483">
        <f t="shared" si="173"/>
        <v>-9.9603299180912597E-3</v>
      </c>
      <c r="L325" s="483">
        <f t="shared" si="173"/>
        <v>5.98659321696422E-2</v>
      </c>
      <c r="M325" s="483">
        <f t="shared" si="173"/>
        <v>1.3568379775826811E-2</v>
      </c>
      <c r="N325" s="19">
        <f t="shared" si="173"/>
        <v>5.2956279400203421E-2</v>
      </c>
      <c r="O325" s="19">
        <f t="shared" si="173"/>
        <v>7.8839164016356156E-2</v>
      </c>
      <c r="P325" s="19">
        <f t="shared" si="173"/>
        <v>8.9794278706894604E-2</v>
      </c>
      <c r="Q325" s="19">
        <f t="shared" si="173"/>
        <v>2.8181741168497476E-2</v>
      </c>
      <c r="R325" s="19">
        <f t="shared" si="173"/>
        <v>1.9640387275241977E-2</v>
      </c>
      <c r="S325" s="19">
        <f t="shared" si="173"/>
        <v>5.2956279400203199E-2</v>
      </c>
    </row>
    <row r="326" spans="1:19" s="492" customFormat="1">
      <c r="A326" s="524" t="s">
        <v>133</v>
      </c>
      <c r="B326" s="508">
        <f t="shared" ref="B326:S326" si="174">B319/B339-1</f>
        <v>0.14627470093186656</v>
      </c>
      <c r="C326" s="508">
        <f t="shared" si="174"/>
        <v>3.6691231407144365E-2</v>
      </c>
      <c r="D326" s="508">
        <f t="shared" si="174"/>
        <v>3.6089539425174344E-2</v>
      </c>
      <c r="E326" s="20">
        <f t="shared" si="174"/>
        <v>0.11647567331137765</v>
      </c>
      <c r="F326" s="20">
        <f t="shared" si="174"/>
        <v>0.10384212152723182</v>
      </c>
      <c r="G326" s="20">
        <f t="shared" si="174"/>
        <v>2.8587051444415756E-2</v>
      </c>
      <c r="H326" s="20">
        <f t="shared" si="174"/>
        <v>3.2097217402493605E-2</v>
      </c>
      <c r="I326" s="499">
        <f t="shared" si="174"/>
        <v>3.5232671992935227E-3</v>
      </c>
      <c r="J326" s="499">
        <f t="shared" si="174"/>
        <v>3.1102574704684027E-2</v>
      </c>
      <c r="K326" s="499">
        <f t="shared" si="174"/>
        <v>6.9689088241979835E-3</v>
      </c>
      <c r="L326" s="499">
        <f t="shared" si="174"/>
        <v>8.8563391917776402E-2</v>
      </c>
      <c r="M326" s="499">
        <f t="shared" si="174"/>
        <v>3.2546141493250635E-2</v>
      </c>
      <c r="N326" s="20">
        <f t="shared" si="174"/>
        <v>5.2424105453090952E-2</v>
      </c>
      <c r="O326" s="52">
        <f t="shared" si="174"/>
        <v>7.1123851602825638E-2</v>
      </c>
      <c r="P326" s="52">
        <f t="shared" si="174"/>
        <v>8.2570944585933281E-2</v>
      </c>
      <c r="Q326" s="52">
        <f t="shared" si="174"/>
        <v>2.1738185991220238E-2</v>
      </c>
      <c r="R326" s="20">
        <f t="shared" si="174"/>
        <v>4.0414556046224792E-2</v>
      </c>
      <c r="S326" s="20">
        <f t="shared" si="174"/>
        <v>5.2424105453090952E-2</v>
      </c>
    </row>
    <row r="327" spans="1:19">
      <c r="A327" s="474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508"/>
      <c r="O327" s="19"/>
      <c r="P327" s="19"/>
      <c r="Q327" s="19"/>
      <c r="R327" s="19"/>
    </row>
    <row r="328" spans="1:19">
      <c r="A328" s="504" t="s">
        <v>185</v>
      </c>
      <c r="B328" s="488"/>
      <c r="C328" s="488"/>
      <c r="D328" s="488"/>
      <c r="E328" s="488"/>
      <c r="F328" s="488"/>
      <c r="G328" s="488"/>
      <c r="H328" s="488"/>
      <c r="I328" s="488"/>
      <c r="J328" s="488"/>
      <c r="K328" s="488"/>
      <c r="L328" s="488"/>
      <c r="M328" s="488"/>
      <c r="N328" s="488"/>
      <c r="O328" s="488"/>
      <c r="P328" s="488"/>
      <c r="Q328" s="488"/>
      <c r="R328" s="488"/>
    </row>
    <row r="329" spans="1:19">
      <c r="A329" s="474" t="s">
        <v>22</v>
      </c>
      <c r="B329" s="483">
        <f>B316/M335-1</f>
        <v>7.5393189871197697E-2</v>
      </c>
      <c r="C329" s="483">
        <f t="shared" ref="C329:G332" si="175">C316/B316-1</f>
        <v>-6.2353494360129269E-2</v>
      </c>
      <c r="D329" s="483">
        <f t="shared" si="175"/>
        <v>6.7843436231277865E-2</v>
      </c>
      <c r="E329" s="483">
        <f t="shared" si="175"/>
        <v>5.9039733550060758E-2</v>
      </c>
      <c r="F329" s="483">
        <f t="shared" si="175"/>
        <v>-2.1042676052420162E-2</v>
      </c>
      <c r="G329" s="483">
        <f t="shared" si="175"/>
        <v>-4.5910018569931488E-2</v>
      </c>
      <c r="H329" s="483">
        <v>1.6567855546393701E-2</v>
      </c>
      <c r="I329" s="483">
        <f t="shared" ref="I329:M332" si="176">I316/H316-1</f>
        <v>4.5102205077274249E-4</v>
      </c>
      <c r="J329" s="483">
        <f t="shared" si="176"/>
        <v>-0.10214740467575845</v>
      </c>
      <c r="K329" s="483">
        <f t="shared" si="176"/>
        <v>7.1888586978457791E-2</v>
      </c>
      <c r="L329" s="483">
        <f t="shared" si="176"/>
        <v>-0.11157586200663927</v>
      </c>
      <c r="M329" s="483">
        <f t="shared" si="176"/>
        <v>-4.0634817297601544E-2</v>
      </c>
      <c r="N329" s="488"/>
      <c r="O329" s="19"/>
      <c r="P329" s="19"/>
      <c r="Q329" s="19"/>
      <c r="R329" s="19"/>
    </row>
    <row r="330" spans="1:19">
      <c r="A330" s="474" t="s">
        <v>25</v>
      </c>
      <c r="B330" s="483">
        <f>B317/M336-1</f>
        <v>5.0074192231647663E-2</v>
      </c>
      <c r="C330" s="483">
        <f t="shared" si="175"/>
        <v>-8.2852872603796479E-2</v>
      </c>
      <c r="D330" s="483">
        <f t="shared" si="175"/>
        <v>0.12865717349564609</v>
      </c>
      <c r="E330" s="483">
        <f t="shared" si="175"/>
        <v>7.2674174380191303E-2</v>
      </c>
      <c r="F330" s="483">
        <f t="shared" si="175"/>
        <v>-8.071421135686041E-3</v>
      </c>
      <c r="G330" s="483">
        <f t="shared" si="175"/>
        <v>-5.2716959054814216E-2</v>
      </c>
      <c r="H330" s="483">
        <f>H317/G317-1</f>
        <v>0.17030671485485227</v>
      </c>
      <c r="I330" s="483">
        <f t="shared" si="176"/>
        <v>-1.3259993983629981E-2</v>
      </c>
      <c r="J330" s="483">
        <f t="shared" si="176"/>
        <v>-0.11031432960783927</v>
      </c>
      <c r="K330" s="483">
        <f t="shared" si="176"/>
        <v>6.5264058240620093E-2</v>
      </c>
      <c r="L330" s="483">
        <f t="shared" si="176"/>
        <v>-0.10757529252467146</v>
      </c>
      <c r="M330" s="483">
        <f t="shared" si="176"/>
        <v>-5.0134999875635411E-2</v>
      </c>
      <c r="N330" s="488"/>
      <c r="O330" s="19"/>
      <c r="P330" s="19"/>
      <c r="Q330" s="19"/>
      <c r="R330" s="19"/>
    </row>
    <row r="331" spans="1:19">
      <c r="A331" s="474" t="s">
        <v>28</v>
      </c>
      <c r="B331" s="483">
        <f>B318/M338-1</f>
        <v>0.10233542700489306</v>
      </c>
      <c r="C331" s="483">
        <f t="shared" si="175"/>
        <v>-4.6748095447963212E-2</v>
      </c>
      <c r="D331" s="483">
        <f t="shared" si="175"/>
        <v>8.761269442884978E-2</v>
      </c>
      <c r="E331" s="483">
        <f t="shared" si="175"/>
        <v>6.5676808161778011E-2</v>
      </c>
      <c r="F331" s="483">
        <f t="shared" si="175"/>
        <v>-1.4759096219050027E-2</v>
      </c>
      <c r="G331" s="483">
        <f t="shared" si="175"/>
        <v>-3.374880707944139E-2</v>
      </c>
      <c r="H331" s="483">
        <f>H318/G318-1</f>
        <v>9.3708847120794969E-2</v>
      </c>
      <c r="I331" s="483">
        <f t="shared" si="176"/>
        <v>3.9980297184139202E-2</v>
      </c>
      <c r="J331" s="483">
        <f t="shared" si="176"/>
        <v>-8.7306599305336352E-2</v>
      </c>
      <c r="K331" s="483">
        <f t="shared" si="176"/>
        <v>1.1532030213912137E-4</v>
      </c>
      <c r="L331" s="483">
        <f t="shared" si="176"/>
        <v>-7.9331219371576722E-2</v>
      </c>
      <c r="M331" s="483">
        <f t="shared" si="176"/>
        <v>-8.5478113845575798E-2</v>
      </c>
      <c r="N331" s="488"/>
      <c r="O331" s="19"/>
      <c r="P331" s="19"/>
      <c r="Q331" s="19"/>
      <c r="R331" s="19"/>
    </row>
    <row r="332" spans="1:19">
      <c r="A332" s="469" t="s">
        <v>133</v>
      </c>
      <c r="B332" s="483">
        <f>B319/M339-1</f>
        <v>7.2797208552858761E-2</v>
      </c>
      <c r="C332" s="483">
        <f t="shared" si="175"/>
        <v>-6.562678022630053E-2</v>
      </c>
      <c r="D332" s="483">
        <f t="shared" si="175"/>
        <v>9.2794461345360402E-2</v>
      </c>
      <c r="E332" s="483">
        <f t="shared" si="175"/>
        <v>6.5303548035567482E-2</v>
      </c>
      <c r="F332" s="483">
        <f t="shared" si="175"/>
        <v>-1.5059523327753843E-2</v>
      </c>
      <c r="G332" s="483">
        <f t="shared" si="175"/>
        <v>-4.5375462311516457E-2</v>
      </c>
      <c r="H332" s="483">
        <f>H319/G319-1</f>
        <v>0.16736043742387907</v>
      </c>
      <c r="I332" s="483">
        <f t="shared" si="176"/>
        <v>4.6544031892252757E-3</v>
      </c>
      <c r="J332" s="483">
        <f t="shared" si="176"/>
        <v>-0.10144619587713488</v>
      </c>
      <c r="K332" s="483">
        <f t="shared" si="176"/>
        <v>5.2569063577968089E-2</v>
      </c>
      <c r="L332" s="483">
        <f t="shared" si="176"/>
        <v>-0.10291779520131794</v>
      </c>
      <c r="M332" s="483">
        <f t="shared" si="176"/>
        <v>-5.4267267756710758E-2</v>
      </c>
      <c r="O332" s="151"/>
      <c r="P332" s="151"/>
      <c r="Q332" s="151"/>
      <c r="R332" s="151"/>
    </row>
    <row r="333" spans="1:19">
      <c r="G333" s="2"/>
      <c r="I333" s="2"/>
      <c r="J333" s="2"/>
      <c r="O333" s="151"/>
      <c r="P333" s="151"/>
      <c r="Q333" s="151"/>
      <c r="R333" s="151"/>
    </row>
    <row r="334" spans="1:19" s="445" customFormat="1">
      <c r="A334" s="500">
        <v>2010</v>
      </c>
      <c r="B334" s="472" t="s">
        <v>51</v>
      </c>
      <c r="C334" s="472" t="s">
        <v>52</v>
      </c>
      <c r="D334" s="472" t="s">
        <v>53</v>
      </c>
      <c r="E334" s="472" t="s">
        <v>54</v>
      </c>
      <c r="F334" s="472" t="s">
        <v>55</v>
      </c>
      <c r="G334" s="472" t="s">
        <v>77</v>
      </c>
      <c r="H334" s="472" t="s">
        <v>78</v>
      </c>
      <c r="I334" s="472" t="s">
        <v>79</v>
      </c>
      <c r="J334" s="472" t="s">
        <v>80</v>
      </c>
      <c r="K334" s="472" t="s">
        <v>81</v>
      </c>
      <c r="L334" s="472" t="s">
        <v>82</v>
      </c>
      <c r="M334" s="472" t="s">
        <v>44</v>
      </c>
      <c r="N334" s="473" t="s">
        <v>133</v>
      </c>
      <c r="O334" s="473" t="s">
        <v>129</v>
      </c>
      <c r="P334" s="473" t="s">
        <v>130</v>
      </c>
      <c r="Q334" s="473" t="s">
        <v>131</v>
      </c>
      <c r="R334" s="473" t="s">
        <v>132</v>
      </c>
      <c r="S334" s="445" t="s">
        <v>171</v>
      </c>
    </row>
    <row r="335" spans="1:19">
      <c r="A335" s="474" t="s">
        <v>22</v>
      </c>
      <c r="B335" s="15">
        <v>5079.58</v>
      </c>
      <c r="C335" s="15">
        <v>5351.11</v>
      </c>
      <c r="D335" s="15">
        <v>5764.95</v>
      </c>
      <c r="E335" s="15">
        <v>5710.36</v>
      </c>
      <c r="F335" s="15">
        <v>5478.7</v>
      </c>
      <c r="G335" s="15">
        <v>5615.09</v>
      </c>
      <c r="H335" s="15">
        <v>6619.45</v>
      </c>
      <c r="I335" s="15">
        <v>6935.97</v>
      </c>
      <c r="J335" s="15">
        <v>6045.36</v>
      </c>
      <c r="K335" s="15">
        <v>6461.57</v>
      </c>
      <c r="L335" s="15">
        <v>5282.4</v>
      </c>
      <c r="M335" s="15">
        <v>5359.37</v>
      </c>
      <c r="N335" s="15">
        <f>SUM(B335:M335)</f>
        <v>69703.91</v>
      </c>
      <c r="O335" s="15">
        <f>SUM(B335:D335)</f>
        <v>16195.64</v>
      </c>
      <c r="P335" s="15">
        <f>SUM(E335:G335)</f>
        <v>16804.150000000001</v>
      </c>
      <c r="Q335" s="15">
        <f>SUM(H335:J335)</f>
        <v>19600.78</v>
      </c>
      <c r="R335" s="15">
        <f>SUM(K335:M335)</f>
        <v>17103.34</v>
      </c>
      <c r="S335" s="1">
        <f>SUM(O335:R335)</f>
        <v>69703.91</v>
      </c>
    </row>
    <row r="336" spans="1:19">
      <c r="A336" s="474" t="s">
        <v>25</v>
      </c>
      <c r="B336" s="15">
        <v>3896.6309999999999</v>
      </c>
      <c r="C336" s="15">
        <v>3956.8919999999998</v>
      </c>
      <c r="D336" s="15">
        <v>4441.7520000000004</v>
      </c>
      <c r="E336" s="15">
        <v>4320.51</v>
      </c>
      <c r="F336" s="15">
        <v>4445.5020000000004</v>
      </c>
      <c r="G336" s="15">
        <v>4698.3109999999997</v>
      </c>
      <c r="H336" s="15">
        <v>5389.4160000000002</v>
      </c>
      <c r="I336" s="15">
        <v>5522.7569999999996</v>
      </c>
      <c r="J336" s="15">
        <v>4783.9059999999999</v>
      </c>
      <c r="K336" s="15">
        <v>5262.4520000000002</v>
      </c>
      <c r="L336" s="15">
        <v>4340.9449999999997</v>
      </c>
      <c r="M336" s="15">
        <v>4358.2730000000001</v>
      </c>
      <c r="N336" s="15">
        <f>SUM(B336:M336)</f>
        <v>55417.347000000002</v>
      </c>
      <c r="O336" s="15">
        <f>SUM(B336:D336)</f>
        <v>12295.275</v>
      </c>
      <c r="P336" s="15">
        <f>SUM(E336:G336)</f>
        <v>13464.323</v>
      </c>
      <c r="Q336" s="15">
        <f>SUM(H336:J336)</f>
        <v>15696.078999999998</v>
      </c>
      <c r="R336" s="15">
        <f>SUM(K336:M336)</f>
        <v>13961.670000000002</v>
      </c>
      <c r="S336" s="1">
        <f>SUM(O336:R336)</f>
        <v>55417.346999999994</v>
      </c>
    </row>
    <row r="337" spans="1:19" ht="13.5" customHeight="1">
      <c r="A337" s="474" t="s">
        <v>190</v>
      </c>
      <c r="B337" s="15">
        <f>B336*73.59%</f>
        <v>2867.5307528999997</v>
      </c>
      <c r="C337" s="15">
        <f>C336*75.46%</f>
        <v>2985.8707031999998</v>
      </c>
      <c r="D337" s="15">
        <f>D336*75.19%</f>
        <v>3339.7533288000004</v>
      </c>
      <c r="E337" s="15">
        <f>E336*76.19%</f>
        <v>3291.7965690000001</v>
      </c>
      <c r="F337" s="15">
        <f>F336*76.25%</f>
        <v>3389.695275</v>
      </c>
      <c r="G337" s="15">
        <f t="shared" ref="G337:M337" si="177">G336*75%</f>
        <v>3523.7332499999998</v>
      </c>
      <c r="H337" s="15">
        <f t="shared" si="177"/>
        <v>4042.0619999999999</v>
      </c>
      <c r="I337" s="15">
        <f t="shared" si="177"/>
        <v>4142.0677500000002</v>
      </c>
      <c r="J337" s="15">
        <f t="shared" si="177"/>
        <v>3587.9295000000002</v>
      </c>
      <c r="K337" s="15">
        <f t="shared" si="177"/>
        <v>3946.8389999999999</v>
      </c>
      <c r="L337" s="15">
        <f t="shared" si="177"/>
        <v>3255.7087499999998</v>
      </c>
      <c r="M337" s="15">
        <f t="shared" si="177"/>
        <v>3268.7047499999999</v>
      </c>
      <c r="N337" s="15">
        <f>SUM(B337:M337)</f>
        <v>41641.691628899993</v>
      </c>
      <c r="O337" s="15">
        <f>SUM(B337:D337)</f>
        <v>9193.1547848999999</v>
      </c>
      <c r="P337" s="15">
        <f>SUM(E337:G337)</f>
        <v>10205.225093999999</v>
      </c>
      <c r="Q337" s="15">
        <f>SUM(H337:J337)</f>
        <v>11772.05925</v>
      </c>
      <c r="R337" s="15">
        <f>SUM(K337:M337)</f>
        <v>10471.252499999999</v>
      </c>
      <c r="S337" s="1">
        <f>SUM(O337:R337)</f>
        <v>41641.691628899993</v>
      </c>
    </row>
    <row r="338" spans="1:19">
      <c r="A338" s="474" t="s">
        <v>28</v>
      </c>
      <c r="B338" s="15">
        <v>2815.5</v>
      </c>
      <c r="C338" s="15">
        <v>2874.5</v>
      </c>
      <c r="D338" s="15">
        <v>3114</v>
      </c>
      <c r="E338" s="15">
        <v>3138</v>
      </c>
      <c r="F338" s="15">
        <v>3194.8</v>
      </c>
      <c r="G338" s="15">
        <v>3126.6</v>
      </c>
      <c r="H338" s="15">
        <v>3627.1</v>
      </c>
      <c r="I338" s="15">
        <v>3697.3</v>
      </c>
      <c r="J338" s="15">
        <v>3299.5</v>
      </c>
      <c r="K338" s="15">
        <v>3503.9</v>
      </c>
      <c r="L338" s="15">
        <v>3013.4</v>
      </c>
      <c r="M338" s="15">
        <v>2881.7</v>
      </c>
      <c r="N338" s="15">
        <f>SUM(B338:M338)</f>
        <v>38286.299999999996</v>
      </c>
      <c r="O338" s="15">
        <f>SUM(B338:D338)</f>
        <v>8804</v>
      </c>
      <c r="P338" s="15">
        <f>SUM(E338:G338)</f>
        <v>9459.4</v>
      </c>
      <c r="Q338" s="15">
        <f>SUM(H338:J338)</f>
        <v>10623.9</v>
      </c>
      <c r="R338" s="15">
        <f>SUM(K338:M338)</f>
        <v>9399</v>
      </c>
      <c r="S338" s="1">
        <f>SUM(O338:R338)</f>
        <v>38286.300000000003</v>
      </c>
    </row>
    <row r="339" spans="1:19" s="445" customFormat="1">
      <c r="A339" s="505" t="s">
        <v>191</v>
      </c>
      <c r="B339" s="21">
        <f t="shared" ref="B339:R339" si="178">SUM(B335,B336,B338)</f>
        <v>11791.710999999999</v>
      </c>
      <c r="C339" s="21">
        <f t="shared" si="178"/>
        <v>12182.502</v>
      </c>
      <c r="D339" s="21">
        <f t="shared" si="178"/>
        <v>13320.702000000001</v>
      </c>
      <c r="E339" s="21">
        <f t="shared" si="178"/>
        <v>13168.869999999999</v>
      </c>
      <c r="F339" s="21">
        <f t="shared" si="178"/>
        <v>13119.002</v>
      </c>
      <c r="G339" s="21">
        <f t="shared" si="178"/>
        <v>13440.001</v>
      </c>
      <c r="H339" s="21">
        <f t="shared" si="178"/>
        <v>15635.966</v>
      </c>
      <c r="I339" s="21">
        <f t="shared" si="178"/>
        <v>16156.026999999998</v>
      </c>
      <c r="J339" s="21">
        <f t="shared" si="178"/>
        <v>14128.766</v>
      </c>
      <c r="K339" s="21">
        <f t="shared" si="178"/>
        <v>15227.922</v>
      </c>
      <c r="L339" s="21">
        <f t="shared" si="178"/>
        <v>12636.744999999999</v>
      </c>
      <c r="M339" s="21">
        <f t="shared" si="178"/>
        <v>12599.343000000001</v>
      </c>
      <c r="N339" s="21">
        <f t="shared" si="178"/>
        <v>163407.557</v>
      </c>
      <c r="O339" s="21">
        <f t="shared" si="178"/>
        <v>37294.915000000001</v>
      </c>
      <c r="P339" s="21">
        <f t="shared" si="178"/>
        <v>39727.873</v>
      </c>
      <c r="Q339" s="21">
        <f t="shared" si="178"/>
        <v>45920.758999999998</v>
      </c>
      <c r="R339" s="21">
        <f t="shared" si="178"/>
        <v>40464.01</v>
      </c>
      <c r="S339" s="44">
        <f>SUM(O339:R339)</f>
        <v>163407.557</v>
      </c>
    </row>
    <row r="340" spans="1:19" ht="13.5" customHeight="1">
      <c r="A340" s="474" t="s">
        <v>192</v>
      </c>
      <c r="B340" s="15">
        <f t="shared" ref="B340:R340" si="179">B335+B337+B338</f>
        <v>10762.6107529</v>
      </c>
      <c r="C340" s="15">
        <f t="shared" si="179"/>
        <v>11211.480703199999</v>
      </c>
      <c r="D340" s="15">
        <f t="shared" si="179"/>
        <v>12218.7033288</v>
      </c>
      <c r="E340" s="15">
        <f t="shared" si="179"/>
        <v>12140.156568999999</v>
      </c>
      <c r="F340" s="15">
        <f t="shared" si="179"/>
        <v>12063.195274999998</v>
      </c>
      <c r="G340" s="15">
        <f t="shared" si="179"/>
        <v>12265.42325</v>
      </c>
      <c r="H340" s="15">
        <f t="shared" si="179"/>
        <v>14288.611999999999</v>
      </c>
      <c r="I340" s="15">
        <f t="shared" si="179"/>
        <v>14775.337749999999</v>
      </c>
      <c r="J340" s="15">
        <f t="shared" si="179"/>
        <v>12932.789499999999</v>
      </c>
      <c r="K340" s="15">
        <f t="shared" si="179"/>
        <v>13912.308999999999</v>
      </c>
      <c r="L340" s="15">
        <f t="shared" si="179"/>
        <v>11551.508749999999</v>
      </c>
      <c r="M340" s="15">
        <f t="shared" si="179"/>
        <v>11509.77475</v>
      </c>
      <c r="N340" s="15">
        <f t="shared" si="179"/>
        <v>149631.9016289</v>
      </c>
      <c r="O340" s="15">
        <f t="shared" si="179"/>
        <v>34192.794784899997</v>
      </c>
      <c r="P340" s="15">
        <f t="shared" si="179"/>
        <v>36468.775094000004</v>
      </c>
      <c r="Q340" s="15">
        <f t="shared" si="179"/>
        <v>41996.739249999999</v>
      </c>
      <c r="R340" s="15">
        <f t="shared" si="179"/>
        <v>36973.592499999999</v>
      </c>
    </row>
    <row r="341" spans="1:19">
      <c r="A341" s="474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488"/>
      <c r="O341" s="15"/>
      <c r="P341" s="15"/>
      <c r="Q341" s="15"/>
      <c r="R341" s="15"/>
    </row>
    <row r="342" spans="1:19">
      <c r="A342" s="504" t="s">
        <v>184</v>
      </c>
      <c r="B342" s="488"/>
      <c r="C342" s="488"/>
      <c r="D342" s="488"/>
      <c r="E342" s="488"/>
      <c r="F342" s="488"/>
      <c r="G342" s="488"/>
      <c r="H342" s="488"/>
      <c r="I342" s="488"/>
      <c r="J342" s="488"/>
      <c r="K342" s="488"/>
      <c r="L342" s="488"/>
      <c r="M342" s="488"/>
      <c r="N342" s="521" t="s">
        <v>195</v>
      </c>
      <c r="O342" s="488"/>
      <c r="P342" s="488"/>
      <c r="Q342" s="488"/>
      <c r="R342" s="488"/>
    </row>
    <row r="343" spans="1:19">
      <c r="A343" s="474" t="s">
        <v>22</v>
      </c>
      <c r="B343" s="19">
        <f t="shared" ref="B343:R343" si="180">B335/B356-1</f>
        <v>6.3325427511005783E-2</v>
      </c>
      <c r="C343" s="19">
        <f t="shared" si="180"/>
        <v>0.15406729728214219</v>
      </c>
      <c r="D343" s="19">
        <f t="shared" si="180"/>
        <v>0.20509089996927155</v>
      </c>
      <c r="E343" s="19">
        <f t="shared" si="180"/>
        <v>0.15718717893119938</v>
      </c>
      <c r="F343" s="19">
        <f t="shared" si="180"/>
        <v>0.15179558766024903</v>
      </c>
      <c r="G343" s="19">
        <f t="shared" si="180"/>
        <v>0.19825397028633862</v>
      </c>
      <c r="H343" s="19">
        <f t="shared" si="180"/>
        <v>0.16370588493824978</v>
      </c>
      <c r="I343" s="19">
        <f t="shared" si="180"/>
        <v>0.15701510164795307</v>
      </c>
      <c r="J343" s="19">
        <f t="shared" si="180"/>
        <v>0.19383154647766609</v>
      </c>
      <c r="K343" s="19">
        <f t="shared" si="180"/>
        <v>0.14670535413228269</v>
      </c>
      <c r="L343" s="19">
        <f t="shared" si="180"/>
        <v>2.3350064995825148E-2</v>
      </c>
      <c r="M343" s="19">
        <f t="shared" si="180"/>
        <v>7.1923308472189529E-2</v>
      </c>
      <c r="N343" s="19">
        <f t="shared" si="180"/>
        <v>0.14047378219121653</v>
      </c>
      <c r="O343" s="19">
        <f t="shared" si="180"/>
        <v>0.14072761388512456</v>
      </c>
      <c r="P343" s="19">
        <f t="shared" si="180"/>
        <v>0.16878839791033307</v>
      </c>
      <c r="Q343" s="19">
        <f t="shared" si="180"/>
        <v>0.17042012230403536</v>
      </c>
      <c r="R343" s="19">
        <f t="shared" si="180"/>
        <v>8.2726976920262318E-2</v>
      </c>
    </row>
    <row r="344" spans="1:19">
      <c r="A344" s="474" t="s">
        <v>25</v>
      </c>
      <c r="B344" s="17">
        <f t="shared" ref="B344:M344" si="181">B336/B357-1</f>
        <v>0.45515589231498876</v>
      </c>
      <c r="C344" s="17">
        <f t="shared" si="181"/>
        <v>0.40947081956001363</v>
      </c>
      <c r="D344" s="17">
        <f t="shared" si="181"/>
        <v>0.42812882814233233</v>
      </c>
      <c r="E344" s="17">
        <f t="shared" si="181"/>
        <v>0.34437018090846294</v>
      </c>
      <c r="F344" s="17">
        <f t="shared" si="181"/>
        <v>0.42814067123063237</v>
      </c>
      <c r="G344" s="17">
        <f t="shared" si="181"/>
        <v>0.58655970985911665</v>
      </c>
      <c r="H344" s="17">
        <f t="shared" si="181"/>
        <v>0.52858277364312944</v>
      </c>
      <c r="I344" s="17">
        <f t="shared" si="181"/>
        <v>0.44984694949070669</v>
      </c>
      <c r="J344" s="17">
        <f t="shared" si="181"/>
        <v>0.50852376823019307</v>
      </c>
      <c r="K344" s="17">
        <f t="shared" si="181"/>
        <v>0.45068681171002312</v>
      </c>
      <c r="L344" s="17">
        <f t="shared" si="181"/>
        <v>0.39404288799505438</v>
      </c>
      <c r="M344" s="17">
        <f t="shared" si="181"/>
        <v>0.5271887750596751</v>
      </c>
      <c r="N344" s="17"/>
      <c r="O344" s="19"/>
      <c r="P344" s="19"/>
      <c r="Q344" s="19"/>
      <c r="R344" s="19"/>
    </row>
    <row r="345" spans="1:19" ht="13.5" customHeight="1">
      <c r="A345" s="474" t="s">
        <v>190</v>
      </c>
      <c r="B345" s="19">
        <f t="shared" ref="B345:R345" si="182">B337/B357-1</f>
        <v>7.0849221154600128E-2</v>
      </c>
      <c r="C345" s="19">
        <f t="shared" si="182"/>
        <v>6.3586680439986276E-2</v>
      </c>
      <c r="D345" s="19">
        <f t="shared" si="182"/>
        <v>7.3810065880219655E-2</v>
      </c>
      <c r="E345" s="19">
        <f t="shared" si="182"/>
        <v>2.4275640834157786E-2</v>
      </c>
      <c r="F345" s="19">
        <f t="shared" si="182"/>
        <v>8.8957261813357169E-2</v>
      </c>
      <c r="G345" s="19">
        <f t="shared" si="182"/>
        <v>0.18991978239433749</v>
      </c>
      <c r="H345" s="19">
        <f t="shared" si="182"/>
        <v>0.14643708023234692</v>
      </c>
      <c r="I345" s="19">
        <f t="shared" si="182"/>
        <v>8.7385212118030076E-2</v>
      </c>
      <c r="J345" s="19">
        <f t="shared" si="182"/>
        <v>0.13139282617264492</v>
      </c>
      <c r="K345" s="19">
        <f t="shared" si="182"/>
        <v>8.8015108782517393E-2</v>
      </c>
      <c r="L345" s="19">
        <f t="shared" si="182"/>
        <v>4.5532165996290619E-2</v>
      </c>
      <c r="M345" s="19">
        <f t="shared" si="182"/>
        <v>0.14539158129475616</v>
      </c>
      <c r="N345" s="19">
        <f t="shared" si="182"/>
        <v>9.6274461773219633E-2</v>
      </c>
      <c r="O345" s="19">
        <f t="shared" si="182"/>
        <v>6.9548545366337144E-2</v>
      </c>
      <c r="P345" s="19">
        <f t="shared" si="182"/>
        <v>9.8766791381034835E-2</v>
      </c>
      <c r="Q345" s="19">
        <f t="shared" si="182"/>
        <v>0.12048581267650293</v>
      </c>
      <c r="R345" s="19">
        <f t="shared" si="182"/>
        <v>9.1292930518279913E-2</v>
      </c>
    </row>
    <row r="346" spans="1:19">
      <c r="A346" s="474" t="s">
        <v>28</v>
      </c>
      <c r="B346" s="19">
        <f t="shared" ref="B346:R346" si="183">B338/B358-1</f>
        <v>5.3626225581917542E-2</v>
      </c>
      <c r="C346" s="19">
        <f t="shared" si="183"/>
        <v>0.10749373916393767</v>
      </c>
      <c r="D346" s="19">
        <f t="shared" si="183"/>
        <v>0.16515752450796972</v>
      </c>
      <c r="E346" s="19">
        <f t="shared" si="183"/>
        <v>0.14785280561855285</v>
      </c>
      <c r="F346" s="19">
        <f t="shared" si="183"/>
        <v>0.23527819665158711</v>
      </c>
      <c r="G346" s="19">
        <f t="shared" si="183"/>
        <v>0.20918900104420479</v>
      </c>
      <c r="H346" s="19">
        <f t="shared" si="183"/>
        <v>0.20186222207495264</v>
      </c>
      <c r="I346" s="19">
        <f t="shared" si="183"/>
        <v>0.14762392525685208</v>
      </c>
      <c r="J346" s="19">
        <f t="shared" si="183"/>
        <v>0.20086621051099152</v>
      </c>
      <c r="K346" s="19">
        <f t="shared" si="183"/>
        <v>0.12534967449359424</v>
      </c>
      <c r="L346" s="19">
        <f t="shared" si="183"/>
        <v>8.2671648762260519E-2</v>
      </c>
      <c r="M346" s="19">
        <f t="shared" si="183"/>
        <v>9.0231537530266248E-2</v>
      </c>
      <c r="N346" s="19">
        <f t="shared" si="183"/>
        <v>0.14720970976594838</v>
      </c>
      <c r="O346" s="19">
        <f t="shared" si="183"/>
        <v>0.10877422767401757</v>
      </c>
      <c r="P346" s="19">
        <f t="shared" si="183"/>
        <v>0.19651395178223585</v>
      </c>
      <c r="Q346" s="19">
        <f t="shared" si="183"/>
        <v>0.18211456293395045</v>
      </c>
      <c r="R346" s="19">
        <f t="shared" si="183"/>
        <v>0.10057130411669157</v>
      </c>
    </row>
    <row r="347" spans="1:19" s="492" customFormat="1" ht="13.5" customHeight="1">
      <c r="A347" s="524" t="s">
        <v>192</v>
      </c>
      <c r="B347" s="52">
        <f t="shared" ref="B347:R347" si="184">B340/B359-1</f>
        <v>6.2755577412245467E-2</v>
      </c>
      <c r="C347" s="52">
        <f t="shared" si="184"/>
        <v>0.11672583600940256</v>
      </c>
      <c r="D347" s="52">
        <f t="shared" si="184"/>
        <v>0.15634927051412828</v>
      </c>
      <c r="E347" s="52">
        <f t="shared" si="184"/>
        <v>0.1155904575975415</v>
      </c>
      <c r="F347" s="52">
        <f t="shared" si="184"/>
        <v>0.15373792171771505</v>
      </c>
      <c r="G347" s="52">
        <f t="shared" si="184"/>
        <v>0.19860523420123743</v>
      </c>
      <c r="H347" s="52">
        <f t="shared" si="184"/>
        <v>0.16814234244692772</v>
      </c>
      <c r="I347" s="52">
        <f t="shared" si="184"/>
        <v>0.13432981257691567</v>
      </c>
      <c r="J347" s="52">
        <f t="shared" si="184"/>
        <v>0.17756226167019329</v>
      </c>
      <c r="K347" s="52">
        <f t="shared" si="184"/>
        <v>0.12412988324483321</v>
      </c>
      <c r="L347" s="52">
        <f t="shared" si="184"/>
        <v>4.4525682255193377E-2</v>
      </c>
      <c r="M347" s="508">
        <f t="shared" si="184"/>
        <v>9.6507583579615641E-2</v>
      </c>
      <c r="N347" s="508">
        <f t="shared" si="184"/>
        <v>0.12949750921827485</v>
      </c>
      <c r="O347" s="52">
        <f t="shared" si="184"/>
        <v>0.11256502832107174</v>
      </c>
      <c r="P347" s="52">
        <f t="shared" si="184"/>
        <v>0.15513159484465233</v>
      </c>
      <c r="Q347" s="52">
        <f t="shared" si="184"/>
        <v>0.15884402541928577</v>
      </c>
      <c r="R347" s="508">
        <f t="shared" si="184"/>
        <v>8.9640383471351726E-2</v>
      </c>
    </row>
    <row r="348" spans="1:19">
      <c r="A348" s="474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508"/>
      <c r="O348" s="19"/>
      <c r="P348" s="19"/>
      <c r="Q348" s="19"/>
      <c r="R348" s="19"/>
    </row>
    <row r="349" spans="1:19">
      <c r="A349" s="504" t="s">
        <v>185</v>
      </c>
      <c r="B349" s="488"/>
      <c r="C349" s="488"/>
      <c r="D349" s="488"/>
      <c r="E349" s="488"/>
      <c r="F349" s="488"/>
      <c r="G349" s="488"/>
      <c r="H349" s="488"/>
      <c r="I349" s="488"/>
      <c r="J349" s="488"/>
      <c r="K349" s="488"/>
      <c r="L349" s="488"/>
      <c r="M349" s="488"/>
      <c r="N349" s="488"/>
      <c r="O349" s="488"/>
      <c r="P349" s="488"/>
      <c r="Q349" s="488"/>
      <c r="R349" s="488"/>
    </row>
    <row r="350" spans="1:19">
      <c r="A350" s="474" t="s">
        <v>22</v>
      </c>
      <c r="B350" s="19">
        <f>B335/M356-1</f>
        <v>1.5962734285777103E-2</v>
      </c>
      <c r="C350" s="19">
        <f t="shared" ref="C350:M350" si="185">C335/B335-1</f>
        <v>5.3455206926556809E-2</v>
      </c>
      <c r="D350" s="19">
        <f t="shared" si="185"/>
        <v>7.733722536071963E-2</v>
      </c>
      <c r="E350" s="19">
        <f t="shared" si="185"/>
        <v>-9.4692928819851696E-3</v>
      </c>
      <c r="F350" s="19">
        <f t="shared" si="185"/>
        <v>-4.0568370470513204E-2</v>
      </c>
      <c r="G350" s="19">
        <f t="shared" si="185"/>
        <v>2.4894591782722131E-2</v>
      </c>
      <c r="H350" s="19">
        <f t="shared" si="185"/>
        <v>0.17886801458213486</v>
      </c>
      <c r="I350" s="19">
        <f t="shared" si="185"/>
        <v>4.7816661505110103E-2</v>
      </c>
      <c r="J350" s="19">
        <f t="shared" si="185"/>
        <v>-0.12840453462168966</v>
      </c>
      <c r="K350" s="19">
        <f t="shared" si="185"/>
        <v>6.8847843635449379E-2</v>
      </c>
      <c r="L350" s="19">
        <f t="shared" si="185"/>
        <v>-0.1824897045145375</v>
      </c>
      <c r="M350" s="19">
        <f t="shared" si="185"/>
        <v>1.4571028320460533E-2</v>
      </c>
      <c r="N350" s="488"/>
      <c r="O350" s="19"/>
      <c r="P350" s="19"/>
      <c r="Q350" s="19"/>
      <c r="R350" s="19"/>
    </row>
    <row r="351" spans="1:19">
      <c r="A351" s="474" t="s">
        <v>25</v>
      </c>
      <c r="B351" s="19">
        <f>B336/M357-1</f>
        <v>0.36542413101463733</v>
      </c>
      <c r="C351" s="19">
        <f t="shared" ref="C351:M351" si="186">C336/B336-1</f>
        <v>1.5464897753982854E-2</v>
      </c>
      <c r="D351" s="19">
        <f t="shared" si="186"/>
        <v>0.12253556579254643</v>
      </c>
      <c r="E351" s="19">
        <f t="shared" si="186"/>
        <v>-2.729598590826332E-2</v>
      </c>
      <c r="F351" s="19">
        <f t="shared" si="186"/>
        <v>2.8929917995792254E-2</v>
      </c>
      <c r="G351" s="19">
        <f t="shared" si="186"/>
        <v>5.6868493142056664E-2</v>
      </c>
      <c r="H351" s="19">
        <f t="shared" si="186"/>
        <v>0.14709647786193814</v>
      </c>
      <c r="I351" s="19">
        <f t="shared" si="186"/>
        <v>2.4741270668287463E-2</v>
      </c>
      <c r="J351" s="19">
        <f t="shared" si="186"/>
        <v>-0.13378300004870747</v>
      </c>
      <c r="K351" s="19">
        <f t="shared" si="186"/>
        <v>0.10003248391586306</v>
      </c>
      <c r="L351" s="19">
        <f t="shared" si="186"/>
        <v>-0.17510981572848561</v>
      </c>
      <c r="M351" s="19">
        <f t="shared" si="186"/>
        <v>3.9917575550947326E-3</v>
      </c>
      <c r="N351" s="488"/>
      <c r="O351" s="19"/>
      <c r="P351" s="19"/>
      <c r="Q351" s="19"/>
      <c r="R351" s="19"/>
    </row>
    <row r="352" spans="1:19">
      <c r="A352" s="474" t="s">
        <v>28</v>
      </c>
      <c r="B352" s="19">
        <f>B338/M358-1</f>
        <v>6.5186138014527994E-2</v>
      </c>
      <c r="C352" s="19">
        <f t="shared" ref="C352:M352" si="187">C338/B338-1</f>
        <v>2.0955425324098664E-2</v>
      </c>
      <c r="D352" s="19">
        <f t="shared" si="187"/>
        <v>8.331883805879281E-2</v>
      </c>
      <c r="E352" s="19">
        <f t="shared" si="187"/>
        <v>7.7071290944124016E-3</v>
      </c>
      <c r="F352" s="19">
        <f t="shared" si="187"/>
        <v>1.8100701083492821E-2</v>
      </c>
      <c r="G352" s="19">
        <f t="shared" si="187"/>
        <v>-2.1347189182421511E-2</v>
      </c>
      <c r="H352" s="19">
        <f t="shared" si="187"/>
        <v>0.16007804004349779</v>
      </c>
      <c r="I352" s="19">
        <f t="shared" si="187"/>
        <v>1.9354305092222468E-2</v>
      </c>
      <c r="J352" s="19">
        <f t="shared" si="187"/>
        <v>-0.10759202661401568</v>
      </c>
      <c r="K352" s="19">
        <f t="shared" si="187"/>
        <v>6.1948780118199709E-2</v>
      </c>
      <c r="L352" s="19">
        <f t="shared" si="187"/>
        <v>-0.13998687177145464</v>
      </c>
      <c r="M352" s="19">
        <f t="shared" si="187"/>
        <v>-4.3704785292360881E-2</v>
      </c>
      <c r="N352" s="488"/>
      <c r="O352" s="19"/>
      <c r="P352" s="19"/>
      <c r="Q352" s="19"/>
      <c r="R352" s="19"/>
    </row>
    <row r="353" spans="1:18">
      <c r="A353" s="469" t="s">
        <v>133</v>
      </c>
      <c r="B353" s="19">
        <f>B340/M359-1</f>
        <v>2.5327129852855457E-2</v>
      </c>
      <c r="C353" s="19">
        <f t="shared" ref="C353:M353" si="188">C340/B340-1</f>
        <v>4.1706418693907565E-2</v>
      </c>
      <c r="D353" s="19">
        <f t="shared" si="188"/>
        <v>8.9838501466850795E-2</v>
      </c>
      <c r="E353" s="19">
        <f t="shared" si="188"/>
        <v>-6.4284038728449344E-3</v>
      </c>
      <c r="F353" s="19">
        <f t="shared" si="188"/>
        <v>-6.3393988012083735E-3</v>
      </c>
      <c r="G353" s="19">
        <f t="shared" si="188"/>
        <v>1.6764047202245225E-2</v>
      </c>
      <c r="H353" s="19">
        <f t="shared" si="188"/>
        <v>0.16495058578594102</v>
      </c>
      <c r="I353" s="19">
        <f t="shared" si="188"/>
        <v>3.4063892979947941E-2</v>
      </c>
      <c r="J353" s="19">
        <f t="shared" si="188"/>
        <v>-0.12470430667481691</v>
      </c>
      <c r="K353" s="19">
        <f t="shared" si="188"/>
        <v>7.5739228570912642E-2</v>
      </c>
      <c r="L353" s="19">
        <f t="shared" si="188"/>
        <v>-0.16969147608782986</v>
      </c>
      <c r="M353" s="19">
        <f t="shared" si="188"/>
        <v>-3.6128613935386689E-3</v>
      </c>
      <c r="O353" s="151"/>
      <c r="P353" s="151"/>
      <c r="Q353" s="151"/>
      <c r="R353" s="151"/>
    </row>
    <row r="354" spans="1:18">
      <c r="G354" s="2"/>
      <c r="I354" s="2"/>
      <c r="J354" s="2"/>
      <c r="O354" s="151"/>
      <c r="P354" s="151"/>
      <c r="Q354" s="151"/>
      <c r="R354" s="151"/>
    </row>
    <row r="355" spans="1:18" s="445" customFormat="1">
      <c r="A355" s="500">
        <v>2009</v>
      </c>
      <c r="B355" s="472" t="s">
        <v>51</v>
      </c>
      <c r="C355" s="472" t="s">
        <v>52</v>
      </c>
      <c r="D355" s="472" t="s">
        <v>53</v>
      </c>
      <c r="E355" s="472" t="s">
        <v>54</v>
      </c>
      <c r="F355" s="472" t="s">
        <v>55</v>
      </c>
      <c r="G355" s="472" t="s">
        <v>77</v>
      </c>
      <c r="H355" s="472" t="s">
        <v>78</v>
      </c>
      <c r="I355" s="472" t="s">
        <v>79</v>
      </c>
      <c r="J355" s="472" t="s">
        <v>80</v>
      </c>
      <c r="K355" s="472" t="s">
        <v>81</v>
      </c>
      <c r="L355" s="472" t="s">
        <v>82</v>
      </c>
      <c r="M355" s="472" t="s">
        <v>44</v>
      </c>
      <c r="N355" s="473" t="s">
        <v>133</v>
      </c>
      <c r="O355" s="473" t="s">
        <v>129</v>
      </c>
      <c r="P355" s="473" t="s">
        <v>130</v>
      </c>
      <c r="Q355" s="473" t="s">
        <v>131</v>
      </c>
      <c r="R355" s="473" t="s">
        <v>132</v>
      </c>
    </row>
    <row r="356" spans="1:18">
      <c r="A356" s="474" t="s">
        <v>22</v>
      </c>
      <c r="B356" s="15">
        <v>4777.07</v>
      </c>
      <c r="C356" s="15">
        <v>4636.74</v>
      </c>
      <c r="D356" s="15">
        <v>4783.83</v>
      </c>
      <c r="E356" s="15">
        <v>4934.6899999999996</v>
      </c>
      <c r="F356" s="15">
        <v>4756.66</v>
      </c>
      <c r="G356" s="15">
        <v>4686.0600000000004</v>
      </c>
      <c r="H356" s="15">
        <v>5688.25</v>
      </c>
      <c r="I356" s="15">
        <v>5994.71</v>
      </c>
      <c r="J356" s="15">
        <v>5063.83</v>
      </c>
      <c r="K356" s="15">
        <v>5634.9</v>
      </c>
      <c r="L356" s="15">
        <v>5161.87</v>
      </c>
      <c r="M356" s="15">
        <v>4999.7700000000004</v>
      </c>
      <c r="N356" s="15">
        <f>SUM(B356:M356)</f>
        <v>61118.380000000005</v>
      </c>
      <c r="O356" s="15">
        <f>SUM(B356:D356)</f>
        <v>14197.64</v>
      </c>
      <c r="P356" s="15">
        <f>SUM(E356:G356)</f>
        <v>14377.41</v>
      </c>
      <c r="Q356" s="15">
        <f>SUM(H356:J356)</f>
        <v>16746.79</v>
      </c>
      <c r="R356" s="15">
        <f>K356+L356+M356</f>
        <v>15796.54</v>
      </c>
    </row>
    <row r="357" spans="1:18">
      <c r="A357" s="474" t="s">
        <v>25</v>
      </c>
      <c r="B357" s="15">
        <v>2677.81</v>
      </c>
      <c r="C357" s="15">
        <v>2807.36</v>
      </c>
      <c r="D357" s="15">
        <v>3110.19</v>
      </c>
      <c r="E357" s="15">
        <v>3213.78</v>
      </c>
      <c r="F357" s="15">
        <v>3112.79</v>
      </c>
      <c r="G357" s="15">
        <v>2961.32</v>
      </c>
      <c r="H357" s="15">
        <v>3525.76</v>
      </c>
      <c r="I357" s="15">
        <v>3809.2</v>
      </c>
      <c r="J357" s="15">
        <v>3171.25</v>
      </c>
      <c r="K357" s="15">
        <v>3627.5590000000002</v>
      </c>
      <c r="L357" s="15">
        <v>3113.9250000000002</v>
      </c>
      <c r="M357" s="15">
        <v>2853.788</v>
      </c>
      <c r="N357" s="15">
        <f>SUM(B357:M357)</f>
        <v>37984.732000000004</v>
      </c>
      <c r="O357" s="15">
        <f>SUM(B357:D357)</f>
        <v>8595.36</v>
      </c>
      <c r="P357" s="15">
        <f>SUM(E357:G357)</f>
        <v>9287.89</v>
      </c>
      <c r="Q357" s="15">
        <f>SUM(H357:J357)</f>
        <v>10506.21</v>
      </c>
      <c r="R357" s="15">
        <f>K357+L357+M357</f>
        <v>9595.2720000000008</v>
      </c>
    </row>
    <row r="358" spans="1:18">
      <c r="A358" s="474" t="s">
        <v>28</v>
      </c>
      <c r="B358" s="15">
        <v>2672.2</v>
      </c>
      <c r="C358" s="15">
        <v>2595.5</v>
      </c>
      <c r="D358" s="15">
        <v>2672.6</v>
      </c>
      <c r="E358" s="15">
        <v>2733.8</v>
      </c>
      <c r="F358" s="15">
        <v>2586.3000000000002</v>
      </c>
      <c r="G358" s="15">
        <v>2585.6999999999998</v>
      </c>
      <c r="H358" s="15">
        <v>3017.9</v>
      </c>
      <c r="I358" s="15">
        <v>3221.7</v>
      </c>
      <c r="J358" s="15">
        <v>2747.6</v>
      </c>
      <c r="K358" s="15">
        <v>3113.61</v>
      </c>
      <c r="L358" s="15">
        <v>2783.3</v>
      </c>
      <c r="M358" s="15">
        <v>2643.2</v>
      </c>
      <c r="N358" s="15">
        <f>SUM(B358:M358)</f>
        <v>33373.409999999996</v>
      </c>
      <c r="O358" s="15">
        <f>SUM(B358:D358)</f>
        <v>7940.2999999999993</v>
      </c>
      <c r="P358" s="15">
        <f>SUM(E358:G358)</f>
        <v>7905.8</v>
      </c>
      <c r="Q358" s="15">
        <f>SUM(H358:J358)</f>
        <v>8987.2000000000007</v>
      </c>
      <c r="R358" s="15">
        <f>K358+L358+M358</f>
        <v>8540.11</v>
      </c>
    </row>
    <row r="359" spans="1:18">
      <c r="A359" s="474" t="s">
        <v>133</v>
      </c>
      <c r="B359" s="15">
        <f t="shared" ref="B359:N359" si="189">SUM(B356:B358)</f>
        <v>10127.079999999998</v>
      </c>
      <c r="C359" s="15">
        <f t="shared" si="189"/>
        <v>10039.6</v>
      </c>
      <c r="D359" s="15">
        <f t="shared" si="189"/>
        <v>10566.62</v>
      </c>
      <c r="E359" s="15">
        <f t="shared" si="189"/>
        <v>10882.27</v>
      </c>
      <c r="F359" s="15">
        <f t="shared" si="189"/>
        <v>10455.75</v>
      </c>
      <c r="G359" s="15">
        <f t="shared" si="189"/>
        <v>10233.080000000002</v>
      </c>
      <c r="H359" s="15">
        <f t="shared" si="189"/>
        <v>12231.91</v>
      </c>
      <c r="I359" s="15">
        <f t="shared" si="189"/>
        <v>13025.61</v>
      </c>
      <c r="J359" s="15">
        <f t="shared" si="189"/>
        <v>10982.68</v>
      </c>
      <c r="K359" s="15">
        <f t="shared" si="189"/>
        <v>12376.069</v>
      </c>
      <c r="L359" s="15">
        <f t="shared" si="189"/>
        <v>11059.095000000001</v>
      </c>
      <c r="M359" s="15">
        <f t="shared" si="189"/>
        <v>10496.758000000002</v>
      </c>
      <c r="N359" s="15">
        <f t="shared" si="189"/>
        <v>132476.522</v>
      </c>
      <c r="O359" s="15">
        <f>SUM(B359:D359)</f>
        <v>30733.300000000003</v>
      </c>
      <c r="P359" s="15">
        <f>SUM(E359:G359)</f>
        <v>31571.100000000002</v>
      </c>
      <c r="Q359" s="15">
        <f>SUM(H359:J359)</f>
        <v>36240.199999999997</v>
      </c>
      <c r="R359" s="15">
        <f>K359+L359+M359</f>
        <v>33931.922000000006</v>
      </c>
    </row>
    <row r="360" spans="1:18">
      <c r="A360" s="474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</row>
    <row r="361" spans="1:18">
      <c r="A361" s="504" t="s">
        <v>184</v>
      </c>
      <c r="B361" s="488"/>
      <c r="C361" s="488"/>
      <c r="D361" s="488"/>
      <c r="E361" s="488"/>
      <c r="F361" s="488"/>
      <c r="G361" s="488"/>
      <c r="H361" s="488"/>
      <c r="I361" s="488"/>
      <c r="J361" s="488"/>
      <c r="K361" s="488"/>
      <c r="L361" s="488"/>
      <c r="M361" s="488"/>
      <c r="N361" s="488"/>
      <c r="O361" s="488"/>
      <c r="P361" s="488"/>
      <c r="Q361" s="488"/>
      <c r="R361" s="488"/>
    </row>
    <row r="362" spans="1:18">
      <c r="A362" s="474" t="s">
        <v>22</v>
      </c>
      <c r="B362" s="19">
        <f t="shared" ref="B362:M362" si="190">B356/B374-1</f>
        <v>0.1879712523624788</v>
      </c>
      <c r="C362" s="19">
        <f t="shared" si="190"/>
        <v>0.11182407400746674</v>
      </c>
      <c r="D362" s="19">
        <f t="shared" si="190"/>
        <v>8.8067451661840934E-2</v>
      </c>
      <c r="E362" s="19">
        <f t="shared" si="190"/>
        <v>6.5959726440486088E-2</v>
      </c>
      <c r="F362" s="19">
        <f t="shared" si="190"/>
        <v>0.13318562988374305</v>
      </c>
      <c r="G362" s="19">
        <f t="shared" si="190"/>
        <v>0.22635129830364775</v>
      </c>
      <c r="H362" s="19">
        <f t="shared" si="190"/>
        <v>0.15492537374040904</v>
      </c>
      <c r="I362" s="19">
        <f t="shared" si="190"/>
        <v>0.34439174263576322</v>
      </c>
      <c r="J362" s="19">
        <f t="shared" si="190"/>
        <v>0.10453279355405831</v>
      </c>
      <c r="K362" s="19">
        <f t="shared" si="190"/>
        <v>0.11452187448698425</v>
      </c>
      <c r="L362" s="19">
        <f t="shared" si="190"/>
        <v>0.13420770454485531</v>
      </c>
      <c r="M362" s="19">
        <f t="shared" si="190"/>
        <v>0.17320877975980986</v>
      </c>
      <c r="N362" s="19"/>
      <c r="O362" s="19">
        <f t="shared" ref="O362:R365" si="191">O356/O374-1</f>
        <v>0.12785127682865394</v>
      </c>
      <c r="P362" s="19">
        <f t="shared" si="191"/>
        <v>0.13672668104566066</v>
      </c>
      <c r="Q362" s="19">
        <f t="shared" si="191"/>
        <v>0.19886676426477479</v>
      </c>
      <c r="R362" s="19">
        <f t="shared" si="191"/>
        <v>0.13901557404177356</v>
      </c>
    </row>
    <row r="363" spans="1:18">
      <c r="A363" s="474" t="s">
        <v>25</v>
      </c>
      <c r="B363" s="19">
        <f t="shared" ref="B363:M363" si="192">B357/B375-1</f>
        <v>0.17689897200820992</v>
      </c>
      <c r="C363" s="19">
        <f t="shared" si="192"/>
        <v>0.2574679178517838</v>
      </c>
      <c r="D363" s="19">
        <f t="shared" si="192"/>
        <v>0.21572528632294885</v>
      </c>
      <c r="E363" s="19">
        <f t="shared" si="192"/>
        <v>0.19387937055143611</v>
      </c>
      <c r="F363" s="19">
        <f t="shared" si="192"/>
        <v>0.29087493468470327</v>
      </c>
      <c r="G363" s="19">
        <f t="shared" si="192"/>
        <v>0.32352454803459318</v>
      </c>
      <c r="H363" s="19">
        <f t="shared" si="192"/>
        <v>0.30173896990954407</v>
      </c>
      <c r="I363" s="19">
        <f t="shared" si="192"/>
        <v>0.59326088956926903</v>
      </c>
      <c r="J363" s="19">
        <f t="shared" si="192"/>
        <v>0.21596542958040787</v>
      </c>
      <c r="K363" s="19">
        <f t="shared" si="192"/>
        <v>0.21393687296286124</v>
      </c>
      <c r="L363" s="19">
        <f t="shared" si="192"/>
        <v>0.13497362963394943</v>
      </c>
      <c r="M363" s="19">
        <f t="shared" si="192"/>
        <v>0.12236760859732954</v>
      </c>
      <c r="N363" s="19"/>
      <c r="O363" s="19">
        <f t="shared" si="191"/>
        <v>0.21641174272872399</v>
      </c>
      <c r="P363" s="19">
        <f t="shared" si="191"/>
        <v>0.26525772030225947</v>
      </c>
      <c r="Q363" s="19">
        <f t="shared" si="191"/>
        <v>0.36314521371214137</v>
      </c>
      <c r="R363" s="19">
        <f t="shared" si="191"/>
        <v>0.15961675118315033</v>
      </c>
    </row>
    <row r="364" spans="1:18">
      <c r="A364" s="474" t="s">
        <v>28</v>
      </c>
      <c r="B364" s="19">
        <f t="shared" ref="B364:M364" si="193">B358/B376-1</f>
        <v>0.22409528172240023</v>
      </c>
      <c r="C364" s="19">
        <f t="shared" si="193"/>
        <v>0.18521393670943875</v>
      </c>
      <c r="D364" s="19">
        <f t="shared" si="193"/>
        <v>0.15676939058171735</v>
      </c>
      <c r="E364" s="19">
        <f t="shared" si="193"/>
        <v>0.15330745865676687</v>
      </c>
      <c r="F364" s="19">
        <f t="shared" si="193"/>
        <v>0.1976383422088448</v>
      </c>
      <c r="G364" s="19">
        <f t="shared" si="193"/>
        <v>0.18095455583466546</v>
      </c>
      <c r="H364" s="19">
        <f t="shared" si="193"/>
        <v>0.21925500969618628</v>
      </c>
      <c r="I364" s="19">
        <f t="shared" si="193"/>
        <v>0.42584642620048685</v>
      </c>
      <c r="J364" s="19">
        <f t="shared" si="193"/>
        <v>0.12270665631512268</v>
      </c>
      <c r="K364" s="19">
        <f t="shared" si="193"/>
        <v>0.15773406707815862</v>
      </c>
      <c r="L364" s="19">
        <f t="shared" si="193"/>
        <v>0.1592736057311841</v>
      </c>
      <c r="M364" s="19">
        <f t="shared" si="193"/>
        <v>0.12161588729525574</v>
      </c>
      <c r="N364" s="19"/>
      <c r="O364" s="19">
        <f t="shared" si="191"/>
        <v>0.18808073855729956</v>
      </c>
      <c r="P364" s="19">
        <f t="shared" si="191"/>
        <v>0.17656338363544366</v>
      </c>
      <c r="Q364" s="19">
        <f t="shared" si="191"/>
        <v>0.25135059871901988</v>
      </c>
      <c r="R364" s="19">
        <f t="shared" si="191"/>
        <v>0.14680068216304787</v>
      </c>
    </row>
    <row r="365" spans="1:18">
      <c r="A365" s="474" t="s">
        <v>133</v>
      </c>
      <c r="B365" s="19">
        <f t="shared" ref="B365:M365" si="194">B359/B377-1</f>
        <v>0.19430014234313053</v>
      </c>
      <c r="C365" s="19">
        <f t="shared" si="194"/>
        <v>0.16836808319484597</v>
      </c>
      <c r="D365" s="19">
        <f t="shared" si="194"/>
        <v>0.14044723717341978</v>
      </c>
      <c r="E365" s="19">
        <f t="shared" si="194"/>
        <v>0.12285355802229136</v>
      </c>
      <c r="F365" s="19">
        <f t="shared" si="194"/>
        <v>0.19242445669032726</v>
      </c>
      <c r="G365" s="19">
        <f t="shared" si="194"/>
        <v>0.24066056505203037</v>
      </c>
      <c r="H365" s="19">
        <f t="shared" si="194"/>
        <v>0.21001275112747075</v>
      </c>
      <c r="I365" s="19">
        <f t="shared" si="194"/>
        <v>0.42991337490957116</v>
      </c>
      <c r="J365" s="19">
        <f t="shared" si="194"/>
        <v>0.13929397607858984</v>
      </c>
      <c r="K365" s="19">
        <f t="shared" si="194"/>
        <v>0.15302663144998618</v>
      </c>
      <c r="L365" s="19">
        <f t="shared" si="194"/>
        <v>0.14063146234525181</v>
      </c>
      <c r="M365" s="19">
        <f t="shared" si="194"/>
        <v>0.14582545107615341</v>
      </c>
      <c r="N365" s="510" t="s">
        <v>195</v>
      </c>
      <c r="O365" s="19">
        <f t="shared" si="191"/>
        <v>0.16689473028755764</v>
      </c>
      <c r="P365" s="19">
        <f t="shared" si="191"/>
        <v>0.182075610514977</v>
      </c>
      <c r="Q365" s="19">
        <f t="shared" si="191"/>
        <v>0.25580338053196683</v>
      </c>
      <c r="R365" s="19">
        <f t="shared" si="191"/>
        <v>0.1467357395283071</v>
      </c>
    </row>
    <row r="366" spans="1:18">
      <c r="A366" s="474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488"/>
      <c r="O366" s="19"/>
      <c r="P366" s="19"/>
      <c r="Q366" s="19"/>
      <c r="R366" s="19"/>
    </row>
    <row r="367" spans="1:18">
      <c r="A367" s="504" t="s">
        <v>185</v>
      </c>
      <c r="B367" s="488"/>
      <c r="C367" s="488"/>
      <c r="D367" s="488"/>
      <c r="E367" s="488"/>
      <c r="F367" s="488"/>
      <c r="G367" s="488"/>
      <c r="H367" s="488"/>
      <c r="I367" s="488"/>
      <c r="J367" s="488"/>
      <c r="K367" s="488"/>
      <c r="L367" s="488"/>
      <c r="M367" s="488"/>
      <c r="N367" s="488"/>
      <c r="O367" s="488"/>
      <c r="P367" s="488"/>
      <c r="Q367" s="488"/>
      <c r="R367" s="488"/>
    </row>
    <row r="368" spans="1:18">
      <c r="A368" s="474" t="s">
        <v>22</v>
      </c>
      <c r="B368" s="19">
        <f>B356/M374-1</f>
        <v>0.12095165688165532</v>
      </c>
      <c r="C368" s="19">
        <f t="shared" ref="C368:M368" si="195">C356/B356-1</f>
        <v>-2.9375747058343227E-2</v>
      </c>
      <c r="D368" s="19">
        <f t="shared" si="195"/>
        <v>3.1722718979282805E-2</v>
      </c>
      <c r="E368" s="19">
        <f t="shared" si="195"/>
        <v>3.1535401550640385E-2</v>
      </c>
      <c r="F368" s="19">
        <f t="shared" si="195"/>
        <v>-3.6077240920908915E-2</v>
      </c>
      <c r="G368" s="19">
        <f t="shared" si="195"/>
        <v>-1.4842347361383679E-2</v>
      </c>
      <c r="H368" s="19">
        <f t="shared" si="195"/>
        <v>0.21386623304012309</v>
      </c>
      <c r="I368" s="19">
        <f t="shared" si="195"/>
        <v>5.3875972399244132E-2</v>
      </c>
      <c r="J368" s="19">
        <f t="shared" si="195"/>
        <v>-0.15528357501864143</v>
      </c>
      <c r="K368" s="19">
        <f t="shared" si="195"/>
        <v>0.11277432299267542</v>
      </c>
      <c r="L368" s="19">
        <f t="shared" si="195"/>
        <v>-8.3946476423716443E-2</v>
      </c>
      <c r="M368" s="19">
        <f t="shared" si="195"/>
        <v>-3.1403348011476373E-2</v>
      </c>
      <c r="N368" s="488"/>
      <c r="O368" s="19"/>
      <c r="P368" s="19"/>
      <c r="Q368" s="19"/>
      <c r="R368" s="19"/>
    </row>
    <row r="369" spans="1:18">
      <c r="A369" s="474" t="s">
        <v>25</v>
      </c>
      <c r="B369" s="19">
        <f>B357/M375-1</f>
        <v>5.3157139205159964E-2</v>
      </c>
      <c r="C369" s="19">
        <f t="shared" ref="C369:M369" si="196">C357/B357-1</f>
        <v>4.8379085894817209E-2</v>
      </c>
      <c r="D369" s="19">
        <f t="shared" si="196"/>
        <v>0.1078700273566624</v>
      </c>
      <c r="E369" s="19">
        <f t="shared" si="196"/>
        <v>3.3306646860802758E-2</v>
      </c>
      <c r="F369" s="19">
        <f t="shared" si="196"/>
        <v>-3.1424055162456721E-2</v>
      </c>
      <c r="G369" s="19">
        <f t="shared" si="196"/>
        <v>-4.8660526408784377E-2</v>
      </c>
      <c r="H369" s="19">
        <f t="shared" si="196"/>
        <v>0.19060419002336793</v>
      </c>
      <c r="I369" s="19">
        <f t="shared" si="196"/>
        <v>8.0391178072245273E-2</v>
      </c>
      <c r="J369" s="19">
        <f t="shared" si="196"/>
        <v>-0.16747611046938982</v>
      </c>
      <c r="K369" s="19">
        <f t="shared" si="196"/>
        <v>0.14388931809223493</v>
      </c>
      <c r="L369" s="19">
        <f t="shared" si="196"/>
        <v>-0.14159218361438086</v>
      </c>
      <c r="M369" s="19">
        <f t="shared" si="196"/>
        <v>-8.3539905424825589E-2</v>
      </c>
      <c r="N369" s="488"/>
      <c r="O369" s="19"/>
      <c r="P369" s="19"/>
      <c r="Q369" s="19"/>
      <c r="R369" s="19"/>
    </row>
    <row r="370" spans="1:18">
      <c r="A370" s="474" t="s">
        <v>28</v>
      </c>
      <c r="B370" s="19">
        <f>B358/M376-1</f>
        <v>0.13392175167614351</v>
      </c>
      <c r="C370" s="19">
        <f t="shared" ref="C370:M370" si="197">C358/B358-1</f>
        <v>-2.8702941396602011E-2</v>
      </c>
      <c r="D370" s="19">
        <f t="shared" si="197"/>
        <v>2.9705259102292381E-2</v>
      </c>
      <c r="E370" s="19">
        <f t="shared" si="197"/>
        <v>2.2899049614607536E-2</v>
      </c>
      <c r="F370" s="19">
        <f t="shared" si="197"/>
        <v>-5.3954202940961316E-2</v>
      </c>
      <c r="G370" s="19">
        <f t="shared" si="197"/>
        <v>-2.3199164830078889E-4</v>
      </c>
      <c r="H370" s="19">
        <f t="shared" si="197"/>
        <v>0.1671500947519049</v>
      </c>
      <c r="I370" s="19">
        <f t="shared" si="197"/>
        <v>6.7530401935120388E-2</v>
      </c>
      <c r="J370" s="19">
        <f t="shared" si="197"/>
        <v>-0.14715833255734545</v>
      </c>
      <c r="K370" s="19">
        <f t="shared" si="197"/>
        <v>0.13321080215460768</v>
      </c>
      <c r="L370" s="19">
        <f t="shared" si="197"/>
        <v>-0.10608586174890233</v>
      </c>
      <c r="M370" s="19">
        <f t="shared" si="197"/>
        <v>-5.0335932166852393E-2</v>
      </c>
      <c r="N370" s="488"/>
      <c r="O370" s="19"/>
      <c r="P370" s="19"/>
      <c r="Q370" s="19"/>
      <c r="R370" s="19"/>
    </row>
    <row r="371" spans="1:18">
      <c r="A371" s="469" t="s">
        <v>133</v>
      </c>
      <c r="B371" s="19">
        <f>B359/M377-1</f>
        <v>0.1054714235656653</v>
      </c>
      <c r="C371" s="19">
        <f t="shared" ref="C371:M371" si="198">C359/B359-1</f>
        <v>-8.638225431219837E-3</v>
      </c>
      <c r="D371" s="19">
        <f t="shared" si="198"/>
        <v>5.249412327184344E-2</v>
      </c>
      <c r="E371" s="19">
        <f t="shared" si="198"/>
        <v>2.987237167608936E-2</v>
      </c>
      <c r="F371" s="19">
        <f t="shared" si="198"/>
        <v>-3.9194028451784435E-2</v>
      </c>
      <c r="G371" s="19">
        <f t="shared" si="198"/>
        <v>-2.1296415847739114E-2</v>
      </c>
      <c r="H371" s="19">
        <f t="shared" si="198"/>
        <v>0.19533024270307653</v>
      </c>
      <c r="I371" s="19">
        <f t="shared" si="198"/>
        <v>6.4887658591340269E-2</v>
      </c>
      <c r="J371" s="19">
        <f t="shared" si="198"/>
        <v>-0.15683948774759882</v>
      </c>
      <c r="K371" s="19">
        <f t="shared" si="198"/>
        <v>0.12687149220408855</v>
      </c>
      <c r="L371" s="19">
        <f t="shared" si="198"/>
        <v>-0.1064129490551482</v>
      </c>
      <c r="M371" s="19">
        <f t="shared" si="198"/>
        <v>-5.0848374121028828E-2</v>
      </c>
      <c r="O371" s="151"/>
      <c r="P371" s="151"/>
      <c r="Q371" s="151"/>
      <c r="R371" s="151"/>
    </row>
    <row r="372" spans="1:18">
      <c r="G372" s="2"/>
      <c r="I372" s="2"/>
      <c r="J372" s="2"/>
      <c r="O372" s="151"/>
      <c r="P372" s="151"/>
      <c r="Q372" s="151"/>
      <c r="R372" s="151"/>
    </row>
    <row r="373" spans="1:18" s="445" customFormat="1">
      <c r="A373" s="500">
        <v>2008</v>
      </c>
      <c r="B373" s="472" t="s">
        <v>51</v>
      </c>
      <c r="C373" s="472" t="s">
        <v>52</v>
      </c>
      <c r="D373" s="472" t="s">
        <v>53</v>
      </c>
      <c r="E373" s="472" t="s">
        <v>54</v>
      </c>
      <c r="F373" s="472" t="s">
        <v>55</v>
      </c>
      <c r="G373" s="472" t="s">
        <v>77</v>
      </c>
      <c r="H373" s="472" t="s">
        <v>78</v>
      </c>
      <c r="I373" s="472" t="s">
        <v>79</v>
      </c>
      <c r="J373" s="472" t="s">
        <v>80</v>
      </c>
      <c r="K373" s="472" t="s">
        <v>81</v>
      </c>
      <c r="L373" s="472" t="s">
        <v>82</v>
      </c>
      <c r="M373" s="472" t="s">
        <v>44</v>
      </c>
      <c r="N373" s="473" t="s">
        <v>133</v>
      </c>
      <c r="O373" s="473" t="s">
        <v>129</v>
      </c>
      <c r="P373" s="473" t="s">
        <v>130</v>
      </c>
      <c r="Q373" s="473" t="s">
        <v>131</v>
      </c>
      <c r="R373" s="473" t="s">
        <v>132</v>
      </c>
    </row>
    <row r="374" spans="1:18">
      <c r="A374" s="474" t="s">
        <v>22</v>
      </c>
      <c r="B374" s="15">
        <f>4468*0.9</f>
        <v>4021.2000000000003</v>
      </c>
      <c r="C374" s="15">
        <v>4170.3900000000003</v>
      </c>
      <c r="D374" s="15">
        <v>4396.63</v>
      </c>
      <c r="E374" s="15">
        <v>4629.34</v>
      </c>
      <c r="F374" s="15">
        <v>4197.6000000000004</v>
      </c>
      <c r="G374" s="15">
        <v>3821.14</v>
      </c>
      <c r="H374" s="15">
        <v>4925.21</v>
      </c>
      <c r="I374" s="15">
        <v>4459.05</v>
      </c>
      <c r="J374" s="15">
        <v>4584.59</v>
      </c>
      <c r="K374" s="15">
        <v>5055.8900000000003</v>
      </c>
      <c r="L374" s="15">
        <v>4551.08</v>
      </c>
      <c r="M374" s="15">
        <v>4261.62</v>
      </c>
      <c r="N374" s="15">
        <f>SUM(B374:M374)</f>
        <v>53073.740000000013</v>
      </c>
      <c r="O374" s="15">
        <f>SUM(B374:D374)</f>
        <v>12588.220000000001</v>
      </c>
      <c r="P374" s="15">
        <f>SUM(E374:G374)</f>
        <v>12648.08</v>
      </c>
      <c r="Q374" s="15">
        <f>SUM(H374:J374)</f>
        <v>13968.85</v>
      </c>
      <c r="R374" s="15">
        <f>K374+L374+M374</f>
        <v>13868.59</v>
      </c>
    </row>
    <row r="375" spans="1:18">
      <c r="A375" s="474" t="s">
        <v>25</v>
      </c>
      <c r="B375" s="15">
        <v>2275.31</v>
      </c>
      <c r="C375" s="15">
        <v>2232.5500000000002</v>
      </c>
      <c r="D375" s="15">
        <v>2558.3000000000002</v>
      </c>
      <c r="E375" s="15">
        <v>2691.88</v>
      </c>
      <c r="F375" s="15">
        <v>2411.38</v>
      </c>
      <c r="G375" s="15">
        <v>2237.4499999999998</v>
      </c>
      <c r="H375" s="15">
        <v>2708.5</v>
      </c>
      <c r="I375" s="15">
        <v>2390.8200000000002</v>
      </c>
      <c r="J375" s="15">
        <v>2608.0100000000002</v>
      </c>
      <c r="K375" s="15">
        <v>2988.26</v>
      </c>
      <c r="L375" s="15">
        <v>2743.61</v>
      </c>
      <c r="M375" s="15">
        <v>2542.65</v>
      </c>
      <c r="N375" s="15">
        <f>SUM(B375:M375)</f>
        <v>30388.720000000008</v>
      </c>
      <c r="O375" s="15">
        <f>SUM(B375:D375)</f>
        <v>7066.1600000000008</v>
      </c>
      <c r="P375" s="15">
        <f>SUM(E375:G375)</f>
        <v>7340.71</v>
      </c>
      <c r="Q375" s="15">
        <f>SUM(H375:J375)</f>
        <v>7707.33</v>
      </c>
      <c r="R375" s="15">
        <f>K375+L375+M375</f>
        <v>8274.52</v>
      </c>
    </row>
    <row r="376" spans="1:18">
      <c r="A376" s="474" t="s">
        <v>28</v>
      </c>
      <c r="B376" s="15">
        <v>2183</v>
      </c>
      <c r="C376" s="15">
        <v>2189.9</v>
      </c>
      <c r="D376" s="15">
        <v>2310.4</v>
      </c>
      <c r="E376" s="15">
        <v>2370.4</v>
      </c>
      <c r="F376" s="15">
        <v>2159.5</v>
      </c>
      <c r="G376" s="15">
        <v>2189.5</v>
      </c>
      <c r="H376" s="15">
        <v>2475.1999999999998</v>
      </c>
      <c r="I376" s="15">
        <v>2259.5</v>
      </c>
      <c r="J376" s="15">
        <v>2447.3000000000002</v>
      </c>
      <c r="K376" s="15">
        <v>2689.4</v>
      </c>
      <c r="L376" s="15">
        <v>2400.9</v>
      </c>
      <c r="M376" s="15">
        <v>2356.6</v>
      </c>
      <c r="N376" s="15">
        <f>SUM(C376:M376)</f>
        <v>25848.600000000002</v>
      </c>
      <c r="O376" s="15">
        <f>SUM(B376:D376)</f>
        <v>6683.2999999999993</v>
      </c>
      <c r="P376" s="15">
        <f>SUM(E376:G376)</f>
        <v>6719.4</v>
      </c>
      <c r="Q376" s="15">
        <f>SUM(H376:J376)</f>
        <v>7182</v>
      </c>
      <c r="R376" s="15">
        <f>K376+L376+M376</f>
        <v>7446.9</v>
      </c>
    </row>
    <row r="377" spans="1:18">
      <c r="A377" s="474" t="s">
        <v>133</v>
      </c>
      <c r="B377" s="15">
        <f t="shared" ref="B377:M377" si="199">B374+B375+B376</f>
        <v>8479.51</v>
      </c>
      <c r="C377" s="15">
        <f t="shared" si="199"/>
        <v>8592.84</v>
      </c>
      <c r="D377" s="15">
        <f t="shared" si="199"/>
        <v>9265.33</v>
      </c>
      <c r="E377" s="15">
        <f t="shared" si="199"/>
        <v>9691.6200000000008</v>
      </c>
      <c r="F377" s="15">
        <f t="shared" si="199"/>
        <v>8768.48</v>
      </c>
      <c r="G377" s="15">
        <f t="shared" si="199"/>
        <v>8248.09</v>
      </c>
      <c r="H377" s="15">
        <f t="shared" si="199"/>
        <v>10108.91</v>
      </c>
      <c r="I377" s="15">
        <f t="shared" si="199"/>
        <v>9109.3700000000008</v>
      </c>
      <c r="J377" s="15">
        <f t="shared" si="199"/>
        <v>9639.9000000000015</v>
      </c>
      <c r="K377" s="15">
        <f t="shared" si="199"/>
        <v>10733.550000000001</v>
      </c>
      <c r="L377" s="15">
        <f t="shared" si="199"/>
        <v>9695.59</v>
      </c>
      <c r="M377" s="15">
        <f t="shared" si="199"/>
        <v>9160.8700000000008</v>
      </c>
      <c r="N377" s="15">
        <f>SUM(C377:M377)</f>
        <v>103014.55</v>
      </c>
      <c r="O377" s="15">
        <f>SUM(B377:D377)</f>
        <v>26337.68</v>
      </c>
      <c r="P377" s="15">
        <f>SUM(E377:G377)</f>
        <v>26708.19</v>
      </c>
      <c r="Q377" s="15">
        <f>SUM(H377:J377)</f>
        <v>28858.18</v>
      </c>
      <c r="R377" s="15">
        <f>K377+L377+M377</f>
        <v>29590.010000000002</v>
      </c>
    </row>
    <row r="378" spans="1:18">
      <c r="A378" s="474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15"/>
      <c r="N378" s="15"/>
      <c r="O378" s="483"/>
      <c r="P378" s="483"/>
      <c r="Q378" s="483"/>
      <c r="R378" s="483"/>
    </row>
    <row r="379" spans="1:18">
      <c r="A379" s="504" t="s">
        <v>184</v>
      </c>
      <c r="B379" s="488"/>
      <c r="C379" s="488"/>
      <c r="D379" s="488"/>
      <c r="E379" s="488"/>
      <c r="F379" s="488"/>
      <c r="G379" s="488"/>
      <c r="H379" s="488"/>
      <c r="I379" s="488"/>
      <c r="J379" s="19"/>
      <c r="K379" s="488"/>
      <c r="L379" s="488"/>
      <c r="M379" s="488"/>
      <c r="N379" s="488"/>
      <c r="O379" s="19"/>
      <c r="P379" s="19"/>
      <c r="Q379" s="19"/>
      <c r="R379" s="19"/>
    </row>
    <row r="380" spans="1:18">
      <c r="A380" s="474" t="s">
        <v>22</v>
      </c>
      <c r="B380" s="19">
        <f>B374/B392-1</f>
        <v>0.19465240641711246</v>
      </c>
      <c r="C380" s="19">
        <v>0.10199999999999999</v>
      </c>
      <c r="D380" s="19">
        <v>6.0999999999999999E-2</v>
      </c>
      <c r="E380" s="19">
        <v>5.6000000000000001E-2</v>
      </c>
      <c r="F380" s="19">
        <v>-1E-3</v>
      </c>
      <c r="G380" s="19">
        <v>-2.1999999999999999E-2</v>
      </c>
      <c r="H380" s="19">
        <v>-7.0000000000000001E-3</v>
      </c>
      <c r="I380" s="19">
        <v>-0.155</v>
      </c>
      <c r="J380" s="19">
        <v>6.0000000000000001E-3</v>
      </c>
      <c r="K380" s="19">
        <v>0.1048</v>
      </c>
      <c r="L380" s="19">
        <v>7.0999999999999994E-2</v>
      </c>
      <c r="M380" s="19">
        <f>M374/M392-1</f>
        <v>8.3470241064387052E-2</v>
      </c>
      <c r="N380" s="19"/>
      <c r="O380" s="19">
        <f t="shared" ref="O380:R383" si="200">O374/O392-1</f>
        <v>0.11457012235609199</v>
      </c>
      <c r="P380" s="19">
        <f t="shared" si="200"/>
        <v>1.2434210126430756E-2</v>
      </c>
      <c r="Q380" s="19">
        <f t="shared" si="200"/>
        <v>-5.5786092087673933E-2</v>
      </c>
      <c r="R380" s="19">
        <f t="shared" si="200"/>
        <v>8.6967428950497805E-2</v>
      </c>
    </row>
    <row r="381" spans="1:18">
      <c r="A381" s="474" t="s">
        <v>25</v>
      </c>
      <c r="B381" s="19">
        <v>0.115</v>
      </c>
      <c r="C381" s="19">
        <v>3.39E-2</v>
      </c>
      <c r="D381" s="19">
        <v>2.6599999999999999E-2</v>
      </c>
      <c r="E381" s="19">
        <v>8.0000000000000002E-3</v>
      </c>
      <c r="F381" s="19">
        <v>-8.3199999999999996E-2</v>
      </c>
      <c r="G381" s="19">
        <v>-9.7299999999999998E-2</v>
      </c>
      <c r="H381" s="19">
        <v>-7.7299999999999994E-2</v>
      </c>
      <c r="I381" s="19">
        <v>-0.21529999999999999</v>
      </c>
      <c r="J381" s="19">
        <v>-5.3900000000000003E-2</v>
      </c>
      <c r="K381" s="19">
        <v>1.6400000000000001E-2</v>
      </c>
      <c r="L381" s="19">
        <v>4.7100000000000003E-2</v>
      </c>
      <c r="M381" s="19">
        <f>M375/M393-1</f>
        <v>-7.1380597546398139E-2</v>
      </c>
      <c r="N381" s="488"/>
      <c r="O381" s="19">
        <f t="shared" si="200"/>
        <v>5.5911956022983045E-2</v>
      </c>
      <c r="P381" s="19">
        <f t="shared" si="200"/>
        <v>-5.6385095521803819E-2</v>
      </c>
      <c r="Q381" s="19">
        <f t="shared" si="200"/>
        <v>-0.11803257351449137</v>
      </c>
      <c r="R381" s="19">
        <f t="shared" si="200"/>
        <v>-2.8703255080957391E-3</v>
      </c>
    </row>
    <row r="382" spans="1:18">
      <c r="A382" s="474" t="s">
        <v>28</v>
      </c>
      <c r="B382" s="19">
        <f t="shared" ref="B382:L382" si="201">B376/B394-1</f>
        <v>0.11213001171735693</v>
      </c>
      <c r="C382" s="19">
        <f t="shared" si="201"/>
        <v>5.8485185364203218E-2</v>
      </c>
      <c r="D382" s="19">
        <f t="shared" si="201"/>
        <v>4.3284421936462536E-5</v>
      </c>
      <c r="E382" s="19">
        <f t="shared" si="201"/>
        <v>-1.2219272742595155E-3</v>
      </c>
      <c r="F382" s="19">
        <f t="shared" si="201"/>
        <v>-0.10196698132823212</v>
      </c>
      <c r="G382" s="19">
        <f t="shared" si="201"/>
        <v>-5.2492643240436232E-2</v>
      </c>
      <c r="H382" s="19">
        <f t="shared" si="201"/>
        <v>-3.4896869029516164E-2</v>
      </c>
      <c r="I382" s="19">
        <f t="shared" si="201"/>
        <v>-0.14694000830596132</v>
      </c>
      <c r="J382" s="19">
        <f t="shared" si="201"/>
        <v>-6.8582095609120985E-3</v>
      </c>
      <c r="K382" s="19">
        <f t="shared" si="201"/>
        <v>8.3648964461278119E-2</v>
      </c>
      <c r="L382" s="19">
        <f t="shared" si="201"/>
        <v>8.353642025453567E-2</v>
      </c>
      <c r="M382" s="19">
        <f>M376/M394-1</f>
        <v>0.11777261300573905</v>
      </c>
      <c r="N382" s="19"/>
      <c r="O382" s="19">
        <f t="shared" si="200"/>
        <v>5.3799214771132364E-2</v>
      </c>
      <c r="P382" s="19">
        <f t="shared" si="200"/>
        <v>-5.2110371289922242E-2</v>
      </c>
      <c r="Q382" s="19">
        <f t="shared" si="200"/>
        <v>-6.4551422319474749E-2</v>
      </c>
      <c r="R382" s="19">
        <f t="shared" si="200"/>
        <v>9.4182988289572167E-2</v>
      </c>
    </row>
    <row r="383" spans="1:18">
      <c r="A383" s="474" t="s">
        <v>133</v>
      </c>
      <c r="B383" s="19">
        <f t="shared" ref="B383:G383" si="202">B377/B395-1</f>
        <v>0.15061641771327805</v>
      </c>
      <c r="C383" s="19">
        <f t="shared" si="202"/>
        <v>7.2411790534061327E-2</v>
      </c>
      <c r="D383" s="19">
        <f t="shared" si="202"/>
        <v>3.5675911957579798E-2</v>
      </c>
      <c r="E383" s="19">
        <f t="shared" si="202"/>
        <v>2.7998401942342488E-2</v>
      </c>
      <c r="F383" s="19">
        <f t="shared" si="202"/>
        <v>-5.0692866352911259E-2</v>
      </c>
      <c r="G383" s="19">
        <f t="shared" si="202"/>
        <v>-5.156384703160366E-2</v>
      </c>
      <c r="H383" s="19">
        <f>(H377-H395)/H395</f>
        <v>-3.356837861726511E-2</v>
      </c>
      <c r="I383" s="19">
        <f>I377/I395-1</f>
        <v>-0.16979822948873247</v>
      </c>
      <c r="J383" s="19">
        <f>J377/J395-1</f>
        <v>-1.412724630651685E-2</v>
      </c>
      <c r="K383" s="19">
        <f>K377/K395-1</f>
        <v>7.3554934366105051E-2</v>
      </c>
      <c r="L383" s="19">
        <f>L377/L395-1</f>
        <v>6.7164764247181985E-2</v>
      </c>
      <c r="M383" s="19">
        <f>M377/M395-1</f>
        <v>4.3414566529186516E-2</v>
      </c>
      <c r="N383" s="510" t="s">
        <v>195</v>
      </c>
      <c r="O383" s="483">
        <f t="shared" si="200"/>
        <v>8.2592781458959319E-2</v>
      </c>
      <c r="P383" s="483">
        <f t="shared" si="200"/>
        <v>-2.3855288437873656E-2</v>
      </c>
      <c r="Q383" s="483">
        <f t="shared" si="200"/>
        <v>-7.5371000177558933E-2</v>
      </c>
      <c r="R383" s="483">
        <f t="shared" si="200"/>
        <v>6.1974053538210505E-2</v>
      </c>
    </row>
    <row r="384" spans="1:18">
      <c r="A384" s="474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488"/>
      <c r="O384" s="19"/>
      <c r="P384" s="19"/>
      <c r="Q384" s="19"/>
      <c r="R384" s="19"/>
    </row>
    <row r="385" spans="1:18">
      <c r="A385" s="504" t="s">
        <v>185</v>
      </c>
      <c r="B385" s="488"/>
      <c r="C385" s="488"/>
      <c r="D385" s="488"/>
      <c r="E385" s="488"/>
      <c r="F385" s="488"/>
      <c r="G385" s="488"/>
      <c r="H385" s="488"/>
      <c r="I385" s="488"/>
      <c r="J385" s="488"/>
      <c r="K385" s="488"/>
      <c r="L385" s="488"/>
      <c r="M385" s="488"/>
      <c r="N385" s="488"/>
      <c r="O385" s="488"/>
      <c r="P385" s="488"/>
      <c r="Q385" s="488"/>
      <c r="R385" s="488"/>
    </row>
    <row r="386" spans="1:18">
      <c r="A386" s="474" t="s">
        <v>22</v>
      </c>
      <c r="B386" s="19">
        <f>B374/M392-1</f>
        <v>2.2346087489760524E-2</v>
      </c>
      <c r="C386" s="19">
        <f t="shared" ref="C386:M386" si="203">C374/B374-1</f>
        <v>3.710086541330937E-2</v>
      </c>
      <c r="D386" s="19">
        <f t="shared" si="203"/>
        <v>5.4249122983701659E-2</v>
      </c>
      <c r="E386" s="19">
        <f t="shared" si="203"/>
        <v>5.2929175300173048E-2</v>
      </c>
      <c r="F386" s="19">
        <f t="shared" si="203"/>
        <v>-9.3261674450353604E-2</v>
      </c>
      <c r="G386" s="19">
        <f t="shared" si="203"/>
        <v>-8.9684581665713803E-2</v>
      </c>
      <c r="H386" s="19">
        <f t="shared" si="203"/>
        <v>0.28893733283784417</v>
      </c>
      <c r="I386" s="19">
        <f t="shared" si="203"/>
        <v>-9.464774090850947E-2</v>
      </c>
      <c r="J386" s="19">
        <f t="shared" si="203"/>
        <v>2.8153978986555472E-2</v>
      </c>
      <c r="K386" s="19">
        <f t="shared" si="203"/>
        <v>0.10280090477011039</v>
      </c>
      <c r="L386" s="19">
        <f t="shared" si="203"/>
        <v>-9.9845922280745847E-2</v>
      </c>
      <c r="M386" s="19">
        <f t="shared" si="203"/>
        <v>-6.3602485563866162E-2</v>
      </c>
      <c r="N386" s="19"/>
      <c r="O386" s="19"/>
      <c r="P386" s="19"/>
      <c r="Q386" s="19"/>
      <c r="R386" s="19"/>
    </row>
    <row r="387" spans="1:18">
      <c r="A387" s="474" t="s">
        <v>25</v>
      </c>
      <c r="B387" s="19">
        <f>B375/M393-1</f>
        <v>-0.16901775211031611</v>
      </c>
      <c r="C387" s="19">
        <f t="shared" ref="C387:M387" si="204">C375/B375-1</f>
        <v>-1.8793043585269564E-2</v>
      </c>
      <c r="D387" s="19">
        <f t="shared" si="204"/>
        <v>0.14590938612797033</v>
      </c>
      <c r="E387" s="19">
        <f t="shared" si="204"/>
        <v>5.2214361099167439E-2</v>
      </c>
      <c r="F387" s="19">
        <f t="shared" si="204"/>
        <v>-0.10420226756021811</v>
      </c>
      <c r="G387" s="19">
        <f t="shared" si="204"/>
        <v>-7.2128822499979428E-2</v>
      </c>
      <c r="H387" s="19">
        <f t="shared" si="204"/>
        <v>0.21052984424232957</v>
      </c>
      <c r="I387" s="19">
        <f t="shared" si="204"/>
        <v>-0.11729001292228169</v>
      </c>
      <c r="J387" s="19">
        <f t="shared" si="204"/>
        <v>9.0843308990220972E-2</v>
      </c>
      <c r="K387" s="19">
        <f t="shared" si="204"/>
        <v>0.14580082131586924</v>
      </c>
      <c r="L387" s="19">
        <f t="shared" si="204"/>
        <v>-8.1870386110980964E-2</v>
      </c>
      <c r="M387" s="19">
        <f t="shared" si="204"/>
        <v>-7.3246562011364591E-2</v>
      </c>
      <c r="N387" s="488"/>
      <c r="O387" s="19"/>
      <c r="P387" s="19"/>
      <c r="Q387" s="19"/>
      <c r="R387" s="19"/>
    </row>
    <row r="388" spans="1:18">
      <c r="A388" s="474" t="s">
        <v>28</v>
      </c>
      <c r="B388" s="19">
        <f>D376/M394-1</f>
        <v>9.5859223070720478E-2</v>
      </c>
      <c r="C388" s="19">
        <f t="shared" ref="C388:M388" si="205">C376/B376-1</f>
        <v>3.1607879065507216E-3</v>
      </c>
      <c r="D388" s="19">
        <f t="shared" si="205"/>
        <v>5.5025343622996381E-2</v>
      </c>
      <c r="E388" s="19">
        <f t="shared" si="205"/>
        <v>2.5969529085872578E-2</v>
      </c>
      <c r="F388" s="19">
        <f t="shared" si="205"/>
        <v>-8.8972325345933245E-2</v>
      </c>
      <c r="G388" s="19">
        <f t="shared" si="205"/>
        <v>1.3892104653855153E-2</v>
      </c>
      <c r="H388" s="19">
        <f t="shared" si="205"/>
        <v>0.13048641242292747</v>
      </c>
      <c r="I388" s="19">
        <f t="shared" si="205"/>
        <v>-8.7144473173884851E-2</v>
      </c>
      <c r="J388" s="19">
        <f t="shared" si="205"/>
        <v>8.311573356937374E-2</v>
      </c>
      <c r="K388" s="19">
        <f t="shared" si="205"/>
        <v>9.8925346300003936E-2</v>
      </c>
      <c r="L388" s="19">
        <f t="shared" si="205"/>
        <v>-0.10727299769465304</v>
      </c>
      <c r="M388" s="19">
        <f t="shared" si="205"/>
        <v>-1.8451414053063497E-2</v>
      </c>
      <c r="N388" s="488"/>
      <c r="O388" s="19"/>
      <c r="P388" s="19"/>
      <c r="Q388" s="19"/>
      <c r="R388" s="19"/>
    </row>
    <row r="389" spans="1:18">
      <c r="A389" s="469" t="s">
        <v>133</v>
      </c>
      <c r="B389" s="3">
        <f>B377/M395-1</f>
        <v>-3.4191703295658349E-2</v>
      </c>
      <c r="C389" s="19">
        <f t="shared" ref="C389:M389" si="206">C377/B377-1</f>
        <v>1.3365159071691668E-2</v>
      </c>
      <c r="D389" s="3">
        <f t="shared" si="206"/>
        <v>7.8261669017461122E-2</v>
      </c>
      <c r="E389" s="3">
        <f t="shared" si="206"/>
        <v>4.6009154557905774E-2</v>
      </c>
      <c r="F389" s="3">
        <f t="shared" si="206"/>
        <v>-9.5251361485489627E-2</v>
      </c>
      <c r="G389" s="3">
        <f t="shared" si="206"/>
        <v>-5.9347800302903098E-2</v>
      </c>
      <c r="H389" s="3">
        <f t="shared" si="206"/>
        <v>0.22560617064071797</v>
      </c>
      <c r="I389" s="3">
        <f t="shared" si="206"/>
        <v>-9.8877129186034751E-2</v>
      </c>
      <c r="J389" s="19">
        <f t="shared" si="206"/>
        <v>5.8240031967084605E-2</v>
      </c>
      <c r="K389" s="19">
        <f t="shared" si="206"/>
        <v>0.11345034699530077</v>
      </c>
      <c r="L389" s="19">
        <f t="shared" si="206"/>
        <v>-9.6702395759091897E-2</v>
      </c>
      <c r="M389" s="19">
        <f t="shared" si="206"/>
        <v>-5.5150846931439901E-2</v>
      </c>
      <c r="O389" s="19"/>
      <c r="P389" s="19"/>
      <c r="Q389" s="19"/>
      <c r="R389" s="19"/>
    </row>
    <row r="390" spans="1:18">
      <c r="G390" s="2"/>
      <c r="I390" s="2"/>
      <c r="J390" s="2"/>
      <c r="O390" s="151"/>
      <c r="P390" s="151"/>
      <c r="Q390" s="151"/>
      <c r="R390" s="151"/>
    </row>
    <row r="391" spans="1:18" s="445" customFormat="1">
      <c r="A391" s="500">
        <v>2007</v>
      </c>
      <c r="B391" s="472" t="s">
        <v>51</v>
      </c>
      <c r="C391" s="472" t="s">
        <v>52</v>
      </c>
      <c r="D391" s="472" t="s">
        <v>53</v>
      </c>
      <c r="E391" s="472" t="s">
        <v>54</v>
      </c>
      <c r="F391" s="472" t="s">
        <v>55</v>
      </c>
      <c r="G391" s="472" t="s">
        <v>77</v>
      </c>
      <c r="H391" s="472" t="s">
        <v>78</v>
      </c>
      <c r="I391" s="472" t="s">
        <v>79</v>
      </c>
      <c r="J391" s="472" t="s">
        <v>80</v>
      </c>
      <c r="K391" s="472" t="s">
        <v>81</v>
      </c>
      <c r="L391" s="472" t="s">
        <v>82</v>
      </c>
      <c r="M391" s="472" t="s">
        <v>44</v>
      </c>
      <c r="N391" s="472" t="s">
        <v>133</v>
      </c>
      <c r="O391" s="472"/>
      <c r="P391" s="472"/>
      <c r="Q391" s="472"/>
      <c r="R391" s="472"/>
    </row>
    <row r="392" spans="1:18">
      <c r="A392" s="474" t="s">
        <v>22</v>
      </c>
      <c r="B392" s="15">
        <v>3366</v>
      </c>
      <c r="C392" s="15">
        <f t="shared" ref="C392:L392" si="207">C374/(1+C380)</f>
        <v>3784.3829401088929</v>
      </c>
      <c r="D392" s="15">
        <f t="shared" si="207"/>
        <v>4143.8548539114045</v>
      </c>
      <c r="E392" s="15">
        <f t="shared" si="207"/>
        <v>4383.844696969697</v>
      </c>
      <c r="F392" s="15">
        <f t="shared" si="207"/>
        <v>4201.801801801802</v>
      </c>
      <c r="G392" s="15">
        <f t="shared" si="207"/>
        <v>3907.0961145194274</v>
      </c>
      <c r="H392" s="15">
        <f t="shared" si="207"/>
        <v>4959.9295065458209</v>
      </c>
      <c r="I392" s="15">
        <f t="shared" si="207"/>
        <v>5276.9822485207105</v>
      </c>
      <c r="J392" s="15">
        <f t="shared" si="207"/>
        <v>4557.2465208747517</v>
      </c>
      <c r="K392" s="15">
        <f t="shared" si="207"/>
        <v>4576.2943519188993</v>
      </c>
      <c r="L392" s="15">
        <f t="shared" si="207"/>
        <v>4249.3744164332402</v>
      </c>
      <c r="M392" s="15">
        <f>'[1]3 Airlines Total Traffic'!M130*0.9</f>
        <v>3933.306</v>
      </c>
      <c r="N392" s="15"/>
      <c r="O392" s="15">
        <f>SUM((B392:D392))</f>
        <v>11294.237794020297</v>
      </c>
      <c r="P392" s="15">
        <f>SUM((E392:G392))</f>
        <v>12492.742613290926</v>
      </c>
      <c r="Q392" s="15">
        <f>SUM((H392:J392))</f>
        <v>14794.158275941285</v>
      </c>
      <c r="R392" s="15">
        <f>SUM((K392:M392))</f>
        <v>12758.97476835214</v>
      </c>
    </row>
    <row r="393" spans="1:18">
      <c r="A393" s="474" t="s">
        <v>25</v>
      </c>
      <c r="B393" s="15">
        <f>B375/(1+B381)</f>
        <v>2040.6367713004483</v>
      </c>
      <c r="C393" s="15">
        <f t="shared" ref="C393:L393" si="208">C375/(1+C381)</f>
        <v>2159.3480994293454</v>
      </c>
      <c r="D393" s="15">
        <f t="shared" si="208"/>
        <v>2492.0124683421004</v>
      </c>
      <c r="E393" s="15">
        <f t="shared" si="208"/>
        <v>2670.5158730158732</v>
      </c>
      <c r="F393" s="15">
        <f t="shared" si="208"/>
        <v>2630.2137870855149</v>
      </c>
      <c r="G393" s="15">
        <f t="shared" si="208"/>
        <v>2478.6196964661567</v>
      </c>
      <c r="H393" s="15">
        <f t="shared" si="208"/>
        <v>2935.4069578411186</v>
      </c>
      <c r="I393" s="15">
        <f t="shared" si="208"/>
        <v>3046.7949534854088</v>
      </c>
      <c r="J393" s="15">
        <f t="shared" si="208"/>
        <v>2756.5902124511153</v>
      </c>
      <c r="K393" s="15">
        <f t="shared" si="208"/>
        <v>2940.0432900432902</v>
      </c>
      <c r="L393" s="15">
        <f t="shared" si="208"/>
        <v>2620.1986438735557</v>
      </c>
      <c r="M393" s="15">
        <f>'[1]3 Airlines Total Traffic'!M131*0.9</f>
        <v>2738.0970000000002</v>
      </c>
      <c r="N393" s="15"/>
      <c r="O393" s="15">
        <f>SUM((B393:D393))</f>
        <v>6691.9973390718933</v>
      </c>
      <c r="P393" s="15">
        <f>SUM((E393:G393))</f>
        <v>7779.3493565675444</v>
      </c>
      <c r="Q393" s="15">
        <f>SUM((H393:J393))</f>
        <v>8738.7921237776427</v>
      </c>
      <c r="R393" s="15">
        <f>SUM((K393:M393))</f>
        <v>8298.3389339168461</v>
      </c>
    </row>
    <row r="394" spans="1:18">
      <c r="A394" s="474" t="s">
        <v>28</v>
      </c>
      <c r="B394" s="15">
        <v>1962.9</v>
      </c>
      <c r="C394" s="15">
        <v>2068.9</v>
      </c>
      <c r="D394" s="15">
        <v>2310.3000000000002</v>
      </c>
      <c r="E394" s="15">
        <v>2373.3000000000002</v>
      </c>
      <c r="F394" s="15">
        <v>2404.6999999999998</v>
      </c>
      <c r="G394" s="15">
        <v>2310.8000000000002</v>
      </c>
      <c r="H394" s="15">
        <v>2564.6999999999998</v>
      </c>
      <c r="I394" s="15">
        <v>2648.7</v>
      </c>
      <c r="J394" s="15">
        <v>2464.1999999999998</v>
      </c>
      <c r="K394" s="15">
        <v>2481.8000000000002</v>
      </c>
      <c r="L394" s="15">
        <v>2215.8000000000002</v>
      </c>
      <c r="M394" s="15">
        <v>2108.3000000000002</v>
      </c>
      <c r="N394" s="15"/>
      <c r="O394" s="15">
        <f>SUM((B394:D394))</f>
        <v>6342.1</v>
      </c>
      <c r="P394" s="15">
        <f>SUM((E394:G394))</f>
        <v>7088.8</v>
      </c>
      <c r="Q394" s="15">
        <f>SUM((H394:J394))</f>
        <v>7677.5999999999995</v>
      </c>
      <c r="R394" s="15">
        <f>SUM((K394:M394))</f>
        <v>6805.9000000000005</v>
      </c>
    </row>
    <row r="395" spans="1:18">
      <c r="A395" s="474" t="s">
        <v>133</v>
      </c>
      <c r="B395" s="15">
        <f t="shared" ref="B395:M395" si="209">B392+B393+B394</f>
        <v>7369.5367713004489</v>
      </c>
      <c r="C395" s="15">
        <f t="shared" si="209"/>
        <v>8012.6310395382388</v>
      </c>
      <c r="D395" s="15">
        <f t="shared" si="209"/>
        <v>8946.1673222535064</v>
      </c>
      <c r="E395" s="15">
        <f t="shared" si="209"/>
        <v>9427.6605699855718</v>
      </c>
      <c r="F395" s="15">
        <f t="shared" si="209"/>
        <v>9236.7155888873167</v>
      </c>
      <c r="G395" s="15">
        <f t="shared" si="209"/>
        <v>8696.5158109855838</v>
      </c>
      <c r="H395" s="15">
        <f t="shared" si="209"/>
        <v>10460.03646438694</v>
      </c>
      <c r="I395" s="15">
        <f t="shared" si="209"/>
        <v>10972.477202006121</v>
      </c>
      <c r="J395" s="15">
        <f t="shared" si="209"/>
        <v>9778.0367333258655</v>
      </c>
      <c r="K395" s="15">
        <f t="shared" si="209"/>
        <v>9998.1376419621884</v>
      </c>
      <c r="L395" s="15">
        <f t="shared" si="209"/>
        <v>9085.3730603067961</v>
      </c>
      <c r="M395" s="15">
        <f t="shared" si="209"/>
        <v>8779.7030000000013</v>
      </c>
      <c r="N395" s="15"/>
      <c r="O395" s="15">
        <f>SUM((B395:D395))</f>
        <v>24328.335133092194</v>
      </c>
      <c r="P395" s="15">
        <f>SUM((E395:G395))</f>
        <v>27360.891969858472</v>
      </c>
      <c r="Q395" s="15">
        <f>SUM((H395:J395))</f>
        <v>31210.550399718926</v>
      </c>
      <c r="R395" s="15">
        <f>SUM((K395:M395))</f>
        <v>27863.213702268986</v>
      </c>
    </row>
    <row r="396" spans="1:18">
      <c r="A396" s="474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15"/>
      <c r="O396" s="15"/>
      <c r="P396" s="15"/>
      <c r="Q396" s="15"/>
      <c r="R396" s="15"/>
    </row>
    <row r="397" spans="1:18">
      <c r="A397" s="504" t="s">
        <v>184</v>
      </c>
      <c r="B397" s="488"/>
      <c r="C397" s="488"/>
      <c r="D397" s="488"/>
      <c r="E397" s="488"/>
      <c r="F397" s="488"/>
      <c r="G397" s="488"/>
      <c r="H397" s="488"/>
      <c r="I397" s="488"/>
      <c r="J397" s="488"/>
      <c r="K397" s="488"/>
      <c r="L397" s="488"/>
      <c r="M397" s="488"/>
      <c r="N397" s="488"/>
      <c r="O397" s="488"/>
      <c r="P397" s="488"/>
      <c r="Q397" s="488"/>
      <c r="R397" s="488"/>
    </row>
    <row r="398" spans="1:18">
      <c r="A398" s="474" t="s">
        <v>22</v>
      </c>
      <c r="B398" s="19" t="e">
        <f t="shared" ref="B398:N398" si="210">B392/B410-1</f>
        <v>#DIV/0!</v>
      </c>
      <c r="C398" s="19" t="e">
        <f t="shared" si="210"/>
        <v>#DIV/0!</v>
      </c>
      <c r="D398" s="19" t="e">
        <f t="shared" si="210"/>
        <v>#DIV/0!</v>
      </c>
      <c r="E398" s="19" t="e">
        <f t="shared" si="210"/>
        <v>#DIV/0!</v>
      </c>
      <c r="F398" s="19" t="e">
        <f t="shared" si="210"/>
        <v>#DIV/0!</v>
      </c>
      <c r="G398" s="19" t="e">
        <f t="shared" si="210"/>
        <v>#DIV/0!</v>
      </c>
      <c r="H398" s="19" t="e">
        <f t="shared" si="210"/>
        <v>#DIV/0!</v>
      </c>
      <c r="I398" s="19" t="e">
        <f t="shared" si="210"/>
        <v>#DIV/0!</v>
      </c>
      <c r="J398" s="19" t="e">
        <f t="shared" si="210"/>
        <v>#DIV/0!</v>
      </c>
      <c r="K398" s="19" t="e">
        <f t="shared" si="210"/>
        <v>#DIV/0!</v>
      </c>
      <c r="L398" s="19" t="e">
        <f t="shared" si="210"/>
        <v>#DIV/0!</v>
      </c>
      <c r="M398" s="19" t="e">
        <f t="shared" si="210"/>
        <v>#DIV/0!</v>
      </c>
      <c r="N398" s="19" t="e">
        <f t="shared" si="210"/>
        <v>#DIV/0!</v>
      </c>
      <c r="O398" s="19"/>
      <c r="P398" s="19"/>
      <c r="Q398" s="19"/>
      <c r="R398" s="19"/>
    </row>
    <row r="399" spans="1:18">
      <c r="A399" s="474" t="s">
        <v>25</v>
      </c>
      <c r="B399" s="19" t="e">
        <f t="shared" ref="B399:J399" si="211">B393/B411-1</f>
        <v>#DIV/0!</v>
      </c>
      <c r="C399" s="19" t="e">
        <f t="shared" si="211"/>
        <v>#DIV/0!</v>
      </c>
      <c r="D399" s="19" t="e">
        <f t="shared" si="211"/>
        <v>#DIV/0!</v>
      </c>
      <c r="E399" s="19" t="e">
        <f t="shared" si="211"/>
        <v>#DIV/0!</v>
      </c>
      <c r="F399" s="19" t="e">
        <f t="shared" si="211"/>
        <v>#DIV/0!</v>
      </c>
      <c r="G399" s="19" t="e">
        <f t="shared" si="211"/>
        <v>#DIV/0!</v>
      </c>
      <c r="H399" s="19" t="e">
        <f t="shared" si="211"/>
        <v>#DIV/0!</v>
      </c>
      <c r="I399" s="19" t="e">
        <f t="shared" si="211"/>
        <v>#DIV/0!</v>
      </c>
      <c r="J399" s="19" t="e">
        <f t="shared" si="211"/>
        <v>#DIV/0!</v>
      </c>
      <c r="K399" s="19"/>
      <c r="L399" s="19"/>
      <c r="M399" s="19"/>
      <c r="N399" s="488"/>
      <c r="O399" s="19"/>
      <c r="P399" s="19"/>
      <c r="Q399" s="19"/>
      <c r="R399" s="19"/>
    </row>
    <row r="400" spans="1:18">
      <c r="A400" s="474" t="s">
        <v>28</v>
      </c>
      <c r="B400" s="19">
        <f t="shared" ref="B400:F401" si="212">B394/B412-1</f>
        <v>9.1470195729537407E-2</v>
      </c>
      <c r="C400" s="19">
        <f t="shared" si="212"/>
        <v>0.18439432104419518</v>
      </c>
      <c r="D400" s="19">
        <f t="shared" si="212"/>
        <v>0.15370786516853951</v>
      </c>
      <c r="E400" s="19">
        <f t="shared" si="212"/>
        <v>0.12175639268327276</v>
      </c>
      <c r="F400" s="19">
        <f t="shared" si="212"/>
        <v>0.17537514052495218</v>
      </c>
      <c r="G400" s="19">
        <v>0.14000000000000001</v>
      </c>
      <c r="H400" s="19">
        <f t="shared" ref="H400:N400" si="213">H394/H412-1</f>
        <v>5.7957264252124441E-2</v>
      </c>
      <c r="I400" s="19">
        <f t="shared" si="213"/>
        <v>6.2199230028873842E-2</v>
      </c>
      <c r="J400" s="19">
        <f t="shared" si="213"/>
        <v>6.4679196370706293E-2</v>
      </c>
      <c r="K400" s="19">
        <f t="shared" si="213"/>
        <v>7.3071601521964791E-2</v>
      </c>
      <c r="L400" s="19">
        <f t="shared" si="213"/>
        <v>7.4796274738067714E-2</v>
      </c>
      <c r="M400" s="19">
        <f t="shared" si="213"/>
        <v>0.10631264102429561</v>
      </c>
      <c r="N400" s="19">
        <f t="shared" si="213"/>
        <v>-1</v>
      </c>
      <c r="O400" s="19"/>
      <c r="P400" s="19"/>
      <c r="Q400" s="19"/>
      <c r="R400" s="19"/>
    </row>
    <row r="401" spans="1:18">
      <c r="A401" s="474" t="s">
        <v>133</v>
      </c>
      <c r="B401" s="19">
        <f t="shared" si="212"/>
        <v>3.0978296103761389</v>
      </c>
      <c r="C401" s="19">
        <f t="shared" si="212"/>
        <v>3.5870340276724519</v>
      </c>
      <c r="D401" s="19">
        <f t="shared" si="212"/>
        <v>3.467499287017981</v>
      </c>
      <c r="E401" s="19">
        <f t="shared" si="212"/>
        <v>3.4560479132133919</v>
      </c>
      <c r="F401" s="19">
        <f t="shared" si="212"/>
        <v>3.5147444102289045</v>
      </c>
      <c r="G401" s="19">
        <f>G395/G413-1</f>
        <v>3.2903012050041394</v>
      </c>
      <c r="H401" s="19">
        <f>H395/H413-1</f>
        <v>3.3148405512692598</v>
      </c>
      <c r="I401" s="19">
        <f>I395/I413-1</f>
        <v>3.4002555349719765</v>
      </c>
      <c r="J401" s="19"/>
      <c r="K401" s="19"/>
      <c r="L401" s="19"/>
      <c r="M401" s="19"/>
      <c r="N401" s="488"/>
      <c r="O401" s="19"/>
      <c r="P401" s="19"/>
      <c r="Q401" s="19"/>
      <c r="R401" s="19"/>
    </row>
    <row r="402" spans="1:18">
      <c r="A402" s="474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488"/>
      <c r="O402" s="19"/>
      <c r="P402" s="19"/>
      <c r="Q402" s="19"/>
      <c r="R402" s="19"/>
    </row>
    <row r="403" spans="1:18">
      <c r="A403" s="504" t="s">
        <v>185</v>
      </c>
      <c r="B403" s="488"/>
      <c r="C403" s="488"/>
      <c r="D403" s="488"/>
      <c r="E403" s="488"/>
      <c r="F403" s="488"/>
      <c r="G403" s="488"/>
      <c r="H403" s="488"/>
      <c r="I403" s="488"/>
      <c r="J403" s="488"/>
      <c r="K403" s="488"/>
      <c r="L403" s="488"/>
      <c r="M403" s="488"/>
      <c r="N403" s="488"/>
      <c r="O403" s="488"/>
      <c r="P403" s="488"/>
      <c r="Q403" s="488"/>
      <c r="R403" s="488"/>
    </row>
    <row r="404" spans="1:18">
      <c r="A404" s="474" t="s">
        <v>22</v>
      </c>
      <c r="B404" s="19"/>
      <c r="C404" s="19"/>
      <c r="D404" s="19">
        <f t="shared" ref="D404:M404" si="214">D392/C392-1</f>
        <v>9.4988250262054041E-2</v>
      </c>
      <c r="E404" s="19">
        <f t="shared" si="214"/>
        <v>5.7914635410495796E-2</v>
      </c>
      <c r="F404" s="19">
        <f t="shared" si="214"/>
        <v>-4.1525854073647062E-2</v>
      </c>
      <c r="G404" s="19">
        <f t="shared" si="214"/>
        <v>-7.0137931578781232E-2</v>
      </c>
      <c r="H404" s="19">
        <f t="shared" si="214"/>
        <v>0.26946698037805805</v>
      </c>
      <c r="I404" s="19">
        <f t="shared" si="214"/>
        <v>6.3922832281479547E-2</v>
      </c>
      <c r="J404" s="19">
        <f t="shared" si="214"/>
        <v>-0.13639153852520947</v>
      </c>
      <c r="K404" s="19">
        <f t="shared" si="214"/>
        <v>4.1796797598940838E-3</v>
      </c>
      <c r="L404" s="19">
        <f t="shared" si="214"/>
        <v>-7.143769835272451E-2</v>
      </c>
      <c r="M404" s="19">
        <f t="shared" si="214"/>
        <v>-7.4379987607337217E-2</v>
      </c>
      <c r="N404" s="19"/>
      <c r="O404" s="19"/>
      <c r="P404" s="19"/>
      <c r="Q404" s="19"/>
      <c r="R404" s="19"/>
    </row>
    <row r="405" spans="1:18">
      <c r="A405" s="474" t="s">
        <v>25</v>
      </c>
      <c r="B405" s="19"/>
      <c r="C405" s="19">
        <f t="shared" ref="C405:J406" si="215">C393/B393-1</f>
        <v>5.8173669022559604E-2</v>
      </c>
      <c r="D405" s="19">
        <f t="shared" si="215"/>
        <v>0.15405777743786131</v>
      </c>
      <c r="E405" s="19">
        <f t="shared" si="215"/>
        <v>7.1630221333735422E-2</v>
      </c>
      <c r="F405" s="19">
        <f t="shared" si="215"/>
        <v>-1.5091498364637745E-2</v>
      </c>
      <c r="G405" s="19">
        <f t="shared" si="215"/>
        <v>-5.7635653559301114E-2</v>
      </c>
      <c r="H405" s="19">
        <f t="shared" si="215"/>
        <v>0.18429098341557504</v>
      </c>
      <c r="I405" s="19">
        <f t="shared" si="215"/>
        <v>3.794635539264779E-2</v>
      </c>
      <c r="J405" s="19">
        <f t="shared" si="215"/>
        <v>-9.5249186592721302E-2</v>
      </c>
      <c r="K405" s="19"/>
      <c r="L405" s="19"/>
      <c r="M405" s="19"/>
      <c r="N405" s="488"/>
      <c r="O405" s="19"/>
      <c r="P405" s="19"/>
      <c r="Q405" s="19"/>
      <c r="R405" s="19"/>
    </row>
    <row r="406" spans="1:18">
      <c r="A406" s="474" t="s">
        <v>28</v>
      </c>
      <c r="B406" s="19">
        <f>B394/M412-1</f>
        <v>3.0015217505378722E-2</v>
      </c>
      <c r="C406" s="19">
        <f t="shared" si="215"/>
        <v>5.4001732131030655E-2</v>
      </c>
      <c r="D406" s="19">
        <f t="shared" si="215"/>
        <v>0.11668036154478223</v>
      </c>
      <c r="E406" s="19">
        <f t="shared" si="215"/>
        <v>2.7269185820023356E-2</v>
      </c>
      <c r="F406" s="19">
        <f t="shared" si="215"/>
        <v>1.3230522900602448E-2</v>
      </c>
      <c r="G406" s="19">
        <f t="shared" si="215"/>
        <v>-3.9048529962157241E-2</v>
      </c>
      <c r="H406" s="19">
        <f t="shared" si="215"/>
        <v>0.10987536783797802</v>
      </c>
      <c r="I406" s="19">
        <f t="shared" si="215"/>
        <v>3.2752368698093282E-2</v>
      </c>
      <c r="J406" s="19">
        <f t="shared" si="215"/>
        <v>-6.9656812776078825E-2</v>
      </c>
      <c r="K406" s="19">
        <f t="shared" ref="K406:M407" si="216">K394/J394-1</f>
        <v>7.1422774125478039E-3</v>
      </c>
      <c r="L406" s="19">
        <f t="shared" si="216"/>
        <v>-0.10718027238294781</v>
      </c>
      <c r="M406" s="19">
        <f t="shared" si="216"/>
        <v>-4.8515208953876732E-2</v>
      </c>
      <c r="N406" s="488"/>
      <c r="O406" s="19"/>
      <c r="P406" s="19"/>
      <c r="Q406" s="19"/>
      <c r="R406" s="19"/>
    </row>
    <row r="407" spans="1:18">
      <c r="A407" s="469" t="s">
        <v>133</v>
      </c>
      <c r="B407" s="3"/>
      <c r="C407" s="3"/>
      <c r="D407" s="3">
        <f t="shared" ref="D407:J407" si="217">D395/C395-1</f>
        <v>0.11650808306394533</v>
      </c>
      <c r="E407" s="3">
        <f t="shared" si="217"/>
        <v>5.3821176196241716E-2</v>
      </c>
      <c r="F407" s="3">
        <f t="shared" si="217"/>
        <v>-2.0253697052496578E-2</v>
      </c>
      <c r="G407" s="3">
        <f t="shared" si="217"/>
        <v>-5.8483967889153887E-2</v>
      </c>
      <c r="H407" s="3">
        <f t="shared" si="217"/>
        <v>0.20278473491345195</v>
      </c>
      <c r="I407" s="3">
        <f t="shared" si="217"/>
        <v>4.899033950444398E-2</v>
      </c>
      <c r="J407" s="19">
        <f t="shared" si="217"/>
        <v>-0.1088578674341536</v>
      </c>
      <c r="K407" s="19">
        <f t="shared" si="216"/>
        <v>2.250972405188123E-2</v>
      </c>
      <c r="L407" s="19">
        <f t="shared" si="216"/>
        <v>-9.1293460276493765E-2</v>
      </c>
      <c r="M407" s="19">
        <f t="shared" si="216"/>
        <v>-3.3644194715816367E-2</v>
      </c>
      <c r="O407" s="19"/>
      <c r="P407" s="19"/>
      <c r="Q407" s="19"/>
      <c r="R407" s="19"/>
    </row>
    <row r="408" spans="1:18">
      <c r="G408" s="2"/>
      <c r="I408" s="2"/>
      <c r="J408" s="2"/>
      <c r="O408" s="151"/>
      <c r="P408" s="151"/>
      <c r="Q408" s="151"/>
      <c r="R408" s="151"/>
    </row>
    <row r="409" spans="1:18" s="445" customFormat="1">
      <c r="A409" s="500">
        <v>2006</v>
      </c>
      <c r="B409" s="472" t="s">
        <v>51</v>
      </c>
      <c r="C409" s="472" t="s">
        <v>52</v>
      </c>
      <c r="D409" s="472" t="s">
        <v>53</v>
      </c>
      <c r="E409" s="472" t="s">
        <v>54</v>
      </c>
      <c r="F409" s="472" t="s">
        <v>55</v>
      </c>
      <c r="G409" s="472" t="s">
        <v>77</v>
      </c>
      <c r="H409" s="472" t="s">
        <v>78</v>
      </c>
      <c r="I409" s="472" t="s">
        <v>79</v>
      </c>
      <c r="J409" s="472" t="s">
        <v>80</v>
      </c>
      <c r="K409" s="472" t="s">
        <v>81</v>
      </c>
      <c r="L409" s="472" t="s">
        <v>82</v>
      </c>
      <c r="M409" s="472" t="s">
        <v>44</v>
      </c>
      <c r="N409" s="472" t="s">
        <v>133</v>
      </c>
      <c r="O409" s="472"/>
      <c r="P409" s="472"/>
      <c r="Q409" s="472"/>
      <c r="R409" s="472"/>
    </row>
    <row r="410" spans="1:18">
      <c r="A410" s="474" t="s">
        <v>22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>
        <f>SUM(B410:M410)</f>
        <v>0</v>
      </c>
      <c r="O410" s="15"/>
      <c r="P410" s="15"/>
      <c r="Q410" s="15"/>
      <c r="R410" s="15"/>
    </row>
    <row r="411" spans="1:18">
      <c r="A411" s="474" t="s">
        <v>25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4"/>
      <c r="O411" s="15"/>
      <c r="P411" s="15"/>
      <c r="Q411" s="15"/>
      <c r="R411" s="15"/>
    </row>
    <row r="412" spans="1:18">
      <c r="A412" s="474" t="s">
        <v>28</v>
      </c>
      <c r="B412" s="15">
        <v>1798.4</v>
      </c>
      <c r="C412" s="15">
        <v>1746.8</v>
      </c>
      <c r="D412" s="15">
        <v>2002.5</v>
      </c>
      <c r="E412" s="15">
        <v>2115.6999999999998</v>
      </c>
      <c r="F412" s="15">
        <v>2045.9</v>
      </c>
      <c r="G412" s="15">
        <f>G394/(1+G400)</f>
        <v>2027.0175438596491</v>
      </c>
      <c r="H412" s="15">
        <v>2424.1999999999998</v>
      </c>
      <c r="I412" s="15">
        <v>2493.6</v>
      </c>
      <c r="J412" s="15">
        <v>2314.5</v>
      </c>
      <c r="K412" s="15">
        <v>2312.8000000000002</v>
      </c>
      <c r="L412" s="15">
        <v>2061.6</v>
      </c>
      <c r="M412" s="15">
        <v>1905.7</v>
      </c>
      <c r="N412" s="15">
        <f>SUM(B412:M412)</f>
        <v>25248.717543859646</v>
      </c>
      <c r="O412" s="15"/>
      <c r="P412" s="15"/>
      <c r="Q412" s="15"/>
      <c r="R412" s="15"/>
    </row>
    <row r="413" spans="1:18">
      <c r="A413" s="474" t="s">
        <v>133</v>
      </c>
      <c r="B413" s="15">
        <f t="shared" ref="B413:M413" si="218">SUM(B410:B412)</f>
        <v>1798.4</v>
      </c>
      <c r="C413" s="15">
        <f t="shared" si="218"/>
        <v>1746.8</v>
      </c>
      <c r="D413" s="15">
        <f t="shared" si="218"/>
        <v>2002.5</v>
      </c>
      <c r="E413" s="15">
        <f t="shared" si="218"/>
        <v>2115.6999999999998</v>
      </c>
      <c r="F413" s="15">
        <f t="shared" si="218"/>
        <v>2045.9</v>
      </c>
      <c r="G413" s="15">
        <f t="shared" si="218"/>
        <v>2027.0175438596491</v>
      </c>
      <c r="H413" s="15">
        <f t="shared" si="218"/>
        <v>2424.1999999999998</v>
      </c>
      <c r="I413" s="15">
        <f t="shared" si="218"/>
        <v>2493.6</v>
      </c>
      <c r="J413" s="15">
        <f t="shared" si="218"/>
        <v>2314.5</v>
      </c>
      <c r="K413" s="15">
        <f t="shared" si="218"/>
        <v>2312.8000000000002</v>
      </c>
      <c r="L413" s="15">
        <f t="shared" si="218"/>
        <v>2061.6</v>
      </c>
      <c r="M413" s="15">
        <f t="shared" si="218"/>
        <v>1905.7</v>
      </c>
      <c r="N413" s="15">
        <f>SUM(B413:M413)</f>
        <v>25248.717543859646</v>
      </c>
      <c r="O413" s="15"/>
      <c r="P413" s="15"/>
      <c r="Q413" s="15"/>
      <c r="R413" s="15"/>
    </row>
    <row r="414" spans="1:18">
      <c r="A414" s="474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</row>
    <row r="415" spans="1:18">
      <c r="A415" s="474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488"/>
      <c r="O415" s="19"/>
      <c r="P415" s="19"/>
      <c r="Q415" s="19"/>
      <c r="R415" s="19"/>
    </row>
    <row r="416" spans="1:18">
      <c r="A416" s="504" t="s">
        <v>185</v>
      </c>
      <c r="B416" s="488"/>
      <c r="C416" s="488"/>
      <c r="D416" s="488"/>
      <c r="E416" s="488"/>
      <c r="F416" s="488"/>
      <c r="G416" s="488"/>
      <c r="H416" s="488"/>
      <c r="I416" s="488"/>
      <c r="J416" s="488"/>
      <c r="K416" s="488"/>
      <c r="L416" s="488"/>
      <c r="M416" s="488"/>
      <c r="N416" s="488"/>
      <c r="O416" s="488"/>
      <c r="P416" s="488"/>
      <c r="Q416" s="488"/>
      <c r="R416" s="488"/>
    </row>
    <row r="417" spans="1:18">
      <c r="A417" s="474" t="s">
        <v>22</v>
      </c>
      <c r="B417" s="19"/>
      <c r="C417" s="19" t="e">
        <f t="shared" ref="C417:M417" si="219">C410/B410-1</f>
        <v>#DIV/0!</v>
      </c>
      <c r="D417" s="19" t="e">
        <f t="shared" si="219"/>
        <v>#DIV/0!</v>
      </c>
      <c r="E417" s="19" t="e">
        <f t="shared" si="219"/>
        <v>#DIV/0!</v>
      </c>
      <c r="F417" s="19" t="e">
        <f t="shared" si="219"/>
        <v>#DIV/0!</v>
      </c>
      <c r="G417" s="19" t="e">
        <f t="shared" si="219"/>
        <v>#DIV/0!</v>
      </c>
      <c r="H417" s="19" t="e">
        <f t="shared" si="219"/>
        <v>#DIV/0!</v>
      </c>
      <c r="I417" s="19" t="e">
        <f t="shared" si="219"/>
        <v>#DIV/0!</v>
      </c>
      <c r="J417" s="19" t="e">
        <f t="shared" si="219"/>
        <v>#DIV/0!</v>
      </c>
      <c r="K417" s="19" t="e">
        <f t="shared" si="219"/>
        <v>#DIV/0!</v>
      </c>
      <c r="L417" s="19" t="e">
        <f t="shared" si="219"/>
        <v>#DIV/0!</v>
      </c>
      <c r="M417" s="19" t="e">
        <f t="shared" si="219"/>
        <v>#DIV/0!</v>
      </c>
      <c r="N417" s="488"/>
      <c r="O417" s="19"/>
      <c r="P417" s="19"/>
      <c r="Q417" s="19"/>
      <c r="R417" s="19"/>
    </row>
    <row r="418" spans="1:18">
      <c r="A418" s="474" t="s">
        <v>25</v>
      </c>
      <c r="B418" s="19"/>
      <c r="C418" s="19" t="e">
        <f t="shared" ref="C418:L418" si="220">C411/B411-1</f>
        <v>#DIV/0!</v>
      </c>
      <c r="D418" s="19" t="e">
        <f t="shared" si="220"/>
        <v>#DIV/0!</v>
      </c>
      <c r="E418" s="19" t="e">
        <f t="shared" si="220"/>
        <v>#DIV/0!</v>
      </c>
      <c r="F418" s="19" t="e">
        <f t="shared" si="220"/>
        <v>#DIV/0!</v>
      </c>
      <c r="G418" s="19" t="e">
        <f t="shared" si="220"/>
        <v>#DIV/0!</v>
      </c>
      <c r="H418" s="19" t="e">
        <f t="shared" si="220"/>
        <v>#DIV/0!</v>
      </c>
      <c r="I418" s="19" t="e">
        <f t="shared" si="220"/>
        <v>#DIV/0!</v>
      </c>
      <c r="J418" s="19" t="e">
        <f t="shared" si="220"/>
        <v>#DIV/0!</v>
      </c>
      <c r="K418" s="19" t="e">
        <f t="shared" si="220"/>
        <v>#DIV/0!</v>
      </c>
      <c r="L418" s="19" t="e">
        <f t="shared" si="220"/>
        <v>#DIV/0!</v>
      </c>
      <c r="M418" s="19"/>
      <c r="N418" s="488"/>
      <c r="O418" s="19"/>
      <c r="P418" s="19"/>
      <c r="Q418" s="19"/>
      <c r="R418" s="19"/>
    </row>
    <row r="419" spans="1:18">
      <c r="A419" s="474" t="s">
        <v>28</v>
      </c>
      <c r="B419" s="19"/>
      <c r="C419" s="19">
        <f t="shared" ref="C419:L419" si="221">C412/B412-1</f>
        <v>-2.8692170818505391E-2</v>
      </c>
      <c r="D419" s="19">
        <f t="shared" si="221"/>
        <v>0.14638195557591027</v>
      </c>
      <c r="E419" s="19">
        <f t="shared" si="221"/>
        <v>5.6529338327091061E-2</v>
      </c>
      <c r="F419" s="19">
        <f t="shared" si="221"/>
        <v>-3.2991444911849355E-2</v>
      </c>
      <c r="G419" s="19">
        <f t="shared" si="221"/>
        <v>-9.2294130408870911E-3</v>
      </c>
      <c r="H419" s="19">
        <f t="shared" si="221"/>
        <v>0.1959442617275402</v>
      </c>
      <c r="I419" s="19">
        <f t="shared" si="221"/>
        <v>2.8628000990017277E-2</v>
      </c>
      <c r="J419" s="19">
        <f t="shared" si="221"/>
        <v>-7.1823869104908566E-2</v>
      </c>
      <c r="K419" s="19">
        <f t="shared" si="221"/>
        <v>-7.34499891985263E-4</v>
      </c>
      <c r="L419" s="19">
        <f t="shared" si="221"/>
        <v>-0.10861293670010386</v>
      </c>
      <c r="M419" s="19">
        <f>M412/L412-1</f>
        <v>-7.5620876988746533E-2</v>
      </c>
      <c r="N419" s="488"/>
      <c r="O419" s="19"/>
      <c r="P419" s="19"/>
      <c r="Q419" s="19"/>
      <c r="R419" s="19"/>
    </row>
    <row r="420" spans="1:18">
      <c r="A420" s="469" t="s">
        <v>133</v>
      </c>
      <c r="C420" s="19">
        <f t="shared" ref="C420:L420" si="222">C413/B413-1</f>
        <v>-2.8692170818505391E-2</v>
      </c>
      <c r="D420" s="19">
        <f t="shared" si="222"/>
        <v>0.14638195557591027</v>
      </c>
      <c r="E420" s="19">
        <f t="shared" si="222"/>
        <v>5.6529338327091061E-2</v>
      </c>
      <c r="F420" s="19">
        <f t="shared" si="222"/>
        <v>-3.2991444911849355E-2</v>
      </c>
      <c r="G420" s="19">
        <f t="shared" si="222"/>
        <v>-9.2294130408870911E-3</v>
      </c>
      <c r="H420" s="19">
        <f t="shared" si="222"/>
        <v>0.1959442617275402</v>
      </c>
      <c r="I420" s="19">
        <f t="shared" si="222"/>
        <v>2.8628000990017277E-2</v>
      </c>
      <c r="J420" s="19">
        <f t="shared" si="222"/>
        <v>-7.1823869104908566E-2</v>
      </c>
      <c r="K420" s="19">
        <f t="shared" si="222"/>
        <v>-7.34499891985263E-4</v>
      </c>
      <c r="L420" s="19">
        <f t="shared" si="222"/>
        <v>-0.10861293670010386</v>
      </c>
      <c r="M420" s="19">
        <f>M413/L413-1</f>
        <v>-7.5620876988746533E-2</v>
      </c>
      <c r="O420" s="19"/>
      <c r="P420" s="19"/>
      <c r="Q420" s="19"/>
      <c r="R420" s="19"/>
    </row>
  </sheetData>
  <phoneticPr fontId="3" type="noConversion"/>
  <pageMargins left="0.75" right="0.75" top="1" bottom="1" header="0.5" footer="0.5"/>
  <pageSetup paperSize="9" scale="10" fitToHeight="2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XFD702"/>
  <sheetViews>
    <sheetView tabSelected="1" workbookViewId="0">
      <selection activeCell="P11" sqref="P11"/>
    </sheetView>
  </sheetViews>
  <sheetFormatPr defaultColWidth="9" defaultRowHeight="12.5" outlineLevelRow="1"/>
  <cols>
    <col min="1" max="1" width="16.5" style="385" bestFit="1" customWidth="1"/>
    <col min="2" max="2" width="9.08203125" style="385" bestFit="1" customWidth="1"/>
    <col min="3" max="3" width="8.75" style="385" customWidth="1"/>
    <col min="4" max="4" width="8.6640625" style="385" bestFit="1" customWidth="1"/>
    <col min="5" max="12" width="9.25" style="385" bestFit="1" customWidth="1"/>
    <col min="13" max="13" width="10.25" style="385" bestFit="1" customWidth="1"/>
    <col min="14" max="14" width="9.08203125" style="385" bestFit="1" customWidth="1"/>
    <col min="15" max="15" width="10.25" style="385" bestFit="1" customWidth="1"/>
    <col min="16" max="16" width="9.25" style="385" bestFit="1" customWidth="1"/>
    <col min="17" max="19" width="10.25" style="385" bestFit="1" customWidth="1"/>
    <col min="20" max="20" width="9" style="385" customWidth="1"/>
    <col min="21" max="16384" width="9" style="385"/>
  </cols>
  <sheetData>
    <row r="1" spans="1:20 16384:16384" ht="13" customHeight="1">
      <c r="A1" s="525" t="s">
        <v>200</v>
      </c>
      <c r="B1" s="472" t="s">
        <v>51</v>
      </c>
      <c r="C1" s="472" t="s">
        <v>52</v>
      </c>
      <c r="D1" s="472" t="s">
        <v>53</v>
      </c>
      <c r="E1" s="472" t="s">
        <v>54</v>
      </c>
      <c r="F1" s="472" t="s">
        <v>55</v>
      </c>
      <c r="G1" s="472" t="s">
        <v>77</v>
      </c>
      <c r="H1" s="472" t="s">
        <v>78</v>
      </c>
      <c r="I1" s="472" t="s">
        <v>79</v>
      </c>
      <c r="J1" s="472" t="s">
        <v>80</v>
      </c>
      <c r="K1" s="472" t="s">
        <v>81</v>
      </c>
      <c r="L1" s="472" t="s">
        <v>82</v>
      </c>
      <c r="M1" s="472" t="s">
        <v>44</v>
      </c>
      <c r="N1" s="473" t="s">
        <v>133</v>
      </c>
      <c r="O1" s="473" t="s">
        <v>129</v>
      </c>
      <c r="P1" s="473" t="s">
        <v>130</v>
      </c>
      <c r="Q1" s="473" t="s">
        <v>131</v>
      </c>
      <c r="R1" s="473" t="s">
        <v>132</v>
      </c>
      <c r="S1" s="473" t="s">
        <v>171</v>
      </c>
      <c r="T1" s="445"/>
    </row>
    <row r="2" spans="1:20 16384:16384">
      <c r="A2" s="526" t="s">
        <v>22</v>
      </c>
      <c r="B2" s="443">
        <f t="shared" ref="B2:H4" si="0">B21+B40</f>
        <v>2104</v>
      </c>
      <c r="C2" s="443">
        <f t="shared" si="0"/>
        <v>2083.1</v>
      </c>
      <c r="D2" s="443">
        <f t="shared" si="0"/>
        <v>2111.29</v>
      </c>
      <c r="E2" s="443">
        <f t="shared" si="0"/>
        <v>2051.9899999999998</v>
      </c>
      <c r="F2" s="443">
        <f t="shared" si="0"/>
        <v>1939.14</v>
      </c>
      <c r="G2" s="443">
        <f t="shared" si="0"/>
        <v>1893.73</v>
      </c>
      <c r="H2" s="443">
        <f t="shared" si="0"/>
        <v>2158.4900000000002</v>
      </c>
      <c r="I2" s="443"/>
      <c r="J2" s="443"/>
      <c r="K2" s="443"/>
      <c r="L2" s="443"/>
      <c r="M2" s="443"/>
      <c r="O2" s="443"/>
      <c r="P2" s="443"/>
      <c r="Q2" s="443"/>
      <c r="R2" s="443"/>
      <c r="S2" s="443"/>
      <c r="XFD2" s="443">
        <f>XFD21+XFD40</f>
        <v>0</v>
      </c>
    </row>
    <row r="3" spans="1:20 16384:16384">
      <c r="A3" s="526" t="s">
        <v>25</v>
      </c>
      <c r="B3" s="443">
        <f t="shared" si="0"/>
        <v>2088.02</v>
      </c>
      <c r="C3" s="443">
        <f t="shared" si="0"/>
        <v>2129.7599999999998</v>
      </c>
      <c r="D3" s="443">
        <f t="shared" si="0"/>
        <v>2171.33</v>
      </c>
      <c r="E3" s="443">
        <f t="shared" si="0"/>
        <v>2055.84</v>
      </c>
      <c r="F3" s="443">
        <f t="shared" si="0"/>
        <v>1955.35</v>
      </c>
      <c r="G3" s="443">
        <f t="shared" si="0"/>
        <v>1965.12</v>
      </c>
      <c r="H3" s="443">
        <f t="shared" si="0"/>
        <v>2263.5300000000002</v>
      </c>
      <c r="I3" s="443"/>
      <c r="J3" s="443"/>
      <c r="K3" s="443"/>
      <c r="L3" s="443"/>
      <c r="M3" s="443"/>
      <c r="O3" s="443"/>
      <c r="P3" s="443"/>
      <c r="Q3" s="443"/>
      <c r="R3" s="443"/>
      <c r="S3" s="443"/>
    </row>
    <row r="4" spans="1:20 16384:16384">
      <c r="A4" s="526" t="s">
        <v>172</v>
      </c>
      <c r="B4" s="443">
        <f t="shared" si="0"/>
        <v>2028.4</v>
      </c>
      <c r="C4" s="443">
        <f t="shared" si="0"/>
        <v>2057.2999999999997</v>
      </c>
      <c r="D4" s="443">
        <f t="shared" si="0"/>
        <v>2171.3000000000002</v>
      </c>
      <c r="E4" s="443">
        <f t="shared" si="0"/>
        <v>2040.1999999999998</v>
      </c>
      <c r="F4" s="443">
        <f t="shared" si="0"/>
        <v>1916.1999999999998</v>
      </c>
      <c r="G4" s="443">
        <f t="shared" si="0"/>
        <v>1885.4</v>
      </c>
      <c r="H4" s="443">
        <f t="shared" si="0"/>
        <v>2219</v>
      </c>
      <c r="I4" s="443"/>
      <c r="J4" s="443"/>
      <c r="K4" s="443"/>
      <c r="L4" s="443"/>
      <c r="M4" s="443"/>
      <c r="O4" s="443"/>
      <c r="P4" s="443"/>
      <c r="Q4" s="443"/>
      <c r="R4" s="443"/>
      <c r="S4" s="443"/>
    </row>
    <row r="5" spans="1:20 16384:16384" ht="13" customHeight="1">
      <c r="A5" s="527" t="s">
        <v>196</v>
      </c>
      <c r="B5" s="482">
        <f t="shared" ref="B5:M5" si="1">SUM(B2:B4)</f>
        <v>6220.42</v>
      </c>
      <c r="C5" s="482">
        <f t="shared" si="1"/>
        <v>6270.16</v>
      </c>
      <c r="D5" s="482">
        <f t="shared" si="1"/>
        <v>6453.92</v>
      </c>
      <c r="E5" s="482">
        <f t="shared" si="1"/>
        <v>6148.03</v>
      </c>
      <c r="F5" s="482">
        <f t="shared" si="1"/>
        <v>5810.69</v>
      </c>
      <c r="G5" s="482">
        <f t="shared" si="1"/>
        <v>5744.25</v>
      </c>
      <c r="H5" s="482">
        <f t="shared" si="1"/>
        <v>6641.02</v>
      </c>
      <c r="I5" s="482">
        <f t="shared" si="1"/>
        <v>0</v>
      </c>
      <c r="J5" s="482">
        <f t="shared" si="1"/>
        <v>0</v>
      </c>
      <c r="K5" s="482">
        <f t="shared" si="1"/>
        <v>0</v>
      </c>
      <c r="L5" s="482">
        <f t="shared" si="1"/>
        <v>0</v>
      </c>
      <c r="M5" s="482">
        <f t="shared" si="1"/>
        <v>0</v>
      </c>
      <c r="O5" s="482">
        <f>SUM(B5:D5)</f>
        <v>18944.5</v>
      </c>
      <c r="P5" s="482">
        <f>SUM(E5:G5)</f>
        <v>17702.97</v>
      </c>
      <c r="Q5" s="482">
        <f>SUM(H5:J5)</f>
        <v>6641.02</v>
      </c>
      <c r="R5" s="482">
        <f>SUM(K5:M5)</f>
        <v>0</v>
      </c>
      <c r="S5" s="482"/>
    </row>
    <row r="7" spans="1:20 16384:16384" ht="13" customHeight="1">
      <c r="A7" s="528" t="s">
        <v>174</v>
      </c>
    </row>
    <row r="8" spans="1:20 16384:16384">
      <c r="A8" s="526" t="s">
        <v>22</v>
      </c>
      <c r="B8" s="186">
        <f t="shared" ref="B8:M8" si="2">B2/B58-1</f>
        <v>7.4659189000066295E-2</v>
      </c>
      <c r="C8" s="186">
        <f t="shared" si="2"/>
        <v>0.2293446957178602</v>
      </c>
      <c r="D8" s="186">
        <f t="shared" si="2"/>
        <v>0.21684677674994957</v>
      </c>
      <c r="E8" s="186">
        <f t="shared" si="2"/>
        <v>8.9762449746942252E-2</v>
      </c>
      <c r="F8" s="186">
        <f t="shared" si="2"/>
        <v>6.3649827217377108E-2</v>
      </c>
      <c r="G8" s="186">
        <f t="shared" si="2"/>
        <v>-6.6726696308179734E-2</v>
      </c>
      <c r="H8" s="186">
        <f t="shared" si="2"/>
        <v>7.2221946252049252E-2</v>
      </c>
      <c r="I8" s="186">
        <f t="shared" si="2"/>
        <v>-1</v>
      </c>
      <c r="J8" s="186">
        <f t="shared" si="2"/>
        <v>-1</v>
      </c>
      <c r="K8" s="186">
        <f t="shared" si="2"/>
        <v>-1</v>
      </c>
      <c r="L8" s="186">
        <f t="shared" si="2"/>
        <v>-1</v>
      </c>
      <c r="M8" s="186">
        <f t="shared" si="2"/>
        <v>-1</v>
      </c>
      <c r="N8" s="186"/>
      <c r="O8" s="186" t="e">
        <f t="shared" ref="O8:S11" si="3">O2/O58-1</f>
        <v>#DIV/0!</v>
      </c>
      <c r="P8" s="186" t="e">
        <f t="shared" si="3"/>
        <v>#DIV/0!</v>
      </c>
      <c r="Q8" s="186" t="e">
        <f t="shared" si="3"/>
        <v>#DIV/0!</v>
      </c>
      <c r="R8" s="186" t="e">
        <f t="shared" si="3"/>
        <v>#DIV/0!</v>
      </c>
      <c r="S8" s="145" t="e">
        <f t="shared" si="3"/>
        <v>#DIV/0!</v>
      </c>
    </row>
    <row r="9" spans="1:20 16384:16384">
      <c r="A9" s="526" t="s">
        <v>25</v>
      </c>
      <c r="B9" s="186">
        <f t="shared" ref="B9:M9" si="4">B3/B59-1</f>
        <v>-1.5614245170050056E-2</v>
      </c>
      <c r="C9" s="186">
        <f t="shared" si="4"/>
        <v>0.16918921589617741</v>
      </c>
      <c r="D9" s="186">
        <f t="shared" si="4"/>
        <v>0.1255196508361065</v>
      </c>
      <c r="E9" s="186">
        <f t="shared" si="4"/>
        <v>3.7223898368364372E-2</v>
      </c>
      <c r="F9" s="186">
        <f t="shared" si="4"/>
        <v>-3.1573473329701396E-2</v>
      </c>
      <c r="G9" s="186">
        <f t="shared" si="4"/>
        <v>-2.320795701383338E-2</v>
      </c>
      <c r="H9" s="186">
        <f t="shared" si="4"/>
        <v>4.7028947295384649E-2</v>
      </c>
      <c r="I9" s="186">
        <f t="shared" si="4"/>
        <v>-1</v>
      </c>
      <c r="J9" s="186">
        <f t="shared" si="4"/>
        <v>-1</v>
      </c>
      <c r="K9" s="186">
        <f t="shared" si="4"/>
        <v>-1</v>
      </c>
      <c r="L9" s="186">
        <f t="shared" si="4"/>
        <v>-1</v>
      </c>
      <c r="M9" s="186">
        <f t="shared" si="4"/>
        <v>-1</v>
      </c>
      <c r="N9" s="186"/>
      <c r="O9" s="186" t="e">
        <f t="shared" si="3"/>
        <v>#DIV/0!</v>
      </c>
      <c r="P9" s="186" t="e">
        <f t="shared" si="3"/>
        <v>#DIV/0!</v>
      </c>
      <c r="Q9" s="186" t="e">
        <f t="shared" si="3"/>
        <v>#DIV/0!</v>
      </c>
      <c r="R9" s="186" t="e">
        <f t="shared" si="3"/>
        <v>#DIV/0!</v>
      </c>
      <c r="S9" s="145" t="e">
        <f t="shared" si="3"/>
        <v>#DIV/0!</v>
      </c>
    </row>
    <row r="10" spans="1:20 16384:16384">
      <c r="A10" s="526" t="s">
        <v>172</v>
      </c>
      <c r="B10" s="186">
        <f t="shared" ref="B10:M10" si="5">B4/B60-1</f>
        <v>-1.3293289350597703E-3</v>
      </c>
      <c r="C10" s="186">
        <f t="shared" si="5"/>
        <v>0.2017641217360826</v>
      </c>
      <c r="D10" s="186">
        <f t="shared" si="5"/>
        <v>0.21004235399019167</v>
      </c>
      <c r="E10" s="186">
        <f t="shared" si="5"/>
        <v>6.6046608841049181E-2</v>
      </c>
      <c r="F10" s="186">
        <f t="shared" si="5"/>
        <v>4.9824303770911182E-3</v>
      </c>
      <c r="G10" s="186">
        <f t="shared" si="5"/>
        <v>-1.8378716093090941E-2</v>
      </c>
      <c r="H10" s="186">
        <f t="shared" si="5"/>
        <v>6.3044936284372799E-2</v>
      </c>
      <c r="I10" s="186">
        <f t="shared" si="5"/>
        <v>-1</v>
      </c>
      <c r="J10" s="186">
        <f t="shared" si="5"/>
        <v>-1</v>
      </c>
      <c r="K10" s="186">
        <f t="shared" si="5"/>
        <v>-1</v>
      </c>
      <c r="L10" s="186">
        <f t="shared" si="5"/>
        <v>-1</v>
      </c>
      <c r="M10" s="186">
        <f t="shared" si="5"/>
        <v>-1</v>
      </c>
      <c r="N10" s="186"/>
      <c r="O10" s="186" t="e">
        <f t="shared" si="3"/>
        <v>#DIV/0!</v>
      </c>
      <c r="P10" s="186" t="e">
        <f t="shared" si="3"/>
        <v>#DIV/0!</v>
      </c>
      <c r="Q10" s="186" t="e">
        <f t="shared" si="3"/>
        <v>#DIV/0!</v>
      </c>
      <c r="R10" s="186" t="e">
        <f t="shared" si="3"/>
        <v>#DIV/0!</v>
      </c>
      <c r="S10" s="145" t="e">
        <f t="shared" si="3"/>
        <v>#DIV/0!</v>
      </c>
    </row>
    <row r="11" spans="1:20 16384:16384" ht="13" customHeight="1">
      <c r="A11" s="529" t="s">
        <v>196</v>
      </c>
      <c r="B11" s="186">
        <f t="shared" ref="B11:M11" si="6">B5/B61-1</f>
        <v>1.8060349554096744E-2</v>
      </c>
      <c r="C11" s="186">
        <f t="shared" si="6"/>
        <v>0.19935347507149048</v>
      </c>
      <c r="D11" s="186">
        <f t="shared" si="6"/>
        <v>0.18233329608344939</v>
      </c>
      <c r="E11" s="186">
        <f t="shared" si="6"/>
        <v>6.3888364945845488E-2</v>
      </c>
      <c r="F11" s="186">
        <f t="shared" si="6"/>
        <v>1.0748143123032294E-2</v>
      </c>
      <c r="G11" s="186">
        <f t="shared" si="6"/>
        <v>-3.6464303208971427E-2</v>
      </c>
      <c r="H11" s="186">
        <f t="shared" si="6"/>
        <v>6.0466022394113361E-2</v>
      </c>
      <c r="I11" s="186">
        <f t="shared" si="6"/>
        <v>-1</v>
      </c>
      <c r="J11" s="186">
        <f t="shared" si="6"/>
        <v>-1</v>
      </c>
      <c r="K11" s="186">
        <f t="shared" si="6"/>
        <v>-1</v>
      </c>
      <c r="L11" s="186">
        <f t="shared" si="6"/>
        <v>-1</v>
      </c>
      <c r="M11" s="186">
        <f t="shared" si="6"/>
        <v>-1</v>
      </c>
      <c r="N11" s="186"/>
      <c r="O11" s="186">
        <f t="shared" si="3"/>
        <v>0.12787371291299143</v>
      </c>
      <c r="P11" s="530">
        <f t="shared" si="3"/>
        <v>1.2213310171963032E-2</v>
      </c>
      <c r="Q11" s="186">
        <f t="shared" si="3"/>
        <v>-0.64156495475452591</v>
      </c>
      <c r="R11" s="186">
        <f t="shared" si="3"/>
        <v>-1</v>
      </c>
      <c r="S11" s="145" t="e">
        <f t="shared" si="3"/>
        <v>#DIV/0!</v>
      </c>
    </row>
    <row r="12" spans="1:20 16384:16384" ht="13" customHeight="1">
      <c r="A12" s="531"/>
      <c r="B12" s="186"/>
    </row>
    <row r="13" spans="1:20 16384:16384" ht="13" customHeight="1">
      <c r="A13" s="528" t="s">
        <v>179</v>
      </c>
      <c r="B13" s="186"/>
    </row>
    <row r="14" spans="1:20 16384:16384">
      <c r="A14" s="526" t="s">
        <v>22</v>
      </c>
      <c r="B14" s="186">
        <f t="shared" ref="B14:M14" si="7">B2/B360-1</f>
        <v>-0.62594491576649292</v>
      </c>
      <c r="C14" s="186">
        <f t="shared" si="7"/>
        <v>1.2998619928236264</v>
      </c>
      <c r="D14" s="186">
        <f t="shared" si="7"/>
        <v>3.7590163195383646</v>
      </c>
      <c r="E14" s="186">
        <f t="shared" si="7"/>
        <v>29.408861885002967</v>
      </c>
      <c r="F14" s="186">
        <f t="shared" si="7"/>
        <v>19.7150945411815</v>
      </c>
      <c r="G14" s="186">
        <f t="shared" si="7"/>
        <v>13.538077690772303</v>
      </c>
      <c r="H14" s="186">
        <f t="shared" si="7"/>
        <v>13.895383341384312</v>
      </c>
      <c r="I14" s="186">
        <f t="shared" si="7"/>
        <v>-1</v>
      </c>
      <c r="J14" s="186">
        <f t="shared" si="7"/>
        <v>-1</v>
      </c>
      <c r="K14" s="186">
        <f t="shared" si="7"/>
        <v>-1</v>
      </c>
      <c r="L14" s="186">
        <f t="shared" si="7"/>
        <v>-1</v>
      </c>
      <c r="M14" s="186">
        <f t="shared" si="7"/>
        <v>-1</v>
      </c>
      <c r="N14" s="186"/>
      <c r="O14" s="186">
        <f t="shared" ref="O14:S17" si="8">O2/O360-1</f>
        <v>-1</v>
      </c>
      <c r="P14" s="186">
        <f t="shared" si="8"/>
        <v>-1</v>
      </c>
      <c r="Q14" s="186">
        <f t="shared" si="8"/>
        <v>-1</v>
      </c>
      <c r="R14" s="186">
        <f t="shared" si="8"/>
        <v>-1</v>
      </c>
      <c r="S14" s="186">
        <f t="shared" si="8"/>
        <v>-1</v>
      </c>
    </row>
    <row r="15" spans="1:20 16384:16384">
      <c r="A15" s="526" t="s">
        <v>25</v>
      </c>
      <c r="B15" s="186" t="e">
        <f t="shared" ref="B15:M15" si="9">B3/B361-1</f>
        <v>#DIV/0!</v>
      </c>
      <c r="C15" s="186" t="e">
        <f t="shared" si="9"/>
        <v>#DIV/0!</v>
      </c>
      <c r="D15" s="186" t="e">
        <f t="shared" si="9"/>
        <v>#DIV/0!</v>
      </c>
      <c r="E15" s="186" t="e">
        <f t="shared" si="9"/>
        <v>#DIV/0!</v>
      </c>
      <c r="F15" s="186" t="e">
        <f t="shared" si="9"/>
        <v>#DIV/0!</v>
      </c>
      <c r="G15" s="186" t="e">
        <f t="shared" si="9"/>
        <v>#DIV/0!</v>
      </c>
      <c r="H15" s="186" t="e">
        <f t="shared" si="9"/>
        <v>#DIV/0!</v>
      </c>
      <c r="I15" s="186" t="e">
        <f t="shared" si="9"/>
        <v>#DIV/0!</v>
      </c>
      <c r="J15" s="186" t="e">
        <f t="shared" si="9"/>
        <v>#DIV/0!</v>
      </c>
      <c r="K15" s="186" t="e">
        <f t="shared" si="9"/>
        <v>#DIV/0!</v>
      </c>
      <c r="L15" s="186" t="e">
        <f t="shared" si="9"/>
        <v>#DIV/0!</v>
      </c>
      <c r="M15" s="186" t="e">
        <f t="shared" si="9"/>
        <v>#DIV/0!</v>
      </c>
      <c r="N15" s="186"/>
      <c r="O15" s="186" t="e">
        <f t="shared" si="8"/>
        <v>#DIV/0!</v>
      </c>
      <c r="P15" s="186" t="e">
        <f t="shared" si="8"/>
        <v>#DIV/0!</v>
      </c>
      <c r="Q15" s="186" t="e">
        <f t="shared" si="8"/>
        <v>#DIV/0!</v>
      </c>
      <c r="R15" s="186" t="e">
        <f t="shared" si="8"/>
        <v>#DIV/0!</v>
      </c>
      <c r="S15" s="186" t="e">
        <f t="shared" si="8"/>
        <v>#DIV/0!</v>
      </c>
    </row>
    <row r="16" spans="1:20 16384:16384">
      <c r="A16" s="526" t="s">
        <v>172</v>
      </c>
      <c r="B16" s="186">
        <f t="shared" ref="B16:M16" si="10">B4/B362-1</f>
        <v>-0.63938529807070066</v>
      </c>
      <c r="C16" s="186" t="e">
        <f t="shared" si="10"/>
        <v>#DIV/0!</v>
      </c>
      <c r="D16" s="186" t="e">
        <f t="shared" si="10"/>
        <v>#DIV/0!</v>
      </c>
      <c r="E16" s="186" t="e">
        <f t="shared" si="10"/>
        <v>#DIV/0!</v>
      </c>
      <c r="F16" s="186" t="e">
        <f t="shared" si="10"/>
        <v>#DIV/0!</v>
      </c>
      <c r="G16" s="186" t="e">
        <f t="shared" si="10"/>
        <v>#DIV/0!</v>
      </c>
      <c r="H16" s="186" t="e">
        <f t="shared" si="10"/>
        <v>#DIV/0!</v>
      </c>
      <c r="I16" s="186" t="e">
        <f t="shared" si="10"/>
        <v>#DIV/0!</v>
      </c>
      <c r="J16" s="186" t="e">
        <f t="shared" si="10"/>
        <v>#DIV/0!</v>
      </c>
      <c r="K16" s="186" t="e">
        <f t="shared" si="10"/>
        <v>#DIV/0!</v>
      </c>
      <c r="L16" s="186" t="e">
        <f t="shared" si="10"/>
        <v>#DIV/0!</v>
      </c>
      <c r="M16" s="186" t="e">
        <f t="shared" si="10"/>
        <v>#DIV/0!</v>
      </c>
      <c r="N16" s="186"/>
      <c r="O16" s="186">
        <f t="shared" si="8"/>
        <v>-1</v>
      </c>
      <c r="P16" s="186" t="e">
        <f t="shared" si="8"/>
        <v>#DIV/0!</v>
      </c>
      <c r="Q16" s="186" t="e">
        <f t="shared" si="8"/>
        <v>#DIV/0!</v>
      </c>
      <c r="R16" s="186" t="e">
        <f t="shared" si="8"/>
        <v>#DIV/0!</v>
      </c>
      <c r="S16" s="186">
        <f t="shared" si="8"/>
        <v>-1</v>
      </c>
    </row>
    <row r="17" spans="1:19" ht="13" customHeight="1">
      <c r="A17" s="529" t="s">
        <v>196</v>
      </c>
      <c r="B17" s="186" t="e">
        <f t="shared" ref="B17:M17" si="11">B5/B363-1</f>
        <v>#DIV/0!</v>
      </c>
      <c r="C17" s="186" t="e">
        <f t="shared" si="11"/>
        <v>#DIV/0!</v>
      </c>
      <c r="D17" s="186" t="e">
        <f t="shared" si="11"/>
        <v>#DIV/0!</v>
      </c>
      <c r="E17" s="186" t="e">
        <f t="shared" si="11"/>
        <v>#DIV/0!</v>
      </c>
      <c r="F17" s="186" t="e">
        <f t="shared" si="11"/>
        <v>#DIV/0!</v>
      </c>
      <c r="G17" s="186" t="e">
        <f t="shared" si="11"/>
        <v>#DIV/0!</v>
      </c>
      <c r="H17" s="186" t="e">
        <f t="shared" si="11"/>
        <v>#DIV/0!</v>
      </c>
      <c r="I17" s="186" t="e">
        <f t="shared" si="11"/>
        <v>#DIV/0!</v>
      </c>
      <c r="J17" s="186" t="e">
        <f t="shared" si="11"/>
        <v>#DIV/0!</v>
      </c>
      <c r="K17" s="186" t="e">
        <f t="shared" si="11"/>
        <v>#DIV/0!</v>
      </c>
      <c r="L17" s="186" t="e">
        <f t="shared" si="11"/>
        <v>#DIV/0!</v>
      </c>
      <c r="M17" s="186" t="e">
        <f t="shared" si="11"/>
        <v>#DIV/0!</v>
      </c>
      <c r="N17" s="186"/>
      <c r="O17" s="186" t="e">
        <f t="shared" si="8"/>
        <v>#DIV/0!</v>
      </c>
      <c r="P17" s="186" t="e">
        <f t="shared" si="8"/>
        <v>#DIV/0!</v>
      </c>
      <c r="Q17" s="186" t="e">
        <f t="shared" si="8"/>
        <v>#DIV/0!</v>
      </c>
      <c r="R17" s="186" t="e">
        <f t="shared" si="8"/>
        <v>#DIV/0!</v>
      </c>
      <c r="S17" s="186" t="e">
        <f t="shared" si="8"/>
        <v>#DIV/0!</v>
      </c>
    </row>
    <row r="19" spans="1:19" ht="13" customHeight="1">
      <c r="A19" s="532" t="s">
        <v>201</v>
      </c>
    </row>
    <row r="20" spans="1:19" ht="13" customHeight="1">
      <c r="A20" s="533" t="s">
        <v>142</v>
      </c>
    </row>
    <row r="21" spans="1:19">
      <c r="A21" s="526" t="s">
        <v>22</v>
      </c>
      <c r="B21" s="443">
        <v>1950.3</v>
      </c>
      <c r="C21" s="443">
        <v>1924.4</v>
      </c>
      <c r="D21" s="443">
        <v>1949.25</v>
      </c>
      <c r="E21" s="443">
        <v>1895.12</v>
      </c>
      <c r="F21" s="443">
        <v>1781.92</v>
      </c>
      <c r="G21" s="443">
        <v>1740.67</v>
      </c>
      <c r="H21" s="443">
        <v>1994.46</v>
      </c>
      <c r="I21" s="443"/>
      <c r="J21" s="443"/>
      <c r="K21" s="443"/>
      <c r="L21" s="443"/>
      <c r="M21" s="443"/>
      <c r="O21" s="443"/>
      <c r="P21" s="443"/>
      <c r="Q21" s="443"/>
      <c r="R21" s="443"/>
      <c r="S21" s="443"/>
    </row>
    <row r="22" spans="1:19">
      <c r="A22" s="526" t="s">
        <v>25</v>
      </c>
      <c r="B22" s="443">
        <v>1765.45</v>
      </c>
      <c r="C22" s="443">
        <v>1795.81</v>
      </c>
      <c r="D22" s="443">
        <v>1839.55</v>
      </c>
      <c r="E22" s="443">
        <v>1734.25</v>
      </c>
      <c r="F22" s="443">
        <v>1646.27</v>
      </c>
      <c r="G22" s="443">
        <v>1661.8</v>
      </c>
      <c r="H22" s="443">
        <v>1912.45</v>
      </c>
      <c r="I22" s="443"/>
      <c r="J22" s="443"/>
      <c r="K22" s="443"/>
      <c r="L22" s="443"/>
      <c r="M22" s="443"/>
      <c r="O22" s="443"/>
      <c r="P22" s="443"/>
      <c r="Q22" s="443"/>
      <c r="R22" s="443"/>
      <c r="S22" s="443"/>
    </row>
    <row r="23" spans="1:19">
      <c r="A23" s="526" t="s">
        <v>172</v>
      </c>
      <c r="B23" s="443">
        <v>1610.8</v>
      </c>
      <c r="C23" s="443">
        <v>1585.6</v>
      </c>
      <c r="D23" s="443">
        <v>1717.4</v>
      </c>
      <c r="E23" s="443">
        <v>1614.3</v>
      </c>
      <c r="F23" s="443">
        <v>1534.8</v>
      </c>
      <c r="G23" s="443">
        <v>1519</v>
      </c>
      <c r="H23" s="443">
        <v>1814.2</v>
      </c>
      <c r="I23" s="443"/>
      <c r="J23" s="443"/>
      <c r="K23" s="443"/>
      <c r="L23" s="443"/>
      <c r="M23" s="443"/>
      <c r="O23" s="443"/>
      <c r="P23" s="443"/>
      <c r="Q23" s="443"/>
      <c r="R23" s="443"/>
      <c r="S23" s="443"/>
    </row>
    <row r="24" spans="1:19" ht="13" customHeight="1">
      <c r="A24" s="527" t="s">
        <v>196</v>
      </c>
      <c r="B24" s="482">
        <f t="shared" ref="B24:M24" si="12">SUM(B21:B23)</f>
        <v>5326.55</v>
      </c>
      <c r="C24" s="482">
        <f t="shared" si="12"/>
        <v>5305.8099999999995</v>
      </c>
      <c r="D24" s="482">
        <f t="shared" si="12"/>
        <v>5506.2000000000007</v>
      </c>
      <c r="E24" s="482">
        <f t="shared" si="12"/>
        <v>5243.67</v>
      </c>
      <c r="F24" s="482">
        <f t="shared" si="12"/>
        <v>4962.99</v>
      </c>
      <c r="G24" s="482">
        <f t="shared" si="12"/>
        <v>4921.47</v>
      </c>
      <c r="H24" s="482">
        <f t="shared" si="12"/>
        <v>5721.11</v>
      </c>
      <c r="I24" s="482">
        <f t="shared" si="12"/>
        <v>0</v>
      </c>
      <c r="J24" s="482">
        <f t="shared" si="12"/>
        <v>0</v>
      </c>
      <c r="K24" s="482">
        <f t="shared" si="12"/>
        <v>0</v>
      </c>
      <c r="L24" s="482">
        <f t="shared" si="12"/>
        <v>0</v>
      </c>
      <c r="M24" s="482">
        <f t="shared" si="12"/>
        <v>0</v>
      </c>
      <c r="O24" s="482"/>
      <c r="P24" s="482"/>
      <c r="Q24" s="482"/>
      <c r="R24" s="482"/>
      <c r="S24" s="482"/>
    </row>
    <row r="25" spans="1:19" ht="13" customHeight="1">
      <c r="A25" s="534"/>
    </row>
    <row r="26" spans="1:19" ht="13" customHeight="1">
      <c r="A26" s="528" t="s">
        <v>174</v>
      </c>
    </row>
    <row r="27" spans="1:19">
      <c r="A27" s="526" t="s">
        <v>22</v>
      </c>
      <c r="B27" s="186">
        <f t="shared" ref="B27:E30" si="13">B21/B77-1</f>
        <v>8.0570453437347478E-2</v>
      </c>
      <c r="C27" s="186">
        <f t="shared" si="13"/>
        <v>0.23253892514715035</v>
      </c>
      <c r="D27" s="186">
        <f t="shared" si="13"/>
        <v>0.22174030223069052</v>
      </c>
      <c r="E27" s="186">
        <f t="shared" si="13"/>
        <v>9.512224719880269E-2</v>
      </c>
      <c r="F27" s="244">
        <v>5.5500000000000001E-2</v>
      </c>
      <c r="G27" s="244">
        <v>-6.9900000000000004E-2</v>
      </c>
      <c r="H27" s="186">
        <f t="shared" ref="H27:M30" si="14">H21/H77-1</f>
        <v>7.8774569725554633E-2</v>
      </c>
      <c r="I27" s="186">
        <f t="shared" si="14"/>
        <v>-1</v>
      </c>
      <c r="J27" s="186">
        <f t="shared" si="14"/>
        <v>-1</v>
      </c>
      <c r="K27" s="186">
        <f t="shared" si="14"/>
        <v>-1</v>
      </c>
      <c r="L27" s="186">
        <f t="shared" si="14"/>
        <v>-1</v>
      </c>
      <c r="M27" s="186">
        <f t="shared" si="14"/>
        <v>-1</v>
      </c>
      <c r="N27" s="186"/>
      <c r="O27" s="186" t="e">
        <f t="shared" ref="O27:S30" si="15">O21/O77-1</f>
        <v>#DIV/0!</v>
      </c>
      <c r="P27" s="186" t="e">
        <f t="shared" si="15"/>
        <v>#DIV/0!</v>
      </c>
      <c r="Q27" s="186" t="e">
        <f t="shared" si="15"/>
        <v>#DIV/0!</v>
      </c>
      <c r="R27" s="186" t="e">
        <f t="shared" si="15"/>
        <v>#DIV/0!</v>
      </c>
      <c r="S27" s="186" t="e">
        <f t="shared" si="15"/>
        <v>#DIV/0!</v>
      </c>
    </row>
    <row r="28" spans="1:19">
      <c r="A28" s="526" t="s">
        <v>25</v>
      </c>
      <c r="B28" s="186">
        <f t="shared" si="13"/>
        <v>-1.5656275612897397E-2</v>
      </c>
      <c r="C28" s="186">
        <f t="shared" si="13"/>
        <v>0.16075883911835054</v>
      </c>
      <c r="D28" s="186">
        <f t="shared" si="13"/>
        <v>0.13102155000153703</v>
      </c>
      <c r="E28" s="186">
        <f t="shared" si="13"/>
        <v>4.3509392637520072E-2</v>
      </c>
      <c r="F28" s="186">
        <f t="shared" ref="F28:G30" si="16">F22/F78-1</f>
        <v>-2.7216913958861388E-2</v>
      </c>
      <c r="G28" s="186">
        <f t="shared" si="16"/>
        <v>-1.7267888823181532E-2</v>
      </c>
      <c r="H28" s="186">
        <f t="shared" si="14"/>
        <v>3.750298374671801E-2</v>
      </c>
      <c r="I28" s="186">
        <f t="shared" si="14"/>
        <v>-1</v>
      </c>
      <c r="J28" s="186">
        <f t="shared" si="14"/>
        <v>-1</v>
      </c>
      <c r="K28" s="186">
        <f t="shared" si="14"/>
        <v>-1</v>
      </c>
      <c r="L28" s="186">
        <f t="shared" si="14"/>
        <v>-1</v>
      </c>
      <c r="M28" s="186">
        <f t="shared" si="14"/>
        <v>-1</v>
      </c>
      <c r="N28" s="186"/>
      <c r="O28" s="186" t="e">
        <f t="shared" si="15"/>
        <v>#DIV/0!</v>
      </c>
      <c r="P28" s="186" t="e">
        <f t="shared" si="15"/>
        <v>#DIV/0!</v>
      </c>
      <c r="Q28" s="186" t="e">
        <f t="shared" si="15"/>
        <v>#DIV/0!</v>
      </c>
      <c r="R28" s="186" t="e">
        <f t="shared" si="15"/>
        <v>#DIV/0!</v>
      </c>
      <c r="S28" s="186" t="e">
        <f t="shared" si="15"/>
        <v>#DIV/0!</v>
      </c>
    </row>
    <row r="29" spans="1:19">
      <c r="A29" s="526" t="s">
        <v>172</v>
      </c>
      <c r="B29" s="186">
        <f t="shared" si="13"/>
        <v>-4.5729823260413083E-3</v>
      </c>
      <c r="C29" s="186">
        <f t="shared" si="13"/>
        <v>0.16348693865570874</v>
      </c>
      <c r="D29" s="186">
        <f t="shared" si="13"/>
        <v>0.21097165420956143</v>
      </c>
      <c r="E29" s="186">
        <f t="shared" si="13"/>
        <v>6.8648219250629028E-2</v>
      </c>
      <c r="F29" s="186">
        <f t="shared" si="16"/>
        <v>1.2267510882469246E-2</v>
      </c>
      <c r="G29" s="186">
        <f t="shared" si="16"/>
        <v>3.7666027886076314E-3</v>
      </c>
      <c r="H29" s="186">
        <f t="shared" si="14"/>
        <v>0.1016516881224192</v>
      </c>
      <c r="I29" s="186">
        <f t="shared" si="14"/>
        <v>-1</v>
      </c>
      <c r="J29" s="186">
        <f t="shared" si="14"/>
        <v>-1</v>
      </c>
      <c r="K29" s="186">
        <f t="shared" si="14"/>
        <v>-1</v>
      </c>
      <c r="L29" s="186">
        <f t="shared" si="14"/>
        <v>-1</v>
      </c>
      <c r="M29" s="186">
        <f t="shared" si="14"/>
        <v>-1</v>
      </c>
      <c r="N29" s="186"/>
      <c r="O29" s="186" t="e">
        <f t="shared" si="15"/>
        <v>#DIV/0!</v>
      </c>
      <c r="P29" s="186" t="e">
        <f t="shared" si="15"/>
        <v>#DIV/0!</v>
      </c>
      <c r="Q29" s="186" t="e">
        <f t="shared" si="15"/>
        <v>#DIV/0!</v>
      </c>
      <c r="R29" s="186" t="e">
        <f t="shared" si="15"/>
        <v>#DIV/0!</v>
      </c>
      <c r="S29" s="186" t="e">
        <f t="shared" si="15"/>
        <v>#DIV/0!</v>
      </c>
    </row>
    <row r="30" spans="1:19" ht="13" customHeight="1">
      <c r="A30" s="529" t="s">
        <v>196</v>
      </c>
      <c r="B30" s="241">
        <f t="shared" si="13"/>
        <v>2.1074989312983128E-2</v>
      </c>
      <c r="C30" s="241">
        <f t="shared" si="13"/>
        <v>0.18665557352227458</v>
      </c>
      <c r="D30" s="241">
        <f t="shared" si="13"/>
        <v>0.18665034524969193</v>
      </c>
      <c r="E30" s="241">
        <f t="shared" si="13"/>
        <v>6.9471043534126808E-2</v>
      </c>
      <c r="F30" s="241">
        <f t="shared" si="16"/>
        <v>1.6724881436487982E-2</v>
      </c>
      <c r="G30" s="241">
        <f t="shared" si="16"/>
        <v>-3.0402563938805471E-2</v>
      </c>
      <c r="H30" s="241">
        <f t="shared" si="14"/>
        <v>7.1581624816911216E-2</v>
      </c>
      <c r="I30" s="241">
        <f t="shared" si="14"/>
        <v>-1</v>
      </c>
      <c r="J30" s="241">
        <f t="shared" si="14"/>
        <v>-1</v>
      </c>
      <c r="K30" s="241">
        <f t="shared" si="14"/>
        <v>-1</v>
      </c>
      <c r="L30" s="241">
        <f t="shared" si="14"/>
        <v>-1</v>
      </c>
      <c r="M30" s="241">
        <f t="shared" si="14"/>
        <v>-1</v>
      </c>
      <c r="O30" s="241" t="e">
        <f t="shared" si="15"/>
        <v>#DIV/0!</v>
      </c>
      <c r="P30" s="241" t="e">
        <f t="shared" si="15"/>
        <v>#DIV/0!</v>
      </c>
      <c r="Q30" s="241" t="e">
        <f t="shared" si="15"/>
        <v>#DIV/0!</v>
      </c>
      <c r="R30" s="241" t="e">
        <f t="shared" si="15"/>
        <v>#DIV/0!</v>
      </c>
      <c r="S30" s="241" t="e">
        <f t="shared" si="15"/>
        <v>#DIV/0!</v>
      </c>
    </row>
    <row r="31" spans="1:19" ht="13" customHeight="1">
      <c r="A31" s="531"/>
    </row>
    <row r="32" spans="1:19" ht="13" customHeight="1">
      <c r="A32" s="528" t="s">
        <v>179</v>
      </c>
    </row>
    <row r="33" spans="1:19">
      <c r="A33" s="526" t="s">
        <v>22</v>
      </c>
      <c r="B33" s="186">
        <f t="shared" ref="B33:M33" si="17">B21/B385-1</f>
        <v>-0.59900980938419446</v>
      </c>
      <c r="C33" s="186">
        <f t="shared" si="17"/>
        <v>1.3083474276392337</v>
      </c>
      <c r="D33" s="186">
        <f t="shared" si="17"/>
        <v>3.6695333461096205</v>
      </c>
      <c r="E33" s="186">
        <f t="shared" si="17"/>
        <v>29.297681854516387</v>
      </c>
      <c r="F33" s="186">
        <f t="shared" si="17"/>
        <v>19.600231213872835</v>
      </c>
      <c r="G33" s="186">
        <f t="shared" si="17"/>
        <v>13.998018266413924</v>
      </c>
      <c r="H33" s="186">
        <f t="shared" si="17"/>
        <v>14.28790433849456</v>
      </c>
      <c r="I33" s="186">
        <f t="shared" si="17"/>
        <v>-1</v>
      </c>
      <c r="J33" s="186">
        <f t="shared" si="17"/>
        <v>-1</v>
      </c>
      <c r="K33" s="186">
        <f t="shared" si="17"/>
        <v>-1</v>
      </c>
      <c r="L33" s="186">
        <f t="shared" si="17"/>
        <v>-1</v>
      </c>
      <c r="M33" s="186">
        <f t="shared" si="17"/>
        <v>-1</v>
      </c>
      <c r="N33" s="186"/>
      <c r="O33" s="186">
        <f t="shared" ref="O33:S36" si="18">O21/O385-1</f>
        <v>-1</v>
      </c>
      <c r="P33" s="186">
        <f t="shared" si="18"/>
        <v>-1</v>
      </c>
      <c r="Q33" s="186">
        <f t="shared" si="18"/>
        <v>-1</v>
      </c>
      <c r="R33" s="186">
        <f t="shared" si="18"/>
        <v>-1</v>
      </c>
      <c r="S33" s="186">
        <f t="shared" si="18"/>
        <v>-1</v>
      </c>
    </row>
    <row r="34" spans="1:19">
      <c r="A34" s="526" t="s">
        <v>25</v>
      </c>
      <c r="B34" s="186" t="e">
        <f t="shared" ref="B34:M34" si="19">B22/B386-1</f>
        <v>#DIV/0!</v>
      </c>
      <c r="C34" s="186" t="e">
        <f t="shared" si="19"/>
        <v>#DIV/0!</v>
      </c>
      <c r="D34" s="186" t="e">
        <f t="shared" si="19"/>
        <v>#DIV/0!</v>
      </c>
      <c r="E34" s="186" t="e">
        <f t="shared" si="19"/>
        <v>#DIV/0!</v>
      </c>
      <c r="F34" s="186" t="e">
        <f t="shared" si="19"/>
        <v>#DIV/0!</v>
      </c>
      <c r="G34" s="186" t="e">
        <f t="shared" si="19"/>
        <v>#DIV/0!</v>
      </c>
      <c r="H34" s="186" t="e">
        <f t="shared" si="19"/>
        <v>#DIV/0!</v>
      </c>
      <c r="I34" s="186" t="e">
        <f t="shared" si="19"/>
        <v>#DIV/0!</v>
      </c>
      <c r="J34" s="186" t="e">
        <f t="shared" si="19"/>
        <v>#DIV/0!</v>
      </c>
      <c r="K34" s="186" t="e">
        <f t="shared" si="19"/>
        <v>#DIV/0!</v>
      </c>
      <c r="L34" s="186" t="e">
        <f t="shared" si="19"/>
        <v>#DIV/0!</v>
      </c>
      <c r="M34" s="186" t="e">
        <f t="shared" si="19"/>
        <v>#DIV/0!</v>
      </c>
      <c r="N34" s="186"/>
      <c r="O34" s="186" t="e">
        <f t="shared" si="18"/>
        <v>#DIV/0!</v>
      </c>
      <c r="P34" s="186" t="e">
        <f t="shared" si="18"/>
        <v>#DIV/0!</v>
      </c>
      <c r="Q34" s="186" t="e">
        <f t="shared" si="18"/>
        <v>#DIV/0!</v>
      </c>
      <c r="R34" s="186" t="e">
        <f t="shared" si="18"/>
        <v>#DIV/0!</v>
      </c>
      <c r="S34" s="186" t="e">
        <f t="shared" si="18"/>
        <v>#DIV/0!</v>
      </c>
    </row>
    <row r="35" spans="1:19">
      <c r="A35" s="526" t="s">
        <v>172</v>
      </c>
      <c r="B35" s="186">
        <f t="shared" ref="B35:M35" si="20">B23/B387-1</f>
        <v>-0.66881249087630645</v>
      </c>
      <c r="C35" s="186" t="e">
        <f t="shared" si="20"/>
        <v>#DIV/0!</v>
      </c>
      <c r="D35" s="186" t="e">
        <f t="shared" si="20"/>
        <v>#DIV/0!</v>
      </c>
      <c r="E35" s="186" t="e">
        <f t="shared" si="20"/>
        <v>#DIV/0!</v>
      </c>
      <c r="F35" s="186" t="e">
        <f t="shared" si="20"/>
        <v>#DIV/0!</v>
      </c>
      <c r="G35" s="186" t="e">
        <f t="shared" si="20"/>
        <v>#DIV/0!</v>
      </c>
      <c r="H35" s="186" t="e">
        <f t="shared" si="20"/>
        <v>#DIV/0!</v>
      </c>
      <c r="I35" s="186" t="e">
        <f t="shared" si="20"/>
        <v>#DIV/0!</v>
      </c>
      <c r="J35" s="186" t="e">
        <f t="shared" si="20"/>
        <v>#DIV/0!</v>
      </c>
      <c r="K35" s="186" t="e">
        <f t="shared" si="20"/>
        <v>#DIV/0!</v>
      </c>
      <c r="L35" s="186" t="e">
        <f t="shared" si="20"/>
        <v>#DIV/0!</v>
      </c>
      <c r="M35" s="186" t="e">
        <f t="shared" si="20"/>
        <v>#DIV/0!</v>
      </c>
      <c r="N35" s="186"/>
      <c r="O35" s="186">
        <f t="shared" si="18"/>
        <v>-1</v>
      </c>
      <c r="P35" s="186" t="e">
        <f t="shared" si="18"/>
        <v>#DIV/0!</v>
      </c>
      <c r="Q35" s="186" t="e">
        <f t="shared" si="18"/>
        <v>#DIV/0!</v>
      </c>
      <c r="R35" s="186" t="e">
        <f t="shared" si="18"/>
        <v>#DIV/0!</v>
      </c>
      <c r="S35" s="186">
        <f t="shared" si="18"/>
        <v>-1</v>
      </c>
    </row>
    <row r="36" spans="1:19" ht="13" customHeight="1">
      <c r="A36" s="529" t="s">
        <v>196</v>
      </c>
      <c r="B36" s="241" t="e">
        <f t="shared" ref="B36:M36" si="21">B24/B388-1</f>
        <v>#DIV/0!</v>
      </c>
      <c r="C36" s="241" t="e">
        <f t="shared" si="21"/>
        <v>#DIV/0!</v>
      </c>
      <c r="D36" s="241" t="e">
        <f t="shared" si="21"/>
        <v>#DIV/0!</v>
      </c>
      <c r="E36" s="241" t="e">
        <f t="shared" si="21"/>
        <v>#DIV/0!</v>
      </c>
      <c r="F36" s="241" t="e">
        <f t="shared" si="21"/>
        <v>#DIV/0!</v>
      </c>
      <c r="G36" s="241" t="e">
        <f t="shared" si="21"/>
        <v>#DIV/0!</v>
      </c>
      <c r="H36" s="241" t="e">
        <f t="shared" si="21"/>
        <v>#DIV/0!</v>
      </c>
      <c r="I36" s="241" t="e">
        <f t="shared" si="21"/>
        <v>#DIV/0!</v>
      </c>
      <c r="J36" s="241" t="e">
        <f t="shared" si="21"/>
        <v>#DIV/0!</v>
      </c>
      <c r="K36" s="241" t="e">
        <f t="shared" si="21"/>
        <v>#DIV/0!</v>
      </c>
      <c r="L36" s="241" t="e">
        <f t="shared" si="21"/>
        <v>#DIV/0!</v>
      </c>
      <c r="M36" s="241" t="e">
        <f t="shared" si="21"/>
        <v>#DIV/0!</v>
      </c>
      <c r="N36" s="186"/>
      <c r="O36" s="241" t="e">
        <f t="shared" si="18"/>
        <v>#DIV/0!</v>
      </c>
      <c r="P36" s="241" t="e">
        <f t="shared" si="18"/>
        <v>#DIV/0!</v>
      </c>
      <c r="Q36" s="241" t="e">
        <f t="shared" si="18"/>
        <v>#DIV/0!</v>
      </c>
      <c r="R36" s="241" t="e">
        <f t="shared" si="18"/>
        <v>#DIV/0!</v>
      </c>
      <c r="S36" s="241" t="e">
        <f t="shared" si="18"/>
        <v>#DIV/0!</v>
      </c>
    </row>
    <row r="37" spans="1:19">
      <c r="B37" s="186"/>
    </row>
    <row r="38" spans="1:19" ht="13" customHeight="1">
      <c r="A38" s="532" t="s">
        <v>148</v>
      </c>
    </row>
    <row r="39" spans="1:19" ht="13" customHeight="1">
      <c r="A39" s="533" t="s">
        <v>142</v>
      </c>
    </row>
    <row r="40" spans="1:19">
      <c r="A40" s="526" t="s">
        <v>22</v>
      </c>
      <c r="B40" s="443">
        <v>153.69999999999999</v>
      </c>
      <c r="C40" s="443">
        <v>158.69999999999999</v>
      </c>
      <c r="D40" s="443">
        <v>162.04</v>
      </c>
      <c r="E40" s="443">
        <v>156.87</v>
      </c>
      <c r="F40" s="443">
        <v>157.22</v>
      </c>
      <c r="G40" s="443">
        <v>153.06</v>
      </c>
      <c r="H40" s="443">
        <v>164.03</v>
      </c>
      <c r="I40" s="443"/>
      <c r="J40" s="443"/>
      <c r="K40" s="443"/>
      <c r="L40" s="443"/>
      <c r="M40" s="443"/>
      <c r="O40" s="443"/>
      <c r="P40" s="443"/>
      <c r="Q40" s="443"/>
      <c r="R40" s="443"/>
      <c r="S40" s="443"/>
    </row>
    <row r="41" spans="1:19">
      <c r="A41" s="526" t="s">
        <v>25</v>
      </c>
      <c r="B41" s="443">
        <v>322.57</v>
      </c>
      <c r="C41" s="443">
        <v>333.95</v>
      </c>
      <c r="D41" s="443">
        <v>331.78</v>
      </c>
      <c r="E41" s="443">
        <v>321.58999999999997</v>
      </c>
      <c r="F41" s="443">
        <v>309.08</v>
      </c>
      <c r="G41" s="443">
        <v>303.32</v>
      </c>
      <c r="H41" s="443">
        <v>351.08</v>
      </c>
      <c r="I41" s="443"/>
      <c r="J41" s="443"/>
      <c r="K41" s="443"/>
      <c r="L41" s="443"/>
      <c r="M41" s="443"/>
      <c r="O41" s="443"/>
      <c r="P41" s="443"/>
      <c r="Q41" s="443"/>
      <c r="R41" s="443"/>
      <c r="S41" s="443"/>
    </row>
    <row r="42" spans="1:19">
      <c r="A42" s="526" t="s">
        <v>172</v>
      </c>
      <c r="B42" s="443">
        <v>417.6</v>
      </c>
      <c r="C42" s="443">
        <v>471.7</v>
      </c>
      <c r="D42" s="443">
        <v>453.9</v>
      </c>
      <c r="E42" s="443">
        <v>425.9</v>
      </c>
      <c r="F42" s="443">
        <v>381.4</v>
      </c>
      <c r="G42" s="443">
        <v>366.4</v>
      </c>
      <c r="H42" s="443">
        <v>404.8</v>
      </c>
      <c r="I42" s="443"/>
      <c r="J42" s="443"/>
      <c r="K42" s="443"/>
      <c r="L42" s="443"/>
      <c r="M42" s="443"/>
      <c r="O42" s="443"/>
      <c r="P42" s="443"/>
      <c r="Q42" s="443"/>
      <c r="R42" s="443"/>
      <c r="S42" s="443"/>
    </row>
    <row r="43" spans="1:19" ht="13" customHeight="1">
      <c r="A43" s="527" t="s">
        <v>196</v>
      </c>
      <c r="B43" s="482">
        <f t="shared" ref="B43:M43" si="22">SUM(B40:B42)</f>
        <v>893.87</v>
      </c>
      <c r="C43" s="482">
        <f t="shared" si="22"/>
        <v>964.34999999999991</v>
      </c>
      <c r="D43" s="482">
        <f t="shared" si="22"/>
        <v>947.71999999999991</v>
      </c>
      <c r="E43" s="482">
        <f t="shared" si="22"/>
        <v>904.3599999999999</v>
      </c>
      <c r="F43" s="482">
        <f t="shared" si="22"/>
        <v>847.69999999999993</v>
      </c>
      <c r="G43" s="482">
        <f t="shared" si="22"/>
        <v>822.78</v>
      </c>
      <c r="H43" s="482">
        <f t="shared" si="22"/>
        <v>919.91000000000008</v>
      </c>
      <c r="I43" s="482">
        <f t="shared" si="22"/>
        <v>0</v>
      </c>
      <c r="J43" s="482">
        <f t="shared" si="22"/>
        <v>0</v>
      </c>
      <c r="K43" s="482">
        <f t="shared" si="22"/>
        <v>0</v>
      </c>
      <c r="L43" s="482">
        <f t="shared" si="22"/>
        <v>0</v>
      </c>
      <c r="M43" s="482">
        <f t="shared" si="22"/>
        <v>0</v>
      </c>
      <c r="O43" s="482"/>
      <c r="P43" s="482"/>
      <c r="Q43" s="482"/>
      <c r="R43" s="482"/>
      <c r="S43" s="482"/>
    </row>
    <row r="45" spans="1:19" ht="13" customHeight="1">
      <c r="A45" s="528" t="s">
        <v>174</v>
      </c>
    </row>
    <row r="46" spans="1:19">
      <c r="A46" s="526" t="s">
        <v>22</v>
      </c>
      <c r="B46" s="186">
        <f t="shared" ref="B46:M46" si="23">B40/B96-1</f>
        <v>4.9035632559659703E-3</v>
      </c>
      <c r="C46" s="186">
        <f t="shared" si="23"/>
        <v>0.19188884716485144</v>
      </c>
      <c r="D46" s="186">
        <f t="shared" si="23"/>
        <v>0.16091130534460518</v>
      </c>
      <c r="E46" s="186">
        <f t="shared" si="23"/>
        <v>2.8925619834710758E-2</v>
      </c>
      <c r="F46" s="186">
        <f t="shared" si="23"/>
        <v>4.6180463135480521E-2</v>
      </c>
      <c r="G46" s="530">
        <f t="shared" si="23"/>
        <v>-2.9053539710733212E-2</v>
      </c>
      <c r="H46" s="186">
        <f t="shared" si="23"/>
        <v>-1.5217920623326053E-3</v>
      </c>
      <c r="I46" s="186">
        <f t="shared" si="23"/>
        <v>-1</v>
      </c>
      <c r="J46" s="186">
        <f t="shared" si="23"/>
        <v>-1</v>
      </c>
      <c r="K46" s="186">
        <f t="shared" si="23"/>
        <v>-1</v>
      </c>
      <c r="L46" s="186">
        <f t="shared" si="23"/>
        <v>-1</v>
      </c>
      <c r="M46" s="186">
        <f t="shared" si="23"/>
        <v>-1</v>
      </c>
      <c r="N46" s="186"/>
      <c r="O46" s="186" t="e">
        <f t="shared" ref="O46:S49" si="24">O40/O96-1</f>
        <v>#DIV/0!</v>
      </c>
      <c r="P46" s="186" t="e">
        <f t="shared" si="24"/>
        <v>#DIV/0!</v>
      </c>
      <c r="Q46" s="186" t="e">
        <f t="shared" si="24"/>
        <v>#DIV/0!</v>
      </c>
      <c r="R46" s="186" t="e">
        <f t="shared" si="24"/>
        <v>#DIV/0!</v>
      </c>
      <c r="S46" s="186" t="e">
        <f t="shared" si="24"/>
        <v>#DIV/0!</v>
      </c>
    </row>
    <row r="47" spans="1:19">
      <c r="A47" s="526" t="s">
        <v>25</v>
      </c>
      <c r="B47" s="186">
        <f t="shared" ref="B47:M47" si="25">B41/B97-1</f>
        <v>-1.5384145783095771E-2</v>
      </c>
      <c r="C47" s="186">
        <f t="shared" si="25"/>
        <v>0.21670856559915452</v>
      </c>
      <c r="D47" s="186">
        <f t="shared" si="25"/>
        <v>9.596009645558734E-2</v>
      </c>
      <c r="E47" s="186">
        <f t="shared" si="25"/>
        <v>4.5920279895037552E-3</v>
      </c>
      <c r="F47" s="186">
        <f t="shared" si="25"/>
        <v>-5.4135936591486411E-2</v>
      </c>
      <c r="G47" s="186">
        <f t="shared" si="25"/>
        <v>-5.4518250677971447E-2</v>
      </c>
      <c r="H47" s="186">
        <f t="shared" si="25"/>
        <v>0.10215357568908123</v>
      </c>
      <c r="I47" s="186">
        <f t="shared" si="25"/>
        <v>-1</v>
      </c>
      <c r="J47" s="186">
        <f t="shared" si="25"/>
        <v>-1</v>
      </c>
      <c r="K47" s="186">
        <f t="shared" si="25"/>
        <v>-1</v>
      </c>
      <c r="L47" s="186">
        <f t="shared" si="25"/>
        <v>-1</v>
      </c>
      <c r="M47" s="186">
        <f t="shared" si="25"/>
        <v>-1</v>
      </c>
      <c r="N47" s="186"/>
      <c r="O47" s="186" t="e">
        <f t="shared" si="24"/>
        <v>#DIV/0!</v>
      </c>
      <c r="P47" s="186" t="e">
        <f t="shared" si="24"/>
        <v>#DIV/0!</v>
      </c>
      <c r="Q47" s="186" t="e">
        <f t="shared" si="24"/>
        <v>#DIV/0!</v>
      </c>
      <c r="R47" s="186" t="e">
        <f t="shared" si="24"/>
        <v>#DIV/0!</v>
      </c>
      <c r="S47" s="186" t="e">
        <f t="shared" si="24"/>
        <v>#DIV/0!</v>
      </c>
    </row>
    <row r="48" spans="1:19">
      <c r="A48" s="526" t="s">
        <v>172</v>
      </c>
      <c r="B48" s="186">
        <f t="shared" ref="B48:M48" si="26">B42/B98-1</f>
        <v>1.1382901428917513E-2</v>
      </c>
      <c r="C48" s="186">
        <f t="shared" si="26"/>
        <v>0.35118877112575175</v>
      </c>
      <c r="D48" s="186">
        <f t="shared" si="26"/>
        <v>0.20653907496012747</v>
      </c>
      <c r="E48" s="186">
        <f t="shared" si="26"/>
        <v>5.6299603174603252E-2</v>
      </c>
      <c r="F48" s="186">
        <f t="shared" si="26"/>
        <v>-2.3303457106274017E-2</v>
      </c>
      <c r="G48" s="186">
        <f t="shared" si="26"/>
        <v>-0.10063819342169855</v>
      </c>
      <c r="H48" s="186">
        <f t="shared" si="26"/>
        <v>-8.1252837040399428E-2</v>
      </c>
      <c r="I48" s="186">
        <f t="shared" si="26"/>
        <v>-1</v>
      </c>
      <c r="J48" s="186">
        <f t="shared" si="26"/>
        <v>-1</v>
      </c>
      <c r="K48" s="186">
        <f t="shared" si="26"/>
        <v>-1</v>
      </c>
      <c r="L48" s="186">
        <f t="shared" si="26"/>
        <v>-1</v>
      </c>
      <c r="M48" s="186">
        <f t="shared" si="26"/>
        <v>-1</v>
      </c>
      <c r="N48" s="186"/>
      <c r="O48" s="186" t="e">
        <f t="shared" si="24"/>
        <v>#DIV/0!</v>
      </c>
      <c r="P48" s="186" t="e">
        <f t="shared" si="24"/>
        <v>#DIV/0!</v>
      </c>
      <c r="Q48" s="186" t="e">
        <f t="shared" si="24"/>
        <v>#DIV/0!</v>
      </c>
      <c r="R48" s="186" t="e">
        <f t="shared" si="24"/>
        <v>#DIV/0!</v>
      </c>
      <c r="S48" s="186" t="e">
        <f t="shared" si="24"/>
        <v>#DIV/0!</v>
      </c>
    </row>
    <row r="49" spans="1:20 16384:16384" ht="13" customHeight="1">
      <c r="A49" s="529" t="s">
        <v>196</v>
      </c>
      <c r="B49" s="206">
        <f t="shared" ref="B49:M49" si="27">B43/B99-1</f>
        <v>4.5889015736566563E-4</v>
      </c>
      <c r="C49" s="206">
        <f t="shared" si="27"/>
        <v>0.27438154138915305</v>
      </c>
      <c r="D49" s="206">
        <f t="shared" si="27"/>
        <v>0.15786001392774662</v>
      </c>
      <c r="E49" s="206">
        <f t="shared" si="27"/>
        <v>3.2633766471031445E-2</v>
      </c>
      <c r="F49" s="206">
        <f t="shared" si="27"/>
        <v>-2.288052561812004E-2</v>
      </c>
      <c r="G49" s="206">
        <f t="shared" si="27"/>
        <v>-7.1197155274594914E-2</v>
      </c>
      <c r="H49" s="206">
        <f t="shared" si="27"/>
        <v>-3.8010872625674486E-3</v>
      </c>
      <c r="I49" s="206">
        <f t="shared" si="27"/>
        <v>-1</v>
      </c>
      <c r="J49" s="206">
        <f t="shared" si="27"/>
        <v>-1</v>
      </c>
      <c r="K49" s="206">
        <f t="shared" si="27"/>
        <v>-1</v>
      </c>
      <c r="L49" s="206">
        <f t="shared" si="27"/>
        <v>-1</v>
      </c>
      <c r="M49" s="206">
        <f t="shared" si="27"/>
        <v>-1</v>
      </c>
      <c r="N49" s="206"/>
      <c r="O49" s="206" t="e">
        <f t="shared" si="24"/>
        <v>#DIV/0!</v>
      </c>
      <c r="P49" s="206" t="e">
        <f t="shared" si="24"/>
        <v>#DIV/0!</v>
      </c>
      <c r="Q49" s="206" t="e">
        <f t="shared" si="24"/>
        <v>#DIV/0!</v>
      </c>
      <c r="R49" s="206" t="e">
        <f t="shared" si="24"/>
        <v>#DIV/0!</v>
      </c>
      <c r="S49" s="206" t="e">
        <f t="shared" si="24"/>
        <v>#DIV/0!</v>
      </c>
    </row>
    <row r="50" spans="1:20 16384:16384" ht="13" customHeight="1">
      <c r="A50" s="529"/>
    </row>
    <row r="51" spans="1:20 16384:16384" ht="13" customHeight="1">
      <c r="A51" s="528" t="s">
        <v>179</v>
      </c>
    </row>
    <row r="52" spans="1:20 16384:16384">
      <c r="A52" s="526" t="s">
        <v>22</v>
      </c>
      <c r="B52" s="186">
        <f t="shared" ref="B52:M52" si="28">B40/B402-1</f>
        <v>-0.79806340572569734</v>
      </c>
      <c r="C52" s="186">
        <f t="shared" si="28"/>
        <v>1.2017203107658156</v>
      </c>
      <c r="D52" s="186">
        <f t="shared" si="28"/>
        <v>5.1847328244274795</v>
      </c>
      <c r="E52" s="186">
        <f t="shared" si="28"/>
        <v>30.819472616632861</v>
      </c>
      <c r="F52" s="186">
        <f t="shared" si="28"/>
        <v>21.112517580872012</v>
      </c>
      <c r="G52" s="186">
        <f t="shared" si="28"/>
        <v>9.7788732394366207</v>
      </c>
      <c r="H52" s="186">
        <f t="shared" si="28"/>
        <v>10.351557093425606</v>
      </c>
      <c r="I52" s="186">
        <f t="shared" si="28"/>
        <v>-1</v>
      </c>
      <c r="J52" s="186">
        <f t="shared" si="28"/>
        <v>-1</v>
      </c>
      <c r="K52" s="186">
        <f t="shared" si="28"/>
        <v>-1</v>
      </c>
      <c r="L52" s="186">
        <f t="shared" si="28"/>
        <v>-1</v>
      </c>
      <c r="M52" s="186">
        <f t="shared" si="28"/>
        <v>-1</v>
      </c>
      <c r="N52" s="186"/>
      <c r="O52" s="186">
        <f t="shared" ref="O52:S55" si="29">O40/O402-1</f>
        <v>-1</v>
      </c>
      <c r="P52" s="186">
        <f t="shared" si="29"/>
        <v>-1</v>
      </c>
      <c r="Q52" s="186">
        <f t="shared" si="29"/>
        <v>-1</v>
      </c>
      <c r="R52" s="186">
        <f t="shared" si="29"/>
        <v>-1</v>
      </c>
      <c r="S52" s="186">
        <f t="shared" si="29"/>
        <v>-1</v>
      </c>
    </row>
    <row r="53" spans="1:20 16384:16384">
      <c r="A53" s="526" t="s">
        <v>25</v>
      </c>
      <c r="B53" s="186" t="e">
        <f t="shared" ref="B53:M53" si="30">B41/B403-1</f>
        <v>#DIV/0!</v>
      </c>
      <c r="C53" s="186" t="e">
        <f t="shared" si="30"/>
        <v>#DIV/0!</v>
      </c>
      <c r="D53" s="186" t="e">
        <f t="shared" si="30"/>
        <v>#DIV/0!</v>
      </c>
      <c r="E53" s="186" t="e">
        <f t="shared" si="30"/>
        <v>#DIV/0!</v>
      </c>
      <c r="F53" s="186" t="e">
        <f t="shared" si="30"/>
        <v>#DIV/0!</v>
      </c>
      <c r="G53" s="186" t="e">
        <f t="shared" si="30"/>
        <v>#DIV/0!</v>
      </c>
      <c r="H53" s="186" t="e">
        <f t="shared" si="30"/>
        <v>#DIV/0!</v>
      </c>
      <c r="I53" s="186" t="e">
        <f t="shared" si="30"/>
        <v>#DIV/0!</v>
      </c>
      <c r="J53" s="186" t="e">
        <f t="shared" si="30"/>
        <v>#DIV/0!</v>
      </c>
      <c r="K53" s="186" t="e">
        <f t="shared" si="30"/>
        <v>#DIV/0!</v>
      </c>
      <c r="L53" s="186" t="e">
        <f t="shared" si="30"/>
        <v>#DIV/0!</v>
      </c>
      <c r="M53" s="186" t="e">
        <f t="shared" si="30"/>
        <v>#DIV/0!</v>
      </c>
      <c r="N53" s="186"/>
      <c r="O53" s="186" t="e">
        <f t="shared" si="29"/>
        <v>#DIV/0!</v>
      </c>
      <c r="P53" s="186" t="e">
        <f t="shared" si="29"/>
        <v>#DIV/0!</v>
      </c>
      <c r="Q53" s="186" t="e">
        <f t="shared" si="29"/>
        <v>#DIV/0!</v>
      </c>
      <c r="R53" s="186" t="e">
        <f t="shared" si="29"/>
        <v>#DIV/0!</v>
      </c>
      <c r="S53" s="186" t="e">
        <f t="shared" si="29"/>
        <v>#DIV/0!</v>
      </c>
    </row>
    <row r="54" spans="1:20 16384:16384">
      <c r="A54" s="526" t="s">
        <v>172</v>
      </c>
      <c r="B54" s="186">
        <f t="shared" ref="B54:M54" si="31">B42/B404-1</f>
        <v>-0.4513420834811398</v>
      </c>
      <c r="C54" s="186" t="e">
        <f t="shared" si="31"/>
        <v>#DIV/0!</v>
      </c>
      <c r="D54" s="186" t="e">
        <f t="shared" si="31"/>
        <v>#DIV/0!</v>
      </c>
      <c r="E54" s="186" t="e">
        <f t="shared" si="31"/>
        <v>#DIV/0!</v>
      </c>
      <c r="F54" s="186" t="e">
        <f t="shared" si="31"/>
        <v>#DIV/0!</v>
      </c>
      <c r="G54" s="186" t="e">
        <f t="shared" si="31"/>
        <v>#DIV/0!</v>
      </c>
      <c r="H54" s="186" t="e">
        <f t="shared" si="31"/>
        <v>#DIV/0!</v>
      </c>
      <c r="I54" s="186" t="e">
        <f t="shared" si="31"/>
        <v>#DIV/0!</v>
      </c>
      <c r="J54" s="186" t="e">
        <f t="shared" si="31"/>
        <v>#DIV/0!</v>
      </c>
      <c r="K54" s="186" t="e">
        <f t="shared" si="31"/>
        <v>#DIV/0!</v>
      </c>
      <c r="L54" s="186" t="e">
        <f t="shared" si="31"/>
        <v>#DIV/0!</v>
      </c>
      <c r="M54" s="186" t="e">
        <f t="shared" si="31"/>
        <v>#DIV/0!</v>
      </c>
      <c r="N54" s="186"/>
      <c r="O54" s="186">
        <f t="shared" si="29"/>
        <v>-1</v>
      </c>
      <c r="P54" s="186" t="e">
        <f t="shared" si="29"/>
        <v>#DIV/0!</v>
      </c>
      <c r="Q54" s="186" t="e">
        <f t="shared" si="29"/>
        <v>#DIV/0!</v>
      </c>
      <c r="R54" s="186" t="e">
        <f t="shared" si="29"/>
        <v>#DIV/0!</v>
      </c>
      <c r="S54" s="186">
        <f t="shared" si="29"/>
        <v>-1</v>
      </c>
    </row>
    <row r="55" spans="1:20 16384:16384" ht="13" customHeight="1">
      <c r="A55" s="529" t="s">
        <v>196</v>
      </c>
      <c r="B55" s="206" t="e">
        <f t="shared" ref="B55:M55" si="32">B43/B405-1</f>
        <v>#DIV/0!</v>
      </c>
      <c r="C55" s="206" t="e">
        <f t="shared" si="32"/>
        <v>#DIV/0!</v>
      </c>
      <c r="D55" s="206" t="e">
        <f t="shared" si="32"/>
        <v>#DIV/0!</v>
      </c>
      <c r="E55" s="206" t="e">
        <f t="shared" si="32"/>
        <v>#DIV/0!</v>
      </c>
      <c r="F55" s="206" t="e">
        <f t="shared" si="32"/>
        <v>#DIV/0!</v>
      </c>
      <c r="G55" s="206" t="e">
        <f t="shared" si="32"/>
        <v>#DIV/0!</v>
      </c>
      <c r="H55" s="206" t="e">
        <f t="shared" si="32"/>
        <v>#DIV/0!</v>
      </c>
      <c r="I55" s="206" t="e">
        <f t="shared" si="32"/>
        <v>#DIV/0!</v>
      </c>
      <c r="J55" s="206" t="e">
        <f t="shared" si="32"/>
        <v>#DIV/0!</v>
      </c>
      <c r="K55" s="206" t="e">
        <f t="shared" si="32"/>
        <v>#DIV/0!</v>
      </c>
      <c r="L55" s="206" t="e">
        <f t="shared" si="32"/>
        <v>#DIV/0!</v>
      </c>
      <c r="M55" s="206" t="e">
        <f t="shared" si="32"/>
        <v>#DIV/0!</v>
      </c>
      <c r="N55" s="206"/>
      <c r="O55" s="206" t="e">
        <f t="shared" si="29"/>
        <v>#DIV/0!</v>
      </c>
      <c r="P55" s="206" t="e">
        <f t="shared" si="29"/>
        <v>#DIV/0!</v>
      </c>
      <c r="Q55" s="206" t="e">
        <f t="shared" si="29"/>
        <v>#DIV/0!</v>
      </c>
      <c r="R55" s="206" t="e">
        <f t="shared" si="29"/>
        <v>#DIV/0!</v>
      </c>
      <c r="S55" s="206" t="e">
        <f t="shared" si="29"/>
        <v>#DIV/0!</v>
      </c>
    </row>
    <row r="56" spans="1:20 16384:16384" ht="13" customHeight="1">
      <c r="A56" s="529"/>
    </row>
    <row r="57" spans="1:20 16384:16384" ht="13" customHeight="1">
      <c r="A57" s="525" t="s">
        <v>202</v>
      </c>
      <c r="B57" s="472" t="s">
        <v>51</v>
      </c>
      <c r="C57" s="472" t="s">
        <v>52</v>
      </c>
      <c r="D57" s="472" t="s">
        <v>53</v>
      </c>
      <c r="E57" s="472" t="s">
        <v>54</v>
      </c>
      <c r="F57" s="472" t="s">
        <v>55</v>
      </c>
      <c r="G57" s="472" t="s">
        <v>77</v>
      </c>
      <c r="H57" s="472" t="s">
        <v>78</v>
      </c>
      <c r="I57" s="472" t="s">
        <v>79</v>
      </c>
      <c r="J57" s="472" t="s">
        <v>80</v>
      </c>
      <c r="K57" s="472" t="s">
        <v>81</v>
      </c>
      <c r="L57" s="472" t="s">
        <v>82</v>
      </c>
      <c r="M57" s="472" t="s">
        <v>44</v>
      </c>
      <c r="N57" s="473" t="s">
        <v>133</v>
      </c>
      <c r="O57" s="473" t="s">
        <v>129</v>
      </c>
      <c r="P57" s="473" t="s">
        <v>130</v>
      </c>
      <c r="Q57" s="473" t="s">
        <v>131</v>
      </c>
      <c r="R57" s="473" t="s">
        <v>132</v>
      </c>
      <c r="S57" s="473" t="s">
        <v>171</v>
      </c>
      <c r="T57" s="445"/>
    </row>
    <row r="58" spans="1:20 16384:16384">
      <c r="A58" s="526" t="s">
        <v>22</v>
      </c>
      <c r="B58" s="443">
        <f>1804.88+152.95</f>
        <v>1957.8300000000002</v>
      </c>
      <c r="C58" s="443">
        <f t="shared" ref="C58:M58" si="33">C77+C96</f>
        <v>1694.48</v>
      </c>
      <c r="D58" s="443">
        <f t="shared" si="33"/>
        <v>1735.05</v>
      </c>
      <c r="E58" s="443">
        <f t="shared" si="33"/>
        <v>1882.97</v>
      </c>
      <c r="F58" s="443">
        <f t="shared" si="33"/>
        <v>1823.1</v>
      </c>
      <c r="G58" s="443">
        <f t="shared" si="33"/>
        <v>2029.1269368885064</v>
      </c>
      <c r="H58" s="443">
        <f t="shared" si="33"/>
        <v>2013.1</v>
      </c>
      <c r="I58" s="443">
        <f t="shared" si="33"/>
        <v>2078.63</v>
      </c>
      <c r="J58" s="443">
        <f t="shared" si="33"/>
        <v>1857.3</v>
      </c>
      <c r="K58" s="443">
        <f t="shared" si="33"/>
        <v>2009.3700000000001</v>
      </c>
      <c r="L58" s="443">
        <f t="shared" si="33"/>
        <v>1963.58</v>
      </c>
      <c r="M58" s="443">
        <f t="shared" si="33"/>
        <v>2065.15</v>
      </c>
      <c r="O58" s="443"/>
      <c r="P58" s="443"/>
      <c r="Q58" s="443"/>
      <c r="R58" s="443"/>
      <c r="S58" s="443"/>
      <c r="XFD58" s="443">
        <f>XFD77+XFD96</f>
        <v>0</v>
      </c>
    </row>
    <row r="59" spans="1:20 16384:16384">
      <c r="A59" s="526" t="s">
        <v>25</v>
      </c>
      <c r="B59" s="443">
        <f>1793.53+327.61</f>
        <v>2121.14</v>
      </c>
      <c r="C59" s="443">
        <f>C78+C97</f>
        <v>1821.57</v>
      </c>
      <c r="D59" s="443">
        <f>1626.45+302.73</f>
        <v>1929.18</v>
      </c>
      <c r="E59" s="443">
        <f t="shared" ref="E59:M59" si="34">E78+E97</f>
        <v>1982.06</v>
      </c>
      <c r="F59" s="443">
        <f t="shared" si="34"/>
        <v>2019.1</v>
      </c>
      <c r="G59" s="443">
        <f t="shared" si="34"/>
        <v>2011.81</v>
      </c>
      <c r="H59" s="443">
        <f t="shared" si="34"/>
        <v>2161.86</v>
      </c>
      <c r="I59" s="443">
        <f t="shared" si="34"/>
        <v>2330.58</v>
      </c>
      <c r="J59" s="443">
        <f t="shared" si="34"/>
        <v>1839.25</v>
      </c>
      <c r="K59" s="443">
        <f t="shared" si="34"/>
        <v>2138.4499999999998</v>
      </c>
      <c r="L59" s="443">
        <f t="shared" si="34"/>
        <v>2085.23</v>
      </c>
      <c r="M59" s="443">
        <f t="shared" si="34"/>
        <v>2111.21</v>
      </c>
      <c r="O59" s="443"/>
      <c r="P59" s="443"/>
      <c r="Q59" s="443"/>
      <c r="R59" s="443"/>
      <c r="S59" s="443"/>
    </row>
    <row r="60" spans="1:20 16384:16384">
      <c r="A60" s="526" t="s">
        <v>172</v>
      </c>
      <c r="B60" s="443">
        <f>1618.2+412.9</f>
        <v>2031.1</v>
      </c>
      <c r="C60" s="443">
        <f>C79+C98</f>
        <v>1711.9</v>
      </c>
      <c r="D60" s="443">
        <f>1418.2+376.2</f>
        <v>1794.4</v>
      </c>
      <c r="E60" s="443">
        <f t="shared" ref="E60:M60" si="35">E79+E98</f>
        <v>1913.8</v>
      </c>
      <c r="F60" s="443">
        <f t="shared" si="35"/>
        <v>1906.7</v>
      </c>
      <c r="G60" s="443">
        <f t="shared" si="35"/>
        <v>1920.6999999999998</v>
      </c>
      <c r="H60" s="443">
        <f t="shared" si="35"/>
        <v>2087.4</v>
      </c>
      <c r="I60" s="443">
        <f t="shared" si="35"/>
        <v>2255.9</v>
      </c>
      <c r="J60" s="443">
        <f t="shared" si="35"/>
        <v>1903.8000000000002</v>
      </c>
      <c r="K60" s="443">
        <f t="shared" si="35"/>
        <v>2090.1</v>
      </c>
      <c r="L60" s="443">
        <f t="shared" si="35"/>
        <v>2050.8000000000002</v>
      </c>
      <c r="M60" s="443">
        <f t="shared" si="35"/>
        <v>1911.4</v>
      </c>
      <c r="O60" s="443"/>
      <c r="P60" s="443"/>
      <c r="Q60" s="443"/>
      <c r="R60" s="443"/>
      <c r="S60" s="443"/>
    </row>
    <row r="61" spans="1:20 16384:16384" ht="13" customHeight="1">
      <c r="A61" s="527" t="s">
        <v>196</v>
      </c>
      <c r="B61" s="482">
        <f t="shared" ref="B61:M61" si="36">SUM(B58:B60)</f>
        <v>6110.07</v>
      </c>
      <c r="C61" s="482">
        <f t="shared" si="36"/>
        <v>5227.9500000000007</v>
      </c>
      <c r="D61" s="482">
        <f t="shared" si="36"/>
        <v>5458.63</v>
      </c>
      <c r="E61" s="482">
        <f t="shared" si="36"/>
        <v>5778.83</v>
      </c>
      <c r="F61" s="482">
        <f t="shared" si="36"/>
        <v>5748.9</v>
      </c>
      <c r="G61" s="482">
        <f t="shared" si="36"/>
        <v>5961.6369368885062</v>
      </c>
      <c r="H61" s="482">
        <f t="shared" si="36"/>
        <v>6262.3600000000006</v>
      </c>
      <c r="I61" s="482">
        <f t="shared" si="36"/>
        <v>6665.1100000000006</v>
      </c>
      <c r="J61" s="482">
        <f t="shared" si="36"/>
        <v>5600.35</v>
      </c>
      <c r="K61" s="482">
        <f t="shared" si="36"/>
        <v>6237.92</v>
      </c>
      <c r="L61" s="482">
        <f t="shared" si="36"/>
        <v>6099.6100000000006</v>
      </c>
      <c r="M61" s="482">
        <f t="shared" si="36"/>
        <v>6087.76</v>
      </c>
      <c r="O61" s="482">
        <f>SUM(B61:D61)</f>
        <v>16796.650000000001</v>
      </c>
      <c r="P61" s="482">
        <f>SUM(E61:G61)</f>
        <v>17489.366936888506</v>
      </c>
      <c r="Q61" s="482">
        <f>SUM(H61:J61)</f>
        <v>18527.82</v>
      </c>
      <c r="R61" s="482">
        <f>SUM(K61:M61)</f>
        <v>18425.29</v>
      </c>
      <c r="S61" s="482"/>
    </row>
    <row r="63" spans="1:20 16384:16384" ht="13" customHeight="1">
      <c r="A63" s="528" t="s">
        <v>176</v>
      </c>
    </row>
    <row r="64" spans="1:20 16384:16384">
      <c r="A64" s="526" t="s">
        <v>22</v>
      </c>
      <c r="B64" s="186">
        <f t="shared" ref="B64:M64" si="37">B58/B114-1</f>
        <v>0.40900749184964491</v>
      </c>
      <c r="C64" s="186">
        <f t="shared" si="37"/>
        <v>0.12573577284383686</v>
      </c>
      <c r="D64" s="186">
        <f t="shared" si="37"/>
        <v>0.19794111961114647</v>
      </c>
      <c r="E64" s="186">
        <f t="shared" si="37"/>
        <v>0.22835503483547748</v>
      </c>
      <c r="F64" s="186">
        <f t="shared" si="37"/>
        <v>0.1772948887669108</v>
      </c>
      <c r="G64" s="186">
        <f t="shared" si="37"/>
        <v>0.29229760910506908</v>
      </c>
      <c r="H64" s="186">
        <f t="shared" si="37"/>
        <v>0.11652800887409875</v>
      </c>
      <c r="I64" s="186">
        <f t="shared" si="37"/>
        <v>0.10919423692636077</v>
      </c>
      <c r="J64" s="186">
        <f t="shared" si="37"/>
        <v>8.4561077728920964E-2</v>
      </c>
      <c r="K64" s="186">
        <f t="shared" si="37"/>
        <v>0.15392169248969201</v>
      </c>
      <c r="L64" s="186">
        <f t="shared" si="37"/>
        <v>0.1862596434418553</v>
      </c>
      <c r="M64" s="186">
        <f t="shared" si="37"/>
        <v>0.15270405286982913</v>
      </c>
      <c r="N64" s="186"/>
      <c r="O64" s="186">
        <f t="shared" ref="O64:S67" si="38">O58/O114-1</f>
        <v>-1</v>
      </c>
      <c r="P64" s="186">
        <f t="shared" si="38"/>
        <v>-1</v>
      </c>
      <c r="Q64" s="186">
        <f t="shared" si="38"/>
        <v>-1</v>
      </c>
      <c r="R64" s="186">
        <f t="shared" si="38"/>
        <v>-1</v>
      </c>
      <c r="S64" s="145">
        <f t="shared" si="38"/>
        <v>-1</v>
      </c>
    </row>
    <row r="65" spans="1:19">
      <c r="A65" s="526" t="s">
        <v>25</v>
      </c>
      <c r="B65" s="186">
        <f t="shared" ref="B65:M65" si="39">B59/B115-1</f>
        <v>0.47429365768896603</v>
      </c>
      <c r="C65" s="186">
        <f t="shared" si="39"/>
        <v>0.13311312656290819</v>
      </c>
      <c r="D65" s="186">
        <f t="shared" si="39"/>
        <v>0.24620810831761464</v>
      </c>
      <c r="E65" s="186">
        <f t="shared" si="39"/>
        <v>0.21671925452112317</v>
      </c>
      <c r="F65" s="186">
        <f t="shared" si="39"/>
        <v>0.23113601580458876</v>
      </c>
      <c r="G65" s="186">
        <f t="shared" si="39"/>
        <v>0.14846381312295209</v>
      </c>
      <c r="H65" s="186">
        <f t="shared" si="39"/>
        <v>0.1324567836563646</v>
      </c>
      <c r="I65" s="186">
        <f t="shared" si="39"/>
        <v>0.13814523611857221</v>
      </c>
      <c r="J65" s="186">
        <f t="shared" si="39"/>
        <v>6.1224136538306162E-2</v>
      </c>
      <c r="K65" s="186">
        <f t="shared" si="39"/>
        <v>0.18971320481793641</v>
      </c>
      <c r="L65" s="186">
        <f t="shared" si="39"/>
        <v>0.16469221445846394</v>
      </c>
      <c r="M65" s="186">
        <f t="shared" si="39"/>
        <v>5.4724305205153589E-2</v>
      </c>
      <c r="N65" s="186"/>
      <c r="O65" s="186">
        <f t="shared" si="38"/>
        <v>-1</v>
      </c>
      <c r="P65" s="186">
        <f t="shared" si="38"/>
        <v>-1</v>
      </c>
      <c r="Q65" s="186">
        <f t="shared" si="38"/>
        <v>-1</v>
      </c>
      <c r="R65" s="186">
        <f t="shared" si="38"/>
        <v>-1</v>
      </c>
      <c r="S65" s="145">
        <f t="shared" si="38"/>
        <v>-1</v>
      </c>
    </row>
    <row r="66" spans="1:19">
      <c r="A66" s="526" t="s">
        <v>172</v>
      </c>
      <c r="B66" s="186">
        <f t="shared" ref="B66:M66" si="40">B60/B116-1</f>
        <v>0.40095185542833489</v>
      </c>
      <c r="C66" s="186">
        <f t="shared" si="40"/>
        <v>9.6739060798257448E-2</v>
      </c>
      <c r="D66" s="186">
        <f t="shared" si="40"/>
        <v>0.12002996067661198</v>
      </c>
      <c r="E66" s="186">
        <f t="shared" si="40"/>
        <v>0.10502915872740926</v>
      </c>
      <c r="F66" s="186">
        <f t="shared" si="40"/>
        <v>0.12007284262468421</v>
      </c>
      <c r="G66" s="186">
        <f t="shared" si="40"/>
        <v>9.660291178989433E-2</v>
      </c>
      <c r="H66" s="186">
        <f t="shared" si="40"/>
        <v>5.4775138959070269E-2</v>
      </c>
      <c r="I66" s="186">
        <f t="shared" si="40"/>
        <v>7.2501663972615704E-2</v>
      </c>
      <c r="J66" s="186">
        <f t="shared" si="40"/>
        <v>0.11535532251450009</v>
      </c>
      <c r="K66" s="186">
        <f t="shared" si="40"/>
        <v>0.16097317113814347</v>
      </c>
      <c r="L66" s="186">
        <f t="shared" si="40"/>
        <v>0.16344244624723436</v>
      </c>
      <c r="M66" s="186">
        <f t="shared" si="40"/>
        <v>3.8865546218487257E-3</v>
      </c>
      <c r="N66" s="186"/>
      <c r="O66" s="186">
        <f t="shared" si="38"/>
        <v>-1</v>
      </c>
      <c r="P66" s="186">
        <f t="shared" si="38"/>
        <v>-1</v>
      </c>
      <c r="Q66" s="186">
        <f t="shared" si="38"/>
        <v>-1</v>
      </c>
      <c r="R66" s="186">
        <f t="shared" si="38"/>
        <v>-1</v>
      </c>
      <c r="S66" s="145">
        <f t="shared" si="38"/>
        <v>-1</v>
      </c>
    </row>
    <row r="67" spans="1:19" ht="13" customHeight="1">
      <c r="A67" s="529" t="s">
        <v>196</v>
      </c>
      <c r="B67" s="186">
        <f t="shared" ref="B67:M67" si="41">B61/B117-1</f>
        <v>0.42823382561254375</v>
      </c>
      <c r="C67" s="186">
        <f t="shared" si="41"/>
        <v>0.1185891263880865</v>
      </c>
      <c r="D67" s="186">
        <f t="shared" si="41"/>
        <v>0.18704577579645543</v>
      </c>
      <c r="E67" s="186">
        <f t="shared" si="41"/>
        <v>0.1808375427067499</v>
      </c>
      <c r="F67" s="186">
        <f t="shared" si="41"/>
        <v>0.17543264197853925</v>
      </c>
      <c r="G67" s="186">
        <f t="shared" si="41"/>
        <v>0.1750749371504583</v>
      </c>
      <c r="H67" s="186">
        <f t="shared" si="41"/>
        <v>0.10039711825689701</v>
      </c>
      <c r="I67" s="186">
        <f t="shared" si="41"/>
        <v>0.10622396308774951</v>
      </c>
      <c r="J67" s="186">
        <f t="shared" si="41"/>
        <v>8.6912642915228044E-2</v>
      </c>
      <c r="K67" s="186">
        <f t="shared" si="41"/>
        <v>0.16834891339160785</v>
      </c>
      <c r="L67" s="186">
        <f t="shared" si="41"/>
        <v>0.17112362096176525</v>
      </c>
      <c r="M67" s="186">
        <f t="shared" si="41"/>
        <v>6.8545471140411873E-2</v>
      </c>
      <c r="N67" s="186"/>
      <c r="O67" s="186">
        <f t="shared" si="38"/>
        <v>0.23958138072627388</v>
      </c>
      <c r="P67" s="186">
        <f t="shared" si="38"/>
        <v>0.1770907198206304</v>
      </c>
      <c r="Q67" s="186">
        <f t="shared" si="38"/>
        <v>9.8359499259868644E-2</v>
      </c>
      <c r="R67" s="186">
        <f t="shared" si="38"/>
        <v>0.13423602941764901</v>
      </c>
      <c r="S67" s="145">
        <f t="shared" si="38"/>
        <v>-1</v>
      </c>
    </row>
    <row r="68" spans="1:19" ht="13" customHeight="1">
      <c r="A68" s="531"/>
      <c r="B68" s="186"/>
    </row>
    <row r="69" spans="1:19" ht="13" customHeight="1">
      <c r="A69" s="528" t="s">
        <v>179</v>
      </c>
      <c r="B69" s="186"/>
    </row>
    <row r="70" spans="1:19">
      <c r="A70" s="526" t="s">
        <v>22</v>
      </c>
      <c r="B70" s="186">
        <f t="shared" ref="B70:M70" si="42">B58/B416-1</f>
        <v>3.5171389142975018E-2</v>
      </c>
      <c r="C70" s="186">
        <f t="shared" si="42"/>
        <v>-8.1069648638535385E-2</v>
      </c>
      <c r="D70" s="186">
        <f t="shared" si="42"/>
        <v>-6.5569797501077165E-2</v>
      </c>
      <c r="E70" s="186">
        <f t="shared" si="42"/>
        <v>-5.996843211056091E-3</v>
      </c>
      <c r="F70" s="186">
        <f t="shared" si="42"/>
        <v>-9.1578575504770443E-3</v>
      </c>
      <c r="G70" s="186">
        <f t="shared" si="42"/>
        <v>8.8552373254351613E-2</v>
      </c>
      <c r="H70" s="186">
        <f t="shared" si="42"/>
        <v>-4.528618650377747E-2</v>
      </c>
      <c r="I70" s="186">
        <f t="shared" si="42"/>
        <v>-5.0402931072289991E-2</v>
      </c>
      <c r="J70" s="186">
        <f t="shared" si="42"/>
        <v>5.9142755012511206E-3</v>
      </c>
      <c r="K70" s="186">
        <f t="shared" si="42"/>
        <v>8.5482921242700405E-2</v>
      </c>
      <c r="L70" s="186">
        <f t="shared" si="42"/>
        <v>9.1041433992876675E-2</v>
      </c>
      <c r="M70" s="186">
        <f t="shared" si="42"/>
        <v>6.4658483397173949E-2</v>
      </c>
      <c r="N70" s="186"/>
      <c r="O70" s="186">
        <f t="shared" ref="O70:S73" si="43">O58/O416-1</f>
        <v>-1</v>
      </c>
      <c r="P70" s="186">
        <f t="shared" si="43"/>
        <v>-1</v>
      </c>
      <c r="Q70" s="186">
        <f t="shared" si="43"/>
        <v>-1</v>
      </c>
      <c r="R70" s="186">
        <f t="shared" si="43"/>
        <v>-1</v>
      </c>
      <c r="S70" s="186">
        <f t="shared" si="43"/>
        <v>-1</v>
      </c>
    </row>
    <row r="71" spans="1:19">
      <c r="A71" s="526" t="s">
        <v>25</v>
      </c>
      <c r="B71" s="186">
        <f t="shared" ref="B71:M71" si="44">B59/B417-1</f>
        <v>0.16267303966037505</v>
      </c>
      <c r="C71" s="186">
        <f t="shared" si="44"/>
        <v>6.197696578009726E-3</v>
      </c>
      <c r="D71" s="186">
        <f t="shared" si="44"/>
        <v>8.9772123868810061E-2</v>
      </c>
      <c r="E71" s="186">
        <f t="shared" si="44"/>
        <v>0.11047241271121866</v>
      </c>
      <c r="F71" s="186">
        <f t="shared" si="44"/>
        <v>0.12134221180599902</v>
      </c>
      <c r="G71" s="186">
        <f t="shared" si="44"/>
        <v>0.11057073932796402</v>
      </c>
      <c r="H71" s="186">
        <f t="shared" si="44"/>
        <v>0.15199667487291002</v>
      </c>
      <c r="I71" s="186">
        <f t="shared" si="44"/>
        <v>0.22165086254344168</v>
      </c>
      <c r="J71" s="186">
        <f t="shared" si="44"/>
        <v>0.11220966444738734</v>
      </c>
      <c r="K71" s="186">
        <f t="shared" si="44"/>
        <v>0.27686952160309519</v>
      </c>
      <c r="L71" s="186">
        <f t="shared" si="44"/>
        <v>0.26348477320374686</v>
      </c>
      <c r="M71" s="186">
        <f t="shared" si="44"/>
        <v>0.23878398835858383</v>
      </c>
      <c r="N71" s="186"/>
      <c r="O71" s="186">
        <f t="shared" si="43"/>
        <v>-1</v>
      </c>
      <c r="P71" s="186">
        <f t="shared" si="43"/>
        <v>-1</v>
      </c>
      <c r="Q71" s="186">
        <f t="shared" si="43"/>
        <v>-1</v>
      </c>
      <c r="R71" s="186">
        <f t="shared" si="43"/>
        <v>-1</v>
      </c>
      <c r="S71" s="186">
        <f t="shared" si="43"/>
        <v>-1</v>
      </c>
    </row>
    <row r="72" spans="1:19">
      <c r="A72" s="526" t="s">
        <v>172</v>
      </c>
      <c r="B72" s="186">
        <f t="shared" ref="B72:M72" si="45">B60/B418-1</f>
        <v>5.2601575456053151E-2</v>
      </c>
      <c r="C72" s="186">
        <f t="shared" si="45"/>
        <v>-6.6473988439306408E-2</v>
      </c>
      <c r="D72" s="186">
        <f t="shared" si="45"/>
        <v>-7.7192080226279214E-2</v>
      </c>
      <c r="E72" s="186">
        <f t="shared" si="45"/>
        <v>-3.2652648604933332E-2</v>
      </c>
      <c r="F72" s="186">
        <f t="shared" si="45"/>
        <v>-7.8055888015818864E-3</v>
      </c>
      <c r="G72" s="186">
        <f t="shared" si="45"/>
        <v>2.6014957264957062E-2</v>
      </c>
      <c r="H72" s="186">
        <f t="shared" si="45"/>
        <v>6.5652440269552637E-2</v>
      </c>
      <c r="I72" s="186">
        <f t="shared" si="45"/>
        <v>0.12452021334928465</v>
      </c>
      <c r="J72" s="186">
        <f t="shared" si="45"/>
        <v>0.11177295024526979</v>
      </c>
      <c r="K72" s="186">
        <f t="shared" si="45"/>
        <v>0.20654621024072051</v>
      </c>
      <c r="L72" s="186">
        <f t="shared" si="45"/>
        <v>0.19087161024330768</v>
      </c>
      <c r="M72" s="186">
        <f t="shared" si="45"/>
        <v>3.8070928148590699E-2</v>
      </c>
      <c r="N72" s="186"/>
      <c r="O72" s="186">
        <f t="shared" si="43"/>
        <v>-1</v>
      </c>
      <c r="P72" s="186">
        <f t="shared" si="43"/>
        <v>-1</v>
      </c>
      <c r="Q72" s="186">
        <f t="shared" si="43"/>
        <v>-1</v>
      </c>
      <c r="R72" s="186">
        <f t="shared" si="43"/>
        <v>-1</v>
      </c>
      <c r="S72" s="186">
        <f t="shared" si="43"/>
        <v>-1</v>
      </c>
    </row>
    <row r="73" spans="1:19" ht="13" customHeight="1">
      <c r="A73" s="529" t="s">
        <v>196</v>
      </c>
      <c r="B73" s="186">
        <f t="shared" ref="B73:M73" si="46">B61/B419-1</f>
        <v>8.2333455854674886E-2</v>
      </c>
      <c r="C73" s="186">
        <f t="shared" si="46"/>
        <v>-4.7406033395771097E-2</v>
      </c>
      <c r="D73" s="186">
        <f t="shared" si="46"/>
        <v>-2.0269009038761165E-2</v>
      </c>
      <c r="E73" s="186">
        <f t="shared" si="46"/>
        <v>2.1426008508893313E-2</v>
      </c>
      <c r="F73" s="186">
        <f t="shared" si="46"/>
        <v>3.3554706180581206E-2</v>
      </c>
      <c r="G73" s="186">
        <f t="shared" si="46"/>
        <v>7.4639335220376912E-2</v>
      </c>
      <c r="H73" s="186">
        <f t="shared" si="46"/>
        <v>5.3558119855114716E-2</v>
      </c>
      <c r="I73" s="186">
        <f t="shared" si="46"/>
        <v>9.2141463166846682E-2</v>
      </c>
      <c r="J73" s="186">
        <f t="shared" si="46"/>
        <v>7.4413857537789285E-2</v>
      </c>
      <c r="K73" s="186">
        <f t="shared" si="46"/>
        <v>0.18632457176328732</v>
      </c>
      <c r="L73" s="186">
        <f t="shared" si="46"/>
        <v>0.17930439792661179</v>
      </c>
      <c r="M73" s="186">
        <f t="shared" si="46"/>
        <v>0.10983375537118367</v>
      </c>
      <c r="N73" s="186"/>
      <c r="O73" s="186">
        <f t="shared" si="43"/>
        <v>5.4890899137411964E-3</v>
      </c>
      <c r="P73" s="186">
        <f t="shared" si="43"/>
        <v>4.3055286727640141E-2</v>
      </c>
      <c r="Q73" s="186">
        <f t="shared" si="43"/>
        <v>7.3499632371473389E-2</v>
      </c>
      <c r="R73" s="186">
        <f t="shared" si="43"/>
        <v>0.15768087968539213</v>
      </c>
      <c r="S73" s="186">
        <f t="shared" si="43"/>
        <v>-1</v>
      </c>
    </row>
    <row r="75" spans="1:19" ht="13" customHeight="1">
      <c r="A75" s="532" t="s">
        <v>201</v>
      </c>
    </row>
    <row r="76" spans="1:19" ht="13" customHeight="1">
      <c r="A76" s="533" t="s">
        <v>149</v>
      </c>
    </row>
    <row r="77" spans="1:19">
      <c r="A77" s="526" t="s">
        <v>22</v>
      </c>
      <c r="B77" s="443">
        <v>1804.88</v>
      </c>
      <c r="C77" s="443">
        <v>1561.33</v>
      </c>
      <c r="D77" s="443">
        <v>1595.47</v>
      </c>
      <c r="E77" s="443">
        <f>1730.51</f>
        <v>1730.51</v>
      </c>
      <c r="F77" s="443">
        <v>1672.82</v>
      </c>
      <c r="G77" s="443">
        <f>G21/(1+G27)</f>
        <v>1871.4869368885065</v>
      </c>
      <c r="H77" s="443">
        <v>1848.82</v>
      </c>
      <c r="I77" s="443">
        <v>1901.69</v>
      </c>
      <c r="J77" s="443">
        <v>1714.71</v>
      </c>
      <c r="K77" s="443">
        <v>1847.7</v>
      </c>
      <c r="L77" s="443">
        <v>1810.04</v>
      </c>
      <c r="M77" s="443">
        <v>1912.6</v>
      </c>
      <c r="O77" s="443"/>
      <c r="P77" s="443"/>
      <c r="Q77" s="443"/>
      <c r="R77" s="443"/>
      <c r="S77" s="443"/>
    </row>
    <row r="78" spans="1:19">
      <c r="A78" s="526" t="s">
        <v>25</v>
      </c>
      <c r="B78" s="443">
        <v>1793.53</v>
      </c>
      <c r="C78" s="443">
        <v>1547.1</v>
      </c>
      <c r="D78" s="443">
        <v>1626.45</v>
      </c>
      <c r="E78" s="443">
        <f>1661.94</f>
        <v>1661.94</v>
      </c>
      <c r="F78" s="443">
        <v>1692.33</v>
      </c>
      <c r="G78" s="443">
        <v>1691</v>
      </c>
      <c r="H78" s="443">
        <v>1843.32</v>
      </c>
      <c r="I78" s="443">
        <v>1973</v>
      </c>
      <c r="J78" s="443">
        <v>1557.84</v>
      </c>
      <c r="K78" s="443">
        <v>1803.34</v>
      </c>
      <c r="L78" s="443">
        <v>1760.56</v>
      </c>
      <c r="M78" s="443">
        <v>1776.3</v>
      </c>
      <c r="O78" s="443"/>
      <c r="P78" s="443"/>
      <c r="Q78" s="443"/>
      <c r="R78" s="443"/>
      <c r="S78" s="443"/>
    </row>
    <row r="79" spans="1:19">
      <c r="A79" s="526" t="s">
        <v>172</v>
      </c>
      <c r="B79" s="443">
        <v>1618.2</v>
      </c>
      <c r="C79" s="443">
        <v>1362.8</v>
      </c>
      <c r="D79" s="443">
        <v>1418.2</v>
      </c>
      <c r="E79" s="443">
        <v>1510.6</v>
      </c>
      <c r="F79" s="443">
        <v>1516.2</v>
      </c>
      <c r="G79" s="443">
        <v>1513.3</v>
      </c>
      <c r="H79" s="443">
        <v>1646.8</v>
      </c>
      <c r="I79" s="443">
        <v>1783.7</v>
      </c>
      <c r="J79" s="443">
        <v>1529.4</v>
      </c>
      <c r="K79" s="443">
        <v>1658.2</v>
      </c>
      <c r="L79" s="443">
        <v>1637.4</v>
      </c>
      <c r="M79" s="443">
        <v>1617</v>
      </c>
      <c r="O79" s="443"/>
      <c r="P79" s="443"/>
      <c r="Q79" s="443"/>
      <c r="R79" s="443"/>
      <c r="S79" s="443"/>
    </row>
    <row r="80" spans="1:19" ht="13" customHeight="1">
      <c r="A80" s="527" t="s">
        <v>196</v>
      </c>
      <c r="B80" s="482">
        <f t="shared" ref="B80:M80" si="47">SUM(B77:B79)</f>
        <v>5216.6099999999997</v>
      </c>
      <c r="C80" s="482">
        <f t="shared" si="47"/>
        <v>4471.2299999999996</v>
      </c>
      <c r="D80" s="482">
        <f t="shared" si="47"/>
        <v>4640.12</v>
      </c>
      <c r="E80" s="482">
        <f t="shared" si="47"/>
        <v>4903.0499999999993</v>
      </c>
      <c r="F80" s="482">
        <f t="shared" si="47"/>
        <v>4881.3499999999995</v>
      </c>
      <c r="G80" s="482">
        <f t="shared" si="47"/>
        <v>5075.7869368885067</v>
      </c>
      <c r="H80" s="482">
        <f t="shared" si="47"/>
        <v>5338.94</v>
      </c>
      <c r="I80" s="482">
        <f t="shared" si="47"/>
        <v>5658.39</v>
      </c>
      <c r="J80" s="482">
        <f t="shared" si="47"/>
        <v>4801.9500000000007</v>
      </c>
      <c r="K80" s="482">
        <f t="shared" si="47"/>
        <v>5309.24</v>
      </c>
      <c r="L80" s="482">
        <f t="shared" si="47"/>
        <v>5208</v>
      </c>
      <c r="M80" s="482">
        <f t="shared" si="47"/>
        <v>5305.9</v>
      </c>
      <c r="O80" s="482"/>
      <c r="P80" s="482"/>
      <c r="Q80" s="482"/>
      <c r="R80" s="482"/>
      <c r="S80" s="482"/>
    </row>
    <row r="81" spans="1:19" ht="13" customHeight="1">
      <c r="A81" s="534"/>
    </row>
    <row r="82" spans="1:19" ht="13" customHeight="1">
      <c r="A82" s="528" t="s">
        <v>176</v>
      </c>
    </row>
    <row r="83" spans="1:19">
      <c r="A83" s="526" t="s">
        <v>22</v>
      </c>
      <c r="B83" s="186">
        <f t="shared" ref="B83:M83" si="48">B77/B133-1</f>
        <v>0.45939695810726677</v>
      </c>
      <c r="C83" s="186">
        <f t="shared" si="48"/>
        <v>0.16265544716657976</v>
      </c>
      <c r="D83" s="186">
        <f t="shared" si="48"/>
        <v>0.228692886462176</v>
      </c>
      <c r="E83" s="186">
        <f t="shared" si="48"/>
        <v>0.2699872304824531</v>
      </c>
      <c r="F83" s="186">
        <f t="shared" si="48"/>
        <v>0.21359547301218784</v>
      </c>
      <c r="G83" s="186">
        <f t="shared" si="48"/>
        <v>0.33295840976097502</v>
      </c>
      <c r="H83" s="186">
        <f t="shared" si="48"/>
        <v>0.13773538461538459</v>
      </c>
      <c r="I83" s="186">
        <f t="shared" si="48"/>
        <v>0.12459491425192204</v>
      </c>
      <c r="J83" s="186">
        <f t="shared" si="48"/>
        <v>9.7814882869270647E-2</v>
      </c>
      <c r="K83" s="186">
        <f t="shared" si="48"/>
        <v>0.16152027961477544</v>
      </c>
      <c r="L83" s="186">
        <f t="shared" si="48"/>
        <v>0.19239257175607216</v>
      </c>
      <c r="M83" s="186">
        <f t="shared" si="48"/>
        <v>0.1616649356486457</v>
      </c>
      <c r="N83" s="186"/>
      <c r="O83" s="186">
        <f t="shared" ref="O83:S86" si="49">O77/O133-1</f>
        <v>-1</v>
      </c>
      <c r="P83" s="186">
        <f t="shared" si="49"/>
        <v>-1</v>
      </c>
      <c r="Q83" s="186">
        <f t="shared" si="49"/>
        <v>-1</v>
      </c>
      <c r="R83" s="186">
        <f t="shared" si="49"/>
        <v>-1</v>
      </c>
      <c r="S83" s="186">
        <f t="shared" si="49"/>
        <v>-1</v>
      </c>
    </row>
    <row r="84" spans="1:19">
      <c r="A84" s="526" t="s">
        <v>25</v>
      </c>
      <c r="B84" s="186">
        <f t="shared" ref="B84:M84" si="50">B78/B134-1</f>
        <v>0.5655266925037532</v>
      </c>
      <c r="C84" s="186">
        <f t="shared" si="50"/>
        <v>0.18341339534314471</v>
      </c>
      <c r="D84" s="186">
        <f t="shared" si="50"/>
        <v>0.28957446302419076</v>
      </c>
      <c r="E84" s="186">
        <f t="shared" si="50"/>
        <v>0.25063211125158014</v>
      </c>
      <c r="F84" s="186">
        <f t="shared" si="50"/>
        <v>0.26633492966177785</v>
      </c>
      <c r="G84" s="186">
        <f t="shared" si="50"/>
        <v>0.1717748473782319</v>
      </c>
      <c r="H84" s="186">
        <f t="shared" si="50"/>
        <v>0.16151228733459355</v>
      </c>
      <c r="I84" s="186">
        <f t="shared" si="50"/>
        <v>0.16814683244523376</v>
      </c>
      <c r="J84" s="186">
        <f t="shared" si="50"/>
        <v>8.2464771116484537E-2</v>
      </c>
      <c r="K84" s="186">
        <f t="shared" si="50"/>
        <v>0.21933804388248412</v>
      </c>
      <c r="L84" s="186">
        <f t="shared" si="50"/>
        <v>0.19871179470419609</v>
      </c>
      <c r="M84" s="186">
        <f t="shared" si="50"/>
        <v>5.6271444456998054E-2</v>
      </c>
      <c r="N84" s="186"/>
      <c r="O84" s="186">
        <f t="shared" si="49"/>
        <v>-1</v>
      </c>
      <c r="P84" s="186">
        <f t="shared" si="49"/>
        <v>-1</v>
      </c>
      <c r="Q84" s="186">
        <f t="shared" si="49"/>
        <v>-1</v>
      </c>
      <c r="R84" s="186">
        <f t="shared" si="49"/>
        <v>-1</v>
      </c>
      <c r="S84" s="186">
        <f t="shared" si="49"/>
        <v>-1</v>
      </c>
    </row>
    <row r="85" spans="1:19">
      <c r="A85" s="526" t="s">
        <v>172</v>
      </c>
      <c r="B85" s="186">
        <f t="shared" ref="B85:M85" si="51">B79/B135-1</f>
        <v>0.48281865664803458</v>
      </c>
      <c r="C85" s="186">
        <f t="shared" si="51"/>
        <v>0.1573673036093417</v>
      </c>
      <c r="D85" s="186">
        <f t="shared" si="51"/>
        <v>0.12725538510452283</v>
      </c>
      <c r="E85" s="186">
        <f t="shared" si="51"/>
        <v>0.13527731850293101</v>
      </c>
      <c r="F85" s="186">
        <f t="shared" si="51"/>
        <v>0.1484623541887593</v>
      </c>
      <c r="G85" s="186">
        <f t="shared" si="51"/>
        <v>0.1140312131919905</v>
      </c>
      <c r="H85" s="186">
        <f t="shared" si="51"/>
        <v>7.7748691099476464E-2</v>
      </c>
      <c r="I85" s="186">
        <f t="shared" si="51"/>
        <v>9.8337438423645285E-2</v>
      </c>
      <c r="J85" s="186">
        <f t="shared" si="51"/>
        <v>0.12373254959588542</v>
      </c>
      <c r="K85" s="186">
        <f t="shared" si="51"/>
        <v>0.18155907082798906</v>
      </c>
      <c r="L85" s="186">
        <f t="shared" si="51"/>
        <v>0.19868228404099564</v>
      </c>
      <c r="M85" s="186">
        <f t="shared" si="51"/>
        <v>8.218444652656931E-2</v>
      </c>
      <c r="N85" s="186"/>
      <c r="O85" s="186">
        <f t="shared" si="49"/>
        <v>-1</v>
      </c>
      <c r="P85" s="186">
        <f t="shared" si="49"/>
        <v>-1</v>
      </c>
      <c r="Q85" s="186">
        <f t="shared" si="49"/>
        <v>-1</v>
      </c>
      <c r="R85" s="186">
        <f t="shared" si="49"/>
        <v>-1</v>
      </c>
      <c r="S85" s="186">
        <f t="shared" si="49"/>
        <v>-1</v>
      </c>
    </row>
    <row r="86" spans="1:19" ht="13" customHeight="1">
      <c r="A86" s="529" t="s">
        <v>196</v>
      </c>
      <c r="B86" s="241">
        <f t="shared" ref="B86:M86" si="52">B80/B136-1</f>
        <v>0.50175750718980194</v>
      </c>
      <c r="C86" s="241">
        <f t="shared" si="52"/>
        <v>0.1681183576646148</v>
      </c>
      <c r="D86" s="241">
        <f t="shared" si="52"/>
        <v>0.21537832910755816</v>
      </c>
      <c r="E86" s="241">
        <f t="shared" si="52"/>
        <v>0.21902737375997594</v>
      </c>
      <c r="F86" s="241">
        <f t="shared" si="52"/>
        <v>0.20975216852540268</v>
      </c>
      <c r="G86" s="241">
        <f t="shared" si="52"/>
        <v>0.20693444256322779</v>
      </c>
      <c r="H86" s="241">
        <f t="shared" si="52"/>
        <v>0.12635864978902944</v>
      </c>
      <c r="I86" s="241">
        <f t="shared" si="52"/>
        <v>0.13077338129496408</v>
      </c>
      <c r="J86" s="241">
        <f t="shared" si="52"/>
        <v>0.10083698410624287</v>
      </c>
      <c r="K86" s="241">
        <f t="shared" si="52"/>
        <v>0.18692363925769739</v>
      </c>
      <c r="L86" s="241">
        <f t="shared" si="52"/>
        <v>0.19649872492935416</v>
      </c>
      <c r="M86" s="241">
        <f t="shared" si="52"/>
        <v>0.10028409680028183</v>
      </c>
      <c r="O86" s="241">
        <f t="shared" si="49"/>
        <v>-1</v>
      </c>
      <c r="P86" s="241">
        <f t="shared" si="49"/>
        <v>-1</v>
      </c>
      <c r="Q86" s="241">
        <f t="shared" si="49"/>
        <v>-1</v>
      </c>
      <c r="R86" s="241">
        <f t="shared" si="49"/>
        <v>-1</v>
      </c>
      <c r="S86" s="241">
        <f t="shared" si="49"/>
        <v>-1</v>
      </c>
    </row>
    <row r="87" spans="1:19" ht="13" customHeight="1">
      <c r="A87" s="531"/>
    </row>
    <row r="88" spans="1:19" ht="13" customHeight="1">
      <c r="A88" s="528" t="s">
        <v>179</v>
      </c>
    </row>
    <row r="89" spans="1:19">
      <c r="A89" s="526" t="s">
        <v>22</v>
      </c>
      <c r="B89" s="186">
        <f t="shared" ref="B89:M89" si="53">B77/B441-1</f>
        <v>7.6640419947506588E-2</v>
      </c>
      <c r="C89" s="186">
        <f t="shared" si="53"/>
        <v>-3.2812983955894159E-2</v>
      </c>
      <c r="D89" s="186">
        <f t="shared" si="53"/>
        <v>-2.1460201415551494E-2</v>
      </c>
      <c r="E89" s="186">
        <f t="shared" si="53"/>
        <v>4.2042765356568701E-2</v>
      </c>
      <c r="F89" s="186">
        <f t="shared" si="53"/>
        <v>4.1457325538683643E-2</v>
      </c>
      <c r="G89" s="186">
        <f t="shared" si="53"/>
        <v>0.14274623522388374</v>
      </c>
      <c r="H89" s="186">
        <f t="shared" si="53"/>
        <v>-4.8176039014518057E-3</v>
      </c>
      <c r="I89" s="186">
        <f t="shared" si="53"/>
        <v>-3.4503592008732542E-2</v>
      </c>
      <c r="J89" s="186">
        <f t="shared" si="53"/>
        <v>1.6895778724009825E-2</v>
      </c>
      <c r="K89" s="186">
        <f t="shared" si="53"/>
        <v>9.4116393093157225E-2</v>
      </c>
      <c r="L89" s="186">
        <f t="shared" si="53"/>
        <v>0.10714613394337169</v>
      </c>
      <c r="M89" s="186">
        <f t="shared" si="53"/>
        <v>7.3885042756637986E-2</v>
      </c>
      <c r="N89" s="186"/>
      <c r="O89" s="186">
        <f t="shared" ref="O89:S92" si="54">O77/O441-1</f>
        <v>-1</v>
      </c>
      <c r="P89" s="186">
        <f t="shared" si="54"/>
        <v>-1</v>
      </c>
      <c r="Q89" s="186">
        <f t="shared" si="54"/>
        <v>-1</v>
      </c>
      <c r="R89" s="186">
        <f t="shared" si="54"/>
        <v>-1</v>
      </c>
      <c r="S89" s="186">
        <f t="shared" si="54"/>
        <v>-1</v>
      </c>
    </row>
    <row r="90" spans="1:19">
      <c r="A90" s="526" t="s">
        <v>25</v>
      </c>
      <c r="B90" s="186">
        <f t="shared" ref="B90:M90" si="55">B78/B442-1</f>
        <v>0.20482728970455866</v>
      </c>
      <c r="C90" s="186">
        <f t="shared" si="55"/>
        <v>4.2808323054213115E-2</v>
      </c>
      <c r="D90" s="186">
        <f t="shared" si="55"/>
        <v>0.14025617117338163</v>
      </c>
      <c r="E90" s="186">
        <f t="shared" si="55"/>
        <v>0.15589094449853946</v>
      </c>
      <c r="F90" s="186">
        <f t="shared" si="55"/>
        <v>0.17535976219579963</v>
      </c>
      <c r="G90" s="186">
        <f t="shared" si="55"/>
        <v>0.16061991242158435</v>
      </c>
      <c r="H90" s="186">
        <f t="shared" si="55"/>
        <v>0.22309881957945454</v>
      </c>
      <c r="I90" s="186">
        <f t="shared" si="55"/>
        <v>0.23238556865880478</v>
      </c>
      <c r="J90" s="186">
        <f t="shared" si="55"/>
        <v>9.7456851003874467E-2</v>
      </c>
      <c r="K90" s="186">
        <f t="shared" si="55"/>
        <v>0.26846595904816151</v>
      </c>
      <c r="L90" s="186">
        <f t="shared" si="55"/>
        <v>0.25005147721866794</v>
      </c>
      <c r="M90" s="186">
        <f t="shared" si="55"/>
        <v>0.20941221327269122</v>
      </c>
      <c r="N90" s="186"/>
      <c r="O90" s="186">
        <f t="shared" si="54"/>
        <v>-1</v>
      </c>
      <c r="P90" s="186">
        <f t="shared" si="54"/>
        <v>-1</v>
      </c>
      <c r="Q90" s="186">
        <f t="shared" si="54"/>
        <v>-1</v>
      </c>
      <c r="R90" s="186">
        <f t="shared" si="54"/>
        <v>-1</v>
      </c>
      <c r="S90" s="186">
        <f t="shared" si="54"/>
        <v>-1</v>
      </c>
    </row>
    <row r="91" spans="1:19">
      <c r="A91" s="526" t="s">
        <v>172</v>
      </c>
      <c r="B91" s="186">
        <f t="shared" ref="B91:M91" si="56">B79/B443-1</f>
        <v>0.1098765432098765</v>
      </c>
      <c r="C91" s="186">
        <f t="shared" si="56"/>
        <v>3.7563526552257809E-3</v>
      </c>
      <c r="D91" s="186">
        <f t="shared" si="56"/>
        <v>-3.8703992408323673E-2</v>
      </c>
      <c r="E91" s="186">
        <f t="shared" si="56"/>
        <v>2.274881516587679E-2</v>
      </c>
      <c r="F91" s="186">
        <f t="shared" si="56"/>
        <v>6.2881177707676095E-2</v>
      </c>
      <c r="G91" s="186">
        <f t="shared" si="56"/>
        <v>9.4215473608098232E-2</v>
      </c>
      <c r="H91" s="186">
        <f t="shared" si="56"/>
        <v>0.14305545915180118</v>
      </c>
      <c r="I91" s="186">
        <f t="shared" si="56"/>
        <v>0.16551228437009935</v>
      </c>
      <c r="J91" s="186">
        <f t="shared" si="56"/>
        <v>0.12546912944293176</v>
      </c>
      <c r="K91" s="186">
        <f t="shared" si="56"/>
        <v>0.22187016432097861</v>
      </c>
      <c r="L91" s="186">
        <f t="shared" si="56"/>
        <v>0.19675486040052625</v>
      </c>
      <c r="M91" s="186">
        <f t="shared" si="56"/>
        <v>0.10662469203394465</v>
      </c>
      <c r="N91" s="186"/>
      <c r="O91" s="186">
        <f t="shared" si="54"/>
        <v>-1</v>
      </c>
      <c r="P91" s="186">
        <f t="shared" si="54"/>
        <v>-1</v>
      </c>
      <c r="Q91" s="186">
        <f t="shared" si="54"/>
        <v>-1</v>
      </c>
      <c r="R91" s="186">
        <f t="shared" si="54"/>
        <v>-1</v>
      </c>
      <c r="S91" s="186">
        <f t="shared" si="54"/>
        <v>-1</v>
      </c>
    </row>
    <row r="92" spans="1:19" ht="13" customHeight="1">
      <c r="A92" s="529" t="s">
        <v>196</v>
      </c>
      <c r="B92" s="241">
        <f t="shared" ref="B92:M92" si="57">B80/B444-1</f>
        <v>0.12839875233072728</v>
      </c>
      <c r="C92" s="241">
        <f t="shared" si="57"/>
        <v>3.5101973027140687E-3</v>
      </c>
      <c r="D92" s="241">
        <f t="shared" si="57"/>
        <v>2.3823130302395024E-2</v>
      </c>
      <c r="E92" s="241">
        <f t="shared" si="57"/>
        <v>7.1590146629104012E-2</v>
      </c>
      <c r="F92" s="241">
        <f t="shared" si="57"/>
        <v>9.1397116199410933E-2</v>
      </c>
      <c r="G92" s="241">
        <f t="shared" si="57"/>
        <v>0.13357265395516582</v>
      </c>
      <c r="H92" s="241">
        <f t="shared" si="57"/>
        <v>0.11099226729038869</v>
      </c>
      <c r="I92" s="241">
        <f t="shared" si="57"/>
        <v>0.10926855661917934</v>
      </c>
      <c r="J92" s="241">
        <f t="shared" si="57"/>
        <v>7.5556262347075354E-2</v>
      </c>
      <c r="K92" s="241">
        <f t="shared" si="57"/>
        <v>0.18840612150338076</v>
      </c>
      <c r="L92" s="241">
        <f t="shared" si="57"/>
        <v>0.18056153745018655</v>
      </c>
      <c r="M92" s="241">
        <f t="shared" si="57"/>
        <v>0.12629326631203108</v>
      </c>
      <c r="N92" s="186"/>
      <c r="O92" s="241">
        <f t="shared" si="54"/>
        <v>-1</v>
      </c>
      <c r="P92" s="241">
        <f t="shared" si="54"/>
        <v>-1</v>
      </c>
      <c r="Q92" s="241">
        <f t="shared" si="54"/>
        <v>-1</v>
      </c>
      <c r="R92" s="241">
        <f t="shared" si="54"/>
        <v>-1</v>
      </c>
      <c r="S92" s="241">
        <f t="shared" si="54"/>
        <v>-1</v>
      </c>
    </row>
    <row r="93" spans="1:19">
      <c r="B93" s="186"/>
    </row>
    <row r="94" spans="1:19" ht="13" customHeight="1">
      <c r="A94" s="532" t="s">
        <v>148</v>
      </c>
    </row>
    <row r="95" spans="1:19" ht="13" customHeight="1">
      <c r="A95" s="533" t="s">
        <v>149</v>
      </c>
    </row>
    <row r="96" spans="1:19">
      <c r="A96" s="526" t="s">
        <v>22</v>
      </c>
      <c r="B96" s="443">
        <v>152.94999999999999</v>
      </c>
      <c r="C96" s="443">
        <f>133.15</f>
        <v>133.15</v>
      </c>
      <c r="D96" s="443">
        <v>139.58000000000001</v>
      </c>
      <c r="E96" s="443">
        <f>152.46</f>
        <v>152.46</v>
      </c>
      <c r="F96" s="443">
        <v>150.28</v>
      </c>
      <c r="G96" s="443">
        <v>157.63999999999999</v>
      </c>
      <c r="H96" s="443">
        <v>164.28</v>
      </c>
      <c r="I96" s="443">
        <v>176.94</v>
      </c>
      <c r="J96" s="443">
        <v>142.59</v>
      </c>
      <c r="K96" s="443">
        <v>161.66999999999999</v>
      </c>
      <c r="L96" s="443">
        <v>153.54</v>
      </c>
      <c r="M96" s="443">
        <v>152.55000000000001</v>
      </c>
      <c r="O96" s="443"/>
      <c r="P96" s="443"/>
      <c r="Q96" s="443"/>
      <c r="R96" s="443"/>
      <c r="S96" s="443"/>
    </row>
    <row r="97" spans="1:19">
      <c r="A97" s="526" t="s">
        <v>25</v>
      </c>
      <c r="B97" s="443">
        <v>327.61</v>
      </c>
      <c r="C97" s="443">
        <f>274.47</f>
        <v>274.47000000000003</v>
      </c>
      <c r="D97" s="443">
        <v>302.73</v>
      </c>
      <c r="E97" s="443">
        <f>320.12</f>
        <v>320.12</v>
      </c>
      <c r="F97" s="443">
        <v>326.77</v>
      </c>
      <c r="G97" s="443">
        <v>320.81</v>
      </c>
      <c r="H97" s="443">
        <v>318.54000000000002</v>
      </c>
      <c r="I97" s="443">
        <v>357.58</v>
      </c>
      <c r="J97" s="443">
        <v>281.41000000000003</v>
      </c>
      <c r="K97" s="443">
        <v>335.11</v>
      </c>
      <c r="L97" s="443">
        <v>324.67</v>
      </c>
      <c r="M97" s="443">
        <v>334.91</v>
      </c>
      <c r="O97" s="443"/>
      <c r="P97" s="443"/>
      <c r="Q97" s="443"/>
      <c r="R97" s="443"/>
      <c r="S97" s="443"/>
    </row>
    <row r="98" spans="1:19">
      <c r="A98" s="526" t="s">
        <v>172</v>
      </c>
      <c r="B98" s="443">
        <v>412.9</v>
      </c>
      <c r="C98" s="443">
        <v>349.1</v>
      </c>
      <c r="D98" s="443">
        <v>376.2</v>
      </c>
      <c r="E98" s="443">
        <v>403.2</v>
      </c>
      <c r="F98" s="443">
        <v>390.5</v>
      </c>
      <c r="G98" s="443">
        <v>407.4</v>
      </c>
      <c r="H98" s="443">
        <v>440.6</v>
      </c>
      <c r="I98" s="443">
        <v>472.2</v>
      </c>
      <c r="J98" s="443">
        <v>374.4</v>
      </c>
      <c r="K98" s="443">
        <v>431.9</v>
      </c>
      <c r="L98" s="443">
        <v>413.4</v>
      </c>
      <c r="M98" s="443">
        <v>294.39999999999998</v>
      </c>
      <c r="O98" s="443"/>
      <c r="P98" s="443"/>
      <c r="Q98" s="443"/>
      <c r="R98" s="443"/>
      <c r="S98" s="443"/>
    </row>
    <row r="99" spans="1:19" ht="13" customHeight="1">
      <c r="A99" s="527" t="s">
        <v>196</v>
      </c>
      <c r="B99" s="482">
        <f t="shared" ref="B99:M99" si="58">SUM(B96:B98)</f>
        <v>893.46</v>
      </c>
      <c r="C99" s="482">
        <f t="shared" si="58"/>
        <v>756.72</v>
      </c>
      <c r="D99" s="482">
        <f t="shared" si="58"/>
        <v>818.51</v>
      </c>
      <c r="E99" s="482">
        <f t="shared" si="58"/>
        <v>875.78</v>
      </c>
      <c r="F99" s="482">
        <f t="shared" si="58"/>
        <v>867.55</v>
      </c>
      <c r="G99" s="482">
        <f t="shared" si="58"/>
        <v>885.84999999999991</v>
      </c>
      <c r="H99" s="482">
        <f t="shared" si="58"/>
        <v>923.42000000000007</v>
      </c>
      <c r="I99" s="482">
        <f t="shared" si="58"/>
        <v>1006.72</v>
      </c>
      <c r="J99" s="482">
        <f t="shared" si="58"/>
        <v>798.4</v>
      </c>
      <c r="K99" s="482">
        <f t="shared" si="58"/>
        <v>928.68</v>
      </c>
      <c r="L99" s="482">
        <f t="shared" si="58"/>
        <v>891.61</v>
      </c>
      <c r="M99" s="482">
        <f t="shared" si="58"/>
        <v>781.86</v>
      </c>
      <c r="O99" s="482"/>
      <c r="P99" s="482"/>
      <c r="Q99" s="482"/>
      <c r="R99" s="482"/>
      <c r="S99" s="482"/>
    </row>
    <row r="101" spans="1:19" ht="13" customHeight="1">
      <c r="A101" s="528" t="s">
        <v>176</v>
      </c>
    </row>
    <row r="102" spans="1:19">
      <c r="A102" s="526" t="s">
        <v>22</v>
      </c>
      <c r="B102" s="186">
        <f t="shared" ref="B102:M102" si="59">B96/B152-1</f>
        <v>1.1127110878386137E-3</v>
      </c>
      <c r="C102" s="186">
        <f t="shared" si="59"/>
        <v>-0.17970675209462783</v>
      </c>
      <c r="D102" s="186">
        <f t="shared" si="59"/>
        <v>-6.8535201868535123E-2</v>
      </c>
      <c r="E102" s="186">
        <f t="shared" si="59"/>
        <v>-0.10475631238990024</v>
      </c>
      <c r="F102" s="186">
        <f t="shared" si="59"/>
        <v>-0.11677931237143702</v>
      </c>
      <c r="G102" s="186">
        <f t="shared" si="59"/>
        <v>-5.1275878671160346E-2</v>
      </c>
      <c r="H102" s="186">
        <f t="shared" si="59"/>
        <v>-7.7078651685393296E-2</v>
      </c>
      <c r="I102" s="186">
        <f t="shared" si="59"/>
        <v>-3.3114754098360621E-2</v>
      </c>
      <c r="J102" s="186">
        <f t="shared" si="59"/>
        <v>-5.2935706695005358E-2</v>
      </c>
      <c r="K102" s="186">
        <f t="shared" si="59"/>
        <v>7.3648558905564876E-2</v>
      </c>
      <c r="L102" s="186">
        <f t="shared" si="59"/>
        <v>0.1168169915624091</v>
      </c>
      <c r="M102" s="186">
        <f t="shared" si="59"/>
        <v>5.1054154609342817E-2</v>
      </c>
      <c r="N102" s="186"/>
      <c r="O102" s="186">
        <f t="shared" ref="O102:S105" si="60">O96/O152-1</f>
        <v>-1</v>
      </c>
      <c r="P102" s="186">
        <f t="shared" si="60"/>
        <v>-1</v>
      </c>
      <c r="Q102" s="186">
        <f t="shared" si="60"/>
        <v>-1</v>
      </c>
      <c r="R102" s="186">
        <f t="shared" si="60"/>
        <v>-1</v>
      </c>
      <c r="S102" s="186">
        <f t="shared" si="60"/>
        <v>-1</v>
      </c>
    </row>
    <row r="103" spans="1:19">
      <c r="A103" s="526" t="s">
        <v>25</v>
      </c>
      <c r="B103" s="186">
        <f t="shared" ref="B103:M103" si="61">B97/B153-1</f>
        <v>0.11770325133908766</v>
      </c>
      <c r="C103" s="186">
        <f t="shared" si="61"/>
        <v>-8.5892226736827948E-2</v>
      </c>
      <c r="D103" s="186">
        <f t="shared" si="61"/>
        <v>5.5507130155852291E-2</v>
      </c>
      <c r="E103" s="186">
        <f t="shared" si="61"/>
        <v>6.6568934497234666E-2</v>
      </c>
      <c r="F103" s="186">
        <f t="shared" si="61"/>
        <v>7.6211178078582353E-2</v>
      </c>
      <c r="G103" s="186">
        <f t="shared" si="61"/>
        <v>3.9464731231571903E-2</v>
      </c>
      <c r="H103" s="186">
        <f t="shared" si="61"/>
        <v>-1.0745341614906812E-2</v>
      </c>
      <c r="I103" s="186">
        <f t="shared" si="61"/>
        <v>-3.955431754874672E-3</v>
      </c>
      <c r="J103" s="186">
        <f t="shared" si="61"/>
        <v>-4.2758010749030517E-2</v>
      </c>
      <c r="K103" s="186">
        <f t="shared" si="61"/>
        <v>5.2150706436420835E-2</v>
      </c>
      <c r="L103" s="186">
        <f t="shared" si="61"/>
        <v>9.3577068954797671E-3</v>
      </c>
      <c r="M103" s="186">
        <f t="shared" si="61"/>
        <v>4.6593749999999989E-2</v>
      </c>
      <c r="N103" s="186"/>
      <c r="O103" s="186">
        <f t="shared" si="60"/>
        <v>-1</v>
      </c>
      <c r="P103" s="186">
        <f t="shared" si="60"/>
        <v>-1</v>
      </c>
      <c r="Q103" s="186">
        <f t="shared" si="60"/>
        <v>-1</v>
      </c>
      <c r="R103" s="186">
        <f t="shared" si="60"/>
        <v>-1</v>
      </c>
      <c r="S103" s="186">
        <f t="shared" si="60"/>
        <v>-1</v>
      </c>
    </row>
    <row r="104" spans="1:19">
      <c r="A104" s="526" t="s">
        <v>172</v>
      </c>
      <c r="B104" s="186">
        <f t="shared" ref="B104:M104" si="62">B98/B154-1</f>
        <v>0.15174337517433756</v>
      </c>
      <c r="C104" s="186">
        <f t="shared" si="62"/>
        <v>-8.9462702138758399E-2</v>
      </c>
      <c r="D104" s="186">
        <f t="shared" si="62"/>
        <v>9.3604651162790597E-2</v>
      </c>
      <c r="E104" s="186">
        <f t="shared" si="62"/>
        <v>4.7346125093445934E-3</v>
      </c>
      <c r="F104" s="186">
        <f t="shared" si="62"/>
        <v>2.1983773881182778E-2</v>
      </c>
      <c r="G104" s="186">
        <f t="shared" si="62"/>
        <v>3.6377512083439312E-2</v>
      </c>
      <c r="H104" s="186">
        <f t="shared" si="62"/>
        <v>-2.3059866962305886E-2</v>
      </c>
      <c r="I104" s="186">
        <f t="shared" si="62"/>
        <v>-1.4196242171189977E-2</v>
      </c>
      <c r="J104" s="186">
        <f t="shared" si="62"/>
        <v>8.2393755420641757E-2</v>
      </c>
      <c r="K104" s="186">
        <f t="shared" si="62"/>
        <v>8.8183421516754956E-2</v>
      </c>
      <c r="L104" s="186">
        <f t="shared" si="62"/>
        <v>4.2097302747668319E-2</v>
      </c>
      <c r="M104" s="186">
        <f t="shared" si="62"/>
        <v>-0.28160078086871654</v>
      </c>
      <c r="N104" s="186"/>
      <c r="O104" s="186">
        <f t="shared" si="60"/>
        <v>-1</v>
      </c>
      <c r="P104" s="186">
        <f t="shared" si="60"/>
        <v>-1</v>
      </c>
      <c r="Q104" s="186">
        <f t="shared" si="60"/>
        <v>-1</v>
      </c>
      <c r="R104" s="186">
        <f t="shared" si="60"/>
        <v>-1</v>
      </c>
      <c r="S104" s="186">
        <f t="shared" si="60"/>
        <v>-1</v>
      </c>
    </row>
    <row r="105" spans="1:19" ht="13" customHeight="1">
      <c r="A105" s="529" t="s">
        <v>196</v>
      </c>
      <c r="B105" s="206">
        <f t="shared" ref="B105:M105" si="63">B99/B155-1</f>
        <v>0.11072986983925714</v>
      </c>
      <c r="C105" s="206">
        <f t="shared" si="63"/>
        <v>-0.10551076857608921</v>
      </c>
      <c r="D105" s="206">
        <f t="shared" si="63"/>
        <v>4.8484615581687374E-2</v>
      </c>
      <c r="E105" s="206">
        <f t="shared" si="63"/>
        <v>4.6344093422350241E-3</v>
      </c>
      <c r="F105" s="206">
        <f t="shared" si="63"/>
        <v>1.3635089031172498E-2</v>
      </c>
      <c r="G105" s="206">
        <f t="shared" si="63"/>
        <v>2.0693866734263544E-2</v>
      </c>
      <c r="H105" s="206">
        <f t="shared" si="63"/>
        <v>-2.9001051524710775E-2</v>
      </c>
      <c r="I105" s="206">
        <f t="shared" si="63"/>
        <v>-1.3986287952987286E-2</v>
      </c>
      <c r="J105" s="206">
        <f t="shared" si="63"/>
        <v>1.0070340569809044E-2</v>
      </c>
      <c r="K105" s="206">
        <f t="shared" si="63"/>
        <v>7.2403519711771613E-2</v>
      </c>
      <c r="L105" s="206">
        <f t="shared" si="63"/>
        <v>4.1795195363619531E-2</v>
      </c>
      <c r="M105" s="206">
        <f t="shared" si="63"/>
        <v>-0.10638443779001994</v>
      </c>
      <c r="N105" s="206"/>
      <c r="O105" s="206">
        <f t="shared" si="60"/>
        <v>-1</v>
      </c>
      <c r="P105" s="206">
        <f t="shared" si="60"/>
        <v>-1</v>
      </c>
      <c r="Q105" s="206">
        <f t="shared" si="60"/>
        <v>-1</v>
      </c>
      <c r="R105" s="206">
        <f t="shared" si="60"/>
        <v>-1</v>
      </c>
      <c r="S105" s="206">
        <f t="shared" si="60"/>
        <v>-1</v>
      </c>
    </row>
    <row r="106" spans="1:19" ht="13" customHeight="1">
      <c r="A106" s="529"/>
    </row>
    <row r="107" spans="1:19" ht="13" customHeight="1">
      <c r="A107" s="528" t="s">
        <v>179</v>
      </c>
    </row>
    <row r="108" spans="1:19">
      <c r="A108" s="526" t="s">
        <v>22</v>
      </c>
      <c r="B108" s="186">
        <f t="shared" ref="B108:M108" si="64">B96/B458-1</f>
        <v>-0.28830673305104471</v>
      </c>
      <c r="C108" s="186">
        <f t="shared" si="64"/>
        <v>-0.42025514869160097</v>
      </c>
      <c r="D108" s="186">
        <f t="shared" si="64"/>
        <v>-0.38331713351594943</v>
      </c>
      <c r="E108" s="186">
        <f t="shared" si="64"/>
        <v>-0.34745762711864403</v>
      </c>
      <c r="F108" s="186">
        <f t="shared" si="64"/>
        <v>-0.35700838610302921</v>
      </c>
      <c r="G108" s="186">
        <f t="shared" si="64"/>
        <v>-0.3035564391429203</v>
      </c>
      <c r="H108" s="186">
        <f t="shared" si="64"/>
        <v>-0.34502830715253963</v>
      </c>
      <c r="I108" s="186">
        <f t="shared" si="64"/>
        <v>-0.19319684464912679</v>
      </c>
      <c r="J108" s="186">
        <f t="shared" si="64"/>
        <v>-0.10970279720279719</v>
      </c>
      <c r="K108" s="186">
        <f t="shared" si="64"/>
        <v>-4.3111412206690014E-3</v>
      </c>
      <c r="L108" s="186">
        <f t="shared" si="64"/>
        <v>-6.8664321242266291E-2</v>
      </c>
      <c r="M108" s="186">
        <f t="shared" si="64"/>
        <v>-3.8873487903225756E-2</v>
      </c>
      <c r="N108" s="186"/>
      <c r="O108" s="186">
        <f t="shared" ref="O108:S111" si="65">O96/O458-1</f>
        <v>-1</v>
      </c>
      <c r="P108" s="186">
        <f t="shared" si="65"/>
        <v>-1</v>
      </c>
      <c r="Q108" s="186">
        <f t="shared" si="65"/>
        <v>-1</v>
      </c>
      <c r="R108" s="186">
        <f t="shared" si="65"/>
        <v>-1</v>
      </c>
      <c r="S108" s="186">
        <f t="shared" si="65"/>
        <v>-1</v>
      </c>
    </row>
    <row r="109" spans="1:19">
      <c r="A109" s="526" t="s">
        <v>25</v>
      </c>
      <c r="B109" s="186">
        <f t="shared" ref="B109:M109" si="66">B97/B459-1</f>
        <v>-2.4229698134000444E-2</v>
      </c>
      <c r="C109" s="186">
        <f t="shared" si="66"/>
        <v>-0.16002570694087392</v>
      </c>
      <c r="D109" s="186">
        <f t="shared" si="66"/>
        <v>-0.11963823537964924</v>
      </c>
      <c r="E109" s="186">
        <f t="shared" si="66"/>
        <v>-7.7676616342053695E-2</v>
      </c>
      <c r="F109" s="186">
        <f t="shared" si="66"/>
        <v>-9.4242869418188824E-2</v>
      </c>
      <c r="G109" s="186">
        <f t="shared" si="66"/>
        <v>-9.5111838208332133E-2</v>
      </c>
      <c r="H109" s="186">
        <f t="shared" si="66"/>
        <v>-0.1379860904392064</v>
      </c>
      <c r="I109" s="186">
        <f t="shared" si="66"/>
        <v>0.16562897284610623</v>
      </c>
      <c r="J109" s="186">
        <f t="shared" si="66"/>
        <v>0.20163115419104161</v>
      </c>
      <c r="K109" s="186">
        <f t="shared" si="66"/>
        <v>0.32407443992255724</v>
      </c>
      <c r="L109" s="186">
        <f t="shared" si="66"/>
        <v>0.34166701103351382</v>
      </c>
      <c r="M109" s="186">
        <f t="shared" si="66"/>
        <v>0.42194200314185037</v>
      </c>
      <c r="N109" s="186"/>
      <c r="O109" s="186">
        <f t="shared" si="65"/>
        <v>-1</v>
      </c>
      <c r="P109" s="186">
        <f t="shared" si="65"/>
        <v>-1</v>
      </c>
      <c r="Q109" s="186">
        <f t="shared" si="65"/>
        <v>-1</v>
      </c>
      <c r="R109" s="186">
        <f t="shared" si="65"/>
        <v>-1</v>
      </c>
      <c r="S109" s="186">
        <f t="shared" si="65"/>
        <v>-1</v>
      </c>
    </row>
    <row r="110" spans="1:19">
      <c r="A110" s="526" t="s">
        <v>172</v>
      </c>
      <c r="B110" s="186">
        <f t="shared" ref="B110:M110" si="67">B98/B460-1</f>
        <v>-0.12446988973706541</v>
      </c>
      <c r="C110" s="186">
        <f t="shared" si="67"/>
        <v>-0.26675068262969959</v>
      </c>
      <c r="D110" s="186">
        <f t="shared" si="67"/>
        <v>-0.19820971867007675</v>
      </c>
      <c r="E110" s="186">
        <f t="shared" si="67"/>
        <v>-0.1958516154766653</v>
      </c>
      <c r="F110" s="186">
        <f t="shared" si="67"/>
        <v>-0.21142972536348947</v>
      </c>
      <c r="G110" s="186">
        <f t="shared" si="67"/>
        <v>-0.16687116564417181</v>
      </c>
      <c r="H110" s="186">
        <f t="shared" si="67"/>
        <v>-0.14958502219648717</v>
      </c>
      <c r="I110" s="186">
        <f t="shared" si="67"/>
        <v>-7.357578305654866E-3</v>
      </c>
      <c r="J110" s="186">
        <f t="shared" si="67"/>
        <v>5.9123055162659144E-2</v>
      </c>
      <c r="K110" s="186">
        <f t="shared" si="67"/>
        <v>0.15111940298507465</v>
      </c>
      <c r="L110" s="186">
        <f t="shared" si="67"/>
        <v>0.16812658943204295</v>
      </c>
      <c r="M110" s="186">
        <f t="shared" si="67"/>
        <v>-0.22546698237305984</v>
      </c>
      <c r="N110" s="186"/>
      <c r="O110" s="186">
        <f t="shared" si="65"/>
        <v>-1</v>
      </c>
      <c r="P110" s="186">
        <f t="shared" si="65"/>
        <v>-1</v>
      </c>
      <c r="Q110" s="186">
        <f t="shared" si="65"/>
        <v>-1</v>
      </c>
      <c r="R110" s="186">
        <f t="shared" si="65"/>
        <v>-1</v>
      </c>
      <c r="S110" s="186">
        <f t="shared" si="65"/>
        <v>-1</v>
      </c>
    </row>
    <row r="111" spans="1:19" ht="13" customHeight="1">
      <c r="A111" s="529" t="s">
        <v>196</v>
      </c>
      <c r="B111" s="206">
        <f t="shared" ref="B111:M111" si="68">B99/B461-1</f>
        <v>-0.12599106876464283</v>
      </c>
      <c r="C111" s="206">
        <f t="shared" si="68"/>
        <v>-0.26712056792538708</v>
      </c>
      <c r="D111" s="206">
        <f t="shared" si="68"/>
        <v>-0.21252441288808077</v>
      </c>
      <c r="E111" s="206">
        <f t="shared" si="68"/>
        <v>-0.19068125531364355</v>
      </c>
      <c r="F111" s="206">
        <f t="shared" si="68"/>
        <v>-0.20385614257265838</v>
      </c>
      <c r="G111" s="206">
        <f t="shared" si="68"/>
        <v>-0.17200994504056544</v>
      </c>
      <c r="H111" s="206">
        <f t="shared" si="68"/>
        <v>-0.18887961702314526</v>
      </c>
      <c r="I111" s="206">
        <f t="shared" si="68"/>
        <v>4.9312224240851688E-3</v>
      </c>
      <c r="J111" s="206">
        <f t="shared" si="68"/>
        <v>6.7593768803904553E-2</v>
      </c>
      <c r="K111" s="206">
        <f t="shared" si="68"/>
        <v>0.17456302329699214</v>
      </c>
      <c r="L111" s="206">
        <f t="shared" si="68"/>
        <v>0.172014459415051</v>
      </c>
      <c r="M111" s="206">
        <f t="shared" si="68"/>
        <v>9.6984567701943192E-3</v>
      </c>
      <c r="N111" s="206"/>
      <c r="O111" s="206">
        <f t="shared" si="65"/>
        <v>-1</v>
      </c>
      <c r="P111" s="206">
        <f t="shared" si="65"/>
        <v>-1</v>
      </c>
      <c r="Q111" s="206">
        <f t="shared" si="65"/>
        <v>-1</v>
      </c>
      <c r="R111" s="206">
        <f t="shared" si="65"/>
        <v>-1</v>
      </c>
      <c r="S111" s="206">
        <f t="shared" si="65"/>
        <v>-1</v>
      </c>
    </row>
    <row r="112" spans="1:19" ht="13" customHeight="1">
      <c r="A112" s="529"/>
    </row>
    <row r="113" spans="1:20" ht="13" customHeight="1">
      <c r="A113" s="525" t="s">
        <v>203</v>
      </c>
      <c r="B113" s="472" t="s">
        <v>51</v>
      </c>
      <c r="C113" s="472" t="s">
        <v>52</v>
      </c>
      <c r="D113" s="472" t="s">
        <v>53</v>
      </c>
      <c r="E113" s="472" t="s">
        <v>54</v>
      </c>
      <c r="F113" s="472" t="s">
        <v>55</v>
      </c>
      <c r="G113" s="472" t="s">
        <v>77</v>
      </c>
      <c r="H113" s="472" t="s">
        <v>78</v>
      </c>
      <c r="I113" s="472" t="s">
        <v>79</v>
      </c>
      <c r="J113" s="472" t="s">
        <v>80</v>
      </c>
      <c r="K113" s="472" t="s">
        <v>81</v>
      </c>
      <c r="L113" s="472" t="s">
        <v>82</v>
      </c>
      <c r="M113" s="472" t="s">
        <v>44</v>
      </c>
      <c r="N113" s="473" t="s">
        <v>133</v>
      </c>
      <c r="O113" s="473" t="s">
        <v>129</v>
      </c>
      <c r="P113" s="473" t="s">
        <v>130</v>
      </c>
      <c r="Q113" s="473" t="s">
        <v>131</v>
      </c>
      <c r="R113" s="473" t="s">
        <v>132</v>
      </c>
      <c r="S113" s="473" t="s">
        <v>171</v>
      </c>
      <c r="T113" s="445"/>
    </row>
    <row r="114" spans="1:20">
      <c r="A114" s="526" t="s">
        <v>22</v>
      </c>
      <c r="B114" s="443">
        <f t="shared" ref="B114:H116" si="69">B133+B152</f>
        <v>1389.51</v>
      </c>
      <c r="C114" s="443">
        <f t="shared" si="69"/>
        <v>1505.22</v>
      </c>
      <c r="D114" s="443">
        <f t="shared" si="69"/>
        <v>1448.36</v>
      </c>
      <c r="E114" s="443">
        <f t="shared" si="69"/>
        <v>1532.9199999999998</v>
      </c>
      <c r="F114" s="443">
        <f t="shared" si="69"/>
        <v>1548.5500000000002</v>
      </c>
      <c r="G114" s="443">
        <f t="shared" si="69"/>
        <v>1570.17</v>
      </c>
      <c r="H114" s="443">
        <f t="shared" si="69"/>
        <v>1803</v>
      </c>
      <c r="I114" s="443">
        <f>182.68+1691.32</f>
        <v>1874</v>
      </c>
      <c r="J114" s="443">
        <f>150.56+1561.93</f>
        <v>1712.49</v>
      </c>
      <c r="K114" s="443">
        <f>150.58+1590.76</f>
        <v>1741.34</v>
      </c>
      <c r="L114" s="443">
        <f>137.28+1517.99</f>
        <v>1655.27</v>
      </c>
      <c r="M114" s="443">
        <f>M133+M152</f>
        <v>1791.5700000000002</v>
      </c>
      <c r="O114" s="443">
        <f>SUM(B114:D114)</f>
        <v>4343.09</v>
      </c>
      <c r="P114" s="443">
        <f>SUM(E114:G114)</f>
        <v>4651.6400000000003</v>
      </c>
      <c r="Q114" s="443">
        <f>SUM(H114:J114)</f>
        <v>5389.49</v>
      </c>
      <c r="R114" s="443">
        <f>SUM(K114:M114)</f>
        <v>5188.18</v>
      </c>
      <c r="S114" s="443">
        <f>SUM(B114:M114)</f>
        <v>19572.399999999998</v>
      </c>
    </row>
    <row r="115" spans="1:20">
      <c r="A115" s="526" t="s">
        <v>25</v>
      </c>
      <c r="B115" s="443">
        <f t="shared" si="69"/>
        <v>1438.75</v>
      </c>
      <c r="C115" s="443">
        <f t="shared" si="69"/>
        <v>1607.58</v>
      </c>
      <c r="D115" s="443">
        <f t="shared" si="69"/>
        <v>1548.04</v>
      </c>
      <c r="E115" s="443">
        <f t="shared" si="69"/>
        <v>1629.02</v>
      </c>
      <c r="F115" s="443">
        <f t="shared" si="69"/>
        <v>1640.0300000000002</v>
      </c>
      <c r="G115" s="443">
        <f t="shared" si="69"/>
        <v>1751.7399999999998</v>
      </c>
      <c r="H115" s="443">
        <f t="shared" si="69"/>
        <v>1909</v>
      </c>
      <c r="I115" s="443">
        <f>1689.11+358.59</f>
        <v>2047.6999999999998</v>
      </c>
      <c r="J115" s="443">
        <f>1439.16+293.98</f>
        <v>1733.14</v>
      </c>
      <c r="K115" s="443">
        <f>1478.95+318.5</f>
        <v>1797.45</v>
      </c>
      <c r="L115" s="443">
        <f>1468.71+321.66</f>
        <v>1790.3700000000001</v>
      </c>
      <c r="M115" s="443">
        <f>M134+M153</f>
        <v>2001.67</v>
      </c>
      <c r="O115" s="443">
        <f>SUM(B115:D115)</f>
        <v>4594.37</v>
      </c>
      <c r="P115" s="443">
        <f>SUM(E115:G115)</f>
        <v>5020.79</v>
      </c>
      <c r="Q115" s="443">
        <f>SUM(H115:J115)</f>
        <v>5689.84</v>
      </c>
      <c r="R115" s="443">
        <f>SUM(K115:M115)</f>
        <v>5589.49</v>
      </c>
      <c r="S115" s="443">
        <f>SUM(B115:M115)</f>
        <v>20894.489999999998</v>
      </c>
    </row>
    <row r="116" spans="1:20">
      <c r="A116" s="526" t="s">
        <v>172</v>
      </c>
      <c r="B116" s="443">
        <f t="shared" si="69"/>
        <v>1449.8</v>
      </c>
      <c r="C116" s="443">
        <f t="shared" si="69"/>
        <v>1560.9</v>
      </c>
      <c r="D116" s="443">
        <f t="shared" si="69"/>
        <v>1602.1</v>
      </c>
      <c r="E116" s="443">
        <f t="shared" si="69"/>
        <v>1731.8999999999999</v>
      </c>
      <c r="F116" s="443">
        <f t="shared" si="69"/>
        <v>1702.3000000000002</v>
      </c>
      <c r="G116" s="443">
        <f t="shared" si="69"/>
        <v>1751.5</v>
      </c>
      <c r="H116" s="443">
        <f t="shared" si="69"/>
        <v>1979</v>
      </c>
      <c r="I116" s="443">
        <f>1624.1+479.3</f>
        <v>2103.4</v>
      </c>
      <c r="J116" s="443">
        <f>1361+345.9</f>
        <v>1706.9</v>
      </c>
      <c r="K116" s="443">
        <f>1403.4+396.9</f>
        <v>1800.3000000000002</v>
      </c>
      <c r="L116" s="443">
        <f>1366+396.7</f>
        <v>1762.7</v>
      </c>
      <c r="M116" s="443">
        <f>M135+M154</f>
        <v>1904</v>
      </c>
      <c r="O116" s="443">
        <f>SUM(B116:D116)</f>
        <v>4612.7999999999993</v>
      </c>
      <c r="P116" s="443">
        <f>SUM(E116:G116)</f>
        <v>5185.7</v>
      </c>
      <c r="Q116" s="443">
        <f>SUM(H116:J116)</f>
        <v>5789.3</v>
      </c>
      <c r="R116" s="443">
        <f>SUM(K116:M116)</f>
        <v>5467</v>
      </c>
      <c r="S116" s="443">
        <f>SUM(B116:M116)</f>
        <v>21054.799999999999</v>
      </c>
    </row>
    <row r="117" spans="1:20" ht="13" customHeight="1">
      <c r="A117" s="527" t="s">
        <v>196</v>
      </c>
      <c r="B117" s="482">
        <f t="shared" ref="B117:M117" si="70">SUM(B114:B116)</f>
        <v>4278.0600000000004</v>
      </c>
      <c r="C117" s="482">
        <f t="shared" si="70"/>
        <v>4673.7000000000007</v>
      </c>
      <c r="D117" s="482">
        <f t="shared" si="70"/>
        <v>4598.5</v>
      </c>
      <c r="E117" s="482">
        <f t="shared" si="70"/>
        <v>4893.8399999999992</v>
      </c>
      <c r="F117" s="482">
        <f t="shared" si="70"/>
        <v>4890.880000000001</v>
      </c>
      <c r="G117" s="482">
        <f t="shared" si="70"/>
        <v>5073.41</v>
      </c>
      <c r="H117" s="482">
        <f t="shared" si="70"/>
        <v>5691</v>
      </c>
      <c r="I117" s="482">
        <f t="shared" si="70"/>
        <v>6025.1</v>
      </c>
      <c r="J117" s="482">
        <f t="shared" si="70"/>
        <v>5152.5300000000007</v>
      </c>
      <c r="K117" s="482">
        <f t="shared" si="70"/>
        <v>5339.09</v>
      </c>
      <c r="L117" s="482">
        <f t="shared" si="70"/>
        <v>5208.34</v>
      </c>
      <c r="M117" s="482">
        <f t="shared" si="70"/>
        <v>5697.24</v>
      </c>
      <c r="O117" s="482">
        <f>SUM(B117:D117)</f>
        <v>13550.260000000002</v>
      </c>
      <c r="P117" s="482">
        <f>SUM(E117:G117)</f>
        <v>14858.130000000001</v>
      </c>
      <c r="Q117" s="482">
        <f>SUM(H117:J117)</f>
        <v>16868.63</v>
      </c>
      <c r="R117" s="482">
        <f>SUM(K117:M117)</f>
        <v>16244.67</v>
      </c>
      <c r="S117" s="482">
        <f>SUM(B117:M117)</f>
        <v>61521.689999999995</v>
      </c>
    </row>
    <row r="119" spans="1:20" ht="13" customHeight="1">
      <c r="A119" s="528" t="s">
        <v>177</v>
      </c>
    </row>
    <row r="120" spans="1:20">
      <c r="A120" s="526" t="s">
        <v>22</v>
      </c>
      <c r="B120" s="186">
        <f t="shared" ref="B120:M120" si="71">B114/B170-1</f>
        <v>5.236299986535613</v>
      </c>
      <c r="C120" s="186">
        <f t="shared" si="71"/>
        <v>3.5336586247402186</v>
      </c>
      <c r="D120" s="186">
        <f t="shared" si="71"/>
        <v>2.0422618047386991</v>
      </c>
      <c r="E120" s="186">
        <f t="shared" si="71"/>
        <v>1.3369107872431241</v>
      </c>
      <c r="F120" s="186">
        <f t="shared" si="71"/>
        <v>0.97859835175365739</v>
      </c>
      <c r="G120" s="186">
        <f t="shared" si="71"/>
        <v>0.65549416949581452</v>
      </c>
      <c r="H120" s="186">
        <f t="shared" si="71"/>
        <v>0.5260004062563477</v>
      </c>
      <c r="I120" s="186">
        <f t="shared" si="71"/>
        <v>0.48733700008730385</v>
      </c>
      <c r="J120" s="186">
        <f t="shared" si="71"/>
        <v>0.47389575515543791</v>
      </c>
      <c r="K120" s="186">
        <f t="shared" si="71"/>
        <v>0.48985284052019162</v>
      </c>
      <c r="L120" s="186">
        <f t="shared" si="71"/>
        <v>0.51724612042494278</v>
      </c>
      <c r="M120" s="186">
        <f t="shared" si="71"/>
        <v>0.33120082031162945</v>
      </c>
      <c r="N120" s="186"/>
      <c r="O120" s="186">
        <f t="shared" ref="O120:S123" si="72">O114/O170-1</f>
        <v>3.2129110485983121</v>
      </c>
      <c r="P120" s="186">
        <f t="shared" si="72"/>
        <v>0.94868185683704298</v>
      </c>
      <c r="Q120" s="186">
        <f t="shared" si="72"/>
        <v>0.49568043248403582</v>
      </c>
      <c r="R120" s="186">
        <f t="shared" si="72"/>
        <v>0.43892278677612606</v>
      </c>
      <c r="S120" s="145">
        <f t="shared" si="72"/>
        <v>0.84177194940406141</v>
      </c>
    </row>
    <row r="121" spans="1:20">
      <c r="A121" s="526" t="s">
        <v>25</v>
      </c>
      <c r="B121" s="186">
        <f t="shared" ref="B121:M121" si="73">B115/B171-1</f>
        <v>8.6787756474941133</v>
      </c>
      <c r="C121" s="186">
        <f t="shared" si="73"/>
        <v>6.6660944206008583</v>
      </c>
      <c r="D121" s="186">
        <f t="shared" si="73"/>
        <v>3.7137419688803632</v>
      </c>
      <c r="E121" s="186">
        <f t="shared" si="73"/>
        <v>2.5002578427159432</v>
      </c>
      <c r="F121" s="186">
        <f t="shared" si="73"/>
        <v>1.691441700172315</v>
      </c>
      <c r="G121" s="186">
        <f t="shared" si="73"/>
        <v>1.2483571208542967</v>
      </c>
      <c r="H121" s="186">
        <f t="shared" si="73"/>
        <v>0.83233509943945339</v>
      </c>
      <c r="I121" s="186">
        <f t="shared" si="73"/>
        <v>0.85305509302830651</v>
      </c>
      <c r="J121" s="186">
        <f t="shared" si="73"/>
        <v>0.70690487211558373</v>
      </c>
      <c r="K121" s="186">
        <f t="shared" si="73"/>
        <v>0.64588083399719776</v>
      </c>
      <c r="L121" s="186">
        <f t="shared" si="73"/>
        <v>0.57644624460685034</v>
      </c>
      <c r="M121" s="186">
        <f t="shared" si="73"/>
        <v>0.47402721729653297</v>
      </c>
      <c r="N121" s="186"/>
      <c r="O121" s="186">
        <f t="shared" si="72"/>
        <v>5.6899207874657813</v>
      </c>
      <c r="P121" s="186">
        <f t="shared" si="72"/>
        <v>1.7082751217722927</v>
      </c>
      <c r="Q121" s="186">
        <f t="shared" si="72"/>
        <v>0.79930113052415219</v>
      </c>
      <c r="R121" s="186">
        <f t="shared" si="72"/>
        <v>0.55880638639057367</v>
      </c>
      <c r="S121" s="145">
        <f t="shared" si="72"/>
        <v>1.2494695127268494</v>
      </c>
    </row>
    <row r="122" spans="1:20">
      <c r="A122" s="526" t="s">
        <v>172</v>
      </c>
      <c r="B122" s="186">
        <f t="shared" ref="B122:M122" si="74">B116/B172-1</f>
        <v>5.9395223873997463</v>
      </c>
      <c r="C122" s="186">
        <f t="shared" si="74"/>
        <v>5.0074856564261401</v>
      </c>
      <c r="D122" s="186">
        <f t="shared" si="74"/>
        <v>3.0248325766231812</v>
      </c>
      <c r="E122" s="186">
        <f t="shared" si="74"/>
        <v>1.9132216887648612</v>
      </c>
      <c r="F122" s="186">
        <f t="shared" si="74"/>
        <v>1.513733018310691</v>
      </c>
      <c r="G122" s="186">
        <f t="shared" si="74"/>
        <v>1.0451891639420827</v>
      </c>
      <c r="H122" s="186">
        <f t="shared" si="74"/>
        <v>0.7903021530667631</v>
      </c>
      <c r="I122" s="186">
        <f t="shared" si="74"/>
        <v>0.73219138598369438</v>
      </c>
      <c r="J122" s="186">
        <f t="shared" si="74"/>
        <v>0.62469065296021342</v>
      </c>
      <c r="K122" s="186">
        <f t="shared" si="74"/>
        <v>0.62276906435911306</v>
      </c>
      <c r="L122" s="186">
        <f t="shared" si="74"/>
        <v>0.59809610154125115</v>
      </c>
      <c r="M122" s="186">
        <f t="shared" si="74"/>
        <v>0.41382639043588032</v>
      </c>
      <c r="N122" s="186"/>
      <c r="O122" s="186">
        <f t="shared" si="72"/>
        <v>4.3216493299393077</v>
      </c>
      <c r="P122" s="186">
        <f t="shared" si="72"/>
        <v>1.4367786337307993</v>
      </c>
      <c r="Q122" s="186">
        <f t="shared" si="72"/>
        <v>0.71774026051093398</v>
      </c>
      <c r="R122" s="186">
        <f t="shared" si="72"/>
        <v>0.53606248770756637</v>
      </c>
      <c r="S122" s="145">
        <f t="shared" si="72"/>
        <v>1.121541040141123</v>
      </c>
    </row>
    <row r="123" spans="1:20" ht="13" customHeight="1">
      <c r="A123" s="529" t="s">
        <v>196</v>
      </c>
      <c r="B123" s="186">
        <f t="shared" ref="B123:M123" si="75">B117/B173-1</f>
        <v>6.3711453344925406</v>
      </c>
      <c r="C123" s="186">
        <f t="shared" si="75"/>
        <v>4.8309307875291827</v>
      </c>
      <c r="D123" s="186">
        <f t="shared" si="75"/>
        <v>2.823977061296866</v>
      </c>
      <c r="E123" s="186">
        <f t="shared" si="75"/>
        <v>1.8521266758880937</v>
      </c>
      <c r="F123" s="186">
        <f t="shared" si="75"/>
        <v>1.3636574521554232</v>
      </c>
      <c r="G123" s="186">
        <f t="shared" si="75"/>
        <v>0.9634091595136185</v>
      </c>
      <c r="H123" s="186">
        <f t="shared" si="75"/>
        <v>0.7096456338095869</v>
      </c>
      <c r="I123" s="186">
        <f t="shared" si="75"/>
        <v>0.6833132642883688</v>
      </c>
      <c r="J123" s="186">
        <f t="shared" si="75"/>
        <v>0.59627306101584665</v>
      </c>
      <c r="K123" s="186">
        <f t="shared" si="75"/>
        <v>0.5841633805992954</v>
      </c>
      <c r="L123" s="186">
        <f t="shared" si="75"/>
        <v>0.56422107896578333</v>
      </c>
      <c r="M123" s="186">
        <f t="shared" si="75"/>
        <v>0.40655575004505629</v>
      </c>
      <c r="N123" s="186"/>
      <c r="O123" s="186">
        <f t="shared" si="72"/>
        <v>4.2429774714351147</v>
      </c>
      <c r="P123" s="186">
        <f t="shared" si="72"/>
        <v>1.332869356021543</v>
      </c>
      <c r="Q123" s="186">
        <f t="shared" si="72"/>
        <v>0.66424261438527532</v>
      </c>
      <c r="R123" s="186">
        <f t="shared" si="72"/>
        <v>0.51106883897883337</v>
      </c>
      <c r="S123" s="145">
        <f t="shared" si="72"/>
        <v>1.0617281331969477</v>
      </c>
    </row>
    <row r="124" spans="1:20" ht="13" customHeight="1">
      <c r="A124" s="531"/>
      <c r="B124" s="186"/>
    </row>
    <row r="125" spans="1:20" ht="13" customHeight="1">
      <c r="A125" s="528" t="s">
        <v>179</v>
      </c>
      <c r="B125" s="186"/>
    </row>
    <row r="126" spans="1:20">
      <c r="A126" s="526" t="s">
        <v>22</v>
      </c>
      <c r="B126" s="186">
        <f t="shared" ref="B126:M126" si="76">B114/B416-1</f>
        <v>-0.26531874732328398</v>
      </c>
      <c r="C126" s="186">
        <f t="shared" si="76"/>
        <v>-0.18370689327917478</v>
      </c>
      <c r="D126" s="186">
        <f t="shared" si="76"/>
        <v>-0.21996984058595437</v>
      </c>
      <c r="E126" s="186">
        <f t="shared" si="76"/>
        <v>-0.19078513247427853</v>
      </c>
      <c r="F126" s="186">
        <f t="shared" si="76"/>
        <v>-0.15837386885513183</v>
      </c>
      <c r="G126" s="186">
        <f t="shared" si="76"/>
        <v>-0.15766123408044797</v>
      </c>
      <c r="H126" s="186">
        <f t="shared" si="76"/>
        <v>-0.14492623032452967</v>
      </c>
      <c r="I126" s="186">
        <f t="shared" si="76"/>
        <v>-0.1438856808712814</v>
      </c>
      <c r="J126" s="186">
        <f t="shared" si="76"/>
        <v>-7.2514866928801269E-2</v>
      </c>
      <c r="K126" s="186">
        <f t="shared" si="76"/>
        <v>-5.9309718928438393E-2</v>
      </c>
      <c r="L126" s="186">
        <f t="shared" si="76"/>
        <v>-8.0267595694909821E-2</v>
      </c>
      <c r="M126" s="186">
        <f t="shared" si="76"/>
        <v>-7.6381764472374991E-2</v>
      </c>
      <c r="N126" s="186"/>
      <c r="O126" s="186">
        <f t="shared" ref="O126:S129" si="77">O114/O416-1</f>
        <v>-0.22334980901560775</v>
      </c>
      <c r="P126" s="186">
        <f t="shared" si="77"/>
        <v>-0.16910369859636964</v>
      </c>
      <c r="Q126" s="186">
        <f t="shared" si="77"/>
        <v>-0.12279436777437247</v>
      </c>
      <c r="R126" s="186">
        <f t="shared" si="77"/>
        <v>-7.1979880477731295E-2</v>
      </c>
      <c r="S126" s="186">
        <f t="shared" si="77"/>
        <v>-0.14623985929734185</v>
      </c>
    </row>
    <row r="127" spans="1:20">
      <c r="A127" s="526" t="s">
        <v>25</v>
      </c>
      <c r="B127" s="186">
        <f t="shared" ref="B127:M127" si="78">B115/B417-1</f>
        <v>-0.21136943539258857</v>
      </c>
      <c r="C127" s="186">
        <f t="shared" si="78"/>
        <v>-0.11200596569724086</v>
      </c>
      <c r="D127" s="186">
        <f t="shared" si="78"/>
        <v>-0.12552958322506313</v>
      </c>
      <c r="E127" s="186">
        <f t="shared" si="78"/>
        <v>-8.7322397023889553E-2</v>
      </c>
      <c r="F127" s="186">
        <f t="shared" si="78"/>
        <v>-8.9180888698829675E-2</v>
      </c>
      <c r="G127" s="186">
        <f t="shared" si="78"/>
        <v>-3.2994573587780462E-2</v>
      </c>
      <c r="H127" s="186">
        <f t="shared" si="78"/>
        <v>1.7254425509692917E-2</v>
      </c>
      <c r="I127" s="186">
        <f t="shared" si="78"/>
        <v>7.3369921320102893E-2</v>
      </c>
      <c r="J127" s="186">
        <f t="shared" si="78"/>
        <v>4.8044071137879563E-2</v>
      </c>
      <c r="K127" s="186">
        <f t="shared" si="78"/>
        <v>7.3258257899639467E-2</v>
      </c>
      <c r="L127" s="186">
        <f t="shared" si="78"/>
        <v>8.4822889273985291E-2</v>
      </c>
      <c r="M127" s="186">
        <f t="shared" si="78"/>
        <v>0.17450975790078993</v>
      </c>
      <c r="N127" s="186"/>
      <c r="O127" s="186">
        <f t="shared" si="77"/>
        <v>-0.14997386666913359</v>
      </c>
      <c r="P127" s="186">
        <f t="shared" si="77"/>
        <v>-6.9707244765610521E-2</v>
      </c>
      <c r="Q127" s="186">
        <f t="shared" si="77"/>
        <v>4.6303447565667177E-2</v>
      </c>
      <c r="R127" s="186">
        <f t="shared" si="77"/>
        <v>0.11136318447528515</v>
      </c>
      <c r="S127" s="186">
        <f t="shared" si="77"/>
        <v>-1.7627424167519501E-2</v>
      </c>
    </row>
    <row r="128" spans="1:20">
      <c r="A128" s="526" t="s">
        <v>172</v>
      </c>
      <c r="B128" s="186">
        <f t="shared" ref="B128:M128" si="79">B116/B418-1</f>
        <v>-0.2486525704809287</v>
      </c>
      <c r="C128" s="186">
        <f t="shared" si="79"/>
        <v>-0.14881666484894762</v>
      </c>
      <c r="D128" s="186">
        <f t="shared" si="79"/>
        <v>-0.17608639753149913</v>
      </c>
      <c r="E128" s="186">
        <f t="shared" si="79"/>
        <v>-0.12459563283461395</v>
      </c>
      <c r="F128" s="186">
        <f t="shared" si="79"/>
        <v>-0.11416974553780501</v>
      </c>
      <c r="G128" s="186">
        <f t="shared" si="79"/>
        <v>-6.4369658119658113E-2</v>
      </c>
      <c r="H128" s="186">
        <f t="shared" si="79"/>
        <v>1.031243618541966E-2</v>
      </c>
      <c r="I128" s="186">
        <f t="shared" si="79"/>
        <v>4.8502068690494005E-2</v>
      </c>
      <c r="J128" s="186">
        <f t="shared" si="79"/>
        <v>-3.2118663863582864E-3</v>
      </c>
      <c r="K128" s="186">
        <f t="shared" si="79"/>
        <v>3.9254170755642859E-2</v>
      </c>
      <c r="L128" s="186">
        <f t="shared" si="79"/>
        <v>2.3575866674409252E-2</v>
      </c>
      <c r="M128" s="186">
        <f t="shared" si="79"/>
        <v>3.4052028458154471E-2</v>
      </c>
      <c r="N128" s="186"/>
      <c r="O128" s="186">
        <f t="shared" si="77"/>
        <v>-0.19185690008584599</v>
      </c>
      <c r="P128" s="186">
        <f t="shared" si="77"/>
        <v>-0.10159214150828999</v>
      </c>
      <c r="Q128" s="186">
        <f t="shared" si="77"/>
        <v>1.9727687457065768E-2</v>
      </c>
      <c r="R128" s="186">
        <f t="shared" si="77"/>
        <v>3.2346998508223646E-2</v>
      </c>
      <c r="S128" s="186">
        <f t="shared" si="77"/>
        <v>-6.2272302142252545E-2</v>
      </c>
    </row>
    <row r="129" spans="1:19" ht="13" customHeight="1">
      <c r="A129" s="529" t="s">
        <v>196</v>
      </c>
      <c r="B129" s="186">
        <f t="shared" ref="B129:M129" si="80">B117/B419-1</f>
        <v>-0.24218749308049636</v>
      </c>
      <c r="C129" s="186">
        <f t="shared" si="80"/>
        <v>-0.1483969009423991</v>
      </c>
      <c r="D129" s="186">
        <f t="shared" si="80"/>
        <v>-0.17464767497792366</v>
      </c>
      <c r="E129" s="186">
        <f t="shared" si="80"/>
        <v>-0.13499870086485311</v>
      </c>
      <c r="F129" s="186">
        <f t="shared" si="80"/>
        <v>-0.12070273593826952</v>
      </c>
      <c r="G129" s="186">
        <f t="shared" si="80"/>
        <v>-8.5471656959713926E-2</v>
      </c>
      <c r="H129" s="186">
        <f t="shared" si="80"/>
        <v>-4.2565540771297483E-2</v>
      </c>
      <c r="I129" s="186">
        <f t="shared" si="80"/>
        <v>-1.2730243052767709E-2</v>
      </c>
      <c r="J129" s="186">
        <f t="shared" si="80"/>
        <v>-1.1499346758830242E-2</v>
      </c>
      <c r="K129" s="186">
        <f t="shared" si="80"/>
        <v>1.5385522394588236E-2</v>
      </c>
      <c r="L129" s="186">
        <f t="shared" si="80"/>
        <v>6.9854085584306613E-3</v>
      </c>
      <c r="M129" s="186">
        <f t="shared" si="80"/>
        <v>3.863970728986077E-2</v>
      </c>
      <c r="N129" s="186"/>
      <c r="O129" s="186">
        <f t="shared" si="77"/>
        <v>-0.18884785981165464</v>
      </c>
      <c r="P129" s="186">
        <f t="shared" si="77"/>
        <v>-0.1138700958524379</v>
      </c>
      <c r="Q129" s="186">
        <f t="shared" si="77"/>
        <v>-2.2633633983360824E-2</v>
      </c>
      <c r="R129" s="186">
        <f t="shared" si="77"/>
        <v>2.0670168871095074E-2</v>
      </c>
      <c r="S129" s="186">
        <f t="shared" si="77"/>
        <v>-7.6907253108544404E-2</v>
      </c>
    </row>
    <row r="131" spans="1:19" ht="13" customHeight="1">
      <c r="A131" s="532" t="s">
        <v>201</v>
      </c>
    </row>
    <row r="132" spans="1:19" ht="13" customHeight="1">
      <c r="A132" s="533" t="s">
        <v>151</v>
      </c>
    </row>
    <row r="133" spans="1:19">
      <c r="A133" s="526" t="s">
        <v>22</v>
      </c>
      <c r="B133" s="443">
        <v>1236.73</v>
      </c>
      <c r="C133" s="443">
        <v>1342.9</v>
      </c>
      <c r="D133" s="443">
        <v>1298.51</v>
      </c>
      <c r="E133" s="443">
        <v>1362.62</v>
      </c>
      <c r="F133" s="443">
        <v>1378.4</v>
      </c>
      <c r="G133" s="443">
        <v>1404.01</v>
      </c>
      <c r="H133" s="443">
        <v>1625</v>
      </c>
      <c r="I133" s="443">
        <v>1691</v>
      </c>
      <c r="J133" s="443">
        <v>1561.93</v>
      </c>
      <c r="K133" s="443">
        <v>1590.76</v>
      </c>
      <c r="L133" s="443">
        <v>1517.99</v>
      </c>
      <c r="M133" s="443">
        <v>1646.43</v>
      </c>
      <c r="O133" s="443">
        <f>SUM(B133:D133)</f>
        <v>3878.1400000000003</v>
      </c>
      <c r="P133" s="443">
        <f>SUM(E133:G133)</f>
        <v>4145.03</v>
      </c>
      <c r="Q133" s="443">
        <f>SUM(H133:J133)</f>
        <v>4877.93</v>
      </c>
      <c r="R133" s="443">
        <f>SUM(K133:M133)</f>
        <v>4755.18</v>
      </c>
      <c r="S133" s="443">
        <f>SUM(B133:M133)</f>
        <v>17656.28</v>
      </c>
    </row>
    <row r="134" spans="1:19">
      <c r="A134" s="526" t="s">
        <v>25</v>
      </c>
      <c r="B134" s="443">
        <v>1145.6400000000001</v>
      </c>
      <c r="C134" s="443">
        <v>1307.32</v>
      </c>
      <c r="D134" s="443">
        <v>1261.23</v>
      </c>
      <c r="E134" s="443">
        <v>1328.88</v>
      </c>
      <c r="F134" s="443">
        <v>1336.4</v>
      </c>
      <c r="G134" s="443">
        <v>1443.11</v>
      </c>
      <c r="H134" s="443">
        <v>1587</v>
      </c>
      <c r="I134" s="443">
        <v>1689</v>
      </c>
      <c r="J134" s="443">
        <v>1439.16</v>
      </c>
      <c r="K134" s="443">
        <v>1478.95</v>
      </c>
      <c r="L134" s="443">
        <v>1468.71</v>
      </c>
      <c r="M134" s="443">
        <v>1681.67</v>
      </c>
      <c r="O134" s="443">
        <f>SUM(B134:D134)</f>
        <v>3714.19</v>
      </c>
      <c r="P134" s="443">
        <f>SUM(E134:G134)</f>
        <v>4108.3900000000003</v>
      </c>
      <c r="Q134" s="443">
        <f>SUM(H134:J134)</f>
        <v>4715.16</v>
      </c>
      <c r="R134" s="443">
        <f>SUM(K134:M134)</f>
        <v>4629.33</v>
      </c>
      <c r="S134" s="443">
        <f>SUM(B134:M134)</f>
        <v>17167.07</v>
      </c>
    </row>
    <row r="135" spans="1:19">
      <c r="A135" s="526" t="s">
        <v>172</v>
      </c>
      <c r="B135" s="443">
        <v>1091.3</v>
      </c>
      <c r="C135" s="443">
        <v>1177.5</v>
      </c>
      <c r="D135" s="443">
        <v>1258.0999999999999</v>
      </c>
      <c r="E135" s="443">
        <v>1330.6</v>
      </c>
      <c r="F135" s="443">
        <v>1320.2</v>
      </c>
      <c r="G135" s="443">
        <v>1358.4</v>
      </c>
      <c r="H135" s="443">
        <v>1528</v>
      </c>
      <c r="I135" s="443">
        <v>1624</v>
      </c>
      <c r="J135" s="443">
        <v>1361</v>
      </c>
      <c r="K135" s="443">
        <v>1403.4</v>
      </c>
      <c r="L135" s="443">
        <v>1366</v>
      </c>
      <c r="M135" s="443">
        <v>1494.2</v>
      </c>
      <c r="O135" s="443">
        <f>SUM(B135:D135)</f>
        <v>3526.9</v>
      </c>
      <c r="P135" s="443">
        <f>SUM(E135:G135)</f>
        <v>4009.2000000000003</v>
      </c>
      <c r="Q135" s="443">
        <f>SUM(H135:J135)</f>
        <v>4513</v>
      </c>
      <c r="R135" s="443">
        <f>SUM(K135:M135)</f>
        <v>4263.6000000000004</v>
      </c>
      <c r="S135" s="443">
        <f>SUM(B135:M135)</f>
        <v>16312.7</v>
      </c>
    </row>
    <row r="136" spans="1:19" ht="13" customHeight="1">
      <c r="A136" s="527" t="s">
        <v>196</v>
      </c>
      <c r="B136" s="482">
        <f t="shared" ref="B136:M136" si="81">SUM(B133:B135)</f>
        <v>3473.67</v>
      </c>
      <c r="C136" s="482">
        <f t="shared" si="81"/>
        <v>3827.7200000000003</v>
      </c>
      <c r="D136" s="482">
        <f t="shared" si="81"/>
        <v>3817.8399999999997</v>
      </c>
      <c r="E136" s="482">
        <f t="shared" si="81"/>
        <v>4022.1</v>
      </c>
      <c r="F136" s="482">
        <f t="shared" si="81"/>
        <v>4035</v>
      </c>
      <c r="G136" s="482">
        <f t="shared" si="81"/>
        <v>4205.5200000000004</v>
      </c>
      <c r="H136" s="482">
        <f t="shared" si="81"/>
        <v>4740</v>
      </c>
      <c r="I136" s="482">
        <f t="shared" si="81"/>
        <v>5004</v>
      </c>
      <c r="J136" s="482">
        <f t="shared" si="81"/>
        <v>4362.09</v>
      </c>
      <c r="K136" s="482">
        <f t="shared" si="81"/>
        <v>4473.1100000000006</v>
      </c>
      <c r="L136" s="482">
        <f t="shared" si="81"/>
        <v>4352.7</v>
      </c>
      <c r="M136" s="482">
        <f t="shared" si="81"/>
        <v>4822.3</v>
      </c>
      <c r="O136" s="482">
        <f>SUM(B136:D136)</f>
        <v>11119.23</v>
      </c>
      <c r="P136" s="482">
        <f>SUM(E136:G136)</f>
        <v>12262.62</v>
      </c>
      <c r="Q136" s="482">
        <f>SUM(H136:J136)</f>
        <v>14106.09</v>
      </c>
      <c r="R136" s="482">
        <f>SUM(K136:M136)</f>
        <v>13648.11</v>
      </c>
      <c r="S136" s="482">
        <f>SUM(B136:M136)</f>
        <v>51136.05</v>
      </c>
    </row>
    <row r="137" spans="1:19" ht="13" customHeight="1">
      <c r="A137" s="534"/>
    </row>
    <row r="138" spans="1:19" ht="13" customHeight="1">
      <c r="A138" s="528" t="s">
        <v>177</v>
      </c>
    </row>
    <row r="139" spans="1:19">
      <c r="A139" s="526" t="s">
        <v>22</v>
      </c>
      <c r="B139" s="186">
        <f t="shared" ref="B139:M139" si="82">B133/B189-1</f>
        <v>6.6374359291051688</v>
      </c>
      <c r="C139" s="186">
        <f t="shared" si="82"/>
        <v>4.2440643548890975</v>
      </c>
      <c r="D139" s="186">
        <f t="shared" si="82"/>
        <v>2.5162338541525626</v>
      </c>
      <c r="E139" s="186">
        <f t="shared" si="82"/>
        <v>1.6043462472047549</v>
      </c>
      <c r="F139" s="186">
        <f t="shared" si="82"/>
        <v>1.1244066333764873</v>
      </c>
      <c r="G139" s="186">
        <f t="shared" si="82"/>
        <v>0.73001380058159615</v>
      </c>
      <c r="H139" s="186">
        <f t="shared" si="82"/>
        <v>0.58488652212501591</v>
      </c>
      <c r="I139" s="186">
        <f t="shared" si="82"/>
        <v>0.54031134146452553</v>
      </c>
      <c r="J139" s="186">
        <f t="shared" si="82"/>
        <v>0.51966803202926615</v>
      </c>
      <c r="K139" s="186">
        <f t="shared" si="82"/>
        <v>0.55463038974238699</v>
      </c>
      <c r="L139" s="186">
        <f t="shared" si="82"/>
        <v>0.59105106490021786</v>
      </c>
      <c r="M139" s="186">
        <f t="shared" si="82"/>
        <v>0.38086252012882471</v>
      </c>
      <c r="N139" s="186"/>
      <c r="O139" s="186">
        <f t="shared" ref="O139:S142" si="83">O133/O189-1</f>
        <v>3.9258732376476573</v>
      </c>
      <c r="P139" s="186">
        <f t="shared" si="83"/>
        <v>1.0896395964932619</v>
      </c>
      <c r="Q139" s="186">
        <f t="shared" si="83"/>
        <v>0.54808232437836235</v>
      </c>
      <c r="R139" s="186">
        <f t="shared" si="83"/>
        <v>0.50022715513433691</v>
      </c>
      <c r="S139" s="186">
        <f t="shared" si="83"/>
        <v>0.94206456580322295</v>
      </c>
    </row>
    <row r="140" spans="1:19">
      <c r="A140" s="526" t="s">
        <v>25</v>
      </c>
      <c r="B140" s="186">
        <f t="shared" ref="B140:M140" si="84">B134/B190-1</f>
        <v>13.299051422865702</v>
      </c>
      <c r="C140" s="186">
        <f t="shared" si="84"/>
        <v>10.534497970707605</v>
      </c>
      <c r="D140" s="186">
        <f t="shared" si="84"/>
        <v>6.0154077205473353</v>
      </c>
      <c r="E140" s="186">
        <f t="shared" si="84"/>
        <v>3.8377443663766435</v>
      </c>
      <c r="F140" s="186">
        <f t="shared" si="84"/>
        <v>2.3683679899180845</v>
      </c>
      <c r="G140" s="186">
        <f t="shared" si="84"/>
        <v>1.6169371656541842</v>
      </c>
      <c r="H140" s="186">
        <f t="shared" si="84"/>
        <v>1.0397146712936189</v>
      </c>
      <c r="I140" s="186">
        <f t="shared" si="84"/>
        <v>1.0409149679181215</v>
      </c>
      <c r="J140" s="186">
        <f t="shared" si="84"/>
        <v>0.80703648828507601</v>
      </c>
      <c r="K140" s="186">
        <f t="shared" si="84"/>
        <v>0.76808492832976683</v>
      </c>
      <c r="L140" s="186">
        <f t="shared" si="84"/>
        <v>0.68955124296839965</v>
      </c>
      <c r="M140" s="186">
        <f t="shared" si="84"/>
        <v>0.56603404604037855</v>
      </c>
      <c r="N140" s="186"/>
      <c r="O140" s="186">
        <f t="shared" si="83"/>
        <v>8.9512110170399737</v>
      </c>
      <c r="P140" s="186">
        <f t="shared" si="83"/>
        <v>2.3595744506864884</v>
      </c>
      <c r="Q140" s="186">
        <f t="shared" si="83"/>
        <v>0.96298146575410892</v>
      </c>
      <c r="R140" s="186">
        <f t="shared" si="83"/>
        <v>0.665466254137286</v>
      </c>
      <c r="S140" s="186">
        <f t="shared" si="83"/>
        <v>1.5328492999909997</v>
      </c>
    </row>
    <row r="141" spans="1:19">
      <c r="A141" s="526" t="s">
        <v>172</v>
      </c>
      <c r="B141" s="186">
        <v>12.577</v>
      </c>
      <c r="C141" s="186">
        <v>9.7330000000000005</v>
      </c>
      <c r="D141" s="186">
        <v>5.4169999999999998</v>
      </c>
      <c r="E141" s="186">
        <v>2.7909999999999999</v>
      </c>
      <c r="F141" s="186">
        <v>2.0569999999999999</v>
      </c>
      <c r="G141" s="186">
        <f t="shared" ref="G141:M142" si="85">G135/G191-1</f>
        <v>1.3192760799043879</v>
      </c>
      <c r="H141" s="186">
        <f t="shared" si="85"/>
        <v>1.0257192098634498</v>
      </c>
      <c r="I141" s="186">
        <f t="shared" si="85"/>
        <v>0.94537613799712528</v>
      </c>
      <c r="J141" s="186">
        <f t="shared" si="85"/>
        <v>0.737520745563641</v>
      </c>
      <c r="K141" s="186">
        <f t="shared" si="85"/>
        <v>0.72450233472597714</v>
      </c>
      <c r="L141" s="186">
        <f t="shared" si="85"/>
        <v>0.7004854973235406</v>
      </c>
      <c r="M141" s="186">
        <f t="shared" si="85"/>
        <v>0.49330401758944631</v>
      </c>
      <c r="N141" s="186"/>
      <c r="O141" s="186">
        <f t="shared" si="83"/>
        <v>8.1336320467067029</v>
      </c>
      <c r="P141" s="186">
        <f t="shared" si="83"/>
        <v>1.9294400717179907</v>
      </c>
      <c r="Q141" s="186">
        <f t="shared" si="83"/>
        <v>0.90229303658742221</v>
      </c>
      <c r="R141" s="186">
        <f t="shared" si="83"/>
        <v>0.62875807006150453</v>
      </c>
      <c r="S141" s="186">
        <f t="shared" si="83"/>
        <v>1.4185474740157455</v>
      </c>
    </row>
    <row r="142" spans="1:19" ht="13" customHeight="1">
      <c r="A142" s="529" t="s">
        <v>196</v>
      </c>
      <c r="B142" s="241">
        <f>B136/B192-1</f>
        <v>9.7734555809337955</v>
      </c>
      <c r="C142" s="241">
        <f>C136/C192-1</f>
        <v>6.9889236193103752</v>
      </c>
      <c r="D142" s="241">
        <f>D136/D192-1</f>
        <v>4.1237416153588136</v>
      </c>
      <c r="E142" s="241">
        <f>E136/E192-1</f>
        <v>2.5008598329780267</v>
      </c>
      <c r="F142" s="241">
        <f>F136/F192-1</f>
        <v>1.7309829508152337</v>
      </c>
      <c r="G142" s="241">
        <f t="shared" si="85"/>
        <v>1.1581045922687316</v>
      </c>
      <c r="H142" s="241">
        <f t="shared" si="85"/>
        <v>0.85325649226245881</v>
      </c>
      <c r="I142" s="241">
        <f t="shared" si="85"/>
        <v>0.81291210781827417</v>
      </c>
      <c r="J142" s="241">
        <f t="shared" si="85"/>
        <v>0.67288199944008342</v>
      </c>
      <c r="K142" s="241">
        <f t="shared" si="85"/>
        <v>0.67312259912998273</v>
      </c>
      <c r="L142" s="241">
        <f t="shared" si="85"/>
        <v>0.65711718639950956</v>
      </c>
      <c r="M142" s="241">
        <f t="shared" si="85"/>
        <v>0.47617210936830401</v>
      </c>
      <c r="O142" s="241">
        <f t="shared" si="83"/>
        <v>6.1890753420792572</v>
      </c>
      <c r="P142" s="241">
        <f t="shared" si="83"/>
        <v>1.6803018486374826</v>
      </c>
      <c r="Q142" s="241">
        <f t="shared" si="83"/>
        <v>0.77986067562605776</v>
      </c>
      <c r="R142" s="241">
        <f t="shared" si="83"/>
        <v>0.59311376057262022</v>
      </c>
      <c r="S142" s="241">
        <f t="shared" si="83"/>
        <v>1.2612459531068967</v>
      </c>
    </row>
    <row r="143" spans="1:19" ht="13" customHeight="1">
      <c r="A143" s="531"/>
    </row>
    <row r="144" spans="1:19" ht="13" customHeight="1">
      <c r="A144" s="528" t="s">
        <v>179</v>
      </c>
    </row>
    <row r="145" spans="1:19">
      <c r="A145" s="526" t="s">
        <v>22</v>
      </c>
      <c r="B145" s="186">
        <f t="shared" ref="B145:M145" si="86">B133/B441-1</f>
        <v>-0.26227034120734916</v>
      </c>
      <c r="C145" s="186">
        <f t="shared" si="86"/>
        <v>-0.16812240599640704</v>
      </c>
      <c r="D145" s="186">
        <f t="shared" si="86"/>
        <v>-0.20359285109723635</v>
      </c>
      <c r="E145" s="186">
        <f t="shared" si="86"/>
        <v>-0.1794856354888632</v>
      </c>
      <c r="F145" s="186">
        <f t="shared" si="86"/>
        <v>-0.14184145483523525</v>
      </c>
      <c r="G145" s="186">
        <f t="shared" si="86"/>
        <v>-0.14269925688919283</v>
      </c>
      <c r="H145" s="186">
        <f t="shared" si="86"/>
        <v>-0.12529538102133198</v>
      </c>
      <c r="I145" s="186">
        <f t="shared" si="86"/>
        <v>-0.14147183509760619</v>
      </c>
      <c r="J145" s="186">
        <f t="shared" si="86"/>
        <v>-7.3709243159255644E-2</v>
      </c>
      <c r="K145" s="186">
        <f t="shared" si="86"/>
        <v>-5.8030744451550209E-2</v>
      </c>
      <c r="L145" s="186">
        <f t="shared" si="86"/>
        <v>-7.1491922905185024E-2</v>
      </c>
      <c r="M145" s="186">
        <f t="shared" si="86"/>
        <v>-7.5563865447133893E-2</v>
      </c>
      <c r="N145" s="186"/>
      <c r="O145" s="186">
        <f t="shared" ref="O145:S148" si="87">O133/O441-1</f>
        <v>-0.21194596395971677</v>
      </c>
      <c r="P145" s="186">
        <f t="shared" si="87"/>
        <v>-0.15487406797250769</v>
      </c>
      <c r="Q145" s="186">
        <f t="shared" si="87"/>
        <v>-0.11529769807241674</v>
      </c>
      <c r="R145" s="186">
        <f t="shared" si="87"/>
        <v>-6.845928410230695E-2</v>
      </c>
      <c r="S145" s="186">
        <f t="shared" si="87"/>
        <v>-0.13636179097410628</v>
      </c>
    </row>
    <row r="146" spans="1:19">
      <c r="A146" s="526" t="s">
        <v>25</v>
      </c>
      <c r="B146" s="186">
        <f t="shared" ref="B146:M146" si="88">B134/B442-1</f>
        <v>-0.23040131128158958</v>
      </c>
      <c r="C146" s="186">
        <f t="shared" si="88"/>
        <v>-0.11881314918542185</v>
      </c>
      <c r="D146" s="186">
        <f t="shared" si="88"/>
        <v>-0.11578880951212511</v>
      </c>
      <c r="E146" s="186">
        <f t="shared" si="88"/>
        <v>-7.5754625121713604E-2</v>
      </c>
      <c r="F146" s="186">
        <f t="shared" si="88"/>
        <v>-7.1841315701744568E-2</v>
      </c>
      <c r="G146" s="186">
        <f t="shared" si="88"/>
        <v>-9.5196914164917823E-3</v>
      </c>
      <c r="H146" s="186">
        <f t="shared" si="88"/>
        <v>5.3022712644898551E-2</v>
      </c>
      <c r="I146" s="186">
        <f t="shared" si="88"/>
        <v>5.4992004797121741E-2</v>
      </c>
      <c r="J146" s="186">
        <f t="shared" si="88"/>
        <v>1.3849947164494614E-2</v>
      </c>
      <c r="K146" s="186">
        <f t="shared" si="88"/>
        <v>4.029064410165506E-2</v>
      </c>
      <c r="L146" s="186">
        <f t="shared" si="88"/>
        <v>4.2829045931879639E-2</v>
      </c>
      <c r="M146" s="186">
        <f t="shared" si="88"/>
        <v>0.14498239976033722</v>
      </c>
      <c r="N146" s="186"/>
      <c r="O146" s="186">
        <f t="shared" si="87"/>
        <v>-0.15559723548401772</v>
      </c>
      <c r="P146" s="186">
        <f t="shared" si="87"/>
        <v>-5.2191426238055394E-2</v>
      </c>
      <c r="Q146" s="186">
        <f t="shared" si="87"/>
        <v>4.1437422005278668E-2</v>
      </c>
      <c r="R146" s="186">
        <f t="shared" si="87"/>
        <v>7.6891404325402979E-2</v>
      </c>
      <c r="S146" s="186">
        <f t="shared" si="87"/>
        <v>-2.2351926813656053E-2</v>
      </c>
    </row>
    <row r="147" spans="1:19">
      <c r="A147" s="526" t="s">
        <v>172</v>
      </c>
      <c r="B147" s="186">
        <f t="shared" ref="B147:M147" si="89">B135/B443-1</f>
        <v>-0.25150891632373118</v>
      </c>
      <c r="C147" s="186">
        <f t="shared" si="89"/>
        <v>-0.13272446048464315</v>
      </c>
      <c r="D147" s="186">
        <f t="shared" si="89"/>
        <v>-0.14722429336406162</v>
      </c>
      <c r="E147" s="186">
        <f t="shared" si="89"/>
        <v>-9.9119837508463204E-2</v>
      </c>
      <c r="F147" s="186">
        <f t="shared" si="89"/>
        <v>-7.4518051174202515E-2</v>
      </c>
      <c r="G147" s="186">
        <f t="shared" si="89"/>
        <v>-1.7787418655097587E-2</v>
      </c>
      <c r="H147" s="186">
        <f t="shared" si="89"/>
        <v>6.0595543832858922E-2</v>
      </c>
      <c r="I147" s="186">
        <f t="shared" si="89"/>
        <v>6.1160480920020799E-2</v>
      </c>
      <c r="J147" s="186">
        <f t="shared" si="89"/>
        <v>1.5453675767163055E-3</v>
      </c>
      <c r="K147" s="186">
        <f t="shared" si="89"/>
        <v>3.4116866848426852E-2</v>
      </c>
      <c r="L147" s="186">
        <f t="shared" si="89"/>
        <v>-1.6079520537933822E-3</v>
      </c>
      <c r="M147" s="186">
        <f t="shared" si="89"/>
        <v>2.2584177388447868E-2</v>
      </c>
      <c r="N147" s="186"/>
      <c r="O147" s="186">
        <f t="shared" si="87"/>
        <v>-0.17807037986483332</v>
      </c>
      <c r="P147" s="186">
        <f t="shared" si="87"/>
        <v>-6.4691473229907759E-2</v>
      </c>
      <c r="Q147" s="186">
        <f t="shared" si="87"/>
        <v>4.2263279445727386E-2</v>
      </c>
      <c r="R147" s="186">
        <f t="shared" si="87"/>
        <v>1.8416338230025087E-2</v>
      </c>
      <c r="S147" s="186">
        <f t="shared" si="87"/>
        <v>-4.5706095706095629E-2</v>
      </c>
    </row>
    <row r="148" spans="1:19" ht="13" customHeight="1">
      <c r="A148" s="529" t="s">
        <v>196</v>
      </c>
      <c r="B148" s="206">
        <f t="shared" ref="B148:M148" si="90">B136/B444-1</f>
        <v>-0.24861454200933597</v>
      </c>
      <c r="C148" s="206">
        <f t="shared" si="90"/>
        <v>-0.1409173644792272</v>
      </c>
      <c r="D148" s="206">
        <f t="shared" si="90"/>
        <v>-0.15760952307403786</v>
      </c>
      <c r="E148" s="206">
        <f t="shared" si="90"/>
        <v>-0.1209466089970691</v>
      </c>
      <c r="F148" s="206">
        <f t="shared" si="90"/>
        <v>-9.7834131159489912E-2</v>
      </c>
      <c r="G148" s="206">
        <f t="shared" si="90"/>
        <v>-6.0783573673032332E-2</v>
      </c>
      <c r="H148" s="206">
        <f t="shared" si="90"/>
        <v>-1.3642530735231584E-2</v>
      </c>
      <c r="I148" s="206">
        <f t="shared" si="90"/>
        <v>-1.9017802356788183E-2</v>
      </c>
      <c r="J148" s="206">
        <f t="shared" si="90"/>
        <v>-2.296500038077165E-2</v>
      </c>
      <c r="K148" s="206">
        <f t="shared" si="90"/>
        <v>1.2490123177684165E-3</v>
      </c>
      <c r="L148" s="206">
        <f t="shared" si="90"/>
        <v>-1.3319853291200667E-2</v>
      </c>
      <c r="M148" s="206">
        <f t="shared" si="90"/>
        <v>2.363859442064653E-2</v>
      </c>
      <c r="N148" s="206"/>
      <c r="O148" s="206">
        <f t="shared" si="87"/>
        <v>-0.18305590576867137</v>
      </c>
      <c r="P148" s="206">
        <f t="shared" si="87"/>
        <v>-9.3387058018963742E-2</v>
      </c>
      <c r="Q148" s="206">
        <f t="shared" si="87"/>
        <v>-1.8446628288958711E-2</v>
      </c>
      <c r="R148" s="206">
        <f t="shared" si="87"/>
        <v>4.2811110874008129E-3</v>
      </c>
      <c r="S148" s="206">
        <f t="shared" si="87"/>
        <v>-7.1901096290348576E-2</v>
      </c>
    </row>
    <row r="149" spans="1:19">
      <c r="B149" s="186"/>
    </row>
    <row r="150" spans="1:19" ht="13" customHeight="1">
      <c r="A150" s="532" t="s">
        <v>148</v>
      </c>
    </row>
    <row r="151" spans="1:19" ht="13" customHeight="1">
      <c r="A151" s="533" t="s">
        <v>151</v>
      </c>
    </row>
    <row r="152" spans="1:19">
      <c r="A152" s="526" t="s">
        <v>22</v>
      </c>
      <c r="B152" s="443">
        <v>152.78</v>
      </c>
      <c r="C152" s="443">
        <v>162.32</v>
      </c>
      <c r="D152" s="443">
        <v>149.85</v>
      </c>
      <c r="E152" s="443">
        <v>170.3</v>
      </c>
      <c r="F152" s="443">
        <v>170.15</v>
      </c>
      <c r="G152" s="443">
        <v>166.16</v>
      </c>
      <c r="H152" s="443">
        <v>178</v>
      </c>
      <c r="I152" s="443">
        <v>183</v>
      </c>
      <c r="J152" s="443">
        <v>150.56</v>
      </c>
      <c r="K152" s="443">
        <v>150.58000000000001</v>
      </c>
      <c r="L152" s="443">
        <v>137.47999999999999</v>
      </c>
      <c r="M152" s="443">
        <v>145.13999999999999</v>
      </c>
      <c r="O152" s="443">
        <f>SUM(B152:D152)</f>
        <v>464.95000000000005</v>
      </c>
      <c r="P152" s="443">
        <f>SUM(E152:G152)</f>
        <v>506.61</v>
      </c>
      <c r="Q152" s="443">
        <f>SUM(H152:J152)</f>
        <v>511.56</v>
      </c>
      <c r="R152" s="443">
        <f>SUM(K152:M152)</f>
        <v>433.2</v>
      </c>
      <c r="S152" s="443">
        <f>SUM(B152:M152)</f>
        <v>1916.3199999999997</v>
      </c>
    </row>
    <row r="153" spans="1:19">
      <c r="A153" s="526" t="s">
        <v>25</v>
      </c>
      <c r="B153" s="443">
        <v>293.11</v>
      </c>
      <c r="C153" s="443">
        <v>300.26</v>
      </c>
      <c r="D153" s="443">
        <v>286.81</v>
      </c>
      <c r="E153" s="443">
        <v>300.14</v>
      </c>
      <c r="F153" s="443">
        <v>303.63</v>
      </c>
      <c r="G153" s="443">
        <v>308.63</v>
      </c>
      <c r="H153" s="443">
        <v>322</v>
      </c>
      <c r="I153" s="443">
        <v>359</v>
      </c>
      <c r="J153" s="443">
        <v>293.98</v>
      </c>
      <c r="K153" s="443">
        <v>318.5</v>
      </c>
      <c r="L153" s="443">
        <v>321.66000000000003</v>
      </c>
      <c r="M153" s="443">
        <v>320</v>
      </c>
      <c r="O153" s="443">
        <f>SUM(B153:D153)</f>
        <v>880.18000000000006</v>
      </c>
      <c r="P153" s="443">
        <f>SUM(E153:G153)</f>
        <v>912.4</v>
      </c>
      <c r="Q153" s="443">
        <f>SUM(H153:J153)</f>
        <v>974.98</v>
      </c>
      <c r="R153" s="443">
        <f>SUM(K153:M153)</f>
        <v>960.16000000000008</v>
      </c>
      <c r="S153" s="443">
        <f>SUM(B153:M153)</f>
        <v>3727.7200000000003</v>
      </c>
    </row>
    <row r="154" spans="1:19">
      <c r="A154" s="526" t="s">
        <v>172</v>
      </c>
      <c r="B154" s="443">
        <v>358.5</v>
      </c>
      <c r="C154" s="443">
        <v>383.4</v>
      </c>
      <c r="D154" s="443">
        <v>344</v>
      </c>
      <c r="E154" s="443">
        <v>401.3</v>
      </c>
      <c r="F154" s="443">
        <v>382.1</v>
      </c>
      <c r="G154" s="443">
        <v>393.1</v>
      </c>
      <c r="H154" s="443">
        <v>451</v>
      </c>
      <c r="I154" s="443">
        <v>479</v>
      </c>
      <c r="J154" s="443">
        <v>345.9</v>
      </c>
      <c r="K154" s="443">
        <v>396.9</v>
      </c>
      <c r="L154" s="443">
        <v>396.7</v>
      </c>
      <c r="M154" s="443">
        <v>409.8</v>
      </c>
      <c r="O154" s="443">
        <f>SUM(B154:D154)</f>
        <v>1085.9000000000001</v>
      </c>
      <c r="P154" s="443">
        <f>SUM(E154:G154)</f>
        <v>1176.5</v>
      </c>
      <c r="Q154" s="443">
        <f>SUM(H154:J154)</f>
        <v>1275.9000000000001</v>
      </c>
      <c r="R154" s="443">
        <f>SUM(K154:M154)</f>
        <v>1203.3999999999999</v>
      </c>
      <c r="S154" s="443">
        <f>SUM(B154:M154)</f>
        <v>4741.7000000000007</v>
      </c>
    </row>
    <row r="155" spans="1:19" ht="13" customHeight="1">
      <c r="A155" s="527" t="s">
        <v>196</v>
      </c>
      <c r="B155" s="482">
        <f t="shared" ref="B155:M155" si="91">SUM(B152:B154)</f>
        <v>804.39</v>
      </c>
      <c r="C155" s="482">
        <f t="shared" si="91"/>
        <v>845.98</v>
      </c>
      <c r="D155" s="482">
        <f t="shared" si="91"/>
        <v>780.66</v>
      </c>
      <c r="E155" s="482">
        <f t="shared" si="91"/>
        <v>871.74</v>
      </c>
      <c r="F155" s="482">
        <f t="shared" si="91"/>
        <v>855.88</v>
      </c>
      <c r="G155" s="482">
        <f t="shared" si="91"/>
        <v>867.89</v>
      </c>
      <c r="H155" s="482">
        <f t="shared" si="91"/>
        <v>951</v>
      </c>
      <c r="I155" s="482">
        <f t="shared" si="91"/>
        <v>1021</v>
      </c>
      <c r="J155" s="482">
        <f t="shared" si="91"/>
        <v>790.44</v>
      </c>
      <c r="K155" s="482">
        <f t="shared" si="91"/>
        <v>865.98</v>
      </c>
      <c r="L155" s="482">
        <f t="shared" si="91"/>
        <v>855.83999999999992</v>
      </c>
      <c r="M155" s="482">
        <f t="shared" si="91"/>
        <v>874.94</v>
      </c>
      <c r="O155" s="482">
        <f>SUM(B155:D155)</f>
        <v>2431.0299999999997</v>
      </c>
      <c r="P155" s="482">
        <f>SUM(E155:G155)</f>
        <v>2595.5099999999998</v>
      </c>
      <c r="Q155" s="482">
        <f>SUM(H155:J155)</f>
        <v>2762.44</v>
      </c>
      <c r="R155" s="482">
        <f>SUM(K155:M155)</f>
        <v>2596.7600000000002</v>
      </c>
      <c r="S155" s="482">
        <f>SUM(B155:M155)</f>
        <v>10385.74</v>
      </c>
    </row>
    <row r="157" spans="1:19" ht="13" customHeight="1">
      <c r="A157" s="528" t="s">
        <v>177</v>
      </c>
    </row>
    <row r="158" spans="1:19">
      <c r="A158" s="526" t="s">
        <v>22</v>
      </c>
      <c r="B158" s="186">
        <f t="shared" ref="B158:M158" si="92">B152/B208-1</f>
        <v>1.509526938239159</v>
      </c>
      <c r="C158" s="186">
        <f t="shared" si="92"/>
        <v>1.1377584617410772</v>
      </c>
      <c r="D158" s="186">
        <f t="shared" si="92"/>
        <v>0.40322127540031816</v>
      </c>
      <c r="E158" s="186">
        <f t="shared" si="92"/>
        <v>0.2828625235404898</v>
      </c>
      <c r="F158" s="186">
        <f t="shared" si="92"/>
        <v>0.27157910470069502</v>
      </c>
      <c r="G158" s="186">
        <f t="shared" si="92"/>
        <v>0.21373265157048937</v>
      </c>
      <c r="H158" s="186">
        <f t="shared" si="92"/>
        <v>0.13949170987772863</v>
      </c>
      <c r="I158" s="186">
        <f t="shared" si="92"/>
        <v>0.12865424941408676</v>
      </c>
      <c r="J158" s="186">
        <f t="shared" si="92"/>
        <v>0.12299545013798774</v>
      </c>
      <c r="K158" s="186">
        <f t="shared" si="92"/>
        <v>3.4487496564990394E-2</v>
      </c>
      <c r="L158" s="186">
        <f t="shared" si="92"/>
        <v>4.3100299510556717E-3</v>
      </c>
      <c r="M158" s="186">
        <f t="shared" si="92"/>
        <v>-5.4524135235489601E-2</v>
      </c>
      <c r="N158" s="186"/>
      <c r="O158" s="186">
        <f t="shared" ref="O158:S161" si="93">O152/O208-1</f>
        <v>0.90866174055829219</v>
      </c>
      <c r="P158" s="186">
        <f t="shared" si="93"/>
        <v>0.25566351063302428</v>
      </c>
      <c r="Q158" s="186">
        <f t="shared" si="93"/>
        <v>0.13071924318111483</v>
      </c>
      <c r="R158" s="186">
        <f t="shared" si="93"/>
        <v>-6.330856041838695E-3</v>
      </c>
      <c r="S158" s="186">
        <f t="shared" si="93"/>
        <v>0.2480591882457146</v>
      </c>
    </row>
    <row r="159" spans="1:19">
      <c r="A159" s="526" t="s">
        <v>25</v>
      </c>
      <c r="B159" s="186">
        <f t="shared" ref="B159:M159" si="94">B153/B209-1</f>
        <v>3.2771049175543556</v>
      </c>
      <c r="C159" s="186">
        <f t="shared" si="94"/>
        <v>2.1160232461602324</v>
      </c>
      <c r="D159" s="186">
        <f t="shared" si="94"/>
        <v>0.92969117943887514</v>
      </c>
      <c r="E159" s="186">
        <f t="shared" si="94"/>
        <v>0.57380315662524239</v>
      </c>
      <c r="F159" s="186">
        <f t="shared" si="94"/>
        <v>0.42817497648165581</v>
      </c>
      <c r="G159" s="186">
        <f t="shared" si="94"/>
        <v>0.35560240699257695</v>
      </c>
      <c r="H159" s="186">
        <f t="shared" si="94"/>
        <v>0.22066795557071894</v>
      </c>
      <c r="I159" s="186">
        <f t="shared" si="94"/>
        <v>0.2938335675928927</v>
      </c>
      <c r="J159" s="186">
        <f t="shared" si="94"/>
        <v>0.34268097739209891</v>
      </c>
      <c r="K159" s="186">
        <f t="shared" si="94"/>
        <v>0.24599014161646182</v>
      </c>
      <c r="L159" s="186">
        <f t="shared" si="94"/>
        <v>0.207387110093465</v>
      </c>
      <c r="M159" s="186">
        <f t="shared" si="94"/>
        <v>0.12628466844995079</v>
      </c>
      <c r="N159" s="186"/>
      <c r="O159" s="186">
        <f t="shared" si="93"/>
        <v>1.8074126052564434</v>
      </c>
      <c r="P159" s="186">
        <f t="shared" si="93"/>
        <v>0.44600462772195626</v>
      </c>
      <c r="Q159" s="186">
        <f t="shared" si="93"/>
        <v>0.2825140421725576</v>
      </c>
      <c r="R159" s="186">
        <f t="shared" si="93"/>
        <v>0.19104385040004979</v>
      </c>
      <c r="S159" s="186">
        <f t="shared" si="93"/>
        <v>0.4846387293596619</v>
      </c>
    </row>
    <row r="160" spans="1:19">
      <c r="A160" s="526" t="s">
        <v>172</v>
      </c>
      <c r="B160" s="186">
        <v>1.7889999999999999</v>
      </c>
      <c r="C160" s="186">
        <v>1.554</v>
      </c>
      <c r="D160" s="186">
        <v>0.70299999999999996</v>
      </c>
      <c r="E160" s="186">
        <v>0.64800000000000002</v>
      </c>
      <c r="F160" s="186">
        <v>0.55800000000000005</v>
      </c>
      <c r="G160" s="186">
        <f t="shared" ref="G160:M161" si="95">G154/G210-1</f>
        <v>0.45216106390838573</v>
      </c>
      <c r="H160" s="186">
        <f t="shared" si="95"/>
        <v>0.28453432070635132</v>
      </c>
      <c r="I160" s="186">
        <f t="shared" si="95"/>
        <v>0.26218708827404469</v>
      </c>
      <c r="J160" s="186">
        <f t="shared" si="95"/>
        <v>0.29405162738496049</v>
      </c>
      <c r="K160" s="186">
        <f t="shared" si="95"/>
        <v>0.34269282814614321</v>
      </c>
      <c r="L160" s="186">
        <f t="shared" si="95"/>
        <v>0.32365699032365702</v>
      </c>
      <c r="M160" s="186">
        <f t="shared" si="95"/>
        <v>0.18405085235481078</v>
      </c>
      <c r="N160" s="186"/>
      <c r="O160" s="186">
        <f t="shared" si="93"/>
        <v>1.2592105026733869</v>
      </c>
      <c r="P160" s="186">
        <f t="shared" si="93"/>
        <v>0.54903057360258467</v>
      </c>
      <c r="Q160" s="186">
        <f t="shared" si="93"/>
        <v>0.27858502855997602</v>
      </c>
      <c r="R160" s="186">
        <f t="shared" si="93"/>
        <v>0.27830890163586131</v>
      </c>
      <c r="S160" s="186">
        <f t="shared" si="93"/>
        <v>0.49135297863340055</v>
      </c>
    </row>
    <row r="161" spans="1:20" ht="13" customHeight="1">
      <c r="A161" s="529" t="s">
        <v>196</v>
      </c>
      <c r="B161" s="206">
        <f>B155/B211-1</f>
        <v>2.1183866287343096</v>
      </c>
      <c r="C161" s="206">
        <f>C155/C211-1</f>
        <v>1.6239467059599311</v>
      </c>
      <c r="D161" s="206">
        <f>D155/D211-1</f>
        <v>0.70667223326044226</v>
      </c>
      <c r="E161" s="206">
        <f>E155/E211-1</f>
        <v>0.53754904094566824</v>
      </c>
      <c r="F161" s="206">
        <f>F155/F211-1</f>
        <v>0.44645180916327254</v>
      </c>
      <c r="G161" s="206">
        <f t="shared" si="95"/>
        <v>0.3661750121995373</v>
      </c>
      <c r="H161" s="206">
        <f t="shared" si="95"/>
        <v>0.23330307353131885</v>
      </c>
      <c r="I161" s="206">
        <f t="shared" si="95"/>
        <v>0.24647483244008739</v>
      </c>
      <c r="J161" s="206">
        <f t="shared" si="95"/>
        <v>0.27424555068351841</v>
      </c>
      <c r="K161" s="206">
        <f t="shared" si="95"/>
        <v>0.24283130973908551</v>
      </c>
      <c r="L161" s="206">
        <f t="shared" si="95"/>
        <v>0.21741109530583214</v>
      </c>
      <c r="M161" s="206">
        <f t="shared" si="95"/>
        <v>0.11637936534265636</v>
      </c>
      <c r="N161" s="206"/>
      <c r="O161" s="206">
        <f t="shared" si="93"/>
        <v>1.3425413548810319</v>
      </c>
      <c r="P161" s="206">
        <f t="shared" si="93"/>
        <v>0.44681509132894903</v>
      </c>
      <c r="Q161" s="206">
        <f t="shared" si="93"/>
        <v>0.2496731553066458</v>
      </c>
      <c r="R161" s="206">
        <f t="shared" si="93"/>
        <v>0.18925949503322648</v>
      </c>
      <c r="S161" s="206">
        <f t="shared" si="93"/>
        <v>0.43732109079342485</v>
      </c>
    </row>
    <row r="162" spans="1:20" ht="13" customHeight="1">
      <c r="A162" s="529"/>
    </row>
    <row r="163" spans="1:20" ht="13" customHeight="1">
      <c r="A163" s="528" t="s">
        <v>179</v>
      </c>
    </row>
    <row r="164" spans="1:20">
      <c r="A164" s="526" t="s">
        <v>22</v>
      </c>
      <c r="B164" s="186">
        <f t="shared" ref="B164:M164" si="96">B152/B458-1</f>
        <v>-0.28909776185379921</v>
      </c>
      <c r="C164" s="186">
        <f t="shared" si="96"/>
        <v>-0.29324683241172111</v>
      </c>
      <c r="D164" s="186">
        <f t="shared" si="96"/>
        <v>-0.3379429177343819</v>
      </c>
      <c r="E164" s="186">
        <f t="shared" si="96"/>
        <v>-0.27110083889744896</v>
      </c>
      <c r="F164" s="186">
        <f t="shared" si="96"/>
        <v>-0.27199212733185008</v>
      </c>
      <c r="G164" s="186">
        <f t="shared" si="96"/>
        <v>-0.26591561740667113</v>
      </c>
      <c r="H164" s="186">
        <f t="shared" si="96"/>
        <v>-0.29032772506179727</v>
      </c>
      <c r="I164" s="186">
        <f t="shared" si="96"/>
        <v>-0.1655647257307008</v>
      </c>
      <c r="J164" s="186">
        <f t="shared" si="96"/>
        <v>-5.9940059940059909E-2</v>
      </c>
      <c r="K164" s="186">
        <f t="shared" si="96"/>
        <v>-7.2611935702407981E-2</v>
      </c>
      <c r="L164" s="186">
        <f t="shared" si="96"/>
        <v>-0.16608031056654149</v>
      </c>
      <c r="M164" s="186">
        <f t="shared" si="96"/>
        <v>-8.5559475806451735E-2</v>
      </c>
      <c r="N164" s="186"/>
      <c r="O164" s="186">
        <f t="shared" ref="O164:S167" si="97">O152/O458-1</f>
        <v>-0.30699636320276624</v>
      </c>
      <c r="P164" s="186">
        <f t="shared" si="97"/>
        <v>-0.26970924449697997</v>
      </c>
      <c r="Q164" s="186">
        <f t="shared" si="97"/>
        <v>-0.18837360580050444</v>
      </c>
      <c r="R164" s="186">
        <f t="shared" si="97"/>
        <v>-0.10855026237267218</v>
      </c>
      <c r="S164" s="186">
        <f t="shared" si="97"/>
        <v>-0.22756129906041034</v>
      </c>
    </row>
    <row r="165" spans="1:20">
      <c r="A165" s="526" t="s">
        <v>25</v>
      </c>
      <c r="B165" s="186">
        <f t="shared" ref="B165:M165" si="98">B153/B459-1</f>
        <v>-0.12698625444906098</v>
      </c>
      <c r="C165" s="186">
        <f t="shared" si="98"/>
        <v>-8.1099277757375465E-2</v>
      </c>
      <c r="D165" s="186">
        <f t="shared" si="98"/>
        <v>-0.16593480094221658</v>
      </c>
      <c r="E165" s="186">
        <f t="shared" si="98"/>
        <v>-0.1352425953670624</v>
      </c>
      <c r="F165" s="186">
        <f t="shared" si="98"/>
        <v>-0.15838345760456796</v>
      </c>
      <c r="G165" s="186">
        <f t="shared" si="98"/>
        <v>-0.12946718190280082</v>
      </c>
      <c r="H165" s="186">
        <f t="shared" si="98"/>
        <v>-0.12862284523584011</v>
      </c>
      <c r="I165" s="186">
        <f t="shared" si="98"/>
        <v>0.1702578478990775</v>
      </c>
      <c r="J165" s="186">
        <f t="shared" si="98"/>
        <v>0.25530552115803418</v>
      </c>
      <c r="K165" s="186">
        <f t="shared" si="98"/>
        <v>0.25844561223280249</v>
      </c>
      <c r="L165" s="186">
        <f t="shared" si="98"/>
        <v>0.32922848051572395</v>
      </c>
      <c r="M165" s="186">
        <f t="shared" si="98"/>
        <v>0.35863796543964677</v>
      </c>
      <c r="N165" s="186"/>
      <c r="O165" s="186">
        <f t="shared" si="97"/>
        <v>-0.12539560303067931</v>
      </c>
      <c r="P165" s="186">
        <f t="shared" si="97"/>
        <v>-0.14117359137031937</v>
      </c>
      <c r="Q165" s="186">
        <f t="shared" si="97"/>
        <v>7.0829992641324946E-2</v>
      </c>
      <c r="R165" s="186">
        <f t="shared" si="97"/>
        <v>0.31418951287280494</v>
      </c>
      <c r="S165" s="186">
        <f t="shared" si="97"/>
        <v>4.8155520903108151E-3</v>
      </c>
    </row>
    <row r="166" spans="1:20">
      <c r="A166" s="526" t="s">
        <v>172</v>
      </c>
      <c r="B166" s="186">
        <f t="shared" ref="B166:M166" si="99">B154/B460-1</f>
        <v>-0.23982188295165396</v>
      </c>
      <c r="C166" s="186">
        <f t="shared" si="99"/>
        <v>-0.19470699432892258</v>
      </c>
      <c r="D166" s="186">
        <f t="shared" si="99"/>
        <v>-0.26683716965046889</v>
      </c>
      <c r="E166" s="186">
        <f t="shared" si="99"/>
        <v>-0.19964100518548056</v>
      </c>
      <c r="F166" s="186">
        <f t="shared" si="99"/>
        <v>-0.2283925686591276</v>
      </c>
      <c r="G166" s="186">
        <f t="shared" si="99"/>
        <v>-0.19611451942740277</v>
      </c>
      <c r="H166" s="186">
        <f t="shared" si="99"/>
        <v>-0.129511677282378</v>
      </c>
      <c r="I166" s="186">
        <f t="shared" si="99"/>
        <v>6.9371452596174166E-3</v>
      </c>
      <c r="J166" s="186">
        <f t="shared" si="99"/>
        <v>-2.1499292786421598E-2</v>
      </c>
      <c r="K166" s="186">
        <f t="shared" si="99"/>
        <v>5.7835820895522305E-2</v>
      </c>
      <c r="L166" s="186">
        <f t="shared" si="99"/>
        <v>0.12093811811246113</v>
      </c>
      <c r="M166" s="186">
        <f t="shared" si="99"/>
        <v>7.8137332280978633E-2</v>
      </c>
      <c r="N166" s="186"/>
      <c r="O166" s="186">
        <f t="shared" si="97"/>
        <v>-0.23360858211588675</v>
      </c>
      <c r="P166" s="186">
        <f t="shared" si="97"/>
        <v>-0.20806408185245018</v>
      </c>
      <c r="Q166" s="186">
        <f t="shared" si="97"/>
        <v>-5.2994878646181132E-2</v>
      </c>
      <c r="R166" s="186">
        <f t="shared" si="97"/>
        <v>8.4926072845293854E-2</v>
      </c>
      <c r="S166" s="186">
        <f t="shared" si="97"/>
        <v>-0.1151894010076504</v>
      </c>
    </row>
    <row r="167" spans="1:20" ht="13" customHeight="1">
      <c r="A167" s="529" t="s">
        <v>196</v>
      </c>
      <c r="B167" s="206">
        <f t="shared" ref="B167:M167" si="100">B155/B461-1</f>
        <v>-0.21312197054550974</v>
      </c>
      <c r="C167" s="206">
        <f t="shared" si="100"/>
        <v>-0.18067271653123873</v>
      </c>
      <c r="D167" s="206">
        <f t="shared" si="100"/>
        <v>-0.24893930210407833</v>
      </c>
      <c r="E167" s="206">
        <f t="shared" si="100"/>
        <v>-0.19441466750452807</v>
      </c>
      <c r="F167" s="206">
        <f t="shared" si="100"/>
        <v>-0.21456561040295863</v>
      </c>
      <c r="G167" s="206">
        <f t="shared" si="100"/>
        <v>-0.18879687441582238</v>
      </c>
      <c r="H167" s="206">
        <f t="shared" si="100"/>
        <v>-0.16465369581448452</v>
      </c>
      <c r="I167" s="206">
        <f t="shared" si="100"/>
        <v>1.9185849188444681E-2</v>
      </c>
      <c r="J167" s="206">
        <f t="shared" si="100"/>
        <v>5.6949923112923795E-2</v>
      </c>
      <c r="K167" s="206">
        <f t="shared" si="100"/>
        <v>9.5262186021804585E-2</v>
      </c>
      <c r="L167" s="206">
        <f t="shared" si="100"/>
        <v>0.12499507065395976</v>
      </c>
      <c r="M167" s="206">
        <f t="shared" si="100"/>
        <v>0.12990249887002014</v>
      </c>
      <c r="N167" s="206"/>
      <c r="O167" s="206">
        <f t="shared" si="97"/>
        <v>-0.21432553539773669</v>
      </c>
      <c r="P167" s="206">
        <f t="shared" si="97"/>
        <v>-0.19933429785081247</v>
      </c>
      <c r="Q167" s="206">
        <f t="shared" si="97"/>
        <v>-4.350295005678495E-2</v>
      </c>
      <c r="R167" s="206">
        <f t="shared" si="97"/>
        <v>0.11652105118326905</v>
      </c>
      <c r="S167" s="206">
        <f t="shared" si="97"/>
        <v>-0.10078032160938899</v>
      </c>
    </row>
    <row r="168" spans="1:20" ht="13" customHeight="1">
      <c r="A168" s="529"/>
    </row>
    <row r="169" spans="1:20" ht="13" customHeight="1">
      <c r="A169" s="525" t="s">
        <v>204</v>
      </c>
      <c r="B169" s="472" t="s">
        <v>51</v>
      </c>
      <c r="C169" s="472" t="s">
        <v>52</v>
      </c>
      <c r="D169" s="472" t="s">
        <v>53</v>
      </c>
      <c r="E169" s="472" t="s">
        <v>54</v>
      </c>
      <c r="F169" s="472" t="s">
        <v>55</v>
      </c>
      <c r="G169" s="472" t="s">
        <v>77</v>
      </c>
      <c r="H169" s="472" t="s">
        <v>78</v>
      </c>
      <c r="I169" s="472" t="s">
        <v>79</v>
      </c>
      <c r="J169" s="472" t="s">
        <v>80</v>
      </c>
      <c r="K169" s="472" t="s">
        <v>81</v>
      </c>
      <c r="L169" s="472" t="s">
        <v>82</v>
      </c>
      <c r="M169" s="472" t="s">
        <v>44</v>
      </c>
      <c r="N169" s="473" t="s">
        <v>133</v>
      </c>
      <c r="O169" s="473" t="s">
        <v>129</v>
      </c>
      <c r="P169" s="473" t="s">
        <v>130</v>
      </c>
      <c r="Q169" s="473" t="s">
        <v>131</v>
      </c>
      <c r="R169" s="473" t="s">
        <v>132</v>
      </c>
      <c r="S169" s="473" t="s">
        <v>171</v>
      </c>
      <c r="T169" s="445"/>
    </row>
    <row r="170" spans="1:20">
      <c r="A170" s="526" t="s">
        <v>22</v>
      </c>
      <c r="B170" s="443">
        <f t="shared" ref="B170:M170" si="101">B189+B208</f>
        <v>222.81</v>
      </c>
      <c r="C170" s="443">
        <f t="shared" si="101"/>
        <v>332.01</v>
      </c>
      <c r="D170" s="443">
        <f t="shared" si="101"/>
        <v>476.08000000000004</v>
      </c>
      <c r="E170" s="443">
        <f t="shared" si="101"/>
        <v>655.96</v>
      </c>
      <c r="F170" s="443">
        <f t="shared" si="101"/>
        <v>782.65000000000009</v>
      </c>
      <c r="G170" s="443">
        <f t="shared" si="101"/>
        <v>948.45999999999992</v>
      </c>
      <c r="H170" s="443">
        <f t="shared" si="101"/>
        <v>1181.52</v>
      </c>
      <c r="I170" s="443">
        <f t="shared" si="101"/>
        <v>1259.9699999999998</v>
      </c>
      <c r="J170" s="443">
        <f t="shared" si="101"/>
        <v>1161.8799999999999</v>
      </c>
      <c r="K170" s="443">
        <f t="shared" si="101"/>
        <v>1168.8</v>
      </c>
      <c r="L170" s="443">
        <f t="shared" si="101"/>
        <v>1090.97</v>
      </c>
      <c r="M170" s="443">
        <f t="shared" si="101"/>
        <v>1345.83</v>
      </c>
      <c r="N170" s="443"/>
      <c r="O170" s="443">
        <f>SUM(B170:D170)</f>
        <v>1030.9000000000001</v>
      </c>
      <c r="P170" s="443">
        <f>SUM(E170:G170)</f>
        <v>2387.0700000000002</v>
      </c>
      <c r="Q170" s="443">
        <f>SUM(H170:J170)</f>
        <v>3603.37</v>
      </c>
      <c r="R170" s="443">
        <f>SUM(K170:M170)</f>
        <v>3605.6</v>
      </c>
      <c r="S170" s="443">
        <f>SUM(O170:R170)</f>
        <v>10626.94</v>
      </c>
    </row>
    <row r="171" spans="1:20">
      <c r="A171" s="526" t="s">
        <v>25</v>
      </c>
      <c r="B171" s="443">
        <f t="shared" ref="B171:M171" si="102">B190+B209</f>
        <v>148.65</v>
      </c>
      <c r="C171" s="443">
        <f t="shared" si="102"/>
        <v>209.7</v>
      </c>
      <c r="D171" s="443">
        <f t="shared" si="102"/>
        <v>328.40999999999997</v>
      </c>
      <c r="E171" s="443">
        <f t="shared" si="102"/>
        <v>465.4</v>
      </c>
      <c r="F171" s="443">
        <f t="shared" si="102"/>
        <v>609.35</v>
      </c>
      <c r="G171" s="443">
        <f t="shared" si="102"/>
        <v>779.12</v>
      </c>
      <c r="H171" s="443">
        <f t="shared" si="102"/>
        <v>1041.8399999999999</v>
      </c>
      <c r="I171" s="443">
        <f t="shared" si="102"/>
        <v>1105.04</v>
      </c>
      <c r="J171" s="443">
        <f t="shared" si="102"/>
        <v>1015.3699999999999</v>
      </c>
      <c r="K171" s="443">
        <f t="shared" si="102"/>
        <v>1092.0900000000001</v>
      </c>
      <c r="L171" s="443">
        <f t="shared" si="102"/>
        <v>1135.7</v>
      </c>
      <c r="M171" s="443">
        <f t="shared" si="102"/>
        <v>1357.96</v>
      </c>
      <c r="N171" s="443"/>
      <c r="O171" s="443">
        <f>SUM(B171:D171)</f>
        <v>686.76</v>
      </c>
      <c r="P171" s="443">
        <f>SUM(E171:G171)</f>
        <v>1853.87</v>
      </c>
      <c r="Q171" s="443">
        <f>SUM(H171:J171)</f>
        <v>3162.25</v>
      </c>
      <c r="R171" s="443">
        <f>SUM(K171:M171)</f>
        <v>3585.75</v>
      </c>
      <c r="S171" s="443">
        <f>SUM(O171:R171)</f>
        <v>9288.630000000001</v>
      </c>
    </row>
    <row r="172" spans="1:20">
      <c r="A172" s="526" t="s">
        <v>172</v>
      </c>
      <c r="B172" s="443">
        <f t="shared" ref="B172:M172" si="103">B191+B210</f>
        <v>208.919277014285</v>
      </c>
      <c r="C172" s="443">
        <f t="shared" si="103"/>
        <v>259.82583883996841</v>
      </c>
      <c r="D172" s="443">
        <f t="shared" si="103"/>
        <v>398.05382447588801</v>
      </c>
      <c r="E172" s="443">
        <f t="shared" si="103"/>
        <v>594.49646646503084</v>
      </c>
      <c r="F172" s="443">
        <f t="shared" si="103"/>
        <v>677.2</v>
      </c>
      <c r="G172" s="443">
        <f t="shared" si="103"/>
        <v>856.40000000000009</v>
      </c>
      <c r="H172" s="443">
        <f t="shared" si="103"/>
        <v>1105.4000000000001</v>
      </c>
      <c r="I172" s="443">
        <f t="shared" si="103"/>
        <v>1214.3</v>
      </c>
      <c r="J172" s="443">
        <f t="shared" si="103"/>
        <v>1050.5999999999999</v>
      </c>
      <c r="K172" s="443">
        <f t="shared" si="103"/>
        <v>1109.4000000000001</v>
      </c>
      <c r="L172" s="443">
        <f t="shared" si="103"/>
        <v>1103</v>
      </c>
      <c r="M172" s="443">
        <f t="shared" si="103"/>
        <v>1346.7</v>
      </c>
      <c r="N172" s="443"/>
      <c r="O172" s="443">
        <f>SUM(B172:D172)</f>
        <v>866.79894033014148</v>
      </c>
      <c r="P172" s="443">
        <f>SUM(E172:G172)</f>
        <v>2128.096466465031</v>
      </c>
      <c r="Q172" s="443">
        <f>SUM(H172:J172)</f>
        <v>3370.2999999999997</v>
      </c>
      <c r="R172" s="443">
        <f>SUM(K172:M172)</f>
        <v>3559.1000000000004</v>
      </c>
      <c r="S172" s="443">
        <f>SUM(O172:R172)</f>
        <v>9924.2954067951723</v>
      </c>
    </row>
    <row r="173" spans="1:20" s="481" customFormat="1" ht="13" customHeight="1">
      <c r="A173" s="527" t="s">
        <v>196</v>
      </c>
      <c r="B173" s="482">
        <f t="shared" ref="B173:R173" si="104">SUM(B170:B172)</f>
        <v>580.37927701428498</v>
      </c>
      <c r="C173" s="482">
        <f t="shared" si="104"/>
        <v>801.53583883996839</v>
      </c>
      <c r="D173" s="482">
        <f t="shared" si="104"/>
        <v>1202.543824475888</v>
      </c>
      <c r="E173" s="482">
        <f t="shared" si="104"/>
        <v>1715.856466465031</v>
      </c>
      <c r="F173" s="482">
        <f t="shared" si="104"/>
        <v>2069.1999999999998</v>
      </c>
      <c r="G173" s="482">
        <f t="shared" si="104"/>
        <v>2583.98</v>
      </c>
      <c r="H173" s="482">
        <f t="shared" si="104"/>
        <v>3328.7599999999998</v>
      </c>
      <c r="I173" s="482">
        <f t="shared" si="104"/>
        <v>3579.3099999999995</v>
      </c>
      <c r="J173" s="482">
        <f t="shared" si="104"/>
        <v>3227.85</v>
      </c>
      <c r="K173" s="482">
        <f t="shared" si="104"/>
        <v>3370.2900000000004</v>
      </c>
      <c r="L173" s="482">
        <f t="shared" si="104"/>
        <v>3329.67</v>
      </c>
      <c r="M173" s="482">
        <f t="shared" si="104"/>
        <v>4050.49</v>
      </c>
      <c r="N173" s="482">
        <f t="shared" si="104"/>
        <v>0</v>
      </c>
      <c r="O173" s="482">
        <f t="shared" si="104"/>
        <v>2584.4589403301416</v>
      </c>
      <c r="P173" s="482">
        <f t="shared" si="104"/>
        <v>6369.0364664650315</v>
      </c>
      <c r="Q173" s="482">
        <f t="shared" si="104"/>
        <v>10135.92</v>
      </c>
      <c r="R173" s="482">
        <f t="shared" si="104"/>
        <v>10750.45</v>
      </c>
      <c r="S173" s="482">
        <f>SUM(O173:R173)</f>
        <v>29839.865406795176</v>
      </c>
    </row>
    <row r="174" spans="1:20">
      <c r="A174" s="526"/>
      <c r="B174" s="443"/>
      <c r="C174" s="443"/>
      <c r="D174" s="443"/>
      <c r="E174" s="443"/>
      <c r="F174" s="443"/>
      <c r="G174" s="443"/>
      <c r="H174" s="443"/>
      <c r="I174" s="443"/>
      <c r="J174" s="443"/>
      <c r="K174" s="443"/>
      <c r="L174" s="443"/>
      <c r="M174" s="443"/>
      <c r="N174" s="443"/>
      <c r="O174" s="443"/>
      <c r="P174" s="443"/>
      <c r="Q174" s="443"/>
      <c r="R174" s="443"/>
      <c r="S174" s="443"/>
    </row>
    <row r="175" spans="1:20" ht="13" customHeight="1">
      <c r="A175" s="528" t="s">
        <v>178</v>
      </c>
    </row>
    <row r="176" spans="1:20">
      <c r="A176" s="526" t="s">
        <v>22</v>
      </c>
      <c r="B176" s="145">
        <f t="shared" ref="B176:M176" si="105">B170/B227-1</f>
        <v>3.2839838492597577</v>
      </c>
      <c r="C176" s="145">
        <f t="shared" si="105"/>
        <v>5.5151098901098905</v>
      </c>
      <c r="D176" s="145">
        <f t="shared" si="105"/>
        <v>7.6860062032475849</v>
      </c>
      <c r="E176" s="145">
        <f t="shared" si="105"/>
        <v>10.734525939177104</v>
      </c>
      <c r="F176" s="145">
        <f t="shared" si="105"/>
        <v>12.052868579052703</v>
      </c>
      <c r="G176" s="145">
        <f t="shared" si="105"/>
        <v>12.443798724309</v>
      </c>
      <c r="H176" s="145">
        <f t="shared" si="105"/>
        <v>14.31656728026964</v>
      </c>
      <c r="I176" s="145">
        <f t="shared" si="105"/>
        <v>13.203246533648965</v>
      </c>
      <c r="J176" s="145">
        <f t="shared" si="105"/>
        <v>10.364241001564944</v>
      </c>
      <c r="K176" s="145">
        <f t="shared" si="105"/>
        <v>10.359704538827875</v>
      </c>
      <c r="L176" s="145">
        <f t="shared" si="105"/>
        <v>8.7932675044883322</v>
      </c>
      <c r="M176" s="145">
        <f t="shared" si="105"/>
        <v>8.3871102741159227</v>
      </c>
      <c r="N176" s="145"/>
      <c r="O176" s="145">
        <f t="shared" ref="O176:S179" si="106">O170/O227-1</f>
        <v>5.5337812143490943</v>
      </c>
      <c r="P176" s="145">
        <f t="shared" si="106"/>
        <v>11.805482538490425</v>
      </c>
      <c r="Q176" s="145">
        <f t="shared" si="106"/>
        <v>12.440896713790144</v>
      </c>
      <c r="R176" s="145">
        <f t="shared" si="106"/>
        <v>9.0810825924061973</v>
      </c>
      <c r="S176" s="145">
        <f t="shared" si="106"/>
        <v>9.9562859558323211</v>
      </c>
    </row>
    <row r="177" spans="1:32">
      <c r="A177" s="526" t="s">
        <v>25</v>
      </c>
      <c r="B177" s="145">
        <f t="shared" ref="B177:M177" si="107">B171/B228-1</f>
        <v>1.655412647374062</v>
      </c>
      <c r="C177" s="145">
        <f t="shared" si="107"/>
        <v>3.0034364261168385</v>
      </c>
      <c r="D177" s="145">
        <f t="shared" si="107"/>
        <v>10.143875127248048</v>
      </c>
      <c r="E177" s="145">
        <f t="shared" si="107"/>
        <v>30.382333108563721</v>
      </c>
      <c r="F177" s="145">
        <f t="shared" si="107"/>
        <v>40.937370956641438</v>
      </c>
      <c r="G177" s="145">
        <f t="shared" si="107"/>
        <v>42.501954215522055</v>
      </c>
      <c r="H177" s="145">
        <f t="shared" si="107"/>
        <v>45.283429586850289</v>
      </c>
      <c r="I177" s="145">
        <f t="shared" si="107"/>
        <v>37.855133614627285</v>
      </c>
      <c r="J177" s="145">
        <f t="shared" si="107"/>
        <v>23.591184306127388</v>
      </c>
      <c r="K177" s="145">
        <f t="shared" si="107"/>
        <v>21.196951219512197</v>
      </c>
      <c r="L177" s="145">
        <f t="shared" si="107"/>
        <v>16.178944183935865</v>
      </c>
      <c r="M177" s="145">
        <f t="shared" si="107"/>
        <v>14.081741448245223</v>
      </c>
      <c r="N177" s="145"/>
      <c r="O177" s="145">
        <f t="shared" si="106"/>
        <v>3.9826597983022571</v>
      </c>
      <c r="P177" s="145">
        <f t="shared" si="106"/>
        <v>38.218743389041677</v>
      </c>
      <c r="Q177" s="145">
        <f t="shared" si="106"/>
        <v>33.282849089332174</v>
      </c>
      <c r="R177" s="145">
        <f t="shared" si="106"/>
        <v>16.461650840029215</v>
      </c>
      <c r="S177" s="145">
        <f t="shared" si="106"/>
        <v>18.243468893078376</v>
      </c>
    </row>
    <row r="178" spans="1:32">
      <c r="A178" s="526" t="s">
        <v>172</v>
      </c>
      <c r="B178" s="145">
        <f t="shared" ref="B178:M178" si="108">B172/B229-1</f>
        <v>1.2131279344733579</v>
      </c>
      <c r="C178" s="145">
        <f t="shared" si="108"/>
        <v>1.7878308888408632</v>
      </c>
      <c r="D178" s="145">
        <f t="shared" si="108"/>
        <v>7.4155142595325163</v>
      </c>
      <c r="E178" s="145">
        <f t="shared" si="108"/>
        <v>22.222518221290265</v>
      </c>
      <c r="F178" s="145">
        <f t="shared" si="108"/>
        <v>23.805860805860807</v>
      </c>
      <c r="G178" s="145">
        <f t="shared" si="108"/>
        <v>24.337278106508879</v>
      </c>
      <c r="H178" s="145">
        <f t="shared" si="108"/>
        <v>29.53591160220995</v>
      </c>
      <c r="I178" s="145">
        <f t="shared" si="108"/>
        <v>21.570631970260219</v>
      </c>
      <c r="J178" s="145">
        <f t="shared" si="108"/>
        <v>10.993150684931507</v>
      </c>
      <c r="K178" s="145">
        <f t="shared" si="108"/>
        <v>12.764267990074444</v>
      </c>
      <c r="L178" s="145">
        <f t="shared" si="108"/>
        <v>10.911447084233263</v>
      </c>
      <c r="M178" s="145">
        <f t="shared" si="108"/>
        <v>9.8956310679611654</v>
      </c>
      <c r="N178" s="145"/>
      <c r="O178" s="145">
        <f t="shared" si="106"/>
        <v>2.6900763743301046</v>
      </c>
      <c r="P178" s="145">
        <f t="shared" si="106"/>
        <v>23.545518644348682</v>
      </c>
      <c r="Q178" s="145">
        <f t="shared" si="106"/>
        <v>17.976914414414413</v>
      </c>
      <c r="R178" s="145">
        <f t="shared" si="106"/>
        <v>10.991576819407012</v>
      </c>
      <c r="S178" s="145">
        <f t="shared" si="106"/>
        <v>11.467707797481374</v>
      </c>
    </row>
    <row r="179" spans="1:32" s="481" customFormat="1" ht="13" customHeight="1">
      <c r="A179" s="529" t="s">
        <v>196</v>
      </c>
      <c r="B179" s="147">
        <f t="shared" ref="B179:M179" si="109">B173/B230-1</f>
        <v>1.8676282277498144</v>
      </c>
      <c r="C179" s="147">
        <f t="shared" si="109"/>
        <v>3.0782326184998912</v>
      </c>
      <c r="D179" s="147">
        <f t="shared" si="109"/>
        <v>8.1392599519371345</v>
      </c>
      <c r="E179" s="147">
        <f t="shared" si="109"/>
        <v>16.812275163137453</v>
      </c>
      <c r="F179" s="147">
        <f t="shared" si="109"/>
        <v>19.328126535023088</v>
      </c>
      <c r="G179" s="147">
        <f t="shared" si="109"/>
        <v>20.135121871421564</v>
      </c>
      <c r="H179" s="147">
        <f t="shared" si="109"/>
        <v>23.503202061096797</v>
      </c>
      <c r="I179" s="147">
        <f t="shared" si="109"/>
        <v>19.937759578824213</v>
      </c>
      <c r="J179" s="147">
        <f t="shared" si="109"/>
        <v>12.96551724137931</v>
      </c>
      <c r="K179" s="147">
        <f t="shared" si="109"/>
        <v>13.484034552408788</v>
      </c>
      <c r="L179" s="147">
        <f t="shared" si="109"/>
        <v>11.327088963755507</v>
      </c>
      <c r="M179" s="147">
        <f t="shared" si="109"/>
        <v>10.345592560432481</v>
      </c>
      <c r="N179" s="147"/>
      <c r="O179" s="147">
        <f t="shared" si="106"/>
        <v>3.8716498092969811</v>
      </c>
      <c r="P179" s="147">
        <f t="shared" si="106"/>
        <v>18.879631894828115</v>
      </c>
      <c r="Q179" s="147">
        <f t="shared" si="106"/>
        <v>17.842451620099268</v>
      </c>
      <c r="R179" s="147">
        <f t="shared" si="106"/>
        <v>11.503285609611428</v>
      </c>
      <c r="S179" s="147">
        <f t="shared" si="106"/>
        <v>12.270242506234984</v>
      </c>
    </row>
    <row r="180" spans="1:32">
      <c r="A180" s="526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</row>
    <row r="181" spans="1:32" ht="13" customHeight="1">
      <c r="A181" s="528" t="s">
        <v>179</v>
      </c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</row>
    <row r="182" spans="1:32">
      <c r="A182" s="526" t="s">
        <v>22</v>
      </c>
      <c r="B182" s="145">
        <f t="shared" ref="B182:M182" si="110">B170/B$416-1</f>
        <v>-0.88219276586069972</v>
      </c>
      <c r="C182" s="145">
        <f t="shared" si="110"/>
        <v>-0.81994826380038721</v>
      </c>
      <c r="D182" s="145">
        <f t="shared" si="110"/>
        <v>-0.74360189573459712</v>
      </c>
      <c r="E182" s="145">
        <f t="shared" si="110"/>
        <v>-0.65372453585172585</v>
      </c>
      <c r="F182" s="145">
        <f t="shared" si="110"/>
        <v>-0.57463518030381255</v>
      </c>
      <c r="G182" s="145">
        <f t="shared" si="110"/>
        <v>-0.49118590603306767</v>
      </c>
      <c r="H182" s="145">
        <f t="shared" si="110"/>
        <v>-0.43966347179869014</v>
      </c>
      <c r="I182" s="145">
        <f t="shared" si="110"/>
        <v>-0.42439788758131725</v>
      </c>
      <c r="J182" s="145">
        <f t="shared" si="110"/>
        <v>-0.37072541946944848</v>
      </c>
      <c r="K182" s="145">
        <f t="shared" si="110"/>
        <v>-0.368601881013219</v>
      </c>
      <c r="L182" s="145">
        <f t="shared" si="110"/>
        <v>-0.39381462774971798</v>
      </c>
      <c r="M182" s="145">
        <f t="shared" si="110"/>
        <v>-0.30617663283034247</v>
      </c>
      <c r="N182" s="145"/>
      <c r="O182" s="145">
        <f>O170/O$416-1</f>
        <v>-0.81564999070113442</v>
      </c>
      <c r="P182" s="145">
        <f>P170/P$416-1</f>
        <v>-0.57361110614932276</v>
      </c>
      <c r="Q182" s="145">
        <f>Q170/Q$416-1</f>
        <v>-0.41350731535027263</v>
      </c>
      <c r="R182" s="145">
        <f>R170/R$416-1</f>
        <v>-0.35505912613874391</v>
      </c>
      <c r="S182" s="145">
        <f>S170/S$416-1</f>
        <v>-0.53644633312017387</v>
      </c>
    </row>
    <row r="183" spans="1:32">
      <c r="A183" s="526" t="s">
        <v>25</v>
      </c>
      <c r="B183" s="145">
        <f t="shared" ref="B183:M183" si="111">B171/B$417-1</f>
        <v>-0.91851959448904141</v>
      </c>
      <c r="C183" s="145">
        <f t="shared" si="111"/>
        <v>-0.88416604523987075</v>
      </c>
      <c r="D183" s="145">
        <f t="shared" si="111"/>
        <v>-0.8144848779275361</v>
      </c>
      <c r="E183" s="145">
        <f t="shared" si="111"/>
        <v>-0.73925417955268702</v>
      </c>
      <c r="F183" s="145">
        <f t="shared" si="111"/>
        <v>-0.66158690665940978</v>
      </c>
      <c r="G183" s="145">
        <f t="shared" si="111"/>
        <v>-0.56990576922015335</v>
      </c>
      <c r="H183" s="145">
        <f t="shared" si="111"/>
        <v>-0.4448316654410589</v>
      </c>
      <c r="I183" s="145">
        <f t="shared" si="111"/>
        <v>-0.42075660601867138</v>
      </c>
      <c r="J183" s="145">
        <f t="shared" si="111"/>
        <v>-0.38599737556615821</v>
      </c>
      <c r="K183" s="145">
        <f t="shared" si="111"/>
        <v>-0.34791253672167943</v>
      </c>
      <c r="L183" s="145">
        <f t="shared" si="111"/>
        <v>-0.31185545147178229</v>
      </c>
      <c r="M183" s="145">
        <f t="shared" si="111"/>
        <v>-0.20319669533991291</v>
      </c>
      <c r="N183" s="145"/>
      <c r="O183" s="145">
        <f>O171/O$417-1</f>
        <v>-0.87293928279039223</v>
      </c>
      <c r="P183" s="145">
        <f>P171/P$417-1</f>
        <v>-0.65649990735593855</v>
      </c>
      <c r="Q183" s="145">
        <f>Q171/Q$417-1</f>
        <v>-0.41849453111782919</v>
      </c>
      <c r="R183" s="145">
        <f>R171/R$417-1</f>
        <v>-0.28704219191156011</v>
      </c>
      <c r="S183" s="145">
        <f>S171/S$417-1</f>
        <v>-0.56328700154658695</v>
      </c>
    </row>
    <row r="184" spans="1:32">
      <c r="A184" s="526" t="s">
        <v>172</v>
      </c>
      <c r="B184" s="145">
        <f t="shared" ref="B184:M184" si="112">B172/B$418-1</f>
        <v>-0.89172923040304464</v>
      </c>
      <c r="C184" s="145">
        <f t="shared" si="112"/>
        <v>-0.85831288099031067</v>
      </c>
      <c r="D184" s="145">
        <f t="shared" si="112"/>
        <v>-0.79529245334230492</v>
      </c>
      <c r="E184" s="145">
        <f t="shared" si="112"/>
        <v>-0.69950643627930109</v>
      </c>
      <c r="F184" s="145">
        <f t="shared" si="112"/>
        <v>-0.64760368423791426</v>
      </c>
      <c r="G184" s="145">
        <f t="shared" si="112"/>
        <v>-0.54252136752136748</v>
      </c>
      <c r="H184" s="145">
        <f t="shared" si="112"/>
        <v>-0.43567490300183787</v>
      </c>
      <c r="I184" s="145">
        <f t="shared" si="112"/>
        <v>-0.39469617666118351</v>
      </c>
      <c r="J184" s="145">
        <f t="shared" si="112"/>
        <v>-0.38647512263489847</v>
      </c>
      <c r="K184" s="145">
        <f t="shared" si="112"/>
        <v>-0.35957974946602778</v>
      </c>
      <c r="L184" s="145">
        <f t="shared" si="112"/>
        <v>-0.35950293246617504</v>
      </c>
      <c r="M184" s="145">
        <f t="shared" si="112"/>
        <v>-0.26861456579590515</v>
      </c>
      <c r="N184" s="145"/>
      <c r="O184" s="145">
        <f>O172/O$418-1</f>
        <v>-0.84814048243134232</v>
      </c>
      <c r="P184" s="145">
        <f>P172/P$418-1</f>
        <v>-0.63131330599521296</v>
      </c>
      <c r="Q184" s="145">
        <f>Q172/Q$418-1</f>
        <v>-0.40635513360224063</v>
      </c>
      <c r="R184" s="145">
        <f>R172/R$418-1</f>
        <v>-0.32792643087788198</v>
      </c>
      <c r="S184" s="145">
        <f>S172/S$418-1</f>
        <v>-0.55799690879636699</v>
      </c>
    </row>
    <row r="185" spans="1:32" s="481" customFormat="1" ht="13" customHeight="1">
      <c r="A185" s="527" t="s">
        <v>196</v>
      </c>
      <c r="B185" s="147">
        <f t="shared" ref="B185:M185" si="113">B173/B$419-1</f>
        <v>-0.89719202748948723</v>
      </c>
      <c r="C185" s="147">
        <f t="shared" si="113"/>
        <v>-0.85395074472861954</v>
      </c>
      <c r="D185" s="147">
        <f t="shared" si="113"/>
        <v>-0.78416389225353622</v>
      </c>
      <c r="E185" s="147">
        <f t="shared" si="113"/>
        <v>-0.6967170825728477</v>
      </c>
      <c r="F185" s="147">
        <f t="shared" si="113"/>
        <v>-0.62799293812227408</v>
      </c>
      <c r="G185" s="147">
        <f t="shared" si="113"/>
        <v>-0.53421407931761111</v>
      </c>
      <c r="H185" s="147">
        <f t="shared" si="113"/>
        <v>-0.43998075373359069</v>
      </c>
      <c r="I185" s="147">
        <f t="shared" si="113"/>
        <v>-0.41349612226539023</v>
      </c>
      <c r="J185" s="147">
        <f t="shared" si="113"/>
        <v>-0.38074463737920794</v>
      </c>
      <c r="K185" s="147">
        <f t="shared" si="113"/>
        <v>-0.35903989775949519</v>
      </c>
      <c r="L185" s="147">
        <f t="shared" si="113"/>
        <v>-0.35623843579437031</v>
      </c>
      <c r="M185" s="147">
        <f t="shared" si="113"/>
        <v>-0.26157231431701877</v>
      </c>
      <c r="N185" s="147"/>
      <c r="O185" s="147">
        <f>O173/O$419-1</f>
        <v>-0.84528788372491026</v>
      </c>
      <c r="P185" s="147">
        <f>P173/P$419-1</f>
        <v>-0.62015450978413933</v>
      </c>
      <c r="Q185" s="147">
        <f>Q173/Q$419-1</f>
        <v>-0.41272603070697655</v>
      </c>
      <c r="R185" s="147">
        <f>R173/R$419-1</f>
        <v>-0.32453761037064688</v>
      </c>
      <c r="S185" s="147">
        <f>S173/S$419-1</f>
        <v>-0.55227232338334853</v>
      </c>
    </row>
    <row r="186" spans="1:32" ht="13" customHeight="1">
      <c r="A186" s="532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</row>
    <row r="187" spans="1:32" ht="13" customHeight="1">
      <c r="A187" s="532" t="s">
        <v>201</v>
      </c>
    </row>
    <row r="188" spans="1:32" ht="13" customHeight="1">
      <c r="A188" s="533" t="s">
        <v>153</v>
      </c>
    </row>
    <row r="189" spans="1:32">
      <c r="A189" s="526" t="s">
        <v>22</v>
      </c>
      <c r="B189" s="443">
        <v>161.93</v>
      </c>
      <c r="C189" s="443">
        <v>256.08</v>
      </c>
      <c r="D189" s="443">
        <v>369.29</v>
      </c>
      <c r="E189" s="443">
        <v>523.21</v>
      </c>
      <c r="F189" s="443">
        <v>648.84</v>
      </c>
      <c r="G189" s="443">
        <v>811.56</v>
      </c>
      <c r="H189" s="443">
        <v>1025.31</v>
      </c>
      <c r="I189" s="443">
        <v>1097.83</v>
      </c>
      <c r="J189" s="443">
        <v>1027.81</v>
      </c>
      <c r="K189" s="443">
        <v>1023.24</v>
      </c>
      <c r="L189" s="443">
        <v>954.08</v>
      </c>
      <c r="M189" s="443">
        <v>1192.32</v>
      </c>
      <c r="N189" s="443"/>
      <c r="O189" s="443">
        <f>SUM(B189:D189)</f>
        <v>787.3</v>
      </c>
      <c r="P189" s="443">
        <f>SUM(E189:G189)</f>
        <v>1983.6100000000001</v>
      </c>
      <c r="Q189" s="443">
        <f>SUM(H189:J189)</f>
        <v>3150.95</v>
      </c>
      <c r="R189" s="443">
        <f>SUM(K189:M189)</f>
        <v>3169.6400000000003</v>
      </c>
      <c r="S189" s="443">
        <f>SUM(B189:M189)</f>
        <v>9091.4999999999982</v>
      </c>
      <c r="T189" s="443"/>
      <c r="U189" s="443"/>
      <c r="V189" s="443"/>
      <c r="W189" s="443"/>
      <c r="X189" s="443"/>
      <c r="Y189" s="443"/>
      <c r="Z189" s="443"/>
      <c r="AA189" s="443"/>
      <c r="AB189" s="443"/>
      <c r="AC189" s="443"/>
      <c r="AD189" s="443"/>
      <c r="AE189" s="443"/>
      <c r="AF189" s="443"/>
    </row>
    <row r="190" spans="1:32">
      <c r="A190" s="526" t="s">
        <v>25</v>
      </c>
      <c r="B190" s="443">
        <v>80.12</v>
      </c>
      <c r="C190" s="443">
        <v>113.34</v>
      </c>
      <c r="D190" s="443">
        <v>179.78</v>
      </c>
      <c r="E190" s="443">
        <v>274.69</v>
      </c>
      <c r="F190" s="443">
        <v>396.75</v>
      </c>
      <c r="G190" s="443">
        <v>551.45000000000005</v>
      </c>
      <c r="H190" s="443">
        <v>778.05</v>
      </c>
      <c r="I190" s="443">
        <v>827.57</v>
      </c>
      <c r="J190" s="443">
        <v>796.42</v>
      </c>
      <c r="K190" s="443">
        <v>836.47</v>
      </c>
      <c r="L190" s="443">
        <v>869.29</v>
      </c>
      <c r="M190" s="443">
        <v>1073.8399999999999</v>
      </c>
      <c r="N190" s="443"/>
      <c r="O190" s="443">
        <f>SUM(B190:D190)</f>
        <v>373.24</v>
      </c>
      <c r="P190" s="443">
        <f>SUM(E190:G190)</f>
        <v>1222.8900000000001</v>
      </c>
      <c r="Q190" s="443">
        <f>SUM(H190:J190)</f>
        <v>2402.04</v>
      </c>
      <c r="R190" s="443">
        <f>SUM(K190:M190)</f>
        <v>2779.6</v>
      </c>
      <c r="S190" s="443">
        <f>SUM(B190:M190)</f>
        <v>6777.77</v>
      </c>
      <c r="T190" s="443"/>
      <c r="U190" s="443"/>
      <c r="V190" s="443"/>
      <c r="W190" s="443"/>
      <c r="X190" s="443"/>
      <c r="Y190" s="443"/>
      <c r="Z190" s="443"/>
      <c r="AA190" s="443"/>
      <c r="AB190" s="443"/>
      <c r="AC190" s="443"/>
      <c r="AD190" s="443"/>
      <c r="AE190" s="443"/>
      <c r="AF190" s="443"/>
    </row>
    <row r="191" spans="1:32">
      <c r="A191" s="526" t="s">
        <v>172</v>
      </c>
      <c r="B191" s="443">
        <f>B135/(1+B141)</f>
        <v>80.378581424467853</v>
      </c>
      <c r="C191" s="443">
        <f>C135/(1+C141)</f>
        <v>109.70837603652286</v>
      </c>
      <c r="D191" s="443">
        <f>D135/(1+D141)</f>
        <v>196.05734767025089</v>
      </c>
      <c r="E191" s="443">
        <f>E135/(1+E141)</f>
        <v>350.98918491163278</v>
      </c>
      <c r="F191" s="443">
        <v>431.9</v>
      </c>
      <c r="G191" s="443">
        <v>585.70000000000005</v>
      </c>
      <c r="H191" s="443">
        <v>754.3</v>
      </c>
      <c r="I191" s="443">
        <v>834.8</v>
      </c>
      <c r="J191" s="443">
        <v>783.3</v>
      </c>
      <c r="K191" s="443">
        <v>813.8</v>
      </c>
      <c r="L191" s="443">
        <v>803.3</v>
      </c>
      <c r="M191" s="443">
        <v>1000.6</v>
      </c>
      <c r="N191" s="443"/>
      <c r="O191" s="443">
        <f>SUM(B191:D191)</f>
        <v>386.14430513124159</v>
      </c>
      <c r="P191" s="443">
        <f>SUM(E191:G191)</f>
        <v>1368.5891849116329</v>
      </c>
      <c r="Q191" s="443">
        <f>SUM(H191:J191)</f>
        <v>2372.3999999999996</v>
      </c>
      <c r="R191" s="443">
        <f>SUM(K191:M191)</f>
        <v>2617.6999999999998</v>
      </c>
      <c r="S191" s="443">
        <f>SUM(B191:M191)</f>
        <v>6744.8334900428754</v>
      </c>
      <c r="T191" s="443"/>
      <c r="U191" s="443"/>
      <c r="V191" s="443"/>
      <c r="W191" s="443"/>
      <c r="X191" s="443"/>
      <c r="Y191" s="443"/>
      <c r="Z191" s="443"/>
      <c r="AA191" s="443"/>
      <c r="AB191" s="443"/>
      <c r="AC191" s="443"/>
      <c r="AD191" s="443"/>
      <c r="AE191" s="443"/>
      <c r="AF191" s="443"/>
    </row>
    <row r="192" spans="1:32" s="481" customFormat="1" ht="13" customHeight="1">
      <c r="A192" s="527" t="s">
        <v>196</v>
      </c>
      <c r="B192" s="482">
        <f t="shared" ref="B192:S192" si="114">SUM(B189:B191)</f>
        <v>322.42858142446789</v>
      </c>
      <c r="C192" s="482">
        <f t="shared" si="114"/>
        <v>479.12837603652281</v>
      </c>
      <c r="D192" s="482">
        <f t="shared" si="114"/>
        <v>745.12734767025097</v>
      </c>
      <c r="E192" s="482">
        <f t="shared" si="114"/>
        <v>1148.8891849116328</v>
      </c>
      <c r="F192" s="482">
        <f t="shared" si="114"/>
        <v>1477.4900000000002</v>
      </c>
      <c r="G192" s="482">
        <f t="shared" si="114"/>
        <v>1948.71</v>
      </c>
      <c r="H192" s="482">
        <f t="shared" si="114"/>
        <v>2557.66</v>
      </c>
      <c r="I192" s="482">
        <f t="shared" si="114"/>
        <v>2760.2</v>
      </c>
      <c r="J192" s="482">
        <f t="shared" si="114"/>
        <v>2607.5299999999997</v>
      </c>
      <c r="K192" s="482">
        <f t="shared" si="114"/>
        <v>2673.51</v>
      </c>
      <c r="L192" s="482">
        <f t="shared" si="114"/>
        <v>2626.67</v>
      </c>
      <c r="M192" s="482">
        <f t="shared" si="114"/>
        <v>3266.7599999999998</v>
      </c>
      <c r="N192" s="482">
        <f t="shared" si="114"/>
        <v>0</v>
      </c>
      <c r="O192" s="482">
        <f t="shared" si="114"/>
        <v>1546.6843051312417</v>
      </c>
      <c r="P192" s="482">
        <f t="shared" si="114"/>
        <v>4575.0891849116324</v>
      </c>
      <c r="Q192" s="482">
        <f t="shared" si="114"/>
        <v>7925.3899999999994</v>
      </c>
      <c r="R192" s="482">
        <f t="shared" si="114"/>
        <v>8566.9399999999987</v>
      </c>
      <c r="S192" s="482">
        <f t="shared" si="114"/>
        <v>22614.103490042875</v>
      </c>
      <c r="T192" s="482"/>
      <c r="U192" s="482"/>
      <c r="V192" s="482"/>
      <c r="W192" s="482"/>
      <c r="X192" s="482"/>
      <c r="Y192" s="482"/>
      <c r="Z192" s="482"/>
      <c r="AA192" s="482"/>
      <c r="AB192" s="482"/>
      <c r="AC192" s="482"/>
      <c r="AD192" s="482"/>
      <c r="AE192" s="482"/>
      <c r="AF192" s="482"/>
    </row>
    <row r="193" spans="1:32" ht="13" customHeight="1">
      <c r="A193" s="532"/>
      <c r="B193" s="443"/>
      <c r="C193" s="443"/>
      <c r="D193" s="443"/>
      <c r="E193" s="443"/>
      <c r="F193" s="443"/>
      <c r="G193" s="443"/>
      <c r="H193" s="443"/>
      <c r="I193" s="443"/>
      <c r="J193" s="443"/>
      <c r="K193" s="443"/>
      <c r="L193" s="443"/>
      <c r="M193" s="443"/>
      <c r="N193" s="443"/>
      <c r="O193" s="443"/>
      <c r="P193" s="443"/>
      <c r="Q193" s="443"/>
      <c r="R193" s="443"/>
      <c r="S193" s="443"/>
      <c r="T193" s="443"/>
      <c r="U193" s="443"/>
      <c r="V193" s="443"/>
      <c r="W193" s="443"/>
      <c r="X193" s="443"/>
      <c r="Y193" s="443"/>
      <c r="Z193" s="443"/>
      <c r="AA193" s="443"/>
      <c r="AB193" s="443"/>
      <c r="AC193" s="443"/>
      <c r="AD193" s="443"/>
      <c r="AE193" s="443"/>
      <c r="AF193" s="443"/>
    </row>
    <row r="194" spans="1:32" ht="13" customHeight="1">
      <c r="A194" s="528" t="s">
        <v>178</v>
      </c>
    </row>
    <row r="195" spans="1:32">
      <c r="A195" s="526" t="s">
        <v>22</v>
      </c>
      <c r="B195" s="145">
        <f t="shared" ref="B195:M195" si="115">B189/B246-1</f>
        <v>2.8563943796141937</v>
      </c>
      <c r="C195" s="145">
        <f t="shared" si="115"/>
        <v>5.4520030234315948</v>
      </c>
      <c r="D195" s="145">
        <f t="shared" si="115"/>
        <v>6.612657184085756</v>
      </c>
      <c r="E195" s="145">
        <f t="shared" si="115"/>
        <v>9.2529884381736238</v>
      </c>
      <c r="F195" s="145">
        <f t="shared" si="115"/>
        <v>10.844468784227821</v>
      </c>
      <c r="G195" s="145">
        <f t="shared" si="115"/>
        <v>11.859451750911107</v>
      </c>
      <c r="H195" s="145">
        <f t="shared" si="115"/>
        <v>14.706341911764705</v>
      </c>
      <c r="I195" s="145">
        <f t="shared" si="115"/>
        <v>13.620189106405645</v>
      </c>
      <c r="J195" s="145">
        <f t="shared" si="115"/>
        <v>11.414663606715786</v>
      </c>
      <c r="K195" s="145">
        <f t="shared" si="115"/>
        <v>11.392394332081871</v>
      </c>
      <c r="L195" s="145">
        <f t="shared" si="115"/>
        <v>9.6115003892781683</v>
      </c>
      <c r="M195" s="145">
        <f t="shared" si="115"/>
        <v>9.1086901229334458</v>
      </c>
      <c r="N195" s="145"/>
      <c r="O195" s="145">
        <f t="shared" ref="O195:S198" si="116">O189/O246-1</f>
        <v>5.0473154620170515</v>
      </c>
      <c r="P195" s="145">
        <f t="shared" si="116"/>
        <v>10.742896045465308</v>
      </c>
      <c r="Q195" s="145">
        <f t="shared" si="116"/>
        <v>13.119689908585766</v>
      </c>
      <c r="R195" s="145">
        <f t="shared" si="116"/>
        <v>9.913610852873326</v>
      </c>
      <c r="S195" s="145">
        <f t="shared" si="116"/>
        <v>10.186784791435953</v>
      </c>
      <c r="T195" s="145"/>
      <c r="U195" s="145"/>
      <c r="V195" s="145"/>
      <c r="W195" s="145"/>
      <c r="X195" s="145"/>
      <c r="Y195" s="145"/>
      <c r="Z195" s="145"/>
    </row>
    <row r="196" spans="1:32">
      <c r="A196" s="526" t="s">
        <v>25</v>
      </c>
      <c r="B196" s="145">
        <f t="shared" ref="B196:M196" si="117">B190/B247-1</f>
        <v>3.3449023861171367</v>
      </c>
      <c r="C196" s="145">
        <f t="shared" si="117"/>
        <v>6.7154526889040165</v>
      </c>
      <c r="D196" s="145">
        <f t="shared" si="117"/>
        <v>9.0773542600896864</v>
      </c>
      <c r="E196" s="145">
        <f t="shared" si="117"/>
        <v>18.009688581314879</v>
      </c>
      <c r="F196" s="145">
        <f t="shared" si="117"/>
        <v>26.628830083565461</v>
      </c>
      <c r="G196" s="145">
        <f t="shared" si="117"/>
        <v>29.997751545812257</v>
      </c>
      <c r="H196" s="145">
        <f t="shared" si="117"/>
        <v>34.158156348847719</v>
      </c>
      <c r="I196" s="145">
        <f t="shared" si="117"/>
        <v>29.170251549398472</v>
      </c>
      <c r="J196" s="145">
        <f t="shared" si="117"/>
        <v>22.738301043219078</v>
      </c>
      <c r="K196" s="145">
        <f t="shared" si="117"/>
        <v>22.450238295486404</v>
      </c>
      <c r="L196" s="145">
        <f t="shared" si="117"/>
        <v>17.618333690297707</v>
      </c>
      <c r="M196" s="145">
        <f t="shared" si="117"/>
        <v>17.191428087413179</v>
      </c>
      <c r="N196" s="145"/>
      <c r="O196" s="145">
        <f t="shared" si="116"/>
        <v>6.3227388659996082</v>
      </c>
      <c r="P196" s="145">
        <f t="shared" si="116"/>
        <v>25.242274678111592</v>
      </c>
      <c r="Q196" s="145">
        <f t="shared" si="116"/>
        <v>27.901937191673685</v>
      </c>
      <c r="R196" s="145">
        <f t="shared" si="116"/>
        <v>18.659098946177242</v>
      </c>
      <c r="S196" s="145">
        <f t="shared" si="116"/>
        <v>20.044400285652184</v>
      </c>
      <c r="T196" s="145"/>
      <c r="U196" s="145"/>
      <c r="V196" s="145"/>
      <c r="W196" s="145"/>
      <c r="X196" s="145"/>
      <c r="Y196" s="145"/>
      <c r="Z196" s="145"/>
    </row>
    <row r="197" spans="1:32">
      <c r="A197" s="526" t="s">
        <v>172</v>
      </c>
      <c r="B197" s="145">
        <f t="shared" ref="B197:M197" si="118">B191/B248-1</f>
        <v>4.1857149306108292</v>
      </c>
      <c r="C197" s="145">
        <f t="shared" si="118"/>
        <v>6.7807358891150971</v>
      </c>
      <c r="D197" s="145">
        <f t="shared" si="118"/>
        <v>11.730996601964343</v>
      </c>
      <c r="E197" s="145">
        <f t="shared" si="118"/>
        <v>25.590089766032786</v>
      </c>
      <c r="F197" s="145">
        <f t="shared" si="118"/>
        <v>25.49693251533742</v>
      </c>
      <c r="G197" s="145">
        <f t="shared" si="118"/>
        <v>28.139303482587064</v>
      </c>
      <c r="H197" s="145">
        <f t="shared" si="118"/>
        <v>24.22742474916388</v>
      </c>
      <c r="I197" s="145">
        <f t="shared" si="118"/>
        <v>21.143236074270554</v>
      </c>
      <c r="J197" s="145">
        <f t="shared" si="118"/>
        <v>14.985714285714284</v>
      </c>
      <c r="K197" s="145">
        <f t="shared" si="118"/>
        <v>19.760204081632651</v>
      </c>
      <c r="L197" s="145">
        <f t="shared" si="118"/>
        <v>16.693832599118942</v>
      </c>
      <c r="M197" s="145">
        <f t="shared" si="118"/>
        <v>15.538842975206613</v>
      </c>
      <c r="N197" s="145"/>
      <c r="O197" s="145">
        <f t="shared" si="116"/>
        <v>7.5809845584720357</v>
      </c>
      <c r="P197" s="145">
        <f t="shared" si="116"/>
        <v>26.592523889347436</v>
      </c>
      <c r="Q197" s="145">
        <f t="shared" si="116"/>
        <v>19.346483704974268</v>
      </c>
      <c r="R197" s="145">
        <f t="shared" si="116"/>
        <v>17.040661612680911</v>
      </c>
      <c r="S197" s="145">
        <f t="shared" si="116"/>
        <v>17.930209065514667</v>
      </c>
      <c r="T197" s="145"/>
      <c r="U197" s="145"/>
      <c r="V197" s="145"/>
      <c r="W197" s="145"/>
      <c r="X197" s="145"/>
      <c r="Y197" s="145"/>
      <c r="Z197" s="145"/>
    </row>
    <row r="198" spans="1:32" s="481" customFormat="1" ht="13" customHeight="1">
      <c r="A198" s="529" t="s">
        <v>196</v>
      </c>
      <c r="B198" s="147">
        <f t="shared" ref="B198:M198" si="119">B192/B249-1</f>
        <v>3.2463924855059645</v>
      </c>
      <c r="C198" s="147">
        <f t="shared" si="119"/>
        <v>5.9966176407202525</v>
      </c>
      <c r="D198" s="147">
        <f t="shared" si="119"/>
        <v>8.1147076167614802</v>
      </c>
      <c r="E198" s="147">
        <f t="shared" si="119"/>
        <v>13.602048613518464</v>
      </c>
      <c r="F198" s="147">
        <f t="shared" si="119"/>
        <v>16.292720037453186</v>
      </c>
      <c r="G198" s="147">
        <f t="shared" si="119"/>
        <v>18.294158415841583</v>
      </c>
      <c r="H198" s="147">
        <f t="shared" si="119"/>
        <v>20.802574375586051</v>
      </c>
      <c r="I198" s="147">
        <f t="shared" si="119"/>
        <v>18.684781058336895</v>
      </c>
      <c r="J198" s="147">
        <f t="shared" si="119"/>
        <v>14.770714890528605</v>
      </c>
      <c r="K198" s="147">
        <f t="shared" si="119"/>
        <v>15.98113567073171</v>
      </c>
      <c r="L198" s="147">
        <f t="shared" si="119"/>
        <v>13.432252747252747</v>
      </c>
      <c r="M198" s="147">
        <f t="shared" si="119"/>
        <v>12.755937342091963</v>
      </c>
      <c r="N198" s="147"/>
      <c r="O198" s="147">
        <f t="shared" si="116"/>
        <v>5.8388941684260773</v>
      </c>
      <c r="P198" s="147">
        <f t="shared" si="116"/>
        <v>16.256673147675137</v>
      </c>
      <c r="Q198" s="147">
        <f t="shared" si="116"/>
        <v>17.741906496086266</v>
      </c>
      <c r="R198" s="147">
        <f t="shared" si="116"/>
        <v>13.849441863689938</v>
      </c>
      <c r="S198" s="147">
        <f t="shared" si="116"/>
        <v>14.166359386241341</v>
      </c>
      <c r="T198" s="147"/>
      <c r="U198" s="147"/>
      <c r="V198" s="147"/>
      <c r="W198" s="147"/>
      <c r="X198" s="147"/>
      <c r="Y198" s="147"/>
      <c r="Z198" s="147"/>
    </row>
    <row r="199" spans="1:32" ht="13" customHeight="1">
      <c r="A199" s="532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spans="1:32" ht="13" customHeight="1">
      <c r="A200" s="528" t="s">
        <v>179</v>
      </c>
    </row>
    <row r="201" spans="1:32">
      <c r="A201" s="526" t="s">
        <v>22</v>
      </c>
      <c r="B201" s="145">
        <f t="shared" ref="B201:M201" si="120">B189/B441-1</f>
        <v>-0.90340610832736812</v>
      </c>
      <c r="C201" s="145">
        <f t="shared" si="120"/>
        <v>-0.84136777550641151</v>
      </c>
      <c r="D201" s="145">
        <f t="shared" si="120"/>
        <v>-0.77350563644615633</v>
      </c>
      <c r="E201" s="145">
        <f t="shared" si="120"/>
        <v>-0.68494420993683347</v>
      </c>
      <c r="F201" s="145">
        <f t="shared" si="120"/>
        <v>-0.59604788853402058</v>
      </c>
      <c r="G201" s="145">
        <f t="shared" si="120"/>
        <v>-0.50445439058197117</v>
      </c>
      <c r="H201" s="145">
        <f t="shared" si="120"/>
        <v>-0.44809637360921972</v>
      </c>
      <c r="I201" s="145">
        <f t="shared" si="120"/>
        <v>-0.44262686264057072</v>
      </c>
      <c r="J201" s="145">
        <f t="shared" si="120"/>
        <v>-0.39046506387066937</v>
      </c>
      <c r="K201" s="145">
        <f t="shared" si="120"/>
        <v>-0.39408796987138495</v>
      </c>
      <c r="L201" s="145">
        <f t="shared" si="120"/>
        <v>-0.41641843082324581</v>
      </c>
      <c r="M201" s="145">
        <f t="shared" si="120"/>
        <v>-0.3305371671130426</v>
      </c>
      <c r="N201" s="145"/>
      <c r="O201" s="145">
        <f t="shared" ref="O201:S204" si="121">O189/O441-1</f>
        <v>-0.84001739427289501</v>
      </c>
      <c r="P201" s="145">
        <f t="shared" si="121"/>
        <v>-0.59556378360854945</v>
      </c>
      <c r="Q201" s="145">
        <f t="shared" si="121"/>
        <v>-0.42851727715266141</v>
      </c>
      <c r="R201" s="145">
        <f t="shared" si="121"/>
        <v>-0.37906688816449341</v>
      </c>
      <c r="S201" s="145">
        <f t="shared" si="121"/>
        <v>-0.5552989204204446</v>
      </c>
      <c r="T201" s="145"/>
      <c r="U201" s="145"/>
    </row>
    <row r="202" spans="1:32">
      <c r="A202" s="526" t="s">
        <v>25</v>
      </c>
      <c r="B202" s="145">
        <f t="shared" ref="B202:M202" si="122">B190/B442-1</f>
        <v>-0.94617833967029863</v>
      </c>
      <c r="C202" s="145">
        <f t="shared" si="122"/>
        <v>-0.92360423027925509</v>
      </c>
      <c r="D202" s="145">
        <f t="shared" si="122"/>
        <v>-0.87396153927046605</v>
      </c>
      <c r="E202" s="145">
        <f t="shared" si="122"/>
        <v>-0.80895117540687167</v>
      </c>
      <c r="F202" s="145">
        <f t="shared" si="122"/>
        <v>-0.72444854983887097</v>
      </c>
      <c r="G202" s="145">
        <f t="shared" si="122"/>
        <v>-0.62151161992614856</v>
      </c>
      <c r="H202" s="145">
        <f t="shared" si="122"/>
        <v>-0.48374018804450958</v>
      </c>
      <c r="I202" s="145">
        <f t="shared" si="122"/>
        <v>-0.48307890265840492</v>
      </c>
      <c r="J202" s="145">
        <f t="shared" si="122"/>
        <v>-0.43894328989080666</v>
      </c>
      <c r="K202" s="145">
        <f t="shared" si="122"/>
        <v>-0.411628577658669</v>
      </c>
      <c r="L202" s="145">
        <f t="shared" si="122"/>
        <v>-0.38277749771015135</v>
      </c>
      <c r="M202" s="145">
        <f t="shared" si="122"/>
        <v>-0.26886493773532238</v>
      </c>
      <c r="N202" s="145"/>
      <c r="O202" s="145">
        <f t="shared" si="121"/>
        <v>-0.91514572818624107</v>
      </c>
      <c r="P202" s="145">
        <f t="shared" si="121"/>
        <v>-0.71787838380296309</v>
      </c>
      <c r="Q202" s="145">
        <f t="shared" si="121"/>
        <v>-0.46946140848803442</v>
      </c>
      <c r="R202" s="145">
        <f t="shared" si="121"/>
        <v>-0.35339944496009357</v>
      </c>
      <c r="S202" s="145">
        <f t="shared" si="121"/>
        <v>-0.61401253789958288</v>
      </c>
      <c r="T202" s="145"/>
      <c r="U202" s="145"/>
    </row>
    <row r="203" spans="1:32">
      <c r="A203" s="526" t="s">
        <v>172</v>
      </c>
      <c r="B203" s="145">
        <f t="shared" ref="B203:M203" si="123">B191/B443-1</f>
        <v>-0.94487065745921273</v>
      </c>
      <c r="C203" s="145">
        <f t="shared" si="123"/>
        <v>-0.91919542164209855</v>
      </c>
      <c r="D203" s="145">
        <f t="shared" si="123"/>
        <v>-0.8671067934181178</v>
      </c>
      <c r="E203" s="145">
        <f t="shared" si="123"/>
        <v>-0.76236344961974756</v>
      </c>
      <c r="F203" s="145">
        <f t="shared" si="123"/>
        <v>-0.69723098492814584</v>
      </c>
      <c r="G203" s="145">
        <f t="shared" si="123"/>
        <v>-0.57650036153289941</v>
      </c>
      <c r="H203" s="145">
        <f t="shared" si="123"/>
        <v>-0.47643506628722154</v>
      </c>
      <c r="I203" s="145">
        <f t="shared" si="123"/>
        <v>-0.45452169367485629</v>
      </c>
      <c r="J203" s="145">
        <f t="shared" si="123"/>
        <v>-0.42357789388475986</v>
      </c>
      <c r="K203" s="145">
        <f t="shared" si="123"/>
        <v>-0.4003389580723602</v>
      </c>
      <c r="L203" s="145">
        <f t="shared" si="123"/>
        <v>-0.4128782341762901</v>
      </c>
      <c r="M203" s="145">
        <f t="shared" si="123"/>
        <v>-0.31522036682179033</v>
      </c>
      <c r="N203" s="145"/>
      <c r="O203" s="145">
        <f t="shared" si="121"/>
        <v>-0.91001064900227413</v>
      </c>
      <c r="P203" s="145">
        <f t="shared" si="121"/>
        <v>-0.68072105799332028</v>
      </c>
      <c r="Q203" s="145">
        <f t="shared" si="121"/>
        <v>-0.45210161662817561</v>
      </c>
      <c r="R203" s="145">
        <f t="shared" si="121"/>
        <v>-0.37472829332377888</v>
      </c>
      <c r="S203" s="145">
        <f t="shared" si="121"/>
        <v>-0.60542684625933807</v>
      </c>
      <c r="T203" s="145"/>
      <c r="U203" s="145"/>
    </row>
    <row r="204" spans="1:32" s="481" customFormat="1" ht="13" customHeight="1">
      <c r="A204" s="529" t="s">
        <v>196</v>
      </c>
      <c r="B204" s="147">
        <f t="shared" ref="B204:M204" si="124">B192/B444-1</f>
        <v>-0.93025585409008227</v>
      </c>
      <c r="C204" s="147">
        <f t="shared" si="124"/>
        <v>-0.89246578432115098</v>
      </c>
      <c r="D204" s="147">
        <f t="shared" si="124"/>
        <v>-0.83559075766021629</v>
      </c>
      <c r="E204" s="147">
        <f t="shared" si="124"/>
        <v>-0.74890357428130483</v>
      </c>
      <c r="F204" s="147">
        <f t="shared" si="124"/>
        <v>-0.6696552541380012</v>
      </c>
      <c r="G204" s="147">
        <f t="shared" si="124"/>
        <v>-0.56479568706185557</v>
      </c>
      <c r="H204" s="147">
        <f t="shared" si="124"/>
        <v>-0.46777066564562708</v>
      </c>
      <c r="I204" s="147">
        <f t="shared" si="124"/>
        <v>-0.45889147443349465</v>
      </c>
      <c r="J204" s="147">
        <f t="shared" si="124"/>
        <v>-0.41595701313885636</v>
      </c>
      <c r="K204" s="147">
        <f t="shared" si="124"/>
        <v>-0.40156865202919734</v>
      </c>
      <c r="L204" s="147">
        <f t="shared" si="124"/>
        <v>-0.4045803430156909</v>
      </c>
      <c r="M204" s="147">
        <f t="shared" si="124"/>
        <v>-0.30655877595554182</v>
      </c>
      <c r="N204" s="147"/>
      <c r="O204" s="147">
        <f t="shared" si="121"/>
        <v>-0.88636311968389414</v>
      </c>
      <c r="P204" s="147">
        <f t="shared" si="121"/>
        <v>-0.66174968597588801</v>
      </c>
      <c r="Q204" s="147">
        <f t="shared" si="121"/>
        <v>-0.44852235618623093</v>
      </c>
      <c r="R204" s="147">
        <f t="shared" si="121"/>
        <v>-0.36961117533350074</v>
      </c>
      <c r="S204" s="147">
        <f t="shared" si="121"/>
        <v>-0.5895630449069611</v>
      </c>
      <c r="T204" s="147"/>
      <c r="U204" s="147"/>
    </row>
    <row r="205" spans="1:32" ht="13" customHeight="1">
      <c r="A205" s="532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</row>
    <row r="206" spans="1:32" ht="13" customHeight="1">
      <c r="A206" s="532" t="s">
        <v>148</v>
      </c>
    </row>
    <row r="207" spans="1:32" ht="13" customHeight="1">
      <c r="A207" s="533" t="s">
        <v>153</v>
      </c>
    </row>
    <row r="208" spans="1:32">
      <c r="A208" s="526" t="s">
        <v>22</v>
      </c>
      <c r="B208" s="443">
        <v>60.88</v>
      </c>
      <c r="C208" s="443">
        <v>75.930000000000007</v>
      </c>
      <c r="D208" s="443">
        <v>106.79</v>
      </c>
      <c r="E208" s="443">
        <v>132.75</v>
      </c>
      <c r="F208" s="443">
        <v>133.81</v>
      </c>
      <c r="G208" s="443">
        <v>136.9</v>
      </c>
      <c r="H208" s="443">
        <v>156.21</v>
      </c>
      <c r="I208" s="443">
        <v>162.13999999999999</v>
      </c>
      <c r="J208" s="443">
        <v>134.07</v>
      </c>
      <c r="K208" s="443">
        <v>145.56</v>
      </c>
      <c r="L208" s="443">
        <v>136.88999999999999</v>
      </c>
      <c r="M208" s="443">
        <v>153.51</v>
      </c>
      <c r="N208" s="443"/>
      <c r="O208" s="443">
        <f>SUM(B208:D208)</f>
        <v>243.60000000000002</v>
      </c>
      <c r="P208" s="443">
        <f>SUM(E208:G208)</f>
        <v>403.46000000000004</v>
      </c>
      <c r="Q208" s="443">
        <f>SUM(H208:J208)</f>
        <v>452.42</v>
      </c>
      <c r="R208" s="443">
        <f>SUM(K208:M208)</f>
        <v>435.96</v>
      </c>
      <c r="S208" s="443">
        <f>SUM(B208:M208)</f>
        <v>1535.4399999999998</v>
      </c>
    </row>
    <row r="209" spans="1:20">
      <c r="A209" s="526" t="s">
        <v>25</v>
      </c>
      <c r="B209" s="443">
        <v>68.53</v>
      </c>
      <c r="C209" s="443">
        <v>96.36</v>
      </c>
      <c r="D209" s="443">
        <v>148.63</v>
      </c>
      <c r="E209" s="443">
        <v>190.71</v>
      </c>
      <c r="F209" s="443">
        <v>212.6</v>
      </c>
      <c r="G209" s="443">
        <v>227.67</v>
      </c>
      <c r="H209" s="443">
        <v>263.79000000000002</v>
      </c>
      <c r="I209" s="443">
        <v>277.47000000000003</v>
      </c>
      <c r="J209" s="443">
        <v>218.95</v>
      </c>
      <c r="K209" s="443">
        <v>255.62</v>
      </c>
      <c r="L209" s="443">
        <v>266.41000000000003</v>
      </c>
      <c r="M209" s="443">
        <v>284.12</v>
      </c>
      <c r="N209" s="443"/>
      <c r="O209" s="443">
        <f>SUM(B209:D209)</f>
        <v>313.52</v>
      </c>
      <c r="P209" s="443">
        <f>SUM(E209:G209)</f>
        <v>630.98</v>
      </c>
      <c r="Q209" s="443">
        <f>SUM(H209:J209)</f>
        <v>760.21</v>
      </c>
      <c r="R209" s="443">
        <f>SUM(K209:M209)</f>
        <v>806.15</v>
      </c>
      <c r="S209" s="443">
        <f>SUM(B209:M209)</f>
        <v>2510.8599999999997</v>
      </c>
    </row>
    <row r="210" spans="1:20">
      <c r="A210" s="526" t="s">
        <v>172</v>
      </c>
      <c r="B210" s="443">
        <f>B154/(1+B160)</f>
        <v>128.54069558981715</v>
      </c>
      <c r="C210" s="443">
        <f>C154/(1+C160)</f>
        <v>150.11746280344556</v>
      </c>
      <c r="D210" s="443">
        <f>D154/(1+D160)</f>
        <v>201.99647680563712</v>
      </c>
      <c r="E210" s="443">
        <f>E154/(1+E160)</f>
        <v>243.50728155339806</v>
      </c>
      <c r="F210" s="443">
        <v>245.3</v>
      </c>
      <c r="G210" s="443">
        <v>270.7</v>
      </c>
      <c r="H210" s="443">
        <v>351.1</v>
      </c>
      <c r="I210" s="443">
        <v>379.5</v>
      </c>
      <c r="J210" s="443">
        <v>267.3</v>
      </c>
      <c r="K210" s="443">
        <v>295.60000000000002</v>
      </c>
      <c r="L210" s="443">
        <v>299.7</v>
      </c>
      <c r="M210" s="443">
        <v>346.1</v>
      </c>
      <c r="N210" s="443"/>
      <c r="O210" s="443">
        <f>SUM(B210:D210)</f>
        <v>480.65463519889988</v>
      </c>
      <c r="P210" s="443">
        <f>SUM(E210:G210)</f>
        <v>759.50728155339812</v>
      </c>
      <c r="Q210" s="443">
        <f>SUM(H210:J210)</f>
        <v>997.90000000000009</v>
      </c>
      <c r="R210" s="443">
        <f>SUM(K210:M210)</f>
        <v>941.4</v>
      </c>
      <c r="S210" s="443">
        <f>SUM(B210:M210)</f>
        <v>3179.4619167522978</v>
      </c>
    </row>
    <row r="211" spans="1:20" s="481" customFormat="1" ht="13" customHeight="1">
      <c r="A211" s="527" t="s">
        <v>196</v>
      </c>
      <c r="B211" s="482">
        <f t="shared" ref="B211:S211" si="125">SUM(B208:B210)</f>
        <v>257.95069558981714</v>
      </c>
      <c r="C211" s="482">
        <f t="shared" si="125"/>
        <v>322.40746280344558</v>
      </c>
      <c r="D211" s="482">
        <f t="shared" si="125"/>
        <v>457.4164768056371</v>
      </c>
      <c r="E211" s="482">
        <f t="shared" si="125"/>
        <v>566.96728155339815</v>
      </c>
      <c r="F211" s="482">
        <f t="shared" si="125"/>
        <v>591.71</v>
      </c>
      <c r="G211" s="482">
        <f t="shared" si="125"/>
        <v>635.27</v>
      </c>
      <c r="H211" s="482">
        <f t="shared" si="125"/>
        <v>771.1</v>
      </c>
      <c r="I211" s="482">
        <f t="shared" si="125"/>
        <v>819.11</v>
      </c>
      <c r="J211" s="482">
        <f t="shared" si="125"/>
        <v>620.31999999999994</v>
      </c>
      <c r="K211" s="482">
        <f t="shared" si="125"/>
        <v>696.78</v>
      </c>
      <c r="L211" s="482">
        <f t="shared" si="125"/>
        <v>703</v>
      </c>
      <c r="M211" s="482">
        <f t="shared" si="125"/>
        <v>783.73</v>
      </c>
      <c r="N211" s="482">
        <f t="shared" si="125"/>
        <v>0</v>
      </c>
      <c r="O211" s="482">
        <f t="shared" si="125"/>
        <v>1037.7746351988999</v>
      </c>
      <c r="P211" s="482">
        <f t="shared" si="125"/>
        <v>1793.9472815533982</v>
      </c>
      <c r="Q211" s="482">
        <f t="shared" si="125"/>
        <v>2210.5300000000002</v>
      </c>
      <c r="R211" s="482">
        <f t="shared" si="125"/>
        <v>2183.5099999999998</v>
      </c>
      <c r="S211" s="482">
        <f t="shared" si="125"/>
        <v>7225.7619167522971</v>
      </c>
    </row>
    <row r="212" spans="1:20" ht="13" customHeight="1">
      <c r="A212" s="532"/>
    </row>
    <row r="213" spans="1:20" ht="13" customHeight="1">
      <c r="A213" s="528" t="s">
        <v>178</v>
      </c>
    </row>
    <row r="214" spans="1:20">
      <c r="A214" s="526" t="s">
        <v>22</v>
      </c>
      <c r="B214" s="145">
        <f t="shared" ref="B214:M214" si="126">B208/B265-1</f>
        <v>5.0758483033932142</v>
      </c>
      <c r="C214" s="145">
        <f t="shared" si="126"/>
        <v>5.7373558118899739</v>
      </c>
      <c r="D214" s="145">
        <f t="shared" si="126"/>
        <v>15.950793650793653</v>
      </c>
      <c r="E214" s="145">
        <f t="shared" si="126"/>
        <v>26.258726899383984</v>
      </c>
      <c r="F214" s="145">
        <f t="shared" si="126"/>
        <v>24.832046332046335</v>
      </c>
      <c r="G214" s="145">
        <f t="shared" si="126"/>
        <v>17.4005376344086</v>
      </c>
      <c r="H214" s="145">
        <f t="shared" si="126"/>
        <v>12.17116357504216</v>
      </c>
      <c r="I214" s="145">
        <f t="shared" si="126"/>
        <v>10.904552129221733</v>
      </c>
      <c r="J214" s="145">
        <f t="shared" si="126"/>
        <v>5.8930591259640099</v>
      </c>
      <c r="K214" s="145">
        <f t="shared" si="126"/>
        <v>6.1633858267716537</v>
      </c>
      <c r="L214" s="145">
        <f t="shared" si="126"/>
        <v>5.3699395067473246</v>
      </c>
      <c r="M214" s="145">
        <f t="shared" si="126"/>
        <v>5.0389457120377648</v>
      </c>
      <c r="N214" s="145"/>
      <c r="O214" s="145">
        <f t="shared" ref="O214:S217" si="127">O208/O265-1</f>
        <v>7.8292859731786884</v>
      </c>
      <c r="P214" s="145">
        <f t="shared" si="127"/>
        <v>22.068038879359634</v>
      </c>
      <c r="Q214" s="145">
        <f t="shared" si="127"/>
        <v>9.0694413532161153</v>
      </c>
      <c r="R214" s="145">
        <f t="shared" si="127"/>
        <v>5.4846050870147245</v>
      </c>
      <c r="S214" s="145">
        <f t="shared" si="127"/>
        <v>8.7649453065377756</v>
      </c>
      <c r="T214" s="145"/>
    </row>
    <row r="215" spans="1:20">
      <c r="A215" s="526" t="s">
        <v>25</v>
      </c>
      <c r="B215" s="145">
        <f t="shared" ref="B215:M215" si="128">B209/B266-1</f>
        <v>0.82551944592434734</v>
      </c>
      <c r="C215" s="145">
        <f t="shared" si="128"/>
        <v>1.5566463252852216</v>
      </c>
      <c r="D215" s="145">
        <f t="shared" si="128"/>
        <v>11.779879621668098</v>
      </c>
      <c r="E215" s="145">
        <f t="shared" si="128"/>
        <v>500.86842105263162</v>
      </c>
      <c r="F215" s="145">
        <f t="shared" si="128"/>
        <v>1249.5882352941176</v>
      </c>
      <c r="G215" s="145">
        <f t="shared" si="128"/>
        <v>1896.25</v>
      </c>
      <c r="H215" s="145">
        <f t="shared" si="128"/>
        <v>693.18421052631584</v>
      </c>
      <c r="I215" s="145">
        <f t="shared" si="128"/>
        <v>273.72277227722776</v>
      </c>
      <c r="J215" s="145">
        <f t="shared" si="128"/>
        <v>27.288113695090438</v>
      </c>
      <c r="K215" s="145">
        <f t="shared" si="128"/>
        <v>17.892830746489285</v>
      </c>
      <c r="L215" s="145">
        <f t="shared" si="128"/>
        <v>12.718331616889804</v>
      </c>
      <c r="M215" s="145">
        <f t="shared" si="128"/>
        <v>8.1622057400838433</v>
      </c>
      <c r="N215" s="145"/>
      <c r="O215" s="145">
        <f t="shared" si="127"/>
        <v>2.6094865300483541</v>
      </c>
      <c r="P215" s="145">
        <f t="shared" si="127"/>
        <v>940.76119402985069</v>
      </c>
      <c r="Q215" s="145">
        <f t="shared" si="127"/>
        <v>82.265060240963848</v>
      </c>
      <c r="R215" s="145">
        <f t="shared" si="127"/>
        <v>11.60397123202001</v>
      </c>
      <c r="S215" s="145">
        <f t="shared" si="127"/>
        <v>14.632299838127258</v>
      </c>
      <c r="T215" s="145"/>
    </row>
    <row r="216" spans="1:20">
      <c r="A216" s="526" t="s">
        <v>172</v>
      </c>
      <c r="B216" s="145">
        <f t="shared" ref="B216:M216" si="129">B210/B267-1</f>
        <v>0.62915963992163682</v>
      </c>
      <c r="C216" s="145">
        <f t="shared" si="129"/>
        <v>0.89781874593483657</v>
      </c>
      <c r="D216" s="145">
        <f t="shared" si="129"/>
        <v>5.3321779562895646</v>
      </c>
      <c r="E216" s="145">
        <f t="shared" si="129"/>
        <v>18.63768399624178</v>
      </c>
      <c r="F216" s="145">
        <f t="shared" si="129"/>
        <v>21.3</v>
      </c>
      <c r="G216" s="145">
        <f t="shared" si="129"/>
        <v>18.759124087591243</v>
      </c>
      <c r="H216" s="145">
        <f t="shared" si="129"/>
        <v>54.730158730158735</v>
      </c>
      <c r="I216" s="145">
        <f t="shared" si="129"/>
        <v>22.571428571428569</v>
      </c>
      <c r="J216" s="145">
        <f t="shared" si="129"/>
        <v>5.9248704663212433</v>
      </c>
      <c r="K216" s="145">
        <f t="shared" si="129"/>
        <v>6.1400966183574885</v>
      </c>
      <c r="L216" s="145">
        <f t="shared" si="129"/>
        <v>5.3495762711864403</v>
      </c>
      <c r="M216" s="145">
        <f t="shared" si="129"/>
        <v>4.4849445324881145</v>
      </c>
      <c r="N216" s="145"/>
      <c r="O216" s="145">
        <f t="shared" si="127"/>
        <v>1.5310933923059498</v>
      </c>
      <c r="P216" s="145">
        <f t="shared" si="127"/>
        <v>19.471894381493215</v>
      </c>
      <c r="Q216" s="145">
        <f t="shared" si="127"/>
        <v>15.359016393442623</v>
      </c>
      <c r="R216" s="145">
        <f t="shared" si="127"/>
        <v>5.205669083717865</v>
      </c>
      <c r="S216" s="145">
        <f t="shared" si="127"/>
        <v>6.2309800244537135</v>
      </c>
      <c r="T216" s="145"/>
    </row>
    <row r="217" spans="1:20" s="481" customFormat="1" ht="13" customHeight="1">
      <c r="A217" s="529" t="s">
        <v>196</v>
      </c>
      <c r="B217" s="147">
        <f t="shared" ref="B217:M217" si="130">B211/B268-1</f>
        <v>1.0397809235316871</v>
      </c>
      <c r="C217" s="147">
        <f t="shared" si="130"/>
        <v>1.5176281649495986</v>
      </c>
      <c r="D217" s="147">
        <f t="shared" si="130"/>
        <v>8.1795399720176025</v>
      </c>
      <c r="E217" s="147">
        <f t="shared" si="130"/>
        <v>31.122792155999896</v>
      </c>
      <c r="F217" s="147">
        <f t="shared" si="130"/>
        <v>35.190214067278283</v>
      </c>
      <c r="G217" s="147">
        <f t="shared" si="130"/>
        <v>28.880997177798683</v>
      </c>
      <c r="H217" s="147">
        <f t="shared" si="130"/>
        <v>40.591154261057177</v>
      </c>
      <c r="I217" s="147">
        <f t="shared" si="130"/>
        <v>25.655060201757241</v>
      </c>
      <c r="J217" s="147">
        <f t="shared" si="130"/>
        <v>8.4287885696914433</v>
      </c>
      <c r="K217" s="147">
        <f t="shared" si="130"/>
        <v>8.2595348837209297</v>
      </c>
      <c r="L217" s="147">
        <f t="shared" si="130"/>
        <v>6.9786630348428105</v>
      </c>
      <c r="M217" s="147">
        <f t="shared" si="130"/>
        <v>5.5567639923031873</v>
      </c>
      <c r="N217" s="147"/>
      <c r="O217" s="147">
        <f t="shared" si="127"/>
        <v>2.4098065884636104</v>
      </c>
      <c r="P217" s="147">
        <f t="shared" si="127"/>
        <v>31.463758261914556</v>
      </c>
      <c r="Q217" s="147">
        <f t="shared" si="127"/>
        <v>18.21197636015992</v>
      </c>
      <c r="R217" s="147">
        <f t="shared" si="127"/>
        <v>6.7185831948814023</v>
      </c>
      <c r="S217" s="147">
        <f t="shared" si="127"/>
        <v>8.5382041247588276</v>
      </c>
      <c r="T217" s="147"/>
    </row>
    <row r="218" spans="1:20">
      <c r="A218" s="526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</row>
    <row r="219" spans="1:20" ht="13" customHeight="1">
      <c r="A219" s="528" t="s">
        <v>179</v>
      </c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</row>
    <row r="220" spans="1:20">
      <c r="A220" s="526" t="s">
        <v>22</v>
      </c>
      <c r="B220" s="145">
        <f t="shared" ref="B220:M220" si="131">B208/B$458-1</f>
        <v>-0.71671862640174955</v>
      </c>
      <c r="C220" s="145">
        <f t="shared" si="131"/>
        <v>-0.66939521922758738</v>
      </c>
      <c r="D220" s="145">
        <f t="shared" si="131"/>
        <v>-0.52818768224794554</v>
      </c>
      <c r="E220" s="145">
        <f t="shared" si="131"/>
        <v>-0.43181818181818177</v>
      </c>
      <c r="F220" s="145">
        <f t="shared" si="131"/>
        <v>-0.42747732329282906</v>
      </c>
      <c r="G220" s="145">
        <f t="shared" si="131"/>
        <v>-0.39518444886238124</v>
      </c>
      <c r="H220" s="145">
        <f t="shared" si="131"/>
        <v>-0.37720277489833343</v>
      </c>
      <c r="I220" s="145">
        <f t="shared" si="131"/>
        <v>-0.26068122748620681</v>
      </c>
      <c r="J220" s="145">
        <f t="shared" si="131"/>
        <v>-0.16289960039960039</v>
      </c>
      <c r="K220" s="145">
        <f t="shared" si="131"/>
        <v>-0.10352897702777608</v>
      </c>
      <c r="L220" s="145">
        <f t="shared" si="131"/>
        <v>-0.16965910469489276</v>
      </c>
      <c r="M220" s="145">
        <f t="shared" si="131"/>
        <v>-3.2825100806451624E-2</v>
      </c>
      <c r="N220" s="145"/>
      <c r="O220" s="145">
        <f>O208/O$458-1</f>
        <v>-0.63691647290287956</v>
      </c>
      <c r="P220" s="145">
        <f>P208/P$458-1</f>
        <v>-0.4184025024866298</v>
      </c>
      <c r="Q220" s="145">
        <f>Q208/Q$458-1</f>
        <v>-0.28220343016706584</v>
      </c>
      <c r="R220" s="145">
        <f>R208/R$458-1</f>
        <v>-0.10287066570634851</v>
      </c>
      <c r="S220" s="145">
        <f>S208/S$458-1</f>
        <v>-0.38108808603433475</v>
      </c>
      <c r="T220" s="145"/>
    </row>
    <row r="221" spans="1:20">
      <c r="A221" s="526" t="s">
        <v>25</v>
      </c>
      <c r="B221" s="145">
        <f t="shared" ref="B221:M221" si="132">B209/B$459-1</f>
        <v>-0.79588675929648989</v>
      </c>
      <c r="C221" s="145">
        <f t="shared" si="132"/>
        <v>-0.70510466397355853</v>
      </c>
      <c r="D221" s="145">
        <f t="shared" si="132"/>
        <v>-0.5677727048012331</v>
      </c>
      <c r="E221" s="145">
        <f t="shared" si="132"/>
        <v>-0.45053013714417423</v>
      </c>
      <c r="F221" s="145">
        <f t="shared" si="132"/>
        <v>-0.41070488122626603</v>
      </c>
      <c r="G221" s="145">
        <f t="shared" si="132"/>
        <v>-0.35782585394747979</v>
      </c>
      <c r="H221" s="145">
        <f t="shared" si="132"/>
        <v>-0.28614726815143554</v>
      </c>
      <c r="I221" s="145">
        <f t="shared" si="132"/>
        <v>-9.5511295107083338E-2</v>
      </c>
      <c r="J221" s="145">
        <f t="shared" si="132"/>
        <v>-6.5075366155685543E-2</v>
      </c>
      <c r="K221" s="145">
        <f t="shared" si="132"/>
        <v>9.9964439527440163E-3</v>
      </c>
      <c r="L221" s="145">
        <f t="shared" si="132"/>
        <v>0.10091326087854879</v>
      </c>
      <c r="M221" s="145">
        <f t="shared" si="132"/>
        <v>0.20630068356472631</v>
      </c>
      <c r="N221" s="145"/>
      <c r="O221" s="145">
        <f>O209/O$459-1</f>
        <v>-0.68846602906471244</v>
      </c>
      <c r="P221" s="145">
        <f>P209/P$459-1</f>
        <v>-0.40606939136655429</v>
      </c>
      <c r="Q221" s="145">
        <f>Q209/Q$459-1</f>
        <v>-0.1650539819218223</v>
      </c>
      <c r="R221" s="145">
        <f>R209/R$459-1</f>
        <v>0.10339305511832575</v>
      </c>
      <c r="S221" s="145">
        <f>S209/S$459-1</f>
        <v>-0.32319187677146421</v>
      </c>
      <c r="T221" s="145"/>
    </row>
    <row r="222" spans="1:20">
      <c r="A222" s="526" t="s">
        <v>172</v>
      </c>
      <c r="B222" s="145">
        <f t="shared" ref="B222:M222" si="133">B210/B$460-1</f>
        <v>-0.72743703225229606</v>
      </c>
      <c r="C222" s="145">
        <f t="shared" si="133"/>
        <v>-0.68469341986253829</v>
      </c>
      <c r="D222" s="145">
        <f t="shared" si="133"/>
        <v>-0.56948747483879558</v>
      </c>
      <c r="E222" s="145">
        <f t="shared" si="133"/>
        <v>-0.51434527013682074</v>
      </c>
      <c r="F222" s="145">
        <f t="shared" si="133"/>
        <v>-0.50464458804523415</v>
      </c>
      <c r="G222" s="145">
        <f t="shared" si="133"/>
        <v>-0.44642126789366054</v>
      </c>
      <c r="H222" s="145">
        <f t="shared" si="133"/>
        <v>-0.32233159621694651</v>
      </c>
      <c r="I222" s="145">
        <f t="shared" si="133"/>
        <v>-0.20222829514399832</v>
      </c>
      <c r="J222" s="145">
        <f t="shared" si="133"/>
        <v>-0.24384724186704376</v>
      </c>
      <c r="K222" s="145">
        <f t="shared" si="133"/>
        <v>-0.21215351812366734</v>
      </c>
      <c r="L222" s="145">
        <f t="shared" si="133"/>
        <v>-0.15315060751624754</v>
      </c>
      <c r="M222" s="145">
        <f t="shared" si="133"/>
        <v>-8.9450144698763445E-2</v>
      </c>
      <c r="N222" s="145"/>
      <c r="O222" s="145">
        <f>O210/O$460-1</f>
        <v>-0.66077024828929365</v>
      </c>
      <c r="P222" s="145">
        <f>P210/P$460-1</f>
        <v>-0.48875384925053977</v>
      </c>
      <c r="Q222" s="145">
        <f>Q210/Q$460-1</f>
        <v>-0.25933348177837146</v>
      </c>
      <c r="R222" s="145">
        <f>R210/R$460-1</f>
        <v>-0.15128020194734937</v>
      </c>
      <c r="S222" s="145">
        <f>S210/S$460-1</f>
        <v>-0.40670611741886575</v>
      </c>
      <c r="T222" s="145"/>
    </row>
    <row r="223" spans="1:20" s="481" customFormat="1" ht="13" customHeight="1">
      <c r="A223" s="529" t="s">
        <v>196</v>
      </c>
      <c r="B223" s="147">
        <f t="shared" ref="B223:M223" si="134">B211/B$461-1</f>
        <v>-0.74766501940336105</v>
      </c>
      <c r="C223" s="147">
        <f t="shared" si="134"/>
        <v>-0.68775002876096036</v>
      </c>
      <c r="D223" s="147">
        <f t="shared" si="134"/>
        <v>-0.55992680770279568</v>
      </c>
      <c r="E223" s="147">
        <f t="shared" si="134"/>
        <v>-0.47605877208313474</v>
      </c>
      <c r="F223" s="147">
        <f t="shared" si="134"/>
        <v>-0.45699235562407658</v>
      </c>
      <c r="G223" s="147">
        <f t="shared" si="134"/>
        <v>-0.40622312782741998</v>
      </c>
      <c r="H223" s="147">
        <f t="shared" si="134"/>
        <v>-0.32267556765778016</v>
      </c>
      <c r="I223" s="147">
        <f t="shared" si="134"/>
        <v>-0.18234542514324503</v>
      </c>
      <c r="J223" s="147">
        <f t="shared" si="134"/>
        <v>-0.17052884936818891</v>
      </c>
      <c r="K223" s="147">
        <f t="shared" si="134"/>
        <v>-0.11873624566817609</v>
      </c>
      <c r="L223" s="147">
        <f t="shared" si="134"/>
        <v>-7.5911929017417057E-2</v>
      </c>
      <c r="M223" s="147">
        <f t="shared" si="134"/>
        <v>1.211338542002971E-2</v>
      </c>
      <c r="N223" s="147"/>
      <c r="O223" s="147">
        <f>O211/O$461-1</f>
        <v>-0.66460593621316688</v>
      </c>
      <c r="P223" s="147">
        <f>P211/P$461-1</f>
        <v>-0.44660122295672988</v>
      </c>
      <c r="Q223" s="147">
        <f>Q211/Q$461-1</f>
        <v>-0.23460222708512213</v>
      </c>
      <c r="R223" s="147">
        <f>R211/R$461-1</f>
        <v>-6.1162802696753116E-2</v>
      </c>
      <c r="S223" s="147">
        <f>S211/S$461-1</f>
        <v>-0.37437801187887187</v>
      </c>
      <c r="T223" s="147"/>
    </row>
    <row r="224" spans="1:20"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</row>
    <row r="226" spans="1:20" ht="13" hidden="1" customHeight="1" outlineLevel="1">
      <c r="A226" s="525" t="s">
        <v>205</v>
      </c>
      <c r="B226" s="472" t="s">
        <v>51</v>
      </c>
      <c r="C226" s="472" t="s">
        <v>52</v>
      </c>
      <c r="D226" s="472" t="s">
        <v>53</v>
      </c>
      <c r="E226" s="472" t="s">
        <v>54</v>
      </c>
      <c r="F226" s="472" t="s">
        <v>55</v>
      </c>
      <c r="G226" s="472" t="s">
        <v>77</v>
      </c>
      <c r="H226" s="472" t="s">
        <v>78</v>
      </c>
      <c r="I226" s="472" t="s">
        <v>79</v>
      </c>
      <c r="J226" s="472" t="s">
        <v>80</v>
      </c>
      <c r="K226" s="472" t="s">
        <v>81</v>
      </c>
      <c r="L226" s="472" t="s">
        <v>82</v>
      </c>
      <c r="M226" s="472" t="s">
        <v>44</v>
      </c>
      <c r="N226" s="473" t="s">
        <v>133</v>
      </c>
      <c r="O226" s="473" t="s">
        <v>129</v>
      </c>
      <c r="P226" s="473" t="s">
        <v>130</v>
      </c>
      <c r="Q226" s="473" t="s">
        <v>131</v>
      </c>
      <c r="R226" s="473" t="s">
        <v>132</v>
      </c>
      <c r="S226" s="473" t="s">
        <v>171</v>
      </c>
      <c r="T226" s="445"/>
    </row>
    <row r="227" spans="1:20" hidden="1" outlineLevel="1">
      <c r="A227" s="526" t="s">
        <v>22</v>
      </c>
      <c r="B227" s="443">
        <f t="shared" ref="B227:M227" si="135">B246+B265</f>
        <v>52.010000000000005</v>
      </c>
      <c r="C227" s="443">
        <f t="shared" si="135"/>
        <v>50.959999999999994</v>
      </c>
      <c r="D227" s="443">
        <f t="shared" si="135"/>
        <v>54.809999999999995</v>
      </c>
      <c r="E227" s="443">
        <f t="shared" si="135"/>
        <v>55.9</v>
      </c>
      <c r="F227" s="443">
        <f t="shared" si="135"/>
        <v>59.96</v>
      </c>
      <c r="G227" s="443">
        <f t="shared" si="135"/>
        <v>70.55</v>
      </c>
      <c r="H227" s="443">
        <f t="shared" si="135"/>
        <v>77.14</v>
      </c>
      <c r="I227" s="443">
        <f t="shared" si="135"/>
        <v>88.710000000000008</v>
      </c>
      <c r="J227" s="443">
        <f t="shared" si="135"/>
        <v>102.24000000000001</v>
      </c>
      <c r="K227" s="443">
        <f t="shared" si="135"/>
        <v>102.88999999999999</v>
      </c>
      <c r="L227" s="443">
        <f t="shared" si="135"/>
        <v>111.39999999999999</v>
      </c>
      <c r="M227" s="443">
        <f t="shared" si="135"/>
        <v>143.37</v>
      </c>
      <c r="N227" s="443"/>
      <c r="O227" s="443">
        <f>SUM(B227:D227)</f>
        <v>157.78</v>
      </c>
      <c r="P227" s="443">
        <f>SUM(E227:G227)</f>
        <v>186.41</v>
      </c>
      <c r="Q227" s="443">
        <f>SUM(H227:J227)</f>
        <v>268.09000000000003</v>
      </c>
      <c r="R227" s="443">
        <f>SUM(K227:M227)</f>
        <v>357.65999999999997</v>
      </c>
      <c r="S227" s="443">
        <f>SUM(O227:R227)</f>
        <v>969.93999999999994</v>
      </c>
    </row>
    <row r="228" spans="1:20" hidden="1" outlineLevel="1">
      <c r="A228" s="526" t="s">
        <v>25</v>
      </c>
      <c r="B228" s="443">
        <f t="shared" ref="B228:M228" si="136">B247+B266</f>
        <v>55.980000000000004</v>
      </c>
      <c r="C228" s="443">
        <f t="shared" si="136"/>
        <v>52.379999999999995</v>
      </c>
      <c r="D228" s="443">
        <f t="shared" si="136"/>
        <v>29.47</v>
      </c>
      <c r="E228" s="443">
        <f t="shared" si="136"/>
        <v>14.83</v>
      </c>
      <c r="F228" s="443">
        <f t="shared" si="136"/>
        <v>14.53</v>
      </c>
      <c r="G228" s="443">
        <f t="shared" si="136"/>
        <v>17.91</v>
      </c>
      <c r="H228" s="443">
        <f t="shared" si="136"/>
        <v>22.509999999999998</v>
      </c>
      <c r="I228" s="443">
        <f t="shared" si="136"/>
        <v>28.44</v>
      </c>
      <c r="J228" s="443">
        <f t="shared" si="136"/>
        <v>41.29</v>
      </c>
      <c r="K228" s="443">
        <f t="shared" si="136"/>
        <v>49.2</v>
      </c>
      <c r="L228" s="443">
        <f t="shared" si="136"/>
        <v>66.11</v>
      </c>
      <c r="M228" s="443">
        <f t="shared" si="136"/>
        <v>90.04</v>
      </c>
      <c r="N228" s="443"/>
      <c r="O228" s="443">
        <f>SUM(B228:D228)</f>
        <v>137.82999999999998</v>
      </c>
      <c r="P228" s="443">
        <f>SUM(E228:G228)</f>
        <v>47.269999999999996</v>
      </c>
      <c r="Q228" s="443">
        <f>SUM(H228:J228)</f>
        <v>92.240000000000009</v>
      </c>
      <c r="R228" s="443">
        <f>SUM(K228:M228)</f>
        <v>205.35000000000002</v>
      </c>
      <c r="S228" s="443">
        <f>SUM(O228:R228)</f>
        <v>482.69</v>
      </c>
    </row>
    <row r="229" spans="1:20" hidden="1" outlineLevel="1">
      <c r="A229" s="526" t="s">
        <v>172</v>
      </c>
      <c r="B229" s="443">
        <f t="shared" ref="B229:M229" si="137">B248+B267</f>
        <v>94.4</v>
      </c>
      <c r="C229" s="443">
        <f t="shared" si="137"/>
        <v>93.199999999999989</v>
      </c>
      <c r="D229" s="443">
        <f t="shared" si="137"/>
        <v>47.3</v>
      </c>
      <c r="E229" s="443">
        <f t="shared" si="137"/>
        <v>25.6</v>
      </c>
      <c r="F229" s="443">
        <f t="shared" si="137"/>
        <v>27.3</v>
      </c>
      <c r="G229" s="443">
        <f t="shared" si="137"/>
        <v>33.799999999999997</v>
      </c>
      <c r="H229" s="443">
        <f t="shared" si="137"/>
        <v>36.199999999999996</v>
      </c>
      <c r="I229" s="443">
        <f t="shared" si="137"/>
        <v>53.800000000000004</v>
      </c>
      <c r="J229" s="443">
        <f t="shared" si="137"/>
        <v>87.6</v>
      </c>
      <c r="K229" s="443">
        <f t="shared" si="137"/>
        <v>80.599999999999994</v>
      </c>
      <c r="L229" s="443">
        <f t="shared" si="137"/>
        <v>92.6</v>
      </c>
      <c r="M229" s="443">
        <f t="shared" si="137"/>
        <v>123.6</v>
      </c>
      <c r="N229" s="443"/>
      <c r="O229" s="443">
        <f>SUM(B229:D229)</f>
        <v>234.89999999999998</v>
      </c>
      <c r="P229" s="443">
        <f>SUM(E229:G229)</f>
        <v>86.7</v>
      </c>
      <c r="Q229" s="443">
        <f>SUM(H229:J229)</f>
        <v>177.6</v>
      </c>
      <c r="R229" s="443">
        <f>SUM(K229:M229)</f>
        <v>296.79999999999995</v>
      </c>
      <c r="S229" s="443">
        <f>SUM(O229:R229)</f>
        <v>795.99999999999989</v>
      </c>
    </row>
    <row r="230" spans="1:20" s="481" customFormat="1" ht="13" hidden="1" customHeight="1" outlineLevel="1">
      <c r="A230" s="527" t="s">
        <v>196</v>
      </c>
      <c r="B230" s="482">
        <f t="shared" ref="B230:R230" si="138">SUM(B227:B229)</f>
        <v>202.39000000000001</v>
      </c>
      <c r="C230" s="482">
        <f t="shared" si="138"/>
        <v>196.53999999999996</v>
      </c>
      <c r="D230" s="482">
        <f t="shared" si="138"/>
        <v>131.57999999999998</v>
      </c>
      <c r="E230" s="482">
        <f t="shared" si="138"/>
        <v>96.330000000000013</v>
      </c>
      <c r="F230" s="482">
        <f t="shared" si="138"/>
        <v>101.78999999999999</v>
      </c>
      <c r="G230" s="482">
        <f t="shared" si="138"/>
        <v>122.25999999999999</v>
      </c>
      <c r="H230" s="482">
        <f t="shared" si="138"/>
        <v>135.85</v>
      </c>
      <c r="I230" s="482">
        <f t="shared" si="138"/>
        <v>170.95000000000002</v>
      </c>
      <c r="J230" s="482">
        <f t="shared" si="138"/>
        <v>231.13</v>
      </c>
      <c r="K230" s="482">
        <f t="shared" si="138"/>
        <v>232.68999999999997</v>
      </c>
      <c r="L230" s="482">
        <f t="shared" si="138"/>
        <v>270.11</v>
      </c>
      <c r="M230" s="482">
        <f t="shared" si="138"/>
        <v>357.01</v>
      </c>
      <c r="N230" s="482">
        <f t="shared" si="138"/>
        <v>0</v>
      </c>
      <c r="O230" s="482">
        <f t="shared" si="138"/>
        <v>530.51</v>
      </c>
      <c r="P230" s="482">
        <f t="shared" si="138"/>
        <v>320.38</v>
      </c>
      <c r="Q230" s="482">
        <f t="shared" si="138"/>
        <v>537.93000000000006</v>
      </c>
      <c r="R230" s="482">
        <f t="shared" si="138"/>
        <v>859.81</v>
      </c>
      <c r="S230" s="482">
        <f>SUM(O230:R230)</f>
        <v>2248.63</v>
      </c>
    </row>
    <row r="231" spans="1:20" hidden="1" outlineLevel="1">
      <c r="A231" s="526"/>
      <c r="B231" s="443"/>
      <c r="C231" s="443"/>
      <c r="D231" s="443"/>
      <c r="E231" s="443"/>
      <c r="F231" s="443"/>
      <c r="G231" s="443"/>
      <c r="H231" s="443"/>
      <c r="I231" s="443"/>
      <c r="J231" s="443"/>
      <c r="K231" s="443"/>
      <c r="L231" s="443"/>
      <c r="M231" s="443"/>
      <c r="N231" s="443"/>
      <c r="O231" s="443"/>
      <c r="P231" s="443"/>
      <c r="Q231" s="443"/>
      <c r="R231" s="443"/>
      <c r="S231" s="443"/>
    </row>
    <row r="232" spans="1:20" ht="13" hidden="1" customHeight="1" outlineLevel="1">
      <c r="A232" s="528" t="s">
        <v>180</v>
      </c>
    </row>
    <row r="233" spans="1:20" hidden="1" outlineLevel="1">
      <c r="A233" s="526" t="s">
        <v>22</v>
      </c>
      <c r="B233" s="145">
        <f t="shared" ref="B233:M233" si="139">B227/B284-1</f>
        <v>-0.2881193539556528</v>
      </c>
      <c r="C233" s="145">
        <f t="shared" si="139"/>
        <v>4.1062308478038601E-2</v>
      </c>
      <c r="D233" s="145">
        <f t="shared" si="139"/>
        <v>-0.30098201759979593</v>
      </c>
      <c r="E233" s="145">
        <f t="shared" si="139"/>
        <v>-0.29392446633825953</v>
      </c>
      <c r="F233" s="145">
        <f t="shared" si="139"/>
        <v>-0.23029525032092435</v>
      </c>
      <c r="G233" s="145">
        <f t="shared" si="139"/>
        <v>-3.7254366812227158E-2</v>
      </c>
      <c r="H233" s="145">
        <f t="shared" si="139"/>
        <v>5.0667393080904288E-2</v>
      </c>
      <c r="I233" s="145">
        <f t="shared" si="139"/>
        <v>0.40497307570478314</v>
      </c>
      <c r="J233" s="145">
        <f t="shared" si="139"/>
        <v>0.75428963623884715</v>
      </c>
      <c r="K233" s="145">
        <f t="shared" si="139"/>
        <v>1.2598286843839221</v>
      </c>
      <c r="L233" s="145">
        <f t="shared" si="139"/>
        <v>1.2138314785373607</v>
      </c>
      <c r="M233" s="145">
        <f t="shared" si="139"/>
        <v>1.3480183426138224</v>
      </c>
      <c r="N233" s="145"/>
      <c r="O233" s="145">
        <f t="shared" ref="O233:S236" si="140">O227/O284-1</f>
        <v>-0.21275321824169247</v>
      </c>
      <c r="P233" s="145">
        <f t="shared" si="140"/>
        <v>-0.19075320164966358</v>
      </c>
      <c r="Q233" s="145">
        <f t="shared" si="140"/>
        <v>0.37594949702319869</v>
      </c>
      <c r="R233" s="145">
        <f t="shared" si="140"/>
        <v>1.279395832005608</v>
      </c>
      <c r="S233" s="145">
        <f t="shared" si="140"/>
        <v>0.23950825538005405</v>
      </c>
    </row>
    <row r="234" spans="1:20" hidden="1" outlineLevel="1">
      <c r="A234" s="526" t="s">
        <v>25</v>
      </c>
      <c r="B234" s="145">
        <f t="shared" ref="B234:M234" si="141">B228/B285-1</f>
        <v>0.40300751879699259</v>
      </c>
      <c r="C234" s="145">
        <f t="shared" si="141"/>
        <v>1.0910179640718565</v>
      </c>
      <c r="D234" s="145">
        <f t="shared" si="141"/>
        <v>-0.28609496124031009</v>
      </c>
      <c r="E234" s="145">
        <f t="shared" si="141"/>
        <v>-0.66187870497036028</v>
      </c>
      <c r="F234" s="145">
        <f t="shared" si="141"/>
        <v>-0.72871545929798365</v>
      </c>
      <c r="G234" s="145">
        <f t="shared" si="141"/>
        <v>-0.67897472665352221</v>
      </c>
      <c r="H234" s="145">
        <f t="shared" si="141"/>
        <v>-0.64156050955414012</v>
      </c>
      <c r="I234" s="145">
        <f t="shared" si="141"/>
        <v>-0.29183266932270913</v>
      </c>
      <c r="J234" s="145">
        <f t="shared" si="141"/>
        <v>-2.1100047415836931E-2</v>
      </c>
      <c r="K234" s="145">
        <f t="shared" si="141"/>
        <v>0.25702606029637209</v>
      </c>
      <c r="L234" s="145">
        <f t="shared" si="141"/>
        <v>0.5222196638268477</v>
      </c>
      <c r="M234" s="145">
        <f t="shared" si="141"/>
        <v>0.64516718435958365</v>
      </c>
      <c r="N234" s="145"/>
      <c r="O234" s="145">
        <f t="shared" si="140"/>
        <v>0.29746775863691988</v>
      </c>
      <c r="P234" s="145">
        <f t="shared" si="140"/>
        <v>-0.69146922524639387</v>
      </c>
      <c r="Q234" s="145">
        <f t="shared" si="140"/>
        <v>-0.36447567865509156</v>
      </c>
      <c r="R234" s="145">
        <f t="shared" si="140"/>
        <v>0.49563000728332152</v>
      </c>
      <c r="S234" s="145">
        <f t="shared" si="140"/>
        <v>-0.10923082601313949</v>
      </c>
    </row>
    <row r="235" spans="1:20" hidden="1" outlineLevel="1">
      <c r="A235" s="526" t="s">
        <v>172</v>
      </c>
      <c r="B235" s="145">
        <f t="shared" ref="B235:M235" si="142">B229/B286-1</f>
        <v>0.32770745428973291</v>
      </c>
      <c r="C235" s="145">
        <f t="shared" si="142"/>
        <v>1.1133786848072558</v>
      </c>
      <c r="D235" s="145">
        <f t="shared" si="142"/>
        <v>-0.49627263045793402</v>
      </c>
      <c r="E235" s="145">
        <f t="shared" si="142"/>
        <v>-0.79220779220779214</v>
      </c>
      <c r="F235" s="145">
        <f t="shared" si="142"/>
        <v>-0.79192073170731714</v>
      </c>
      <c r="G235" s="145">
        <f t="shared" si="142"/>
        <v>-0.72719935431799843</v>
      </c>
      <c r="H235" s="145">
        <f t="shared" si="142"/>
        <v>-0.76324395029431003</v>
      </c>
      <c r="I235" s="145">
        <f t="shared" si="142"/>
        <v>-0.10631229235880391</v>
      </c>
      <c r="J235" s="145">
        <f t="shared" si="142"/>
        <v>0.13618677042801552</v>
      </c>
      <c r="K235" s="145">
        <f t="shared" si="142"/>
        <v>0.81531531531531498</v>
      </c>
      <c r="L235" s="145">
        <f t="shared" si="142"/>
        <v>0.97441364605543668</v>
      </c>
      <c r="M235" s="145">
        <f t="shared" si="142"/>
        <v>0.51656441717791401</v>
      </c>
      <c r="N235" s="145"/>
      <c r="O235" s="145">
        <f t="shared" si="140"/>
        <v>0.12338593974175027</v>
      </c>
      <c r="P235" s="145">
        <f t="shared" si="140"/>
        <v>-0.77081681205392549</v>
      </c>
      <c r="Q235" s="145">
        <f t="shared" si="140"/>
        <v>-0.38800827015851147</v>
      </c>
      <c r="R235" s="145">
        <f t="shared" si="140"/>
        <v>0.71759259259259212</v>
      </c>
      <c r="S235" s="145">
        <f t="shared" si="140"/>
        <v>-0.24219345011424231</v>
      </c>
    </row>
    <row r="236" spans="1:20" s="481" customFormat="1" ht="13" hidden="1" customHeight="1" outlineLevel="1">
      <c r="A236" s="529" t="s">
        <v>196</v>
      </c>
      <c r="B236" s="147">
        <f t="shared" ref="B236:M236" si="143">B230/B287-1</f>
        <v>9.9587091165924235E-2</v>
      </c>
      <c r="C236" s="147">
        <f t="shared" si="143"/>
        <v>0.66418289585097345</v>
      </c>
      <c r="D236" s="147">
        <f t="shared" si="143"/>
        <v>-0.38395992321737915</v>
      </c>
      <c r="E236" s="147">
        <f t="shared" si="143"/>
        <v>-0.60878040856110127</v>
      </c>
      <c r="F236" s="147">
        <f t="shared" si="143"/>
        <v>-0.61246478337013643</v>
      </c>
      <c r="G236" s="147">
        <f t="shared" si="143"/>
        <v>-0.51670158516820175</v>
      </c>
      <c r="H236" s="147">
        <f t="shared" si="143"/>
        <v>-0.53012589928057552</v>
      </c>
      <c r="I236" s="147">
        <f t="shared" si="143"/>
        <v>4.5565749235474184E-2</v>
      </c>
      <c r="J236" s="147">
        <f t="shared" si="143"/>
        <v>0.30170083352106336</v>
      </c>
      <c r="K236" s="147">
        <f t="shared" si="143"/>
        <v>0.80282017509878356</v>
      </c>
      <c r="L236" s="147">
        <f t="shared" si="143"/>
        <v>0.92044081052257387</v>
      </c>
      <c r="M236" s="147">
        <f t="shared" si="143"/>
        <v>0.80956966901515548</v>
      </c>
      <c r="N236" s="147"/>
      <c r="O236" s="147">
        <f t="shared" si="140"/>
        <v>2.861851672321869E-2</v>
      </c>
      <c r="P236" s="147">
        <f t="shared" si="140"/>
        <v>-0.57947654424697448</v>
      </c>
      <c r="Q236" s="147">
        <f t="shared" si="140"/>
        <v>-0.14638674664381601</v>
      </c>
      <c r="R236" s="147">
        <f t="shared" si="140"/>
        <v>0.84109547975418075</v>
      </c>
      <c r="S236" s="147">
        <f t="shared" si="140"/>
        <v>-5.312868452080155E-2</v>
      </c>
    </row>
    <row r="237" spans="1:20" hidden="1" outlineLevel="1">
      <c r="A237" s="526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</row>
    <row r="238" spans="1:20" ht="13" hidden="1" customHeight="1" outlineLevel="1">
      <c r="A238" s="528" t="s">
        <v>179</v>
      </c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</row>
    <row r="239" spans="1:20" hidden="1" outlineLevel="1">
      <c r="A239" s="526" t="s">
        <v>22</v>
      </c>
      <c r="B239" s="145">
        <f t="shared" ref="B239:M239" si="144">B227/B$416-1</f>
        <v>-0.97250054195240332</v>
      </c>
      <c r="C239" s="145">
        <f t="shared" si="144"/>
        <v>-0.97236397555274756</v>
      </c>
      <c r="D239" s="145">
        <f t="shared" si="144"/>
        <v>-0.97048147350280056</v>
      </c>
      <c r="E239" s="145">
        <f t="shared" si="144"/>
        <v>-0.97049088595967969</v>
      </c>
      <c r="F239" s="145">
        <f t="shared" si="144"/>
        <v>-0.96741215793907442</v>
      </c>
      <c r="G239" s="145">
        <f t="shared" si="144"/>
        <v>-0.96215250582062806</v>
      </c>
      <c r="H239" s="145">
        <f t="shared" si="144"/>
        <v>-0.96341631137395134</v>
      </c>
      <c r="I239" s="145">
        <f t="shared" si="144"/>
        <v>-0.95947390541627076</v>
      </c>
      <c r="J239" s="145">
        <f t="shared" si="144"/>
        <v>-0.94462678321905569</v>
      </c>
      <c r="K239" s="145">
        <f t="shared" si="144"/>
        <v>-0.944417734032726</v>
      </c>
      <c r="L239" s="145">
        <f t="shared" si="144"/>
        <v>-0.93810182638506889</v>
      </c>
      <c r="M239" s="145">
        <f t="shared" si="144"/>
        <v>-0.92608765137416027</v>
      </c>
      <c r="N239" s="145"/>
      <c r="O239" s="145">
        <f>O227/O$416-1</f>
        <v>-0.97178509606443397</v>
      </c>
      <c r="P239" s="145">
        <f>P227/P$416-1</f>
        <v>-0.96670262970809206</v>
      </c>
      <c r="Q239" s="145">
        <f>Q227/Q$416-1</f>
        <v>-0.9563650627529936</v>
      </c>
      <c r="R239" s="145">
        <f>R227/R$416-1</f>
        <v>-0.93602464140636321</v>
      </c>
      <c r="S239" s="145">
        <f>S227/S$416-1</f>
        <v>-0.95769061991001936</v>
      </c>
    </row>
    <row r="240" spans="1:20" hidden="1" outlineLevel="1">
      <c r="A240" s="526" t="s">
        <v>25</v>
      </c>
      <c r="B240" s="145">
        <f t="shared" ref="B240:M240" si="145">B228/B$417-1</f>
        <v>-0.96931535082069653</v>
      </c>
      <c r="C240" s="145">
        <f t="shared" si="145"/>
        <v>-0.9710663683818046</v>
      </c>
      <c r="D240" s="145">
        <f t="shared" si="145"/>
        <v>-0.98335272784788674</v>
      </c>
      <c r="E240" s="145">
        <f t="shared" si="145"/>
        <v>-0.99169131818385547</v>
      </c>
      <c r="F240" s="145">
        <f t="shared" si="145"/>
        <v>-0.99193051243745178</v>
      </c>
      <c r="G240" s="145">
        <f t="shared" si="145"/>
        <v>-0.99011322046248706</v>
      </c>
      <c r="H240" s="145">
        <f t="shared" si="145"/>
        <v>-0.98800503032046982</v>
      </c>
      <c r="I240" s="145">
        <f t="shared" si="145"/>
        <v>-0.98509223003255175</v>
      </c>
      <c r="J240" s="145">
        <f t="shared" si="145"/>
        <v>-0.97503159600650668</v>
      </c>
      <c r="K240" s="145">
        <f t="shared" si="145"/>
        <v>-0.97062265638061573</v>
      </c>
      <c r="L240" s="145">
        <f t="shared" si="145"/>
        <v>-0.95994255868345468</v>
      </c>
      <c r="M240" s="145">
        <f t="shared" si="145"/>
        <v>-0.94716768568176213</v>
      </c>
      <c r="N240" s="145"/>
      <c r="O240" s="145">
        <f>O228/O$417-1</f>
        <v>-0.97449941951627894</v>
      </c>
      <c r="P240" s="145">
        <f>P228/P$417-1</f>
        <v>-0.99124143042430979</v>
      </c>
      <c r="Q240" s="145">
        <f>Q228/Q$417-1</f>
        <v>-0.98303800634051974</v>
      </c>
      <c r="R240" s="145">
        <f>R228/R$417-1</f>
        <v>-0.95917007993001158</v>
      </c>
      <c r="S240" s="145">
        <f>S228/S$417-1</f>
        <v>-0.97730591085838514</v>
      </c>
    </row>
    <row r="241" spans="1:32" hidden="1" outlineLevel="1">
      <c r="A241" s="526" t="s">
        <v>172</v>
      </c>
      <c r="B241" s="145">
        <f t="shared" ref="B241:M241" si="146">B229/B$418-1</f>
        <v>-0.95107794361525699</v>
      </c>
      <c r="C241" s="145">
        <f t="shared" si="146"/>
        <v>-0.94917657323590365</v>
      </c>
      <c r="D241" s="145">
        <f t="shared" si="146"/>
        <v>-0.97567498071483671</v>
      </c>
      <c r="E241" s="145">
        <f t="shared" si="146"/>
        <v>-0.98706025070764258</v>
      </c>
      <c r="F241" s="145">
        <f t="shared" si="146"/>
        <v>-0.98579382838112084</v>
      </c>
      <c r="G241" s="145">
        <f t="shared" si="146"/>
        <v>-0.9819444444444444</v>
      </c>
      <c r="H241" s="145">
        <f t="shared" si="146"/>
        <v>-0.9815192975290995</v>
      </c>
      <c r="I241" s="145">
        <f t="shared" si="146"/>
        <v>-0.9731817955236528</v>
      </c>
      <c r="J241" s="145">
        <f t="shared" si="146"/>
        <v>-0.948843728100911</v>
      </c>
      <c r="K241" s="145">
        <f t="shared" si="146"/>
        <v>-0.95347226231022342</v>
      </c>
      <c r="L241" s="145">
        <f t="shared" si="146"/>
        <v>-0.94622844201846579</v>
      </c>
      <c r="M241" s="145">
        <f t="shared" si="146"/>
        <v>-0.93287351327866186</v>
      </c>
      <c r="N241" s="145"/>
      <c r="O241" s="145">
        <f>O229/O$418-1</f>
        <v>-0.9588465109760157</v>
      </c>
      <c r="P241" s="145">
        <f>P229/P$418-1</f>
        <v>-0.98497947021014887</v>
      </c>
      <c r="Q241" s="145">
        <f>Q229/Q$418-1</f>
        <v>-0.96871752417522417</v>
      </c>
      <c r="R241" s="145">
        <f>R229/R$418-1</f>
        <v>-0.94395452914628852</v>
      </c>
      <c r="S241" s="145">
        <f>S229/S$418-1</f>
        <v>-0.96454816728276849</v>
      </c>
    </row>
    <row r="242" spans="1:32" s="481" customFormat="1" ht="13" hidden="1" customHeight="1" outlineLevel="1">
      <c r="A242" s="527" t="s">
        <v>196</v>
      </c>
      <c r="B242" s="147">
        <f t="shared" ref="B242:M242" si="147">B230/B$419-1</f>
        <v>-0.96414877928887432</v>
      </c>
      <c r="C242" s="147">
        <f t="shared" si="147"/>
        <v>-0.964188100843276</v>
      </c>
      <c r="D242" s="147">
        <f t="shared" si="147"/>
        <v>-0.97638363402709472</v>
      </c>
      <c r="E242" s="147">
        <f t="shared" si="147"/>
        <v>-0.98297337568337162</v>
      </c>
      <c r="F242" s="147">
        <f t="shared" si="147"/>
        <v>-0.98169988457928969</v>
      </c>
      <c r="G242" s="147">
        <f t="shared" si="147"/>
        <v>-0.97796152189156693</v>
      </c>
      <c r="H242" s="147">
        <f t="shared" si="147"/>
        <v>-0.97714505863886503</v>
      </c>
      <c r="I242" s="147">
        <f t="shared" si="147"/>
        <v>-0.9719882217805299</v>
      </c>
      <c r="J242" s="147">
        <f t="shared" si="147"/>
        <v>-0.95565825798517789</v>
      </c>
      <c r="K242" s="147">
        <f t="shared" si="147"/>
        <v>-0.95574712971573872</v>
      </c>
      <c r="L242" s="147">
        <f t="shared" si="147"/>
        <v>-0.94777667573435731</v>
      </c>
      <c r="M242" s="147">
        <f t="shared" si="147"/>
        <v>-0.9349150181667697</v>
      </c>
      <c r="N242" s="147"/>
      <c r="O242" s="147">
        <f>O230/O$419-1</f>
        <v>-0.96824235683364601</v>
      </c>
      <c r="P242" s="147">
        <f>P230/P$419-1</f>
        <v>-0.98089273019614209</v>
      </c>
      <c r="Q242" s="147">
        <f>Q230/Q$419-1</f>
        <v>-0.96883240137039395</v>
      </c>
      <c r="R242" s="147">
        <f>R230/R$419-1</f>
        <v>-0.94597720865385038</v>
      </c>
      <c r="S242" s="147">
        <f>S230/S$419-1</f>
        <v>-0.96626077659045884</v>
      </c>
    </row>
    <row r="243" spans="1:32" ht="13" hidden="1" customHeight="1" outlineLevel="1">
      <c r="A243" s="532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</row>
    <row r="244" spans="1:32" ht="13" hidden="1" customHeight="1" outlineLevel="1">
      <c r="A244" s="532" t="s">
        <v>201</v>
      </c>
    </row>
    <row r="245" spans="1:32" ht="13" hidden="1" customHeight="1" outlineLevel="1">
      <c r="A245" s="533" t="s">
        <v>155</v>
      </c>
    </row>
    <row r="246" spans="1:32" hidden="1" outlineLevel="1">
      <c r="A246" s="526" t="s">
        <v>22</v>
      </c>
      <c r="B246" s="443">
        <v>41.99</v>
      </c>
      <c r="C246" s="443">
        <v>39.69</v>
      </c>
      <c r="D246" s="443">
        <v>48.51</v>
      </c>
      <c r="E246" s="443">
        <v>51.03</v>
      </c>
      <c r="F246" s="443">
        <v>54.78</v>
      </c>
      <c r="G246" s="443">
        <v>63.11</v>
      </c>
      <c r="H246" s="443">
        <v>65.28</v>
      </c>
      <c r="I246" s="443">
        <v>75.09</v>
      </c>
      <c r="J246" s="443">
        <v>82.79</v>
      </c>
      <c r="K246" s="443">
        <v>82.57</v>
      </c>
      <c r="L246" s="443">
        <v>89.91</v>
      </c>
      <c r="M246" s="443">
        <v>117.95</v>
      </c>
      <c r="N246" s="443"/>
      <c r="O246" s="443">
        <f>SUM(B246:D246)</f>
        <v>130.19</v>
      </c>
      <c r="P246" s="443">
        <f>SUM(E246:G246)</f>
        <v>168.92000000000002</v>
      </c>
      <c r="Q246" s="443">
        <f>SUM(H246:J246)</f>
        <v>223.16000000000003</v>
      </c>
      <c r="R246" s="443">
        <f>SUM(K246:M246)</f>
        <v>290.43</v>
      </c>
      <c r="S246" s="443">
        <f>SUM(B246:M246)</f>
        <v>812.69999999999993</v>
      </c>
      <c r="T246" s="443"/>
      <c r="U246" s="443"/>
      <c r="V246" s="443"/>
      <c r="W246" s="443"/>
      <c r="X246" s="443"/>
      <c r="Y246" s="443"/>
      <c r="Z246" s="443"/>
      <c r="AA246" s="443"/>
      <c r="AB246" s="443"/>
      <c r="AC246" s="443"/>
      <c r="AD246" s="443"/>
      <c r="AE246" s="443"/>
      <c r="AF246" s="443"/>
    </row>
    <row r="247" spans="1:32" hidden="1" outlineLevel="1">
      <c r="A247" s="526" t="s">
        <v>25</v>
      </c>
      <c r="B247" s="443">
        <v>18.440000000000001</v>
      </c>
      <c r="C247" s="443">
        <v>14.69</v>
      </c>
      <c r="D247" s="443">
        <v>17.84</v>
      </c>
      <c r="E247" s="443">
        <v>14.45</v>
      </c>
      <c r="F247" s="443">
        <v>14.36</v>
      </c>
      <c r="G247" s="443">
        <v>17.79</v>
      </c>
      <c r="H247" s="443">
        <v>22.13</v>
      </c>
      <c r="I247" s="443">
        <v>27.43</v>
      </c>
      <c r="J247" s="443">
        <v>33.549999999999997</v>
      </c>
      <c r="K247" s="443">
        <v>35.67</v>
      </c>
      <c r="L247" s="443">
        <v>46.69</v>
      </c>
      <c r="M247" s="443">
        <v>59.03</v>
      </c>
      <c r="N247" s="443"/>
      <c r="O247" s="443">
        <f>SUM(B247:D247)</f>
        <v>50.97</v>
      </c>
      <c r="P247" s="443">
        <f>SUM(E247:G247)</f>
        <v>46.599999999999994</v>
      </c>
      <c r="Q247" s="443">
        <f>SUM(H247:J247)</f>
        <v>83.11</v>
      </c>
      <c r="R247" s="443">
        <f>SUM(K247:M247)</f>
        <v>141.38999999999999</v>
      </c>
      <c r="S247" s="443">
        <f>SUM(B247:M247)</f>
        <v>322.07000000000005</v>
      </c>
      <c r="T247" s="443"/>
      <c r="U247" s="443"/>
      <c r="V247" s="443"/>
      <c r="W247" s="443"/>
      <c r="X247" s="443"/>
      <c r="Y247" s="443"/>
      <c r="Z247" s="443"/>
      <c r="AA247" s="443"/>
      <c r="AB247" s="443"/>
      <c r="AC247" s="443"/>
      <c r="AD247" s="443"/>
      <c r="AE247" s="443"/>
      <c r="AF247" s="443"/>
    </row>
    <row r="248" spans="1:32" hidden="1" outlineLevel="1">
      <c r="A248" s="526" t="s">
        <v>172</v>
      </c>
      <c r="B248" s="443">
        <v>15.5</v>
      </c>
      <c r="C248" s="443">
        <v>14.1</v>
      </c>
      <c r="D248" s="443">
        <v>15.4</v>
      </c>
      <c r="E248" s="443">
        <v>13.2</v>
      </c>
      <c r="F248" s="443">
        <v>16.3</v>
      </c>
      <c r="G248" s="443">
        <v>20.100000000000001</v>
      </c>
      <c r="H248" s="443">
        <v>29.9</v>
      </c>
      <c r="I248" s="443">
        <v>37.700000000000003</v>
      </c>
      <c r="J248" s="443">
        <v>49</v>
      </c>
      <c r="K248" s="443">
        <v>39.200000000000003</v>
      </c>
      <c r="L248" s="443">
        <v>45.4</v>
      </c>
      <c r="M248" s="443">
        <v>60.5</v>
      </c>
      <c r="N248" s="443"/>
      <c r="O248" s="443">
        <f>SUM(B248:D248)</f>
        <v>45</v>
      </c>
      <c r="P248" s="443">
        <f>SUM(E248:G248)</f>
        <v>49.6</v>
      </c>
      <c r="Q248" s="443">
        <f>SUM(H248:J248)</f>
        <v>116.6</v>
      </c>
      <c r="R248" s="443">
        <f>SUM(K248:M248)</f>
        <v>145.1</v>
      </c>
      <c r="S248" s="443">
        <f>SUM(B248:M248)</f>
        <v>356.29999999999995</v>
      </c>
      <c r="T248" s="443"/>
      <c r="U248" s="443"/>
      <c r="V248" s="443"/>
      <c r="W248" s="443"/>
      <c r="X248" s="443"/>
      <c r="Y248" s="443"/>
      <c r="Z248" s="443"/>
      <c r="AA248" s="443"/>
      <c r="AB248" s="443"/>
      <c r="AC248" s="443"/>
      <c r="AD248" s="443"/>
      <c r="AE248" s="443"/>
      <c r="AF248" s="443"/>
    </row>
    <row r="249" spans="1:32" s="481" customFormat="1" ht="13" hidden="1" customHeight="1" outlineLevel="1">
      <c r="A249" s="527" t="s">
        <v>196</v>
      </c>
      <c r="B249" s="482">
        <f t="shared" ref="B249:S249" si="148">SUM(B246:B248)</f>
        <v>75.930000000000007</v>
      </c>
      <c r="C249" s="482">
        <f t="shared" si="148"/>
        <v>68.47999999999999</v>
      </c>
      <c r="D249" s="482">
        <f t="shared" si="148"/>
        <v>81.75</v>
      </c>
      <c r="E249" s="482">
        <f t="shared" si="148"/>
        <v>78.680000000000007</v>
      </c>
      <c r="F249" s="482">
        <f t="shared" si="148"/>
        <v>85.44</v>
      </c>
      <c r="G249" s="482">
        <f t="shared" si="148"/>
        <v>101</v>
      </c>
      <c r="H249" s="482">
        <f t="shared" si="148"/>
        <v>117.31</v>
      </c>
      <c r="I249" s="482">
        <f t="shared" si="148"/>
        <v>140.22000000000003</v>
      </c>
      <c r="J249" s="482">
        <f t="shared" si="148"/>
        <v>165.34</v>
      </c>
      <c r="K249" s="482">
        <f t="shared" si="148"/>
        <v>157.44</v>
      </c>
      <c r="L249" s="482">
        <f t="shared" si="148"/>
        <v>182</v>
      </c>
      <c r="M249" s="482">
        <f t="shared" si="148"/>
        <v>237.48000000000002</v>
      </c>
      <c r="N249" s="482">
        <f t="shared" si="148"/>
        <v>0</v>
      </c>
      <c r="O249" s="482">
        <f t="shared" si="148"/>
        <v>226.16</v>
      </c>
      <c r="P249" s="482">
        <f t="shared" si="148"/>
        <v>265.12</v>
      </c>
      <c r="Q249" s="482">
        <f t="shared" si="148"/>
        <v>422.87</v>
      </c>
      <c r="R249" s="482">
        <f t="shared" si="148"/>
        <v>576.91999999999996</v>
      </c>
      <c r="S249" s="482">
        <f t="shared" si="148"/>
        <v>1491.07</v>
      </c>
      <c r="T249" s="482"/>
      <c r="U249" s="482"/>
      <c r="V249" s="482"/>
      <c r="W249" s="482"/>
      <c r="X249" s="482"/>
      <c r="Y249" s="482"/>
      <c r="Z249" s="482"/>
      <c r="AA249" s="482"/>
      <c r="AB249" s="482"/>
      <c r="AC249" s="482"/>
      <c r="AD249" s="482"/>
      <c r="AE249" s="482"/>
      <c r="AF249" s="482"/>
    </row>
    <row r="250" spans="1:32" ht="13" hidden="1" customHeight="1" outlineLevel="1">
      <c r="A250" s="532"/>
      <c r="B250" s="443"/>
      <c r="C250" s="443"/>
      <c r="D250" s="443"/>
      <c r="E250" s="443"/>
      <c r="F250" s="443"/>
      <c r="G250" s="443"/>
      <c r="H250" s="443"/>
      <c r="I250" s="443"/>
      <c r="J250" s="443"/>
      <c r="K250" s="443"/>
      <c r="L250" s="443"/>
      <c r="M250" s="443"/>
      <c r="N250" s="443"/>
      <c r="O250" s="443"/>
      <c r="P250" s="443"/>
      <c r="Q250" s="443"/>
      <c r="R250" s="443"/>
      <c r="S250" s="443"/>
      <c r="T250" s="443"/>
      <c r="U250" s="443"/>
      <c r="V250" s="443"/>
      <c r="W250" s="443"/>
      <c r="X250" s="443"/>
      <c r="Y250" s="443"/>
      <c r="Z250" s="443"/>
      <c r="AA250" s="443"/>
      <c r="AB250" s="443"/>
      <c r="AC250" s="443"/>
      <c r="AD250" s="443"/>
      <c r="AE250" s="443"/>
      <c r="AF250" s="443"/>
    </row>
    <row r="251" spans="1:32" ht="13" hidden="1" customHeight="1" outlineLevel="1">
      <c r="A251" s="528" t="s">
        <v>180</v>
      </c>
    </row>
    <row r="252" spans="1:32" hidden="1" outlineLevel="1">
      <c r="A252" s="526" t="s">
        <v>22</v>
      </c>
      <c r="B252" s="145">
        <f t="shared" ref="B252:M252" si="149">B246/B307-1</f>
        <v>-0.31656901041666663</v>
      </c>
      <c r="C252" s="145">
        <f t="shared" si="149"/>
        <v>8.8967971530247159E-3</v>
      </c>
      <c r="D252" s="145">
        <f t="shared" si="149"/>
        <v>-0.21160409556313997</v>
      </c>
      <c r="E252" s="145">
        <f t="shared" si="149"/>
        <v>-0.17078323041923948</v>
      </c>
      <c r="F252" s="145">
        <f t="shared" si="149"/>
        <v>-4.8132059079061595E-2</v>
      </c>
      <c r="G252" s="145">
        <f t="shared" si="149"/>
        <v>0.18028801196932864</v>
      </c>
      <c r="H252" s="145">
        <f t="shared" si="149"/>
        <v>0.16884512085944503</v>
      </c>
      <c r="I252" s="145">
        <f t="shared" si="149"/>
        <v>0.35492601948754965</v>
      </c>
      <c r="J252" s="145">
        <f t="shared" si="149"/>
        <v>0.56119177823873279</v>
      </c>
      <c r="K252" s="145">
        <f t="shared" si="149"/>
        <v>0.96970419847328215</v>
      </c>
      <c r="L252" s="145">
        <f t="shared" si="149"/>
        <v>1.0227221597300336</v>
      </c>
      <c r="M252" s="145">
        <f t="shared" si="149"/>
        <v>1.2587131367292228</v>
      </c>
      <c r="N252" s="145"/>
      <c r="O252" s="145">
        <f t="shared" ref="O252:S255" si="150">O246/O307-1</f>
        <v>-0.19789292095373057</v>
      </c>
      <c r="P252" s="145">
        <f t="shared" si="150"/>
        <v>-2.1094112192860393E-2</v>
      </c>
      <c r="Q252" s="145">
        <f t="shared" si="150"/>
        <v>0.35824710894704803</v>
      </c>
      <c r="R252" s="145">
        <f t="shared" si="150"/>
        <v>1.0956057435601414</v>
      </c>
      <c r="S252" s="145">
        <f t="shared" si="150"/>
        <v>0.27430381334671328</v>
      </c>
      <c r="T252" s="145"/>
      <c r="U252" s="145"/>
      <c r="V252" s="145"/>
      <c r="W252" s="145"/>
      <c r="X252" s="145"/>
      <c r="Y252" s="145"/>
      <c r="Z252" s="145"/>
    </row>
    <row r="253" spans="1:32" hidden="1" outlineLevel="1">
      <c r="A253" s="526" t="s">
        <v>25</v>
      </c>
      <c r="B253" s="145">
        <f t="shared" ref="B253:M253" si="151">B247/B308-1</f>
        <v>-0.18443166740380357</v>
      </c>
      <c r="C253" s="145">
        <f t="shared" si="151"/>
        <v>-2.1970705725699036E-2</v>
      </c>
      <c r="D253" s="145">
        <f t="shared" si="151"/>
        <v>-0.25199161425576522</v>
      </c>
      <c r="E253" s="145">
        <f t="shared" si="151"/>
        <v>-0.3928571428571429</v>
      </c>
      <c r="F253" s="145">
        <f t="shared" si="151"/>
        <v>-0.37292576419213974</v>
      </c>
      <c r="G253" s="145">
        <f t="shared" si="151"/>
        <v>-0.21733391992960849</v>
      </c>
      <c r="H253" s="145">
        <f t="shared" si="151"/>
        <v>-5.3869174861051805E-2</v>
      </c>
      <c r="I253" s="145">
        <f t="shared" si="151"/>
        <v>6.3590538968592458E-2</v>
      </c>
      <c r="J253" s="145">
        <f t="shared" si="151"/>
        <v>0.56264555193292964</v>
      </c>
      <c r="K253" s="145">
        <f t="shared" si="151"/>
        <v>0.75714285714285712</v>
      </c>
      <c r="L253" s="145">
        <f t="shared" si="151"/>
        <v>1.0965424337674001</v>
      </c>
      <c r="M253" s="145">
        <f t="shared" si="151"/>
        <v>1.540017211703959</v>
      </c>
      <c r="N253" s="145"/>
      <c r="O253" s="145">
        <f t="shared" si="150"/>
        <v>-0.17094990240728691</v>
      </c>
      <c r="P253" s="145">
        <f t="shared" si="150"/>
        <v>-0.32882039464208568</v>
      </c>
      <c r="Q253" s="145">
        <f t="shared" si="150"/>
        <v>0.17636234961075714</v>
      </c>
      <c r="R253" s="145">
        <f t="shared" si="150"/>
        <v>1.1484576812034644</v>
      </c>
      <c r="S253" s="145">
        <f t="shared" si="150"/>
        <v>0.20458540599169717</v>
      </c>
      <c r="T253" s="145"/>
      <c r="U253" s="145"/>
      <c r="V253" s="145"/>
      <c r="W253" s="145"/>
      <c r="X253" s="145"/>
      <c r="Y253" s="145"/>
      <c r="Z253" s="145"/>
    </row>
    <row r="254" spans="1:32" hidden="1" outlineLevel="1">
      <c r="A254" s="526" t="s">
        <v>172</v>
      </c>
      <c r="B254" s="145">
        <f t="shared" ref="B254:M254" si="152">B248/B309-1</f>
        <v>-0.48333333333333328</v>
      </c>
      <c r="C254" s="145">
        <f t="shared" si="152"/>
        <v>-0.22099447513812165</v>
      </c>
      <c r="D254" s="145">
        <f t="shared" si="152"/>
        <v>-0.41221374045801529</v>
      </c>
      <c r="E254" s="145">
        <f t="shared" si="152"/>
        <v>-0.45228215767634861</v>
      </c>
      <c r="F254" s="145">
        <f t="shared" si="152"/>
        <v>-0.31512605042016806</v>
      </c>
      <c r="G254" s="145">
        <f t="shared" si="152"/>
        <v>-0.15189873417721511</v>
      </c>
      <c r="H254" s="145">
        <f t="shared" si="152"/>
        <v>-9.9337748344371368E-3</v>
      </c>
      <c r="I254" s="145">
        <f t="shared" si="152"/>
        <v>0.13897280966767367</v>
      </c>
      <c r="J254" s="145">
        <f t="shared" si="152"/>
        <v>0.87739463601532552</v>
      </c>
      <c r="K254" s="145">
        <f t="shared" si="152"/>
        <v>0.61316872427983538</v>
      </c>
      <c r="L254" s="145">
        <f t="shared" si="152"/>
        <v>1.2364532019704431</v>
      </c>
      <c r="M254" s="145">
        <f t="shared" si="152"/>
        <v>1.8009259259259256</v>
      </c>
      <c r="N254" s="145"/>
      <c r="O254" s="145">
        <f t="shared" si="150"/>
        <v>-0.39434724091520856</v>
      </c>
      <c r="P254" s="145">
        <f t="shared" si="150"/>
        <v>-0.3072625698324023</v>
      </c>
      <c r="Q254" s="145">
        <f t="shared" si="150"/>
        <v>0.30425055928411626</v>
      </c>
      <c r="R254" s="145">
        <f t="shared" si="150"/>
        <v>1.1918429003021145</v>
      </c>
      <c r="S254" s="145">
        <f t="shared" si="150"/>
        <v>0.18175787728026527</v>
      </c>
      <c r="T254" s="145"/>
      <c r="U254" s="145"/>
      <c r="V254" s="145"/>
      <c r="W254" s="145"/>
      <c r="X254" s="145"/>
      <c r="Y254" s="145"/>
      <c r="Z254" s="145"/>
    </row>
    <row r="255" spans="1:32" s="481" customFormat="1" ht="13" hidden="1" customHeight="1" outlineLevel="1">
      <c r="A255" s="529" t="s">
        <v>196</v>
      </c>
      <c r="B255" s="147">
        <f t="shared" ref="B255:M255" si="153">B249/B310-1</f>
        <v>-0.33423936869793947</v>
      </c>
      <c r="C255" s="147">
        <f t="shared" si="153"/>
        <v>-5.4926856196522489E-2</v>
      </c>
      <c r="D255" s="147">
        <f t="shared" si="153"/>
        <v>-0.26734181753002328</v>
      </c>
      <c r="E255" s="147">
        <f t="shared" si="153"/>
        <v>-0.28106725146198819</v>
      </c>
      <c r="F255" s="147">
        <f t="shared" si="153"/>
        <v>-0.18043165467625888</v>
      </c>
      <c r="G255" s="147">
        <f t="shared" si="153"/>
        <v>1.1011011011010874E-2</v>
      </c>
      <c r="H255" s="147">
        <f t="shared" si="153"/>
        <v>7.1911549707602163E-2</v>
      </c>
      <c r="I255" s="147">
        <f t="shared" si="153"/>
        <v>0.22666433382906148</v>
      </c>
      <c r="J255" s="147">
        <f t="shared" si="153"/>
        <v>0.64353876739562632</v>
      </c>
      <c r="K255" s="147">
        <f t="shared" si="153"/>
        <v>0.81969486823855764</v>
      </c>
      <c r="L255" s="147">
        <f t="shared" si="153"/>
        <v>1.0914732245460814</v>
      </c>
      <c r="M255" s="147">
        <f t="shared" si="153"/>
        <v>1.4467339789820732</v>
      </c>
      <c r="N255" s="147"/>
      <c r="O255" s="147">
        <f t="shared" si="150"/>
        <v>-0.24130296219262637</v>
      </c>
      <c r="P255" s="147">
        <f t="shared" si="150"/>
        <v>-0.15456487770655958</v>
      </c>
      <c r="Q255" s="147">
        <f t="shared" si="150"/>
        <v>0.30374595344535216</v>
      </c>
      <c r="R255" s="147">
        <f t="shared" si="150"/>
        <v>1.1320029563932001</v>
      </c>
      <c r="S255" s="147">
        <f t="shared" si="150"/>
        <v>0.23573092000033125</v>
      </c>
      <c r="T255" s="147"/>
      <c r="U255" s="147"/>
      <c r="V255" s="147"/>
      <c r="W255" s="147"/>
      <c r="X255" s="147"/>
      <c r="Y255" s="147"/>
      <c r="Z255" s="147"/>
    </row>
    <row r="256" spans="1:32" ht="13" hidden="1" customHeight="1" outlineLevel="1">
      <c r="A256" s="532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spans="1:21" ht="13" hidden="1" customHeight="1" outlineLevel="1">
      <c r="A257" s="528" t="s">
        <v>179</v>
      </c>
    </row>
    <row r="258" spans="1:21" hidden="1" outlineLevel="1">
      <c r="A258" s="526" t="s">
        <v>22</v>
      </c>
      <c r="B258" s="145">
        <f t="shared" ref="B258:M258" si="154">B246/B441-1</f>
        <v>-0.97495227869243617</v>
      </c>
      <c r="C258" s="145">
        <f t="shared" si="154"/>
        <v>-0.9754134919160008</v>
      </c>
      <c r="D258" s="145">
        <f t="shared" si="154"/>
        <v>-0.97024766016952269</v>
      </c>
      <c r="E258" s="145">
        <f t="shared" si="154"/>
        <v>-0.96927180870601981</v>
      </c>
      <c r="F258" s="145">
        <f t="shared" si="154"/>
        <v>-0.96589529519433703</v>
      </c>
      <c r="G258" s="145">
        <f t="shared" si="154"/>
        <v>-0.96146448394404382</v>
      </c>
      <c r="H258" s="145">
        <f t="shared" si="154"/>
        <v>-0.96486109690650623</v>
      </c>
      <c r="I258" s="145">
        <f t="shared" si="154"/>
        <v>-0.96187647551595457</v>
      </c>
      <c r="J258" s="145">
        <f t="shared" si="154"/>
        <v>-0.9509020175303341</v>
      </c>
      <c r="K258" s="145">
        <f t="shared" si="154"/>
        <v>-0.95110613704730096</v>
      </c>
      <c r="L258" s="145">
        <f t="shared" si="154"/>
        <v>-0.94500480160502054</v>
      </c>
      <c r="M258" s="145">
        <f t="shared" si="154"/>
        <v>-0.93377353299532284</v>
      </c>
      <c r="N258" s="145"/>
      <c r="O258" s="145">
        <f t="shared" ref="O258:S261" si="155">O246/O441-1</f>
        <v>-0.97354485527802392</v>
      </c>
      <c r="P258" s="145">
        <f t="shared" si="155"/>
        <v>-0.96555907377314909</v>
      </c>
      <c r="Q258" s="145">
        <f t="shared" si="155"/>
        <v>-0.95952583048584961</v>
      </c>
      <c r="R258" s="145">
        <f t="shared" si="155"/>
        <v>-0.9431047047392177</v>
      </c>
      <c r="S258" s="145">
        <f t="shared" si="155"/>
        <v>-0.96024764149212949</v>
      </c>
      <c r="T258" s="145"/>
      <c r="U258" s="145"/>
    </row>
    <row r="259" spans="1:21" hidden="1" outlineLevel="1">
      <c r="A259" s="526" t="s">
        <v>25</v>
      </c>
      <c r="B259" s="145">
        <f t="shared" ref="B259:M259" si="156">B247/B442-1</f>
        <v>-0.98761268826161142</v>
      </c>
      <c r="C259" s="145">
        <f t="shared" si="156"/>
        <v>-0.99009834253398854</v>
      </c>
      <c r="D259" s="145">
        <f t="shared" si="156"/>
        <v>-0.98749290166083614</v>
      </c>
      <c r="E259" s="145">
        <f t="shared" si="156"/>
        <v>-0.98994992349422728</v>
      </c>
      <c r="F259" s="145">
        <f t="shared" si="156"/>
        <v>-0.99002666962995889</v>
      </c>
      <c r="G259" s="145">
        <f t="shared" si="156"/>
        <v>-0.98778981180249559</v>
      </c>
      <c r="H259" s="145">
        <f t="shared" si="156"/>
        <v>-0.98531607269638843</v>
      </c>
      <c r="I259" s="145">
        <f t="shared" si="156"/>
        <v>-0.9828665300819508</v>
      </c>
      <c r="J259" s="145">
        <f t="shared" si="156"/>
        <v>-0.9763649172243748</v>
      </c>
      <c r="K259" s="145">
        <f t="shared" si="156"/>
        <v>-0.97490978919158455</v>
      </c>
      <c r="L259" s="145">
        <f t="shared" si="156"/>
        <v>-0.96684867117772777</v>
      </c>
      <c r="M259" s="145">
        <f t="shared" si="156"/>
        <v>-0.95980881441789845</v>
      </c>
      <c r="N259" s="145"/>
      <c r="O259" s="145">
        <f t="shared" si="155"/>
        <v>-0.98841222207065882</v>
      </c>
      <c r="P259" s="145">
        <f t="shared" si="155"/>
        <v>-0.98924934596342928</v>
      </c>
      <c r="Q259" s="145">
        <f t="shared" si="155"/>
        <v>-0.98164349372177007</v>
      </c>
      <c r="R259" s="145">
        <f t="shared" si="155"/>
        <v>-0.96710934937505666</v>
      </c>
      <c r="S259" s="145">
        <f t="shared" si="155"/>
        <v>-0.98165842424297645</v>
      </c>
      <c r="T259" s="145"/>
      <c r="U259" s="145"/>
    </row>
    <row r="260" spans="1:21" hidden="1" outlineLevel="1">
      <c r="A260" s="526" t="s">
        <v>172</v>
      </c>
      <c r="B260" s="145">
        <f t="shared" ref="B260:M260" si="157">B248/B443-1</f>
        <v>-0.98936899862825789</v>
      </c>
      <c r="C260" s="145">
        <f t="shared" si="157"/>
        <v>-0.98961478971790529</v>
      </c>
      <c r="D260" s="145">
        <f t="shared" si="157"/>
        <v>-0.98956144512980415</v>
      </c>
      <c r="E260" s="145">
        <f t="shared" si="157"/>
        <v>-0.9910629654705484</v>
      </c>
      <c r="F260" s="145">
        <f t="shared" si="157"/>
        <v>-0.9885734314756397</v>
      </c>
      <c r="G260" s="145">
        <f t="shared" si="157"/>
        <v>-0.98546637744034704</v>
      </c>
      <c r="H260" s="145">
        <f t="shared" si="157"/>
        <v>-0.97924619976400362</v>
      </c>
      <c r="I260" s="145">
        <f t="shared" si="157"/>
        <v>-0.97536591740721379</v>
      </c>
      <c r="J260" s="145">
        <f t="shared" si="157"/>
        <v>-0.96394142320994924</v>
      </c>
      <c r="K260" s="145">
        <f t="shared" si="157"/>
        <v>-0.97111487731191515</v>
      </c>
      <c r="L260" s="145">
        <f t="shared" si="157"/>
        <v>-0.96681771670808359</v>
      </c>
      <c r="M260" s="145">
        <f t="shared" si="157"/>
        <v>-0.95859567478784558</v>
      </c>
      <c r="N260" s="145"/>
      <c r="O260" s="145">
        <f t="shared" si="155"/>
        <v>-0.98951293404800744</v>
      </c>
      <c r="P260" s="145">
        <f t="shared" si="155"/>
        <v>-0.98842878805552314</v>
      </c>
      <c r="Q260" s="145">
        <f t="shared" si="155"/>
        <v>-0.97307159353348727</v>
      </c>
      <c r="R260" s="145">
        <f t="shared" si="155"/>
        <v>-0.96534097694971932</v>
      </c>
      <c r="S260" s="145">
        <f t="shared" si="155"/>
        <v>-0.9791564291564292</v>
      </c>
      <c r="T260" s="145"/>
      <c r="U260" s="145"/>
    </row>
    <row r="261" spans="1:21" s="481" customFormat="1" ht="13" hidden="1" customHeight="1" outlineLevel="1">
      <c r="A261" s="529" t="s">
        <v>196</v>
      </c>
      <c r="B261" s="147">
        <f t="shared" ref="B261:M261" si="158">B249/B444-1</f>
        <v>-0.98357567131442214</v>
      </c>
      <c r="C261" s="147">
        <f t="shared" si="158"/>
        <v>-0.9846305427564026</v>
      </c>
      <c r="D261" s="147">
        <f t="shared" si="158"/>
        <v>-0.98196220336926188</v>
      </c>
      <c r="E261" s="147">
        <f t="shared" si="158"/>
        <v>-0.98280402754677643</v>
      </c>
      <c r="F261" s="147">
        <f t="shared" si="158"/>
        <v>-0.98089688926053697</v>
      </c>
      <c r="G261" s="147">
        <f t="shared" si="158"/>
        <v>-0.97744372656436684</v>
      </c>
      <c r="H261" s="147">
        <f t="shared" si="158"/>
        <v>-0.97558869309716245</v>
      </c>
      <c r="I261" s="147">
        <f t="shared" si="158"/>
        <v>-0.97251132618834313</v>
      </c>
      <c r="J261" s="147">
        <f t="shared" si="158"/>
        <v>-0.96296661306001408</v>
      </c>
      <c r="K261" s="147">
        <f t="shared" si="158"/>
        <v>-0.96475905030296383</v>
      </c>
      <c r="L261" s="147">
        <f t="shared" si="158"/>
        <v>-0.95874381723964397</v>
      </c>
      <c r="M261" s="147">
        <f t="shared" si="158"/>
        <v>-0.94958967849303955</v>
      </c>
      <c r="N261" s="147"/>
      <c r="O261" s="147">
        <f t="shared" si="155"/>
        <v>-0.98338373463348117</v>
      </c>
      <c r="P261" s="147">
        <f t="shared" si="155"/>
        <v>-0.98039886882427962</v>
      </c>
      <c r="Q261" s="147">
        <f t="shared" si="155"/>
        <v>-0.97057515765917779</v>
      </c>
      <c r="R261" s="147">
        <f t="shared" si="155"/>
        <v>-0.95754797853999252</v>
      </c>
      <c r="S261" s="147">
        <f t="shared" si="155"/>
        <v>-0.97293767445169599</v>
      </c>
      <c r="T261" s="147"/>
      <c r="U261" s="147"/>
    </row>
    <row r="262" spans="1:21" ht="13" hidden="1" customHeight="1" outlineLevel="1">
      <c r="A262" s="532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</row>
    <row r="263" spans="1:21" ht="13" hidden="1" customHeight="1" outlineLevel="1">
      <c r="A263" s="532" t="s">
        <v>148</v>
      </c>
    </row>
    <row r="264" spans="1:21" ht="13" hidden="1" customHeight="1" outlineLevel="1">
      <c r="A264" s="533" t="s">
        <v>155</v>
      </c>
    </row>
    <row r="265" spans="1:21" hidden="1" outlineLevel="1">
      <c r="A265" s="526" t="s">
        <v>22</v>
      </c>
      <c r="B265" s="443">
        <v>10.02</v>
      </c>
      <c r="C265" s="443">
        <v>11.27</v>
      </c>
      <c r="D265" s="443">
        <v>6.3</v>
      </c>
      <c r="E265" s="443">
        <v>4.87</v>
      </c>
      <c r="F265" s="443">
        <v>5.18</v>
      </c>
      <c r="G265" s="443">
        <v>7.44</v>
      </c>
      <c r="H265" s="443">
        <v>11.86</v>
      </c>
      <c r="I265" s="443">
        <v>13.62</v>
      </c>
      <c r="J265" s="443">
        <v>19.45</v>
      </c>
      <c r="K265" s="443">
        <v>20.32</v>
      </c>
      <c r="L265" s="443">
        <v>21.49</v>
      </c>
      <c r="M265" s="443">
        <v>25.42</v>
      </c>
      <c r="N265" s="443"/>
      <c r="O265" s="443">
        <f>SUM(B265:D265)</f>
        <v>27.59</v>
      </c>
      <c r="P265" s="443">
        <f>SUM(E265:G265)</f>
        <v>17.490000000000002</v>
      </c>
      <c r="Q265" s="443">
        <f>SUM(H265:J265)</f>
        <v>44.929999999999993</v>
      </c>
      <c r="R265" s="443">
        <f>SUM(K265:M265)</f>
        <v>67.23</v>
      </c>
      <c r="S265" s="443">
        <f>SUM(B265:M265)</f>
        <v>157.24</v>
      </c>
    </row>
    <row r="266" spans="1:21" hidden="1" outlineLevel="1">
      <c r="A266" s="526" t="s">
        <v>25</v>
      </c>
      <c r="B266" s="443">
        <v>37.54</v>
      </c>
      <c r="C266" s="443">
        <v>37.69</v>
      </c>
      <c r="D266" s="443">
        <v>11.63</v>
      </c>
      <c r="E266" s="443">
        <v>0.38</v>
      </c>
      <c r="F266" s="443">
        <v>0.17</v>
      </c>
      <c r="G266" s="443">
        <v>0.12</v>
      </c>
      <c r="H266" s="443">
        <v>0.38</v>
      </c>
      <c r="I266" s="443">
        <v>1.01</v>
      </c>
      <c r="J266" s="443">
        <v>7.74</v>
      </c>
      <c r="K266" s="443">
        <v>13.53</v>
      </c>
      <c r="L266" s="443">
        <v>19.420000000000002</v>
      </c>
      <c r="M266" s="443">
        <v>31.01</v>
      </c>
      <c r="N266" s="443"/>
      <c r="O266" s="443">
        <f>SUM(B266:D266)</f>
        <v>86.859999999999985</v>
      </c>
      <c r="P266" s="443">
        <f>SUM(E266:G266)</f>
        <v>0.67</v>
      </c>
      <c r="Q266" s="443">
        <f>SUM(H266:J266)</f>
        <v>9.1300000000000008</v>
      </c>
      <c r="R266" s="443">
        <f>SUM(K266:M266)</f>
        <v>63.960000000000008</v>
      </c>
      <c r="S266" s="443">
        <f>SUM(B266:M266)</f>
        <v>160.61999999999998</v>
      </c>
    </row>
    <row r="267" spans="1:21" hidden="1" outlineLevel="1">
      <c r="A267" s="526" t="s">
        <v>172</v>
      </c>
      <c r="B267" s="443">
        <v>78.900000000000006</v>
      </c>
      <c r="C267" s="443">
        <v>79.099999999999994</v>
      </c>
      <c r="D267" s="443">
        <v>31.9</v>
      </c>
      <c r="E267" s="443">
        <v>12.4</v>
      </c>
      <c r="F267" s="443">
        <v>11</v>
      </c>
      <c r="G267" s="443">
        <v>13.7</v>
      </c>
      <c r="H267" s="443">
        <v>6.3</v>
      </c>
      <c r="I267" s="443">
        <v>16.100000000000001</v>
      </c>
      <c r="J267" s="443">
        <v>38.6</v>
      </c>
      <c r="K267" s="443">
        <v>41.4</v>
      </c>
      <c r="L267" s="443">
        <v>47.2</v>
      </c>
      <c r="M267" s="443">
        <v>63.1</v>
      </c>
      <c r="N267" s="443"/>
      <c r="O267" s="443">
        <f>SUM(B267:D267)</f>
        <v>189.9</v>
      </c>
      <c r="P267" s="443">
        <f>SUM(E267:G267)</f>
        <v>37.099999999999994</v>
      </c>
      <c r="Q267" s="443">
        <f>SUM(H267:J267)</f>
        <v>61</v>
      </c>
      <c r="R267" s="443">
        <f>SUM(K267:M267)</f>
        <v>151.69999999999999</v>
      </c>
      <c r="S267" s="443">
        <f>SUM(B267:M267)</f>
        <v>439.7</v>
      </c>
    </row>
    <row r="268" spans="1:21" s="481" customFormat="1" ht="13" hidden="1" customHeight="1" outlineLevel="1">
      <c r="A268" s="527" t="s">
        <v>196</v>
      </c>
      <c r="B268" s="482">
        <f t="shared" ref="B268:S268" si="159">SUM(B265:B267)</f>
        <v>126.46000000000001</v>
      </c>
      <c r="C268" s="482">
        <f t="shared" si="159"/>
        <v>128.06</v>
      </c>
      <c r="D268" s="482">
        <f t="shared" si="159"/>
        <v>49.83</v>
      </c>
      <c r="E268" s="482">
        <f t="shared" si="159"/>
        <v>17.649999999999999</v>
      </c>
      <c r="F268" s="482">
        <f t="shared" si="159"/>
        <v>16.350000000000001</v>
      </c>
      <c r="G268" s="482">
        <f t="shared" si="159"/>
        <v>21.259999999999998</v>
      </c>
      <c r="H268" s="482">
        <f t="shared" si="159"/>
        <v>18.54</v>
      </c>
      <c r="I268" s="482">
        <f t="shared" si="159"/>
        <v>30.73</v>
      </c>
      <c r="J268" s="482">
        <f t="shared" si="159"/>
        <v>65.789999999999992</v>
      </c>
      <c r="K268" s="482">
        <f t="shared" si="159"/>
        <v>75.25</v>
      </c>
      <c r="L268" s="482">
        <f t="shared" si="159"/>
        <v>88.11</v>
      </c>
      <c r="M268" s="482">
        <f t="shared" si="159"/>
        <v>119.53</v>
      </c>
      <c r="N268" s="482">
        <f t="shared" si="159"/>
        <v>0</v>
      </c>
      <c r="O268" s="482">
        <f t="shared" si="159"/>
        <v>304.35000000000002</v>
      </c>
      <c r="P268" s="482">
        <f t="shared" si="159"/>
        <v>55.26</v>
      </c>
      <c r="Q268" s="482">
        <f t="shared" si="159"/>
        <v>115.06</v>
      </c>
      <c r="R268" s="482">
        <f t="shared" si="159"/>
        <v>282.89</v>
      </c>
      <c r="S268" s="482">
        <f t="shared" si="159"/>
        <v>757.56</v>
      </c>
    </row>
    <row r="269" spans="1:21" ht="13" hidden="1" customHeight="1" outlineLevel="1">
      <c r="A269" s="532"/>
    </row>
    <row r="270" spans="1:21" ht="13" hidden="1" customHeight="1" outlineLevel="1">
      <c r="A270" s="528" t="s">
        <v>180</v>
      </c>
    </row>
    <row r="271" spans="1:21" hidden="1" outlineLevel="1">
      <c r="A271" s="526" t="s">
        <v>22</v>
      </c>
      <c r="B271" s="145">
        <f t="shared" ref="B271:M271" si="160">B265/B332-1</f>
        <v>-0.1376936316695353</v>
      </c>
      <c r="C271" s="145">
        <f t="shared" si="160"/>
        <v>0.17273673257023936</v>
      </c>
      <c r="D271" s="145">
        <f t="shared" si="160"/>
        <v>-0.62677725118483418</v>
      </c>
      <c r="E271" s="145">
        <f t="shared" si="160"/>
        <v>-0.72376630743051606</v>
      </c>
      <c r="F271" s="145">
        <f t="shared" si="160"/>
        <v>-0.74545454545454548</v>
      </c>
      <c r="G271" s="145">
        <f t="shared" si="160"/>
        <v>-0.62443210499747592</v>
      </c>
      <c r="H271" s="145">
        <f t="shared" si="160"/>
        <v>-0.32498577120091066</v>
      </c>
      <c r="I271" s="145">
        <f t="shared" si="160"/>
        <v>0.76424870466321249</v>
      </c>
      <c r="J271" s="145">
        <f t="shared" si="160"/>
        <v>2.7047619047619045</v>
      </c>
      <c r="K271" s="145">
        <f t="shared" si="160"/>
        <v>4.6288088642659284</v>
      </c>
      <c r="L271" s="145">
        <f t="shared" si="160"/>
        <v>2.6609880749574102</v>
      </c>
      <c r="M271" s="145">
        <f t="shared" si="160"/>
        <v>1.8755656108597289</v>
      </c>
      <c r="N271" s="145"/>
      <c r="O271" s="145">
        <f t="shared" ref="O271:S274" si="161">O265/O332-1</f>
        <v>-0.27604303332458668</v>
      </c>
      <c r="P271" s="145">
        <f t="shared" si="161"/>
        <v>-0.6973524831285689</v>
      </c>
      <c r="Q271" s="145">
        <f t="shared" si="161"/>
        <v>0.47118533071381785</v>
      </c>
      <c r="R271" s="145">
        <f t="shared" si="161"/>
        <v>2.6697598253275112</v>
      </c>
      <c r="S271" s="145">
        <f t="shared" si="161"/>
        <v>8.6211660679745616E-2</v>
      </c>
      <c r="T271" s="145"/>
    </row>
    <row r="272" spans="1:21" hidden="1" outlineLevel="1">
      <c r="A272" s="526" t="s">
        <v>25</v>
      </c>
      <c r="B272" s="145">
        <f t="shared" ref="B272:M272" si="162">B266/B333-1</f>
        <v>1.1711972238288029</v>
      </c>
      <c r="C272" s="145">
        <f t="shared" si="162"/>
        <v>2.757726819541376</v>
      </c>
      <c r="D272" s="145">
        <f t="shared" si="162"/>
        <v>-0.33275960986804354</v>
      </c>
      <c r="E272" s="145">
        <f t="shared" si="162"/>
        <v>-0.98105682951146556</v>
      </c>
      <c r="F272" s="145">
        <f t="shared" si="162"/>
        <v>-0.99445531637312456</v>
      </c>
      <c r="G272" s="145">
        <f t="shared" si="162"/>
        <v>-0.99637023593466423</v>
      </c>
      <c r="H272" s="145">
        <f t="shared" si="162"/>
        <v>-0.99035777721390506</v>
      </c>
      <c r="I272" s="145">
        <f t="shared" si="162"/>
        <v>-0.92971468336812801</v>
      </c>
      <c r="J272" s="145">
        <f t="shared" si="162"/>
        <v>-0.6262675036214389</v>
      </c>
      <c r="K272" s="145">
        <f t="shared" si="162"/>
        <v>-0.28184713375796178</v>
      </c>
      <c r="L272" s="145">
        <f t="shared" si="162"/>
        <v>-8.2230623818525417E-2</v>
      </c>
      <c r="M272" s="145">
        <f t="shared" si="162"/>
        <v>-1.5242934264845909E-2</v>
      </c>
      <c r="N272" s="145"/>
      <c r="O272" s="145">
        <f t="shared" si="161"/>
        <v>0.94100558659217848</v>
      </c>
      <c r="P272" s="145">
        <f t="shared" si="161"/>
        <v>-0.99200286464550014</v>
      </c>
      <c r="Q272" s="145">
        <f t="shared" si="161"/>
        <v>-0.87743321251174655</v>
      </c>
      <c r="R272" s="145">
        <f t="shared" si="161"/>
        <v>-0.10532941670163642</v>
      </c>
      <c r="S272" s="145">
        <f t="shared" si="161"/>
        <v>-0.41488470365378316</v>
      </c>
      <c r="T272" s="145"/>
    </row>
    <row r="273" spans="1:20" hidden="1" outlineLevel="1">
      <c r="A273" s="526" t="s">
        <v>172</v>
      </c>
      <c r="B273" s="145">
        <f t="shared" ref="B273:M273" si="163">B267/B334-1</f>
        <v>0.91970802919708028</v>
      </c>
      <c r="C273" s="145">
        <f t="shared" si="163"/>
        <v>2.0423076923076922</v>
      </c>
      <c r="D273" s="145">
        <f t="shared" si="163"/>
        <v>-0.52880354505169869</v>
      </c>
      <c r="E273" s="145">
        <f t="shared" si="163"/>
        <v>-0.87487386478304741</v>
      </c>
      <c r="F273" s="145">
        <f t="shared" si="163"/>
        <v>-0.89757914338919931</v>
      </c>
      <c r="G273" s="145">
        <f t="shared" si="163"/>
        <v>-0.86327345309381243</v>
      </c>
      <c r="H273" s="145">
        <f t="shared" si="163"/>
        <v>-0.94865525672371642</v>
      </c>
      <c r="I273" s="145">
        <f t="shared" si="163"/>
        <v>-0.40590405904059035</v>
      </c>
      <c r="J273" s="145">
        <f t="shared" si="163"/>
        <v>-0.24313725490196081</v>
      </c>
      <c r="K273" s="145">
        <f t="shared" si="163"/>
        <v>1.0597014925373132</v>
      </c>
      <c r="L273" s="145">
        <f t="shared" si="163"/>
        <v>0.77443609022556381</v>
      </c>
      <c r="M273" s="145">
        <f t="shared" si="163"/>
        <v>5.3422370617696169E-2</v>
      </c>
      <c r="N273" s="145"/>
      <c r="O273" s="145">
        <f t="shared" si="161"/>
        <v>0.40875370919881293</v>
      </c>
      <c r="P273" s="145">
        <f t="shared" si="161"/>
        <v>-0.87903488751222691</v>
      </c>
      <c r="Q273" s="145">
        <f t="shared" si="161"/>
        <v>-0.69621513944223112</v>
      </c>
      <c r="R273" s="145">
        <f t="shared" si="161"/>
        <v>0.42307692307692313</v>
      </c>
      <c r="S273" s="145">
        <f t="shared" si="161"/>
        <v>-0.41287221257844853</v>
      </c>
      <c r="T273" s="145"/>
    </row>
    <row r="274" spans="1:20" s="481" customFormat="1" ht="13" hidden="1" customHeight="1" outlineLevel="1">
      <c r="A274" s="529" t="s">
        <v>196</v>
      </c>
      <c r="B274" s="147">
        <f t="shared" ref="B274:M274" si="164">B268/B335-1</f>
        <v>0.80631338380231421</v>
      </c>
      <c r="C274" s="147">
        <f t="shared" si="164"/>
        <v>1.8058720420683612</v>
      </c>
      <c r="D274" s="147">
        <f t="shared" si="164"/>
        <v>-0.51151847858053134</v>
      </c>
      <c r="E274" s="147">
        <f t="shared" si="164"/>
        <v>-0.87097010015351994</v>
      </c>
      <c r="F274" s="147">
        <f t="shared" si="164"/>
        <v>-0.89678681901395119</v>
      </c>
      <c r="G274" s="147">
        <f t="shared" si="164"/>
        <v>-0.86110929640033973</v>
      </c>
      <c r="H274" s="147">
        <f t="shared" si="164"/>
        <v>-0.89681656277827249</v>
      </c>
      <c r="I274" s="147">
        <f t="shared" si="164"/>
        <v>-0.37527952835942258</v>
      </c>
      <c r="J274" s="147">
        <f t="shared" si="164"/>
        <v>-0.14514033264033288</v>
      </c>
      <c r="K274" s="147">
        <f t="shared" si="164"/>
        <v>0.76850763807285549</v>
      </c>
      <c r="L274" s="147">
        <f t="shared" si="164"/>
        <v>0.6429237367145253</v>
      </c>
      <c r="M274" s="147">
        <f t="shared" si="164"/>
        <v>0.19255711862715774</v>
      </c>
      <c r="N274" s="147"/>
      <c r="O274" s="147">
        <f t="shared" si="161"/>
        <v>0.39828172378939652</v>
      </c>
      <c r="P274" s="147">
        <f t="shared" si="161"/>
        <v>-0.87672608026412657</v>
      </c>
      <c r="Q274" s="147">
        <f t="shared" si="161"/>
        <v>-0.62377791583559494</v>
      </c>
      <c r="R274" s="147">
        <f t="shared" si="161"/>
        <v>0.44030344687134049</v>
      </c>
      <c r="S274" s="147">
        <f t="shared" si="161"/>
        <v>-0.35149849765017094</v>
      </c>
      <c r="T274" s="147"/>
    </row>
    <row r="275" spans="1:20" hidden="1" outlineLevel="1">
      <c r="A275" s="526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</row>
    <row r="276" spans="1:20" ht="13" hidden="1" customHeight="1" outlineLevel="1">
      <c r="A276" s="528" t="s">
        <v>179</v>
      </c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</row>
    <row r="277" spans="1:20" hidden="1" outlineLevel="1">
      <c r="A277" s="526" t="s">
        <v>22</v>
      </c>
      <c r="B277" s="145">
        <f t="shared" ref="B277:M277" si="165">B265/B458-1</f>
        <v>-0.95337583174352059</v>
      </c>
      <c r="C277" s="145">
        <f t="shared" si="165"/>
        <v>-0.95092959463578175</v>
      </c>
      <c r="D277" s="145">
        <f t="shared" si="165"/>
        <v>-0.97216576831315715</v>
      </c>
      <c r="E277" s="145">
        <f t="shared" si="165"/>
        <v>-0.97915596644410208</v>
      </c>
      <c r="F277" s="145">
        <f t="shared" si="165"/>
        <v>-0.97783672770836905</v>
      </c>
      <c r="G277" s="145">
        <f t="shared" si="165"/>
        <v>-0.96713055003313453</v>
      </c>
      <c r="H277" s="145">
        <f t="shared" si="165"/>
        <v>-0.95271509449007252</v>
      </c>
      <c r="I277" s="145">
        <f t="shared" si="165"/>
        <v>-0.93789612876749806</v>
      </c>
      <c r="J277" s="145">
        <f t="shared" si="165"/>
        <v>-0.87855894105894106</v>
      </c>
      <c r="K277" s="145">
        <f t="shared" si="165"/>
        <v>-0.87485372913715587</v>
      </c>
      <c r="L277" s="145">
        <f t="shared" si="165"/>
        <v>-0.86964697318937279</v>
      </c>
      <c r="M277" s="145">
        <f t="shared" si="165"/>
        <v>-0.83984375</v>
      </c>
      <c r="N277" s="145"/>
      <c r="O277" s="145">
        <f t="shared" ref="O277:S280" si="166">O265/O458-1</f>
        <v>-0.95887736242771116</v>
      </c>
      <c r="P277" s="145">
        <f t="shared" si="166"/>
        <v>-0.97478773550907438</v>
      </c>
      <c r="Q277" s="145">
        <f t="shared" si="166"/>
        <v>-0.92871535325009125</v>
      </c>
      <c r="R277" s="145">
        <f t="shared" si="166"/>
        <v>-0.86165243337791952</v>
      </c>
      <c r="S277" s="145">
        <f t="shared" si="166"/>
        <v>-0.9366190086542221</v>
      </c>
      <c r="T277" s="145"/>
    </row>
    <row r="278" spans="1:20" hidden="1" outlineLevel="1">
      <c r="A278" s="526" t="s">
        <v>25</v>
      </c>
      <c r="B278" s="145">
        <f t="shared" ref="B278:M278" si="167">B266/B459-1</f>
        <v>-0.88818895292558342</v>
      </c>
      <c r="C278" s="145">
        <f t="shared" si="167"/>
        <v>-0.88465540457828373</v>
      </c>
      <c r="D278" s="145">
        <f t="shared" si="167"/>
        <v>-0.966179079303225</v>
      </c>
      <c r="E278" s="145">
        <f t="shared" si="167"/>
        <v>-0.99890515155007487</v>
      </c>
      <c r="F278" s="145">
        <f t="shared" si="167"/>
        <v>-0.99952878565290904</v>
      </c>
      <c r="G278" s="145">
        <f t="shared" si="167"/>
        <v>-0.99966152370744366</v>
      </c>
      <c r="H278" s="145">
        <f t="shared" si="167"/>
        <v>-0.99897166671176896</v>
      </c>
      <c r="I278" s="145">
        <f t="shared" si="167"/>
        <v>-0.99670763112429506</v>
      </c>
      <c r="J278" s="145">
        <f t="shared" si="167"/>
        <v>-0.96694991246423845</v>
      </c>
      <c r="K278" s="145">
        <f t="shared" si="167"/>
        <v>-0.94654075625271639</v>
      </c>
      <c r="L278" s="145">
        <f t="shared" si="167"/>
        <v>-0.91974874994834499</v>
      </c>
      <c r="M278" s="145">
        <f t="shared" si="167"/>
        <v>-0.86833948966161423</v>
      </c>
      <c r="N278" s="145"/>
      <c r="O278" s="145">
        <f t="shared" si="166"/>
        <v>-0.91369022481679296</v>
      </c>
      <c r="P278" s="145">
        <f t="shared" si="166"/>
        <v>-0.99936934053728421</v>
      </c>
      <c r="Q278" s="145">
        <f t="shared" si="166"/>
        <v>-0.98997243242649557</v>
      </c>
      <c r="R278" s="145">
        <f t="shared" si="166"/>
        <v>-0.91245671425247399</v>
      </c>
      <c r="S278" s="145">
        <f t="shared" si="166"/>
        <v>-0.95670450731901924</v>
      </c>
      <c r="T278" s="145"/>
    </row>
    <row r="279" spans="1:20" hidden="1" outlineLevel="1">
      <c r="A279" s="526" t="s">
        <v>172</v>
      </c>
      <c r="B279" s="145">
        <f t="shared" ref="B279:M279" si="168">B267/B460-1</f>
        <v>-0.83269720101781175</v>
      </c>
      <c r="C279" s="145">
        <f t="shared" si="168"/>
        <v>-0.83385843310228946</v>
      </c>
      <c r="D279" s="145">
        <f t="shared" si="168"/>
        <v>-0.93201193520886616</v>
      </c>
      <c r="E279" s="145">
        <f t="shared" si="168"/>
        <v>-0.9752692461108895</v>
      </c>
      <c r="F279" s="145">
        <f t="shared" si="168"/>
        <v>-0.97778675282714056</v>
      </c>
      <c r="G279" s="145">
        <f t="shared" si="168"/>
        <v>-0.9719836400817996</v>
      </c>
      <c r="H279" s="145">
        <f t="shared" si="168"/>
        <v>-0.98784018529241457</v>
      </c>
      <c r="I279" s="145">
        <f t="shared" si="168"/>
        <v>-0.96615513979398782</v>
      </c>
      <c r="J279" s="145">
        <f t="shared" si="168"/>
        <v>-0.89080622347949079</v>
      </c>
      <c r="K279" s="145">
        <f t="shared" si="168"/>
        <v>-0.88965884861407252</v>
      </c>
      <c r="L279" s="145">
        <f t="shared" si="168"/>
        <v>-0.86662899124046344</v>
      </c>
      <c r="M279" s="145">
        <f t="shared" si="168"/>
        <v>-0.83399105498553017</v>
      </c>
      <c r="N279" s="145"/>
      <c r="O279" s="145">
        <f t="shared" si="166"/>
        <v>-0.86597501587973746</v>
      </c>
      <c r="P279" s="145">
        <f t="shared" si="166"/>
        <v>-0.97502692514808831</v>
      </c>
      <c r="Q279" s="145">
        <f t="shared" si="166"/>
        <v>-0.95472426334149785</v>
      </c>
      <c r="R279" s="145">
        <f t="shared" si="166"/>
        <v>-0.86323476379372521</v>
      </c>
      <c r="S279" s="145">
        <f t="shared" si="166"/>
        <v>-0.91795111028176901</v>
      </c>
      <c r="T279" s="145"/>
    </row>
    <row r="280" spans="1:20" s="481" customFormat="1" ht="13" hidden="1" customHeight="1" outlineLevel="1">
      <c r="A280" s="529" t="s">
        <v>196</v>
      </c>
      <c r="B280" s="147">
        <f t="shared" ref="B280:M280" si="169">B268/B461-1</f>
        <v>-0.87629309712351611</v>
      </c>
      <c r="C280" s="147">
        <f t="shared" si="169"/>
        <v>-0.87597454795502305</v>
      </c>
      <c r="D280" s="147">
        <f t="shared" si="169"/>
        <v>-0.95205934135711612</v>
      </c>
      <c r="E280" s="147">
        <f t="shared" si="169"/>
        <v>-0.98368942446309093</v>
      </c>
      <c r="F280" s="147">
        <f t="shared" si="169"/>
        <v>-0.98499573273132723</v>
      </c>
      <c r="G280" s="147">
        <f t="shared" si="169"/>
        <v>-0.98012861255467898</v>
      </c>
      <c r="H280" s="147">
        <f t="shared" si="169"/>
        <v>-0.98371469981114679</v>
      </c>
      <c r="I280" s="147">
        <f t="shared" si="169"/>
        <v>-0.9693246022080696</v>
      </c>
      <c r="J280" s="147">
        <f t="shared" si="169"/>
        <v>-0.91202781306411718</v>
      </c>
      <c r="K280" s="147">
        <f t="shared" si="169"/>
        <v>-0.90482634760832725</v>
      </c>
      <c r="L280" s="147">
        <f t="shared" si="169"/>
        <v>-0.884180085441998</v>
      </c>
      <c r="M280" s="147">
        <f t="shared" si="169"/>
        <v>-0.84563827726480278</v>
      </c>
      <c r="N280" s="147"/>
      <c r="O280" s="147">
        <f t="shared" si="166"/>
        <v>-0.90163839059917039</v>
      </c>
      <c r="P280" s="147">
        <f t="shared" si="166"/>
        <v>-0.98295333606853219</v>
      </c>
      <c r="Q280" s="147">
        <f t="shared" si="166"/>
        <v>-0.96016038336888176</v>
      </c>
      <c r="R280" s="147">
        <f t="shared" si="166"/>
        <v>-0.87836664144193732</v>
      </c>
      <c r="S280" s="147">
        <f t="shared" si="166"/>
        <v>-0.93440882791581614</v>
      </c>
      <c r="T280" s="147"/>
    </row>
    <row r="281" spans="1:20" hidden="1" outlineLevel="1"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</row>
    <row r="282" spans="1:20" hidden="1" outlineLevel="1"/>
    <row r="283" spans="1:20" ht="13" hidden="1" customHeight="1" outlineLevel="1">
      <c r="A283" s="525" t="s">
        <v>206</v>
      </c>
      <c r="B283" s="472" t="s">
        <v>51</v>
      </c>
      <c r="C283" s="472" t="s">
        <v>52</v>
      </c>
      <c r="D283" s="472" t="s">
        <v>53</v>
      </c>
      <c r="E283" s="472" t="s">
        <v>54</v>
      </c>
      <c r="F283" s="472" t="s">
        <v>55</v>
      </c>
      <c r="G283" s="472" t="s">
        <v>77</v>
      </c>
      <c r="H283" s="472" t="s">
        <v>78</v>
      </c>
      <c r="I283" s="472" t="s">
        <v>79</v>
      </c>
      <c r="J283" s="472" t="s">
        <v>80</v>
      </c>
      <c r="K283" s="472" t="s">
        <v>81</v>
      </c>
      <c r="L283" s="472" t="s">
        <v>82</v>
      </c>
      <c r="M283" s="472" t="s">
        <v>44</v>
      </c>
      <c r="N283" s="473" t="s">
        <v>133</v>
      </c>
      <c r="O283" s="473" t="s">
        <v>129</v>
      </c>
      <c r="P283" s="473" t="s">
        <v>130</v>
      </c>
      <c r="Q283" s="473" t="s">
        <v>131</v>
      </c>
      <c r="R283" s="473" t="s">
        <v>132</v>
      </c>
      <c r="S283" s="445" t="s">
        <v>171</v>
      </c>
      <c r="T283" s="445"/>
    </row>
    <row r="284" spans="1:20" hidden="1" outlineLevel="1">
      <c r="A284" s="526" t="s">
        <v>22</v>
      </c>
      <c r="B284" s="15">
        <f t="shared" ref="B284:M284" si="170">B307+B332</f>
        <v>73.06</v>
      </c>
      <c r="C284" s="15">
        <f t="shared" si="170"/>
        <v>48.95</v>
      </c>
      <c r="D284" s="15">
        <f t="shared" si="170"/>
        <v>78.41</v>
      </c>
      <c r="E284" s="15">
        <f t="shared" si="170"/>
        <v>79.17</v>
      </c>
      <c r="F284" s="15">
        <f t="shared" si="170"/>
        <v>77.900000000000006</v>
      </c>
      <c r="G284" s="15">
        <f t="shared" si="170"/>
        <v>73.28</v>
      </c>
      <c r="H284" s="15">
        <f t="shared" si="170"/>
        <v>73.42</v>
      </c>
      <c r="I284" s="15">
        <f t="shared" si="170"/>
        <v>63.14</v>
      </c>
      <c r="J284" s="15">
        <f t="shared" si="170"/>
        <v>58.28</v>
      </c>
      <c r="K284" s="15">
        <f t="shared" si="170"/>
        <v>45.53</v>
      </c>
      <c r="L284" s="15">
        <f t="shared" si="170"/>
        <v>50.32</v>
      </c>
      <c r="M284" s="15">
        <f t="shared" si="170"/>
        <v>61.06</v>
      </c>
      <c r="N284" s="15"/>
      <c r="O284" s="15">
        <f>SUM(B284:D284)</f>
        <v>200.42000000000002</v>
      </c>
      <c r="P284" s="15">
        <f>SUM(E284:G284)</f>
        <v>230.35</v>
      </c>
      <c r="Q284" s="15">
        <f>SUM(H284:J284)</f>
        <v>194.84</v>
      </c>
      <c r="R284" s="15">
        <f>SUM(K284:M284)</f>
        <v>156.91</v>
      </c>
      <c r="S284" s="15">
        <f>SUM(B284:M284)</f>
        <v>782.52</v>
      </c>
    </row>
    <row r="285" spans="1:20" hidden="1" outlineLevel="1">
      <c r="A285" s="526" t="s">
        <v>25</v>
      </c>
      <c r="B285" s="15">
        <f t="shared" ref="B285:M285" si="171">B308+B333</f>
        <v>39.9</v>
      </c>
      <c r="C285" s="15">
        <f t="shared" si="171"/>
        <v>25.049999999999997</v>
      </c>
      <c r="D285" s="15">
        <f t="shared" si="171"/>
        <v>41.28</v>
      </c>
      <c r="E285" s="15">
        <f t="shared" si="171"/>
        <v>43.86</v>
      </c>
      <c r="F285" s="15">
        <f t="shared" si="171"/>
        <v>53.56</v>
      </c>
      <c r="G285" s="15">
        <f t="shared" si="171"/>
        <v>55.790000000000006</v>
      </c>
      <c r="H285" s="15">
        <f t="shared" si="171"/>
        <v>62.8</v>
      </c>
      <c r="I285" s="15">
        <f t="shared" si="171"/>
        <v>40.159999999999997</v>
      </c>
      <c r="J285" s="15">
        <f t="shared" si="171"/>
        <v>42.18</v>
      </c>
      <c r="K285" s="15">
        <f t="shared" si="171"/>
        <v>39.14</v>
      </c>
      <c r="L285" s="15">
        <f t="shared" si="171"/>
        <v>43.43</v>
      </c>
      <c r="M285" s="15">
        <f t="shared" si="171"/>
        <v>54.73</v>
      </c>
      <c r="N285" s="15"/>
      <c r="O285" s="15">
        <f>SUM(B285:D285)</f>
        <v>106.22999999999999</v>
      </c>
      <c r="P285" s="15">
        <f>SUM(E285:G285)</f>
        <v>153.21</v>
      </c>
      <c r="Q285" s="15">
        <f>SUM(H285:J285)</f>
        <v>145.13999999999999</v>
      </c>
      <c r="R285" s="15">
        <f>SUM(K285:M285)</f>
        <v>137.29999999999998</v>
      </c>
      <c r="S285" s="15">
        <f>SUM(B285:M285)</f>
        <v>541.88</v>
      </c>
    </row>
    <row r="286" spans="1:20" hidden="1" outlineLevel="1">
      <c r="A286" s="526" t="s">
        <v>172</v>
      </c>
      <c r="B286" s="15">
        <f t="shared" ref="B286:M286" si="172">B309+B334</f>
        <v>71.099999999999994</v>
      </c>
      <c r="C286" s="15">
        <f t="shared" si="172"/>
        <v>44.1</v>
      </c>
      <c r="D286" s="15">
        <f t="shared" si="172"/>
        <v>93.9</v>
      </c>
      <c r="E286" s="15">
        <f t="shared" si="172"/>
        <v>123.19999999999999</v>
      </c>
      <c r="F286" s="15">
        <f t="shared" si="172"/>
        <v>131.20000000000002</v>
      </c>
      <c r="G286" s="15">
        <f t="shared" si="172"/>
        <v>123.9</v>
      </c>
      <c r="H286" s="15">
        <f t="shared" si="172"/>
        <v>152.9</v>
      </c>
      <c r="I286" s="15">
        <f t="shared" si="172"/>
        <v>60.2</v>
      </c>
      <c r="J286" s="15">
        <f t="shared" si="172"/>
        <v>77.099999999999994</v>
      </c>
      <c r="K286" s="15">
        <f t="shared" si="172"/>
        <v>44.400000000000006</v>
      </c>
      <c r="L286" s="15">
        <f t="shared" si="172"/>
        <v>46.900000000000006</v>
      </c>
      <c r="M286" s="15">
        <f t="shared" si="172"/>
        <v>81.5</v>
      </c>
      <c r="N286" s="15"/>
      <c r="O286" s="15">
        <f>SUM(B286:D286)</f>
        <v>209.1</v>
      </c>
      <c r="P286" s="15">
        <f>SUM(E286:G286)</f>
        <v>378.3</v>
      </c>
      <c r="Q286" s="15">
        <f>SUM(H286:J286)</f>
        <v>290.20000000000005</v>
      </c>
      <c r="R286" s="15">
        <f>SUM(K286:M286)</f>
        <v>172.8</v>
      </c>
      <c r="S286" s="15">
        <f>SUM(B286:M286)</f>
        <v>1050.4000000000001</v>
      </c>
    </row>
    <row r="287" spans="1:20" s="445" customFormat="1" ht="13" hidden="1" customHeight="1" outlineLevel="1">
      <c r="A287" s="535" t="s">
        <v>196</v>
      </c>
      <c r="B287" s="21">
        <f t="shared" ref="B287:M287" si="173">SUM(B284:B286)</f>
        <v>184.06</v>
      </c>
      <c r="C287" s="21">
        <f t="shared" si="173"/>
        <v>118.1</v>
      </c>
      <c r="D287" s="21">
        <f t="shared" si="173"/>
        <v>213.59</v>
      </c>
      <c r="E287" s="21">
        <f t="shared" si="173"/>
        <v>246.23</v>
      </c>
      <c r="F287" s="21">
        <f t="shared" si="173"/>
        <v>262.66000000000003</v>
      </c>
      <c r="G287" s="21">
        <f t="shared" si="173"/>
        <v>252.97</v>
      </c>
      <c r="H287" s="21">
        <f t="shared" si="173"/>
        <v>289.12</v>
      </c>
      <c r="I287" s="21">
        <f t="shared" si="173"/>
        <v>163.5</v>
      </c>
      <c r="J287" s="21">
        <f t="shared" si="173"/>
        <v>177.56</v>
      </c>
      <c r="K287" s="21">
        <f t="shared" si="173"/>
        <v>129.07</v>
      </c>
      <c r="L287" s="21">
        <f t="shared" si="173"/>
        <v>140.65</v>
      </c>
      <c r="M287" s="21">
        <f t="shared" si="173"/>
        <v>197.29</v>
      </c>
      <c r="N287" s="45"/>
      <c r="O287" s="21">
        <f>SUM(B287:D287)</f>
        <v>515.75</v>
      </c>
      <c r="P287" s="21">
        <f>SUM(E287:G287)</f>
        <v>761.86</v>
      </c>
      <c r="Q287" s="21">
        <f>SUM(H287:J287)</f>
        <v>630.18000000000006</v>
      </c>
      <c r="R287" s="21">
        <f>SUM(K287:M287)</f>
        <v>467.01</v>
      </c>
      <c r="S287" s="21">
        <f>SUM(B287:M287)</f>
        <v>2374.7999999999997</v>
      </c>
      <c r="T287" s="520"/>
    </row>
    <row r="288" spans="1:20" ht="13" hidden="1" customHeight="1" outlineLevel="1">
      <c r="A288" s="526" t="s">
        <v>181</v>
      </c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21"/>
      <c r="Q288" s="15"/>
      <c r="R288" s="15"/>
      <c r="S288" s="15"/>
    </row>
    <row r="289" spans="1:20" ht="13" hidden="1" customHeight="1" outlineLevel="1">
      <c r="A289" s="535" t="s">
        <v>197</v>
      </c>
      <c r="B289" s="1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21"/>
      <c r="P289" s="21"/>
      <c r="Q289" s="21"/>
      <c r="R289" s="21"/>
      <c r="S289" s="44"/>
      <c r="T289" s="520"/>
    </row>
    <row r="290" spans="1:20" hidden="1" outlineLevel="1">
      <c r="A290" s="526"/>
      <c r="B290" s="15"/>
      <c r="C290" s="483"/>
      <c r="D290" s="488"/>
      <c r="E290" s="483"/>
      <c r="F290" s="15"/>
      <c r="G290" s="15"/>
      <c r="H290" s="15"/>
      <c r="I290" s="15"/>
      <c r="J290" s="15"/>
      <c r="K290" s="15"/>
      <c r="L290" s="15"/>
      <c r="M290" s="15"/>
      <c r="N290" s="488"/>
      <c r="O290" s="15"/>
      <c r="P290" s="19"/>
      <c r="Q290" s="15"/>
      <c r="R290" s="15"/>
      <c r="S290" s="36"/>
    </row>
    <row r="291" spans="1:20" ht="13" hidden="1" customHeight="1" outlineLevel="1">
      <c r="A291" s="528" t="s">
        <v>183</v>
      </c>
      <c r="B291" s="488"/>
      <c r="C291" s="483"/>
      <c r="D291" s="488"/>
      <c r="E291" s="488"/>
      <c r="F291" s="488"/>
      <c r="G291" s="488"/>
      <c r="H291" s="488"/>
      <c r="I291" s="488"/>
      <c r="J291" s="488"/>
      <c r="K291" s="488"/>
      <c r="L291" s="488"/>
      <c r="M291" s="488"/>
      <c r="N291" s="514"/>
      <c r="O291" s="488"/>
      <c r="P291" s="19"/>
      <c r="Q291" s="488"/>
      <c r="R291" s="488"/>
    </row>
    <row r="292" spans="1:20" hidden="1" outlineLevel="1">
      <c r="A292" s="526" t="s">
        <v>22</v>
      </c>
      <c r="B292" s="24">
        <f t="shared" ref="B292:M292" si="174">B284/B357-1</f>
        <v>-0.96256980378093138</v>
      </c>
      <c r="C292" s="24">
        <f t="shared" si="174"/>
        <v>-0.79919596340813059</v>
      </c>
      <c r="D292" s="24">
        <f t="shared" si="174"/>
        <v>-0.43279803240740744</v>
      </c>
      <c r="E292" s="24">
        <f t="shared" si="174"/>
        <v>1.5948869223205508</v>
      </c>
      <c r="F292" s="24">
        <f t="shared" si="174"/>
        <v>0.89169499757163684</v>
      </c>
      <c r="G292" s="24">
        <f t="shared" si="174"/>
        <v>0.28313780423743662</v>
      </c>
      <c r="H292" s="24">
        <f t="shared" si="174"/>
        <v>8.9155911585818259E-2</v>
      </c>
      <c r="I292" s="24">
        <f t="shared" si="174"/>
        <v>-0.18874469998715149</v>
      </c>
      <c r="J292" s="24">
        <f t="shared" si="174"/>
        <v>-0.34361977700191471</v>
      </c>
      <c r="K292" s="24">
        <f t="shared" si="174"/>
        <v>-0.47278832792959702</v>
      </c>
      <c r="L292" s="24">
        <f t="shared" si="174"/>
        <v>-0.38902379796017483</v>
      </c>
      <c r="M292" s="24">
        <f t="shared" si="174"/>
        <v>-0.26371638731460256</v>
      </c>
      <c r="N292" s="24"/>
      <c r="O292" s="24">
        <f t="shared" ref="O292:S295" si="175">O284/O357-1</f>
        <v>-0.91412693719980631</v>
      </c>
      <c r="P292" s="24">
        <f t="shared" si="175"/>
        <v>0.78843167701863326</v>
      </c>
      <c r="Q292" s="24">
        <f t="shared" si="175"/>
        <v>-0.16745716361150287</v>
      </c>
      <c r="R292" s="24">
        <f t="shared" si="175"/>
        <v>-0.37647526326246772</v>
      </c>
      <c r="S292" s="24">
        <f t="shared" si="175"/>
        <v>-0.73459413442590704</v>
      </c>
    </row>
    <row r="293" spans="1:20" hidden="1" outlineLevel="1">
      <c r="A293" s="526" t="s">
        <v>25</v>
      </c>
      <c r="B293" s="24">
        <f t="shared" ref="B293:M293" si="176">B285/B358-1</f>
        <v>-0.97805449525339083</v>
      </c>
      <c r="C293" s="24">
        <f t="shared" si="176"/>
        <v>-0.92089806744979152</v>
      </c>
      <c r="D293" s="24">
        <f t="shared" si="176"/>
        <v>-0.71899251191286595</v>
      </c>
      <c r="E293" s="24">
        <f t="shared" si="176"/>
        <v>1.0816326530612246</v>
      </c>
      <c r="F293" s="24">
        <f t="shared" si="176"/>
        <v>1.0341815419673375</v>
      </c>
      <c r="G293" s="24">
        <f t="shared" si="176"/>
        <v>0.7852800000000002</v>
      </c>
      <c r="H293" s="24">
        <f t="shared" si="176"/>
        <v>0.63968668407310703</v>
      </c>
      <c r="I293" s="24">
        <f t="shared" si="176"/>
        <v>3.7726098191214197E-2</v>
      </c>
      <c r="J293" s="24">
        <f t="shared" si="176"/>
        <v>0.12630173564753</v>
      </c>
      <c r="K293" s="24">
        <f t="shared" si="176"/>
        <v>-5.1841085271317811E-2</v>
      </c>
      <c r="L293" s="24">
        <f t="shared" si="176"/>
        <v>0.21245114461194858</v>
      </c>
      <c r="M293" s="24">
        <f t="shared" si="176"/>
        <v>0.41640786749482395</v>
      </c>
      <c r="N293" s="19"/>
      <c r="O293" s="24">
        <f t="shared" si="175"/>
        <v>-0.95344301667163367</v>
      </c>
      <c r="P293" s="24">
        <f t="shared" si="175"/>
        <v>0.94799745708836625</v>
      </c>
      <c r="Q293" s="24">
        <f t="shared" si="175"/>
        <v>0.26815203145478361</v>
      </c>
      <c r="R293" s="24">
        <f t="shared" si="175"/>
        <v>0.18627959218938983</v>
      </c>
      <c r="S293" s="24">
        <f t="shared" si="175"/>
        <v>-0.79082514977456619</v>
      </c>
    </row>
    <row r="294" spans="1:20" hidden="1" outlineLevel="1">
      <c r="A294" s="526" t="s">
        <v>172</v>
      </c>
      <c r="B294" s="24">
        <f t="shared" ref="B294:M294" si="177">B286/B359-1</f>
        <v>-0.96166702609445764</v>
      </c>
      <c r="C294" s="24">
        <f t="shared" si="177"/>
        <v>-0.87228496959165946</v>
      </c>
      <c r="D294" s="24">
        <f t="shared" si="177"/>
        <v>-0.40757097791798103</v>
      </c>
      <c r="E294" s="24">
        <f t="shared" si="177"/>
        <v>6.748427672955974</v>
      </c>
      <c r="F294" s="24">
        <f t="shared" si="177"/>
        <v>4.0268199233716482</v>
      </c>
      <c r="G294" s="24">
        <f t="shared" si="177"/>
        <v>1.957040572792363</v>
      </c>
      <c r="H294" s="24">
        <f t="shared" si="177"/>
        <v>2.9005102040816326</v>
      </c>
      <c r="I294" s="24">
        <f t="shared" si="177"/>
        <v>0.22606924643584514</v>
      </c>
      <c r="J294" s="24">
        <f t="shared" si="177"/>
        <v>0.5929752066115701</v>
      </c>
      <c r="K294" s="24">
        <f t="shared" si="177"/>
        <v>-0.51315789473684204</v>
      </c>
      <c r="L294" s="24">
        <f t="shared" si="177"/>
        <v>-0.47125140924464481</v>
      </c>
      <c r="M294" s="24">
        <f t="shared" si="177"/>
        <v>-0.18008048289738432</v>
      </c>
      <c r="N294" s="19"/>
      <c r="O294" s="24">
        <f t="shared" si="175"/>
        <v>-0.91134571355889094</v>
      </c>
      <c r="P294" s="24">
        <f t="shared" si="175"/>
        <v>3.5089392133492252</v>
      </c>
      <c r="Q294" s="24">
        <f t="shared" si="175"/>
        <v>1.12289685442575</v>
      </c>
      <c r="R294" s="24">
        <f t="shared" si="175"/>
        <v>-0.38131041890440387</v>
      </c>
      <c r="S294" s="24">
        <f t="shared" si="175"/>
        <v>-0.63253454609060689</v>
      </c>
    </row>
    <row r="295" spans="1:20" ht="13" hidden="1" customHeight="1" outlineLevel="1">
      <c r="A295" s="536" t="s">
        <v>196</v>
      </c>
      <c r="B295" s="53">
        <f t="shared" ref="B295:M295" si="178">B287/B360-1</f>
        <v>-0.9672772914429566</v>
      </c>
      <c r="C295" s="53">
        <f t="shared" si="178"/>
        <v>-0.86961081976262766</v>
      </c>
      <c r="D295" s="53">
        <f t="shared" si="178"/>
        <v>-0.51855107745018481</v>
      </c>
      <c r="E295" s="53">
        <f t="shared" si="178"/>
        <v>2.648933017190279</v>
      </c>
      <c r="F295" s="53">
        <f t="shared" si="178"/>
        <v>1.8058968058968063</v>
      </c>
      <c r="G295" s="53">
        <f t="shared" si="178"/>
        <v>0.94203899892522669</v>
      </c>
      <c r="H295" s="53">
        <f t="shared" si="178"/>
        <v>0.99516941549927584</v>
      </c>
      <c r="I295" s="53">
        <f t="shared" si="178"/>
        <v>-1.2859989132403493E-2</v>
      </c>
      <c r="J295" s="53">
        <f t="shared" si="178"/>
        <v>1.6720109940449035E-2</v>
      </c>
      <c r="K295" s="53">
        <f t="shared" si="178"/>
        <v>-0.41020837141290434</v>
      </c>
      <c r="L295" s="53">
        <f t="shared" si="178"/>
        <v>-0.32013727764887856</v>
      </c>
      <c r="M295" s="53">
        <f t="shared" si="178"/>
        <v>-0.10716386839842529</v>
      </c>
      <c r="N295" s="28"/>
      <c r="O295" s="24">
        <f t="shared" si="175"/>
        <v>-0.92604918392424684</v>
      </c>
      <c r="P295" s="24">
        <f t="shared" si="175"/>
        <v>1.6149304959670503</v>
      </c>
      <c r="Q295" s="24">
        <f t="shared" si="175"/>
        <v>0.29885815573601571</v>
      </c>
      <c r="R295" s="24">
        <f t="shared" si="175"/>
        <v>-0.27784564474477735</v>
      </c>
      <c r="S295" s="24">
        <f t="shared" si="175"/>
        <v>-0.71719986424450277</v>
      </c>
      <c r="T295" s="31"/>
    </row>
    <row r="296" spans="1:20" ht="13" hidden="1" customHeight="1" outlineLevel="1">
      <c r="A296" s="526" t="s">
        <v>181</v>
      </c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1"/>
      <c r="O296" s="483"/>
      <c r="P296" s="483"/>
      <c r="Q296" s="483"/>
      <c r="R296" s="483"/>
      <c r="S296" s="483"/>
    </row>
    <row r="297" spans="1:20" s="489" customFormat="1" ht="13" hidden="1" customHeight="1" outlineLevel="1">
      <c r="A297" s="537" t="s">
        <v>197</v>
      </c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91"/>
      <c r="P297" s="491"/>
      <c r="Q297" s="491"/>
      <c r="R297" s="491"/>
      <c r="S297" s="491"/>
      <c r="T297" s="48"/>
    </row>
    <row r="298" spans="1:20" hidden="1" outlineLevel="1">
      <c r="A298" s="526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508"/>
      <c r="O298" s="24"/>
      <c r="P298" s="19"/>
      <c r="Q298" s="19"/>
      <c r="R298" s="19"/>
    </row>
    <row r="299" spans="1:20" ht="13" hidden="1" customHeight="1" outlineLevel="1">
      <c r="A299" s="528" t="s">
        <v>179</v>
      </c>
      <c r="B299" s="488"/>
      <c r="C299" s="488"/>
      <c r="D299" s="488"/>
      <c r="E299" s="488"/>
      <c r="F299" s="488"/>
      <c r="G299" s="488"/>
      <c r="H299" s="488"/>
      <c r="I299" s="488"/>
      <c r="J299" s="488"/>
      <c r="K299" s="488"/>
      <c r="L299" s="488"/>
      <c r="M299" s="488"/>
      <c r="N299" s="488"/>
      <c r="O299" s="488"/>
      <c r="P299" s="488"/>
      <c r="Q299" s="488"/>
      <c r="R299" s="488"/>
    </row>
    <row r="300" spans="1:20" hidden="1" outlineLevel="1">
      <c r="A300" s="526" t="s">
        <v>22</v>
      </c>
      <c r="B300" s="483">
        <f t="shared" ref="B300:M300" si="179">B284/B416-1</f>
        <v>-0.96137069015655818</v>
      </c>
      <c r="C300" s="483">
        <f t="shared" si="179"/>
        <v>-0.97345401497855166</v>
      </c>
      <c r="D300" s="483">
        <f t="shared" si="179"/>
        <v>-0.95777143472641102</v>
      </c>
      <c r="E300" s="483">
        <f t="shared" si="179"/>
        <v>-0.95820685941731376</v>
      </c>
      <c r="F300" s="483">
        <f t="shared" si="179"/>
        <v>-0.9576618929862224</v>
      </c>
      <c r="G300" s="483">
        <f t="shared" si="179"/>
        <v>-0.9606879606879607</v>
      </c>
      <c r="H300" s="483">
        <f t="shared" si="179"/>
        <v>-0.96518052347777428</v>
      </c>
      <c r="I300" s="483">
        <f t="shared" si="179"/>
        <v>-0.97115525180907825</v>
      </c>
      <c r="J300" s="483">
        <f t="shared" si="179"/>
        <v>-0.96843553331383569</v>
      </c>
      <c r="K300" s="483">
        <f t="shared" si="179"/>
        <v>-0.97540421256205667</v>
      </c>
      <c r="L300" s="483">
        <f t="shared" si="179"/>
        <v>-0.9720402504820167</v>
      </c>
      <c r="M300" s="483">
        <f t="shared" si="179"/>
        <v>-0.96852139215251609</v>
      </c>
      <c r="N300" s="488"/>
      <c r="O300" s="483">
        <f t="shared" ref="O300:S303" si="180">O284/O416-1</f>
        <v>-0.9641600263229424</v>
      </c>
      <c r="P300" s="483">
        <f t="shared" si="180"/>
        <v>-0.95885387454138193</v>
      </c>
      <c r="Q300" s="483">
        <f t="shared" si="180"/>
        <v>-0.9682873991077372</v>
      </c>
      <c r="R300" s="483">
        <f t="shared" si="180"/>
        <v>-0.97193319488640739</v>
      </c>
      <c r="S300" s="483">
        <f t="shared" si="180"/>
        <v>-0.96586599572343479</v>
      </c>
    </row>
    <row r="301" spans="1:20" hidden="1" outlineLevel="1">
      <c r="A301" s="526" t="s">
        <v>25</v>
      </c>
      <c r="B301" s="483">
        <f t="shared" ref="B301:M301" si="181">B285/B417-1</f>
        <v>-0.97812937652279008</v>
      </c>
      <c r="C301" s="483">
        <f t="shared" si="181"/>
        <v>-0.98616289667743806</v>
      </c>
      <c r="D301" s="483">
        <f t="shared" si="181"/>
        <v>-0.97668139143402666</v>
      </c>
      <c r="E301" s="483">
        <f t="shared" si="181"/>
        <v>-0.97542691945677018</v>
      </c>
      <c r="F301" s="483">
        <f t="shared" si="181"/>
        <v>-0.97025452485546559</v>
      </c>
      <c r="G301" s="483">
        <f t="shared" si="181"/>
        <v>-0.96920248853166691</v>
      </c>
      <c r="H301" s="483">
        <f t="shared" si="181"/>
        <v>-0.9665355799256109</v>
      </c>
      <c r="I301" s="483">
        <f t="shared" si="181"/>
        <v>-0.97894880302768217</v>
      </c>
      <c r="J301" s="483">
        <f t="shared" si="181"/>
        <v>-0.97449340565644105</v>
      </c>
      <c r="K301" s="483">
        <f t="shared" si="181"/>
        <v>-0.97662948721010767</v>
      </c>
      <c r="L301" s="483">
        <f t="shared" si="181"/>
        <v>-0.97368484833795854</v>
      </c>
      <c r="M301" s="483">
        <f t="shared" si="181"/>
        <v>-0.96788635536831236</v>
      </c>
      <c r="N301" s="488"/>
      <c r="O301" s="483">
        <f t="shared" si="180"/>
        <v>-0.98034588504109643</v>
      </c>
      <c r="P301" s="483">
        <f t="shared" si="180"/>
        <v>-0.9716120066703724</v>
      </c>
      <c r="Q301" s="483">
        <f t="shared" si="180"/>
        <v>-0.97331023677648565</v>
      </c>
      <c r="R301" s="483">
        <f t="shared" si="180"/>
        <v>-0.97270052093689108</v>
      </c>
      <c r="S301" s="483">
        <f t="shared" si="180"/>
        <v>-0.97452304165394299</v>
      </c>
    </row>
    <row r="302" spans="1:20" hidden="1" outlineLevel="1">
      <c r="A302" s="526" t="s">
        <v>172</v>
      </c>
      <c r="B302" s="483">
        <f t="shared" ref="B302:M302" si="182">B286/B418-1</f>
        <v>-0.96315298507462688</v>
      </c>
      <c r="C302" s="483">
        <f t="shared" si="182"/>
        <v>-0.97595157596248228</v>
      </c>
      <c r="D302" s="483">
        <f t="shared" si="182"/>
        <v>-0.95170995114425305</v>
      </c>
      <c r="E302" s="483">
        <f t="shared" si="182"/>
        <v>-0.93772745653052969</v>
      </c>
      <c r="F302" s="483">
        <f t="shared" si="182"/>
        <v>-0.93172711661549668</v>
      </c>
      <c r="G302" s="483">
        <f t="shared" si="182"/>
        <v>-0.93381410256410258</v>
      </c>
      <c r="H302" s="483">
        <f t="shared" si="182"/>
        <v>-0.92194200530937309</v>
      </c>
      <c r="I302" s="483">
        <f t="shared" si="182"/>
        <v>-0.96999152584616921</v>
      </c>
      <c r="J302" s="483">
        <f t="shared" si="182"/>
        <v>-0.95497547302032237</v>
      </c>
      <c r="K302" s="483">
        <f t="shared" si="182"/>
        <v>-0.97436933556543326</v>
      </c>
      <c r="L302" s="483">
        <f t="shared" si="182"/>
        <v>-0.97276580918645839</v>
      </c>
      <c r="M302" s="483">
        <f t="shared" si="182"/>
        <v>-0.95573779394992664</v>
      </c>
      <c r="N302" s="488"/>
      <c r="O302" s="483">
        <f t="shared" si="180"/>
        <v>-0.96336656213318383</v>
      </c>
      <c r="P302" s="483">
        <f t="shared" si="180"/>
        <v>-0.93446059493078781</v>
      </c>
      <c r="Q302" s="483">
        <f t="shared" si="180"/>
        <v>-0.94888415267820969</v>
      </c>
      <c r="R302" s="483">
        <f t="shared" si="180"/>
        <v>-0.96736975281832427</v>
      </c>
      <c r="S302" s="483">
        <f t="shared" si="180"/>
        <v>-0.95321783280630645</v>
      </c>
    </row>
    <row r="303" spans="1:20" s="445" customFormat="1" ht="13" hidden="1" customHeight="1" outlineLevel="1">
      <c r="A303" s="535" t="s">
        <v>196</v>
      </c>
      <c r="B303" s="484">
        <f t="shared" ref="B303:M303" si="183">B287/B419-1</f>
        <v>-0.96739574245718762</v>
      </c>
      <c r="C303" s="484">
        <f t="shared" si="183"/>
        <v>-0.97848079123634324</v>
      </c>
      <c r="D303" s="484">
        <f t="shared" si="183"/>
        <v>-0.96166423766413711</v>
      </c>
      <c r="E303" s="484">
        <f t="shared" si="183"/>
        <v>-0.95647808880428309</v>
      </c>
      <c r="F303" s="484">
        <f t="shared" si="183"/>
        <v>-0.95277818728358621</v>
      </c>
      <c r="G303" s="484">
        <f t="shared" si="183"/>
        <v>-0.95439985435064356</v>
      </c>
      <c r="H303" s="484">
        <f t="shared" si="183"/>
        <v>-0.95135943580175675</v>
      </c>
      <c r="I303" s="484">
        <f t="shared" si="183"/>
        <v>-0.97320897491147496</v>
      </c>
      <c r="J303" s="484">
        <f t="shared" si="183"/>
        <v>-0.96593553536039534</v>
      </c>
      <c r="K303" s="484">
        <f t="shared" si="183"/>
        <v>-0.9754535305875216</v>
      </c>
      <c r="L303" s="484">
        <f t="shared" si="183"/>
        <v>-0.97280659524651936</v>
      </c>
      <c r="M303" s="484">
        <f t="shared" si="183"/>
        <v>-0.96403289525257552</v>
      </c>
      <c r="N303" s="45"/>
      <c r="O303" s="484">
        <f t="shared" si="180"/>
        <v>-0.9691259270078848</v>
      </c>
      <c r="P303" s="484">
        <f t="shared" si="180"/>
        <v>-0.95456312949382849</v>
      </c>
      <c r="Q303" s="484">
        <f t="shared" si="180"/>
        <v>-0.96348744761510774</v>
      </c>
      <c r="R303" s="484">
        <f t="shared" si="180"/>
        <v>-0.97065725708404726</v>
      </c>
      <c r="S303" s="484">
        <f t="shared" si="180"/>
        <v>-0.96436767820718472</v>
      </c>
      <c r="T303" s="520"/>
    </row>
    <row r="304" spans="1:20" ht="13" hidden="1" customHeight="1" outlineLevel="1">
      <c r="A304" s="532"/>
      <c r="B304" s="337"/>
      <c r="C304" s="337"/>
      <c r="D304" s="337"/>
      <c r="E304" s="337"/>
      <c r="F304" s="337"/>
      <c r="G304" s="538"/>
      <c r="H304" s="337"/>
      <c r="I304" s="538"/>
      <c r="J304" s="538"/>
      <c r="K304" s="337"/>
      <c r="L304" s="337"/>
      <c r="M304" s="337"/>
      <c r="N304" s="42"/>
      <c r="O304" s="43"/>
      <c r="P304" s="43"/>
      <c r="Q304" s="43"/>
      <c r="R304" s="43"/>
      <c r="S304" s="44"/>
      <c r="T304" s="520"/>
    </row>
    <row r="305" spans="1:20" ht="13" hidden="1" customHeight="1" outlineLevel="1">
      <c r="A305" s="532" t="s">
        <v>201</v>
      </c>
      <c r="B305" s="337"/>
      <c r="C305" s="337"/>
      <c r="D305" s="337"/>
      <c r="E305" s="337"/>
      <c r="F305" s="337"/>
      <c r="G305" s="538"/>
      <c r="H305" s="337"/>
      <c r="I305" s="538"/>
      <c r="J305" s="538"/>
      <c r="K305" s="337"/>
      <c r="L305" s="337"/>
      <c r="M305" s="337"/>
      <c r="N305" s="42"/>
      <c r="O305" s="43"/>
      <c r="P305" s="43"/>
      <c r="Q305" s="43"/>
      <c r="R305" s="43"/>
      <c r="S305" s="44"/>
      <c r="T305" s="520"/>
    </row>
    <row r="306" spans="1:20" ht="13" hidden="1" customHeight="1" outlineLevel="1">
      <c r="A306" s="533" t="s">
        <v>157</v>
      </c>
      <c r="B306" s="472" t="s">
        <v>51</v>
      </c>
      <c r="C306" s="472" t="s">
        <v>52</v>
      </c>
      <c r="D306" s="472" t="s">
        <v>53</v>
      </c>
      <c r="E306" s="472" t="s">
        <v>54</v>
      </c>
      <c r="F306" s="472" t="s">
        <v>55</v>
      </c>
      <c r="G306" s="472" t="s">
        <v>77</v>
      </c>
      <c r="H306" s="472" t="s">
        <v>78</v>
      </c>
      <c r="I306" s="472" t="s">
        <v>79</v>
      </c>
      <c r="J306" s="472" t="s">
        <v>80</v>
      </c>
      <c r="K306" s="472" t="s">
        <v>81</v>
      </c>
      <c r="L306" s="472" t="s">
        <v>82</v>
      </c>
      <c r="M306" s="472" t="s">
        <v>44</v>
      </c>
      <c r="N306" s="473" t="s">
        <v>133</v>
      </c>
      <c r="O306" s="473" t="s">
        <v>129</v>
      </c>
      <c r="P306" s="473" t="s">
        <v>130</v>
      </c>
      <c r="Q306" s="473" t="s">
        <v>131</v>
      </c>
      <c r="R306" s="473" t="s">
        <v>132</v>
      </c>
      <c r="S306" s="445" t="s">
        <v>171</v>
      </c>
      <c r="T306" s="445"/>
    </row>
    <row r="307" spans="1:20" ht="13" hidden="1" customHeight="1" outlineLevel="1">
      <c r="A307" s="526" t="s">
        <v>22</v>
      </c>
      <c r="B307" s="15">
        <v>61.44</v>
      </c>
      <c r="C307" s="15">
        <v>39.340000000000003</v>
      </c>
      <c r="D307" s="15">
        <v>61.53</v>
      </c>
      <c r="E307" s="15">
        <v>61.54</v>
      </c>
      <c r="F307" s="15">
        <v>57.55</v>
      </c>
      <c r="G307" s="15">
        <v>53.47</v>
      </c>
      <c r="H307" s="15">
        <v>55.85</v>
      </c>
      <c r="I307" s="15">
        <v>55.42</v>
      </c>
      <c r="J307" s="15">
        <v>53.03</v>
      </c>
      <c r="K307" s="15">
        <v>41.92</v>
      </c>
      <c r="L307" s="15">
        <v>44.45</v>
      </c>
      <c r="M307" s="15">
        <v>52.22</v>
      </c>
      <c r="N307" s="15"/>
      <c r="O307" s="15">
        <f>SUM(B307:D307)</f>
        <v>162.31</v>
      </c>
      <c r="P307" s="15">
        <f>SUM(E307:G307)</f>
        <v>172.56</v>
      </c>
      <c r="Q307" s="15">
        <f>SUM(H307:J307)</f>
        <v>164.3</v>
      </c>
      <c r="R307" s="15">
        <f>SUM(K307:M307)</f>
        <v>138.59</v>
      </c>
      <c r="S307" s="15">
        <f>SUM(B307:M307)</f>
        <v>637.7600000000001</v>
      </c>
      <c r="T307" s="520"/>
    </row>
    <row r="308" spans="1:20" ht="13" hidden="1" customHeight="1" outlineLevel="1">
      <c r="A308" s="526" t="s">
        <v>25</v>
      </c>
      <c r="B308" s="15">
        <v>22.61</v>
      </c>
      <c r="C308" s="15">
        <v>15.02</v>
      </c>
      <c r="D308" s="15">
        <v>23.85</v>
      </c>
      <c r="E308" s="15">
        <v>23.8</v>
      </c>
      <c r="F308" s="15">
        <v>22.9</v>
      </c>
      <c r="G308" s="15">
        <v>22.73</v>
      </c>
      <c r="H308" s="15">
        <v>23.39</v>
      </c>
      <c r="I308" s="15">
        <v>25.79</v>
      </c>
      <c r="J308" s="15">
        <v>21.47</v>
      </c>
      <c r="K308" s="15">
        <v>20.3</v>
      </c>
      <c r="L308" s="15">
        <v>22.27</v>
      </c>
      <c r="M308" s="15">
        <v>23.24</v>
      </c>
      <c r="N308" s="15"/>
      <c r="O308" s="15">
        <f>SUM(B308:D308)</f>
        <v>61.48</v>
      </c>
      <c r="P308" s="15">
        <f>SUM(E308:G308)</f>
        <v>69.430000000000007</v>
      </c>
      <c r="Q308" s="15">
        <f>SUM(H308:J308)</f>
        <v>70.650000000000006</v>
      </c>
      <c r="R308" s="15">
        <f>SUM(K308:M308)</f>
        <v>65.81</v>
      </c>
      <c r="S308" s="15">
        <f>SUM(B308:M308)</f>
        <v>267.37</v>
      </c>
      <c r="T308" s="520"/>
    </row>
    <row r="309" spans="1:20" ht="13" hidden="1" customHeight="1" outlineLevel="1">
      <c r="A309" s="526" t="s">
        <v>172</v>
      </c>
      <c r="B309" s="15">
        <v>30</v>
      </c>
      <c r="C309" s="15">
        <v>18.100000000000001</v>
      </c>
      <c r="D309" s="15">
        <v>26.2</v>
      </c>
      <c r="E309" s="15">
        <v>24.1</v>
      </c>
      <c r="F309" s="15">
        <v>23.8</v>
      </c>
      <c r="G309" s="15">
        <v>23.7</v>
      </c>
      <c r="H309" s="15">
        <v>30.2</v>
      </c>
      <c r="I309" s="15">
        <v>33.1</v>
      </c>
      <c r="J309" s="15">
        <v>26.1</v>
      </c>
      <c r="K309" s="15">
        <v>24.3</v>
      </c>
      <c r="L309" s="15">
        <v>20.3</v>
      </c>
      <c r="M309" s="15">
        <v>21.6</v>
      </c>
      <c r="N309" s="15"/>
      <c r="O309" s="15">
        <f>SUM(B309:D309)</f>
        <v>74.3</v>
      </c>
      <c r="P309" s="15">
        <f>SUM(E309:G309)</f>
        <v>71.600000000000009</v>
      </c>
      <c r="Q309" s="15">
        <f>SUM(H309:J309)</f>
        <v>89.4</v>
      </c>
      <c r="R309" s="15">
        <f>SUM(K309:M309)</f>
        <v>66.2</v>
      </c>
      <c r="S309" s="15">
        <f>SUM(B309:M309)</f>
        <v>301.5</v>
      </c>
      <c r="T309" s="520"/>
    </row>
    <row r="310" spans="1:20" ht="13" hidden="1" customHeight="1" outlineLevel="1">
      <c r="A310" s="535" t="s">
        <v>196</v>
      </c>
      <c r="B310" s="45">
        <f t="shared" ref="B310:M310" si="184">SUM(B307:B309)</f>
        <v>114.05</v>
      </c>
      <c r="C310" s="45">
        <f t="shared" si="184"/>
        <v>72.460000000000008</v>
      </c>
      <c r="D310" s="45">
        <f t="shared" si="184"/>
        <v>111.58</v>
      </c>
      <c r="E310" s="45">
        <f t="shared" si="184"/>
        <v>109.44</v>
      </c>
      <c r="F310" s="45">
        <f t="shared" si="184"/>
        <v>104.24999999999999</v>
      </c>
      <c r="G310" s="45">
        <f t="shared" si="184"/>
        <v>99.9</v>
      </c>
      <c r="H310" s="45">
        <f t="shared" si="184"/>
        <v>109.44000000000001</v>
      </c>
      <c r="I310" s="45">
        <f t="shared" si="184"/>
        <v>114.31</v>
      </c>
      <c r="J310" s="45">
        <f t="shared" si="184"/>
        <v>100.6</v>
      </c>
      <c r="K310" s="45">
        <f t="shared" si="184"/>
        <v>86.52</v>
      </c>
      <c r="L310" s="45">
        <f t="shared" si="184"/>
        <v>87.02</v>
      </c>
      <c r="M310" s="45">
        <f t="shared" si="184"/>
        <v>97.06</v>
      </c>
      <c r="N310" s="45"/>
      <c r="O310" s="21">
        <f>SUM(B310:D310)</f>
        <v>298.08999999999997</v>
      </c>
      <c r="P310" s="21">
        <f>SUM(E310:G310)</f>
        <v>313.59000000000003</v>
      </c>
      <c r="Q310" s="21">
        <f>SUM(H310:J310)</f>
        <v>324.35000000000002</v>
      </c>
      <c r="R310" s="21">
        <f>SUM(K310:M310)</f>
        <v>270.60000000000002</v>
      </c>
      <c r="S310" s="21">
        <f>SUM(B310:M310)</f>
        <v>1206.6300000000001</v>
      </c>
      <c r="T310" s="520"/>
    </row>
    <row r="311" spans="1:20" ht="13" hidden="1" customHeight="1" outlineLevel="1">
      <c r="A311" s="526" t="s">
        <v>181</v>
      </c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42"/>
      <c r="O311" s="15"/>
      <c r="P311" s="15"/>
      <c r="Q311" s="15"/>
      <c r="R311" s="15"/>
      <c r="S311" s="1"/>
      <c r="T311" s="520"/>
    </row>
    <row r="312" spans="1:20" ht="13" hidden="1" customHeight="1" outlineLevel="1">
      <c r="A312" s="535" t="s">
        <v>197</v>
      </c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21"/>
      <c r="P312" s="21"/>
      <c r="Q312" s="21"/>
      <c r="R312" s="21"/>
      <c r="S312" s="44"/>
      <c r="T312" s="520"/>
    </row>
    <row r="313" spans="1:20" ht="13" hidden="1" customHeight="1" outlineLevel="1">
      <c r="A313" s="532"/>
      <c r="B313" s="337"/>
      <c r="C313" s="337"/>
      <c r="D313" s="337"/>
      <c r="E313" s="337"/>
      <c r="F313" s="337"/>
      <c r="G313" s="483"/>
      <c r="H313" s="337"/>
      <c r="I313" s="538"/>
      <c r="J313" s="538"/>
      <c r="K313" s="337"/>
      <c r="L313" s="337"/>
      <c r="M313" s="337"/>
      <c r="N313" s="42"/>
      <c r="O313" s="43"/>
      <c r="P313" s="43"/>
      <c r="Q313" s="43"/>
      <c r="R313" s="43"/>
      <c r="S313" s="43"/>
      <c r="T313" s="520"/>
    </row>
    <row r="314" spans="1:20" ht="13" hidden="1" customHeight="1" outlineLevel="1">
      <c r="A314" s="528" t="s">
        <v>183</v>
      </c>
      <c r="B314" s="488"/>
      <c r="C314" s="337"/>
      <c r="D314" s="337"/>
      <c r="E314" s="337"/>
      <c r="F314" s="337"/>
      <c r="G314" s="538"/>
      <c r="H314" s="337"/>
      <c r="I314" s="538"/>
      <c r="J314" s="538"/>
      <c r="K314" s="337"/>
      <c r="L314" s="337"/>
      <c r="M314" s="337"/>
      <c r="N314" s="42"/>
      <c r="O314" s="43"/>
      <c r="P314" s="43"/>
      <c r="Q314" s="43"/>
      <c r="R314" s="43"/>
      <c r="S314" s="43"/>
      <c r="T314" s="520"/>
    </row>
    <row r="315" spans="1:20" ht="13" hidden="1" customHeight="1" outlineLevel="1">
      <c r="A315" s="526" t="s">
        <v>22</v>
      </c>
      <c r="B315" s="483">
        <f t="shared" ref="B315:M315" si="185">B307/B382-1</f>
        <v>-0.96614577593617068</v>
      </c>
      <c r="C315" s="483">
        <f t="shared" si="185"/>
        <v>-0.83095565486421452</v>
      </c>
      <c r="D315" s="483">
        <f t="shared" si="185"/>
        <v>-0.5387556221889056</v>
      </c>
      <c r="E315" s="483">
        <f t="shared" si="185"/>
        <v>1.0755480607082633</v>
      </c>
      <c r="F315" s="483">
        <f t="shared" si="185"/>
        <v>0.50143490738325069</v>
      </c>
      <c r="G315" s="483">
        <f t="shared" si="185"/>
        <v>2.1980122324158913E-2</v>
      </c>
      <c r="H315" s="483">
        <f t="shared" si="185"/>
        <v>-8.1414473684210509E-2</v>
      </c>
      <c r="I315" s="483">
        <f t="shared" si="185"/>
        <v>-0.24619151251360172</v>
      </c>
      <c r="J315" s="483">
        <f t="shared" si="185"/>
        <v>-0.34401286491835725</v>
      </c>
      <c r="K315" s="483">
        <f t="shared" si="185"/>
        <v>-0.44936293182713771</v>
      </c>
      <c r="L315" s="483">
        <f t="shared" si="185"/>
        <v>-0.3803150704028998</v>
      </c>
      <c r="M315" s="483">
        <f t="shared" si="185"/>
        <v>-0.26326185101580135</v>
      </c>
      <c r="N315" s="42"/>
      <c r="O315" s="483">
        <f t="shared" ref="O315:S318" si="186">O307/O382-1</f>
        <v>-0.92557864426674497</v>
      </c>
      <c r="P315" s="483">
        <f t="shared" si="186"/>
        <v>0.43441396508728203</v>
      </c>
      <c r="Q315" s="483">
        <f t="shared" si="186"/>
        <v>-0.23638222717977309</v>
      </c>
      <c r="R315" s="483">
        <f t="shared" si="186"/>
        <v>-0.36641675048002198</v>
      </c>
      <c r="S315" s="483">
        <f t="shared" si="186"/>
        <v>-0.7668289972067448</v>
      </c>
      <c r="T315" s="520"/>
    </row>
    <row r="316" spans="1:20" ht="13" hidden="1" customHeight="1" outlineLevel="1">
      <c r="A316" s="526" t="s">
        <v>25</v>
      </c>
      <c r="B316" s="483">
        <f t="shared" ref="B316:M316" si="187">B308/B383-1</f>
        <v>-0.98566873934346222</v>
      </c>
      <c r="C316" s="483">
        <f t="shared" si="187"/>
        <v>-0.94849991428081604</v>
      </c>
      <c r="D316" s="483">
        <f t="shared" si="187"/>
        <v>-0.8263433813892529</v>
      </c>
      <c r="E316" s="483">
        <f t="shared" si="187"/>
        <v>0.35227272727272729</v>
      </c>
      <c r="F316" s="483">
        <f t="shared" si="187"/>
        <v>1.0145566828407393E-2</v>
      </c>
      <c r="G316" s="483">
        <f t="shared" si="187"/>
        <v>-0.1835488505747126</v>
      </c>
      <c r="H316" s="483">
        <f t="shared" si="187"/>
        <v>-0.27269900497512434</v>
      </c>
      <c r="I316" s="483">
        <f t="shared" si="187"/>
        <v>-0.16591203104786556</v>
      </c>
      <c r="J316" s="483">
        <f t="shared" si="187"/>
        <v>-0.26396983201919788</v>
      </c>
      <c r="K316" s="483">
        <f t="shared" si="187"/>
        <v>-0.24055368499812946</v>
      </c>
      <c r="L316" s="483">
        <f t="shared" si="187"/>
        <v>-7.5933609958506287E-2</v>
      </c>
      <c r="M316" s="483">
        <f t="shared" si="187"/>
        <v>-7.2618539085861356E-3</v>
      </c>
      <c r="N316" s="42"/>
      <c r="O316" s="483">
        <f t="shared" si="186"/>
        <v>-0.96936202445855302</v>
      </c>
      <c r="P316" s="483">
        <f t="shared" si="186"/>
        <v>1.9380414036118232E-2</v>
      </c>
      <c r="Q316" s="483">
        <f t="shared" si="186"/>
        <v>-0.23414634146341462</v>
      </c>
      <c r="R316" s="483">
        <f t="shared" si="186"/>
        <v>-0.11355064655172409</v>
      </c>
      <c r="S316" s="483">
        <f t="shared" si="186"/>
        <v>-0.88070549601563408</v>
      </c>
      <c r="T316" s="520"/>
    </row>
    <row r="317" spans="1:20" ht="13" hidden="1" customHeight="1" outlineLevel="1">
      <c r="A317" s="526" t="s">
        <v>172</v>
      </c>
      <c r="B317" s="483">
        <f t="shared" ref="B317:M317" si="188">B309/B384-1</f>
        <v>-0.97960848287112556</v>
      </c>
      <c r="C317" s="483">
        <f t="shared" si="188"/>
        <v>-0.94148076301325578</v>
      </c>
      <c r="D317" s="483">
        <f t="shared" si="188"/>
        <v>-0.82140422631220178</v>
      </c>
      <c r="E317" s="483">
        <f t="shared" si="188"/>
        <v>0.57516339869281041</v>
      </c>
      <c r="F317" s="483">
        <f t="shared" si="188"/>
        <v>-6.6666666666666652E-2</v>
      </c>
      <c r="G317" s="483">
        <f t="shared" si="188"/>
        <v>-0.33983286908077992</v>
      </c>
      <c r="H317" s="483">
        <f t="shared" si="188"/>
        <v>-0.19466666666666665</v>
      </c>
      <c r="I317" s="483">
        <f t="shared" si="188"/>
        <v>-0.26769911504424782</v>
      </c>
      <c r="J317" s="483">
        <f t="shared" si="188"/>
        <v>-0.3307692307692307</v>
      </c>
      <c r="K317" s="483">
        <f t="shared" si="188"/>
        <v>-0.43356643356643354</v>
      </c>
      <c r="L317" s="483">
        <f t="shared" si="188"/>
        <v>-0.46010638297872342</v>
      </c>
      <c r="M317" s="483">
        <f t="shared" si="188"/>
        <v>-0.39495798319327735</v>
      </c>
      <c r="N317" s="42"/>
      <c r="O317" s="483">
        <f t="shared" si="186"/>
        <v>-0.96144665836446663</v>
      </c>
      <c r="P317" s="483">
        <f t="shared" si="186"/>
        <v>-6.6492829204693349E-2</v>
      </c>
      <c r="Q317" s="483">
        <f t="shared" si="186"/>
        <v>-0.26540673788003288</v>
      </c>
      <c r="R317" s="483">
        <f t="shared" si="186"/>
        <v>-0.43029259896729777</v>
      </c>
      <c r="S317" s="483">
        <f t="shared" si="186"/>
        <v>-0.86550985814970116</v>
      </c>
      <c r="T317" s="520"/>
    </row>
    <row r="318" spans="1:20" ht="13" hidden="1" customHeight="1" outlineLevel="1">
      <c r="A318" s="536" t="s">
        <v>196</v>
      </c>
      <c r="B318" s="484">
        <f t="shared" ref="B318:M318" si="189">B310/B385-1</f>
        <v>-0.97655082231465284</v>
      </c>
      <c r="C318" s="484">
        <f t="shared" si="189"/>
        <v>-0.91308311442177359</v>
      </c>
      <c r="D318" s="484">
        <f t="shared" si="189"/>
        <v>-0.73270410118819473</v>
      </c>
      <c r="E318" s="484">
        <f t="shared" si="189"/>
        <v>0.74964028776978431</v>
      </c>
      <c r="F318" s="484">
        <f t="shared" si="189"/>
        <v>0.20520231213872808</v>
      </c>
      <c r="G318" s="484">
        <f t="shared" si="189"/>
        <v>-0.13923832500430811</v>
      </c>
      <c r="H318" s="484">
        <f t="shared" si="189"/>
        <v>-0.16112218304461112</v>
      </c>
      <c r="I318" s="484">
        <f t="shared" si="189"/>
        <v>-0.23609997326917931</v>
      </c>
      <c r="J318" s="484">
        <f t="shared" si="189"/>
        <v>-0.32487752499832223</v>
      </c>
      <c r="K318" s="484">
        <f t="shared" si="189"/>
        <v>-0.40642151481888034</v>
      </c>
      <c r="L318" s="484">
        <f t="shared" si="189"/>
        <v>-0.34782282844937429</v>
      </c>
      <c r="M318" s="484">
        <f t="shared" si="189"/>
        <v>-0.25332717901377033</v>
      </c>
      <c r="N318" s="42"/>
      <c r="O318" s="484">
        <f t="shared" si="186"/>
        <v>-0.95125122243990834</v>
      </c>
      <c r="P318" s="484">
        <f t="shared" si="186"/>
        <v>0.18286748896684402</v>
      </c>
      <c r="Q318" s="484">
        <f t="shared" si="186"/>
        <v>-0.24413320593787124</v>
      </c>
      <c r="R318" s="484">
        <f t="shared" si="186"/>
        <v>-0.33867735470941884</v>
      </c>
      <c r="S318" s="484">
        <f t="shared" si="186"/>
        <v>-0.83283551900607078</v>
      </c>
      <c r="T318" s="520"/>
    </row>
    <row r="319" spans="1:20" ht="13" hidden="1" customHeight="1" outlineLevel="1">
      <c r="A319" s="526" t="s">
        <v>181</v>
      </c>
      <c r="B319" s="483"/>
      <c r="C319" s="483"/>
      <c r="D319" s="483"/>
      <c r="E319" s="483"/>
      <c r="F319" s="483"/>
      <c r="G319" s="483"/>
      <c r="H319" s="483"/>
      <c r="I319" s="483"/>
      <c r="J319" s="483"/>
      <c r="K319" s="483"/>
      <c r="L319" s="483"/>
      <c r="M319" s="483"/>
      <c r="N319" s="42"/>
      <c r="O319" s="337"/>
      <c r="P319" s="483"/>
      <c r="Q319" s="483"/>
      <c r="R319" s="483"/>
      <c r="S319" s="483"/>
      <c r="T319" s="520"/>
    </row>
    <row r="320" spans="1:20" s="489" customFormat="1" ht="13" hidden="1" customHeight="1" outlineLevel="1">
      <c r="A320" s="539" t="s">
        <v>197</v>
      </c>
      <c r="B320" s="540"/>
      <c r="C320" s="540"/>
      <c r="D320" s="540"/>
      <c r="E320" s="540"/>
      <c r="F320" s="540"/>
      <c r="G320" s="540"/>
      <c r="H320" s="540"/>
      <c r="I320" s="540"/>
      <c r="J320" s="540"/>
      <c r="K320" s="540"/>
      <c r="L320" s="540"/>
      <c r="M320" s="540"/>
      <c r="N320" s="49"/>
      <c r="O320" s="541"/>
      <c r="P320" s="491"/>
      <c r="Q320" s="491"/>
      <c r="R320" s="491"/>
      <c r="S320" s="491"/>
      <c r="T320" s="542"/>
    </row>
    <row r="321" spans="1:20" ht="13" hidden="1" customHeight="1" outlineLevel="1">
      <c r="A321" s="532"/>
      <c r="B321" s="483"/>
      <c r="C321" s="483"/>
      <c r="D321" s="337"/>
      <c r="E321" s="337"/>
      <c r="F321" s="337"/>
      <c r="G321" s="538"/>
      <c r="H321" s="337"/>
      <c r="I321" s="538"/>
      <c r="J321" s="538"/>
      <c r="K321" s="337"/>
      <c r="L321" s="337"/>
      <c r="M321" s="337"/>
      <c r="N321" s="42"/>
      <c r="O321" s="43"/>
      <c r="P321" s="43"/>
      <c r="Q321" s="43"/>
      <c r="R321" s="43"/>
      <c r="S321" s="44"/>
      <c r="T321" s="520"/>
    </row>
    <row r="322" spans="1:20" ht="13" hidden="1" customHeight="1" outlineLevel="1">
      <c r="A322" s="528" t="s">
        <v>179</v>
      </c>
      <c r="B322" s="488"/>
      <c r="C322" s="337"/>
      <c r="D322" s="337"/>
      <c r="E322" s="337"/>
      <c r="F322" s="337"/>
      <c r="G322" s="538"/>
      <c r="H322" s="337"/>
      <c r="I322" s="538"/>
      <c r="J322" s="538"/>
      <c r="K322" s="337"/>
      <c r="L322" s="337"/>
      <c r="M322" s="337"/>
      <c r="N322" s="42"/>
      <c r="O322" s="43"/>
      <c r="P322" s="43"/>
      <c r="Q322" s="43"/>
      <c r="R322" s="43"/>
      <c r="S322" s="43"/>
      <c r="T322" s="520"/>
    </row>
    <row r="323" spans="1:20" ht="13" hidden="1" customHeight="1" outlineLevel="1">
      <c r="A323" s="526" t="s">
        <v>22</v>
      </c>
      <c r="B323" s="483">
        <f t="shared" ref="B323:M323" si="190">B307/B441-1</f>
        <v>-0.96335003579098066</v>
      </c>
      <c r="C323" s="483">
        <f t="shared" si="190"/>
        <v>-0.97563030415660035</v>
      </c>
      <c r="D323" s="483">
        <f t="shared" si="190"/>
        <v>-0.9622621836782258</v>
      </c>
      <c r="E323" s="483">
        <f t="shared" si="190"/>
        <v>-0.96294311400682853</v>
      </c>
      <c r="F323" s="483">
        <f t="shared" si="190"/>
        <v>-0.96417076010284952</v>
      </c>
      <c r="G323" s="483">
        <f t="shared" si="190"/>
        <v>-0.96735075196463349</v>
      </c>
      <c r="H323" s="483">
        <f t="shared" si="190"/>
        <v>-0.96993707509541005</v>
      </c>
      <c r="I323" s="483">
        <f t="shared" si="190"/>
        <v>-0.97186302134897062</v>
      </c>
      <c r="J323" s="483">
        <f t="shared" si="190"/>
        <v>-0.96855096013568809</v>
      </c>
      <c r="K323" s="483">
        <f t="shared" si="190"/>
        <v>-0.97517705298562263</v>
      </c>
      <c r="L323" s="483">
        <f t="shared" si="190"/>
        <v>-0.97281129386434395</v>
      </c>
      <c r="M323" s="483">
        <f t="shared" si="190"/>
        <v>-0.9706795582281964</v>
      </c>
      <c r="N323" s="42"/>
      <c r="O323" s="483">
        <f t="shared" ref="O323:S326" si="191">O307/O441-1</f>
        <v>-0.96701793885994358</v>
      </c>
      <c r="P323" s="483">
        <f t="shared" si="191"/>
        <v>-0.96481691789186952</v>
      </c>
      <c r="Q323" s="483">
        <f t="shared" si="191"/>
        <v>-0.97020117381620852</v>
      </c>
      <c r="R323" s="483">
        <f t="shared" si="191"/>
        <v>-0.97285019119859584</v>
      </c>
      <c r="S323" s="483">
        <f t="shared" si="191"/>
        <v>-0.96880464604161498</v>
      </c>
      <c r="T323" s="520"/>
    </row>
    <row r="324" spans="1:20" ht="13" hidden="1" customHeight="1" outlineLevel="1">
      <c r="A324" s="526" t="s">
        <v>25</v>
      </c>
      <c r="B324" s="483">
        <f t="shared" ref="B324:M324" si="192">B308/B442-1</f>
        <v>-0.98481143609517541</v>
      </c>
      <c r="C324" s="483">
        <f t="shared" si="192"/>
        <v>-0.98987590911235579</v>
      </c>
      <c r="D324" s="483">
        <f t="shared" si="192"/>
        <v>-0.98327946774725006</v>
      </c>
      <c r="E324" s="483">
        <f t="shared" si="192"/>
        <v>-0.9834469328140214</v>
      </c>
      <c r="F324" s="483">
        <f t="shared" si="192"/>
        <v>-0.98409545505056117</v>
      </c>
      <c r="G324" s="483">
        <f t="shared" si="192"/>
        <v>-0.98439923677744379</v>
      </c>
      <c r="H324" s="483">
        <f t="shared" si="192"/>
        <v>-0.98448002441791793</v>
      </c>
      <c r="I324" s="483">
        <f t="shared" si="192"/>
        <v>-0.9838909154507296</v>
      </c>
      <c r="J324" s="483">
        <f t="shared" si="192"/>
        <v>-0.98487495597041208</v>
      </c>
      <c r="K324" s="483">
        <f t="shared" si="192"/>
        <v>-0.98572101823911318</v>
      </c>
      <c r="L324" s="483">
        <f t="shared" si="192"/>
        <v>-0.98418761848635672</v>
      </c>
      <c r="M324" s="483">
        <f t="shared" si="192"/>
        <v>-0.98417680581182387</v>
      </c>
      <c r="N324" s="42"/>
      <c r="O324" s="483">
        <f t="shared" si="191"/>
        <v>-0.98602282544445963</v>
      </c>
      <c r="P324" s="483">
        <f t="shared" si="191"/>
        <v>-0.98398244828843129</v>
      </c>
      <c r="Q324" s="483">
        <f t="shared" si="191"/>
        <v>-0.98439553400845936</v>
      </c>
      <c r="R324" s="483">
        <f t="shared" si="191"/>
        <v>-0.98469104096734195</v>
      </c>
      <c r="S324" s="483">
        <f t="shared" si="191"/>
        <v>-0.98477353646674515</v>
      </c>
      <c r="T324" s="520"/>
    </row>
    <row r="325" spans="1:20" ht="13" hidden="1" customHeight="1" outlineLevel="1">
      <c r="A325" s="526" t="s">
        <v>172</v>
      </c>
      <c r="B325" s="483">
        <f t="shared" ref="B325:M325" si="193">B309/B443-1</f>
        <v>-0.97942386831275718</v>
      </c>
      <c r="C325" s="483">
        <f t="shared" si="193"/>
        <v>-0.98666863077263023</v>
      </c>
      <c r="D325" s="483">
        <f t="shared" si="193"/>
        <v>-0.98224090015590049</v>
      </c>
      <c r="E325" s="483">
        <f t="shared" si="193"/>
        <v>-0.9836831415030467</v>
      </c>
      <c r="F325" s="483">
        <f t="shared" si="193"/>
        <v>-0.98331580792148621</v>
      </c>
      <c r="G325" s="483">
        <f t="shared" si="193"/>
        <v>-0.98286334056399127</v>
      </c>
      <c r="H325" s="483">
        <f t="shared" si="193"/>
        <v>-0.97903796765461237</v>
      </c>
      <c r="I325" s="483">
        <f t="shared" si="193"/>
        <v>-0.97837166753789861</v>
      </c>
      <c r="J325" s="483">
        <f t="shared" si="193"/>
        <v>-0.98079328868938109</v>
      </c>
      <c r="K325" s="483">
        <f t="shared" si="193"/>
        <v>-0.9820941713948862</v>
      </c>
      <c r="L325" s="483">
        <f t="shared" si="193"/>
        <v>-0.98516298786727086</v>
      </c>
      <c r="M325" s="483">
        <f t="shared" si="193"/>
        <v>-0.9852176293457432</v>
      </c>
      <c r="N325" s="42"/>
      <c r="O325" s="483">
        <f t="shared" si="191"/>
        <v>-0.98268468888371008</v>
      </c>
      <c r="P325" s="483">
        <f t="shared" si="191"/>
        <v>-0.98329639566079552</v>
      </c>
      <c r="Q325" s="483">
        <f t="shared" si="191"/>
        <v>-0.97935334872979218</v>
      </c>
      <c r="R325" s="483">
        <f t="shared" si="191"/>
        <v>-0.98418726860145711</v>
      </c>
      <c r="S325" s="483">
        <f t="shared" si="191"/>
        <v>-0.98236223236223241</v>
      </c>
      <c r="T325" s="520"/>
    </row>
    <row r="326" spans="1:20" ht="13" hidden="1" customHeight="1" outlineLevel="1">
      <c r="A326" s="536" t="s">
        <v>196</v>
      </c>
      <c r="B326" s="484">
        <f t="shared" ref="B326:M326" si="194">B310/B444-1</f>
        <v>-0.97532997910456798</v>
      </c>
      <c r="C326" s="484">
        <f t="shared" si="194"/>
        <v>-0.98373728282898565</v>
      </c>
      <c r="D326" s="484">
        <f t="shared" si="194"/>
        <v>-0.97538033825005788</v>
      </c>
      <c r="E326" s="484">
        <f t="shared" si="194"/>
        <v>-0.97608125031417403</v>
      </c>
      <c r="F326" s="484">
        <f t="shared" si="194"/>
        <v>-0.97669125357456676</v>
      </c>
      <c r="G326" s="484">
        <f t="shared" si="194"/>
        <v>-0.97768938894831936</v>
      </c>
      <c r="H326" s="484">
        <f t="shared" si="194"/>
        <v>-0.97722637944381097</v>
      </c>
      <c r="I326" s="484">
        <f t="shared" si="194"/>
        <v>-0.97759071242753881</v>
      </c>
      <c r="J326" s="484">
        <f t="shared" si="194"/>
        <v>-0.9774672872495308</v>
      </c>
      <c r="K326" s="484">
        <f t="shared" si="194"/>
        <v>-0.98063359395460137</v>
      </c>
      <c r="L326" s="484">
        <f t="shared" si="194"/>
        <v>-0.98027410426480122</v>
      </c>
      <c r="M326" s="484">
        <f t="shared" si="194"/>
        <v>-0.9793968931890451</v>
      </c>
      <c r="N326" s="42"/>
      <c r="O326" s="484">
        <f t="shared" si="191"/>
        <v>-0.97809894524626106</v>
      </c>
      <c r="P326" s="484">
        <f t="shared" si="191"/>
        <v>-0.97681533371532081</v>
      </c>
      <c r="Q326" s="484">
        <f t="shared" si="191"/>
        <v>-0.97743053985091</v>
      </c>
      <c r="R326" s="484">
        <f t="shared" si="191"/>
        <v>-0.98008819765811894</v>
      </c>
      <c r="S326" s="484">
        <f t="shared" si="191"/>
        <v>-0.97810014695731917</v>
      </c>
      <c r="T326" s="520"/>
    </row>
    <row r="327" spans="1:20" ht="13" hidden="1" customHeight="1" outlineLevel="1">
      <c r="A327" s="526" t="s">
        <v>181</v>
      </c>
      <c r="B327" s="483"/>
      <c r="C327" s="483"/>
      <c r="D327" s="483"/>
      <c r="E327" s="483"/>
      <c r="F327" s="483"/>
      <c r="G327" s="483"/>
      <c r="H327" s="483"/>
      <c r="I327" s="483"/>
      <c r="J327" s="483"/>
      <c r="K327" s="483"/>
      <c r="L327" s="483"/>
      <c r="M327" s="483"/>
      <c r="N327" s="42"/>
      <c r="O327" s="337"/>
      <c r="P327" s="483"/>
      <c r="Q327" s="483"/>
      <c r="R327" s="483"/>
      <c r="S327" s="483"/>
      <c r="T327" s="520"/>
    </row>
    <row r="328" spans="1:20" s="489" customFormat="1" ht="13" hidden="1" customHeight="1" outlineLevel="1">
      <c r="A328" s="539" t="s">
        <v>197</v>
      </c>
      <c r="B328" s="540"/>
      <c r="C328" s="540"/>
      <c r="D328" s="540"/>
      <c r="E328" s="540"/>
      <c r="F328" s="540"/>
      <c r="G328" s="540"/>
      <c r="H328" s="540"/>
      <c r="I328" s="540"/>
      <c r="J328" s="540"/>
      <c r="K328" s="540"/>
      <c r="L328" s="540"/>
      <c r="M328" s="540"/>
      <c r="N328" s="49"/>
      <c r="O328" s="541"/>
      <c r="P328" s="491"/>
      <c r="Q328" s="491"/>
      <c r="R328" s="491"/>
      <c r="S328" s="491"/>
      <c r="T328" s="542"/>
    </row>
    <row r="329" spans="1:20" ht="13" hidden="1" customHeight="1" outlineLevel="1">
      <c r="A329" s="532"/>
      <c r="B329" s="337"/>
      <c r="C329" s="337"/>
      <c r="D329" s="337"/>
      <c r="E329" s="337"/>
      <c r="F329" s="337"/>
      <c r="G329" s="538"/>
      <c r="H329" s="337"/>
      <c r="I329" s="538"/>
      <c r="J329" s="538"/>
      <c r="K329" s="337"/>
      <c r="L329" s="337"/>
      <c r="M329" s="337"/>
      <c r="N329" s="42"/>
      <c r="O329" s="43"/>
      <c r="P329" s="43"/>
      <c r="Q329" s="43"/>
      <c r="R329" s="43"/>
      <c r="S329" s="44"/>
      <c r="T329" s="520"/>
    </row>
    <row r="330" spans="1:20" ht="13" hidden="1" customHeight="1" outlineLevel="1">
      <c r="A330" s="532" t="s">
        <v>148</v>
      </c>
      <c r="B330" s="337"/>
      <c r="C330" s="337"/>
      <c r="D330" s="337"/>
      <c r="E330" s="337"/>
      <c r="F330" s="337"/>
      <c r="G330" s="538"/>
      <c r="H330" s="337"/>
      <c r="I330" s="538"/>
      <c r="J330" s="538"/>
      <c r="K330" s="337"/>
      <c r="L330" s="337"/>
      <c r="M330" s="337"/>
      <c r="N330" s="42"/>
      <c r="O330" s="43"/>
      <c r="P330" s="43"/>
      <c r="Q330" s="43"/>
      <c r="R330" s="43"/>
      <c r="S330" s="44"/>
      <c r="T330" s="520"/>
    </row>
    <row r="331" spans="1:20" ht="13" hidden="1" customHeight="1" outlineLevel="1">
      <c r="A331" s="533" t="s">
        <v>157</v>
      </c>
      <c r="B331" s="472" t="s">
        <v>51</v>
      </c>
      <c r="C331" s="472" t="s">
        <v>52</v>
      </c>
      <c r="D331" s="472" t="s">
        <v>53</v>
      </c>
      <c r="E331" s="472" t="s">
        <v>54</v>
      </c>
      <c r="F331" s="472" t="s">
        <v>55</v>
      </c>
      <c r="G331" s="472" t="s">
        <v>77</v>
      </c>
      <c r="H331" s="472" t="s">
        <v>78</v>
      </c>
      <c r="I331" s="472" t="s">
        <v>79</v>
      </c>
      <c r="J331" s="472" t="s">
        <v>80</v>
      </c>
      <c r="K331" s="472" t="s">
        <v>81</v>
      </c>
      <c r="L331" s="472" t="s">
        <v>82</v>
      </c>
      <c r="M331" s="472" t="s">
        <v>44</v>
      </c>
      <c r="N331" s="473" t="s">
        <v>133</v>
      </c>
      <c r="O331" s="473" t="s">
        <v>129</v>
      </c>
      <c r="P331" s="473" t="s">
        <v>130</v>
      </c>
      <c r="Q331" s="473" t="s">
        <v>131</v>
      </c>
      <c r="R331" s="473" t="s">
        <v>132</v>
      </c>
      <c r="S331" s="445" t="s">
        <v>171</v>
      </c>
      <c r="T331" s="520"/>
    </row>
    <row r="332" spans="1:20" ht="13" hidden="1" customHeight="1" outlineLevel="1">
      <c r="A332" s="526" t="s">
        <v>22</v>
      </c>
      <c r="B332" s="15">
        <v>11.62</v>
      </c>
      <c r="C332" s="15">
        <v>9.61</v>
      </c>
      <c r="D332" s="15">
        <v>16.88</v>
      </c>
      <c r="E332" s="15">
        <v>17.63</v>
      </c>
      <c r="F332" s="15">
        <v>20.350000000000001</v>
      </c>
      <c r="G332" s="15">
        <v>19.809999999999999</v>
      </c>
      <c r="H332" s="15">
        <v>17.57</v>
      </c>
      <c r="I332" s="15">
        <v>7.72</v>
      </c>
      <c r="J332" s="15">
        <v>5.25</v>
      </c>
      <c r="K332" s="15">
        <v>3.61</v>
      </c>
      <c r="L332" s="15">
        <v>5.87</v>
      </c>
      <c r="M332" s="15">
        <v>8.84</v>
      </c>
      <c r="N332" s="15"/>
      <c r="O332" s="15">
        <f>SUM(B332:D332)</f>
        <v>38.11</v>
      </c>
      <c r="P332" s="15">
        <f>SUM(E332:G332)</f>
        <v>57.790000000000006</v>
      </c>
      <c r="Q332" s="15">
        <f>SUM(H332:J332)</f>
        <v>30.54</v>
      </c>
      <c r="R332" s="15">
        <f>SUM(K332:M332)</f>
        <v>18.32</v>
      </c>
      <c r="S332" s="15">
        <f>SUM(B332:M332)</f>
        <v>144.76000000000002</v>
      </c>
      <c r="T332" s="520"/>
    </row>
    <row r="333" spans="1:20" ht="13" hidden="1" customHeight="1" outlineLevel="1">
      <c r="A333" s="526" t="s">
        <v>25</v>
      </c>
      <c r="B333" s="15">
        <v>17.29</v>
      </c>
      <c r="C333" s="15">
        <v>10.029999999999999</v>
      </c>
      <c r="D333" s="15">
        <v>17.43</v>
      </c>
      <c r="E333" s="15">
        <v>20.059999999999999</v>
      </c>
      <c r="F333" s="15">
        <v>30.66</v>
      </c>
      <c r="G333" s="15">
        <v>33.06</v>
      </c>
      <c r="H333" s="15">
        <v>39.409999999999997</v>
      </c>
      <c r="I333" s="15">
        <v>14.37</v>
      </c>
      <c r="J333" s="15">
        <v>20.71</v>
      </c>
      <c r="K333" s="15">
        <v>18.84</v>
      </c>
      <c r="L333" s="15">
        <v>21.16</v>
      </c>
      <c r="M333" s="15">
        <v>31.49</v>
      </c>
      <c r="N333" s="15"/>
      <c r="O333" s="15">
        <f>SUM(B333:D333)</f>
        <v>44.75</v>
      </c>
      <c r="P333" s="15">
        <f>SUM(E333:G333)</f>
        <v>83.78</v>
      </c>
      <c r="Q333" s="15">
        <f>SUM(H333:J333)</f>
        <v>74.489999999999995</v>
      </c>
      <c r="R333" s="15">
        <f>SUM(K333:M333)</f>
        <v>71.489999999999995</v>
      </c>
      <c r="S333" s="15">
        <f>SUM(B333:M333)</f>
        <v>274.51</v>
      </c>
      <c r="T333" s="520"/>
    </row>
    <row r="334" spans="1:20" ht="13" hidden="1" customHeight="1" outlineLevel="1">
      <c r="A334" s="526" t="s">
        <v>172</v>
      </c>
      <c r="B334" s="15">
        <v>41.1</v>
      </c>
      <c r="C334" s="15">
        <v>26</v>
      </c>
      <c r="D334" s="15">
        <v>67.7</v>
      </c>
      <c r="E334" s="15">
        <v>99.1</v>
      </c>
      <c r="F334" s="15">
        <v>107.4</v>
      </c>
      <c r="G334" s="15">
        <v>100.2</v>
      </c>
      <c r="H334" s="15">
        <v>122.7</v>
      </c>
      <c r="I334" s="15">
        <v>27.1</v>
      </c>
      <c r="J334" s="15">
        <v>51</v>
      </c>
      <c r="K334" s="15">
        <v>20.100000000000001</v>
      </c>
      <c r="L334" s="15">
        <v>26.6</v>
      </c>
      <c r="M334" s="15">
        <v>59.9</v>
      </c>
      <c r="N334" s="15"/>
      <c r="O334" s="15">
        <f>SUM(B334:D334)</f>
        <v>134.80000000000001</v>
      </c>
      <c r="P334" s="15">
        <f>SUM(E334:G334)</f>
        <v>306.7</v>
      </c>
      <c r="Q334" s="15">
        <f>SUM(H334:J334)</f>
        <v>200.8</v>
      </c>
      <c r="R334" s="15">
        <f>SUM(K334:M334)</f>
        <v>106.6</v>
      </c>
      <c r="S334" s="15">
        <f>SUM(B334:M334)</f>
        <v>748.90000000000009</v>
      </c>
      <c r="T334" s="520"/>
    </row>
    <row r="335" spans="1:20" ht="13" hidden="1" customHeight="1" outlineLevel="1">
      <c r="A335" s="535" t="s">
        <v>196</v>
      </c>
      <c r="B335" s="45">
        <f t="shared" ref="B335:M335" si="195">SUM(B332:B334)</f>
        <v>70.009999999999991</v>
      </c>
      <c r="C335" s="45">
        <f t="shared" si="195"/>
        <v>45.64</v>
      </c>
      <c r="D335" s="45">
        <f t="shared" si="195"/>
        <v>102.01</v>
      </c>
      <c r="E335" s="45">
        <f t="shared" si="195"/>
        <v>136.79</v>
      </c>
      <c r="F335" s="45">
        <f t="shared" si="195"/>
        <v>158.41000000000003</v>
      </c>
      <c r="G335" s="45">
        <f t="shared" si="195"/>
        <v>153.07</v>
      </c>
      <c r="H335" s="45">
        <f t="shared" si="195"/>
        <v>179.68</v>
      </c>
      <c r="I335" s="45">
        <f t="shared" si="195"/>
        <v>49.19</v>
      </c>
      <c r="J335" s="45">
        <f t="shared" si="195"/>
        <v>76.960000000000008</v>
      </c>
      <c r="K335" s="45">
        <f t="shared" si="195"/>
        <v>42.55</v>
      </c>
      <c r="L335" s="45">
        <f t="shared" si="195"/>
        <v>53.63</v>
      </c>
      <c r="M335" s="45">
        <f t="shared" si="195"/>
        <v>100.22999999999999</v>
      </c>
      <c r="N335" s="45"/>
      <c r="O335" s="21">
        <f>SUM(B335:D335)</f>
        <v>217.66</v>
      </c>
      <c r="P335" s="21">
        <f>SUM(E335:G335)</f>
        <v>448.27000000000004</v>
      </c>
      <c r="Q335" s="21">
        <f>SUM(H335:J335)</f>
        <v>305.83000000000004</v>
      </c>
      <c r="R335" s="21">
        <f>SUM(K335:M335)</f>
        <v>196.41</v>
      </c>
      <c r="S335" s="21">
        <f>SUM(B335:M335)</f>
        <v>1168.1700000000003</v>
      </c>
      <c r="T335" s="520"/>
    </row>
    <row r="336" spans="1:20" ht="13" hidden="1" customHeight="1" outlineLevel="1">
      <c r="A336" s="526" t="s">
        <v>181</v>
      </c>
      <c r="B336" s="38"/>
      <c r="C336" s="38"/>
      <c r="D336" s="38"/>
      <c r="E336" s="151"/>
      <c r="F336" s="543"/>
      <c r="G336" s="543"/>
      <c r="H336" s="543"/>
      <c r="I336" s="543"/>
      <c r="J336" s="543"/>
      <c r="K336" s="543"/>
      <c r="L336" s="543"/>
      <c r="M336" s="543"/>
      <c r="N336" s="42"/>
      <c r="O336" s="15"/>
      <c r="P336" s="15"/>
      <c r="Q336" s="15"/>
      <c r="R336" s="15"/>
      <c r="S336" s="1"/>
      <c r="T336" s="520"/>
    </row>
    <row r="337" spans="1:20" ht="13" hidden="1" customHeight="1" outlineLevel="1">
      <c r="A337" s="535" t="s">
        <v>197</v>
      </c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21"/>
      <c r="P337" s="21"/>
      <c r="Q337" s="21"/>
      <c r="R337" s="21"/>
      <c r="S337" s="44"/>
      <c r="T337" s="520"/>
    </row>
    <row r="338" spans="1:20" ht="13" hidden="1" customHeight="1" outlineLevel="1">
      <c r="A338" s="532"/>
      <c r="B338" s="337"/>
      <c r="C338" s="337"/>
      <c r="D338" s="337"/>
      <c r="E338" s="337"/>
      <c r="F338" s="337"/>
      <c r="G338" s="483"/>
      <c r="H338" s="337"/>
      <c r="I338" s="538"/>
      <c r="J338" s="538"/>
      <c r="K338" s="337"/>
      <c r="L338" s="337"/>
      <c r="M338" s="337"/>
      <c r="N338" s="42"/>
      <c r="O338" s="43"/>
      <c r="P338" s="43"/>
      <c r="Q338" s="43"/>
      <c r="R338" s="43"/>
      <c r="S338" s="44"/>
      <c r="T338" s="520"/>
    </row>
    <row r="339" spans="1:20" ht="13" hidden="1" customHeight="1" outlineLevel="1">
      <c r="A339" s="528" t="s">
        <v>183</v>
      </c>
      <c r="B339" s="337"/>
      <c r="C339" s="337"/>
      <c r="D339" s="337"/>
      <c r="E339" s="337"/>
      <c r="F339" s="337"/>
      <c r="G339" s="538"/>
      <c r="H339" s="337"/>
      <c r="I339" s="538"/>
      <c r="J339" s="538"/>
      <c r="K339" s="337"/>
      <c r="L339" s="337"/>
      <c r="M339" s="337"/>
      <c r="N339" s="42"/>
      <c r="O339" s="43"/>
      <c r="P339" s="43"/>
      <c r="Q339" s="43"/>
      <c r="R339" s="43"/>
      <c r="S339" s="44"/>
      <c r="T339" s="520"/>
    </row>
    <row r="340" spans="1:20" ht="13" hidden="1" customHeight="1" outlineLevel="1">
      <c r="A340" s="526" t="s">
        <v>22</v>
      </c>
      <c r="B340" s="483">
        <f t="shared" ref="B340:M340" si="196">B332/B399-1</f>
        <v>-0.91521961184882539</v>
      </c>
      <c r="C340" s="483">
        <f t="shared" si="196"/>
        <v>-0.13031674208144806</v>
      </c>
      <c r="D340" s="483">
        <f t="shared" si="196"/>
        <v>2.4876033057851239</v>
      </c>
      <c r="E340" s="483">
        <f t="shared" si="196"/>
        <v>19.5</v>
      </c>
      <c r="F340" s="483">
        <f t="shared" si="196"/>
        <v>6.1403508771929829</v>
      </c>
      <c r="G340" s="483">
        <f t="shared" si="196"/>
        <v>3.1356993736951981</v>
      </c>
      <c r="H340" s="483">
        <f t="shared" si="196"/>
        <v>1.658093797276853</v>
      </c>
      <c r="I340" s="483">
        <f t="shared" si="196"/>
        <v>0.79118329466357329</v>
      </c>
      <c r="J340" s="483">
        <f t="shared" si="196"/>
        <v>-0.339622641509434</v>
      </c>
      <c r="K340" s="483">
        <f t="shared" si="196"/>
        <v>-0.64711632453567947</v>
      </c>
      <c r="L340" s="483">
        <f t="shared" si="196"/>
        <v>-0.44778927563499538</v>
      </c>
      <c r="M340" s="483">
        <f t="shared" si="196"/>
        <v>-0.26639004149377599</v>
      </c>
      <c r="N340" s="42"/>
      <c r="O340" s="483">
        <f t="shared" ref="O340:S343" si="197">O332/O399-1</f>
        <v>-0.75083360575351421</v>
      </c>
      <c r="P340" s="483">
        <f t="shared" si="197"/>
        <v>5.7988235294117656</v>
      </c>
      <c r="Q340" s="483">
        <f t="shared" si="197"/>
        <v>0.61844197138314772</v>
      </c>
      <c r="R340" s="483">
        <f t="shared" si="197"/>
        <v>-0.44333029474323904</v>
      </c>
      <c r="S340" s="483">
        <f t="shared" si="197"/>
        <v>-0.32110866200816013</v>
      </c>
      <c r="T340" s="520"/>
    </row>
    <row r="341" spans="1:20" ht="13" hidden="1" customHeight="1" outlineLevel="1">
      <c r="A341" s="526" t="s">
        <v>25</v>
      </c>
      <c r="B341" s="483">
        <f t="shared" ref="B341:M341" si="198">B333/B400-1</f>
        <v>-0.92809913918576126</v>
      </c>
      <c r="C341" s="483">
        <f t="shared" si="198"/>
        <v>-0.59928086296444272</v>
      </c>
      <c r="D341" s="483">
        <f t="shared" si="198"/>
        <v>0.82322175732217562</v>
      </c>
      <c r="E341" s="483">
        <f t="shared" si="198"/>
        <v>4.7809798270893369</v>
      </c>
      <c r="F341" s="483">
        <f t="shared" si="198"/>
        <v>7.3770491803278677</v>
      </c>
      <c r="G341" s="483">
        <f t="shared" si="198"/>
        <v>8.6950146627565985</v>
      </c>
      <c r="H341" s="483">
        <f t="shared" si="198"/>
        <v>5.4185667752442992</v>
      </c>
      <c r="I341" s="483">
        <f t="shared" si="198"/>
        <v>0.84704370179948563</v>
      </c>
      <c r="J341" s="483">
        <f t="shared" si="198"/>
        <v>1.5012077294685993</v>
      </c>
      <c r="K341" s="483">
        <f t="shared" si="198"/>
        <v>0.29484536082474211</v>
      </c>
      <c r="L341" s="483">
        <f t="shared" si="198"/>
        <v>0.80546075085324231</v>
      </c>
      <c r="M341" s="483">
        <f t="shared" si="198"/>
        <v>1.0676296782665791</v>
      </c>
      <c r="N341" s="42"/>
      <c r="O341" s="483">
        <f t="shared" si="197"/>
        <v>-0.83730822366029234</v>
      </c>
      <c r="P341" s="483">
        <f t="shared" si="197"/>
        <v>6.9487666034155593</v>
      </c>
      <c r="Q341" s="483">
        <f t="shared" si="197"/>
        <v>2.3554054054054054</v>
      </c>
      <c r="R341" s="483">
        <f t="shared" si="197"/>
        <v>0.72265060240963841</v>
      </c>
      <c r="S341" s="483">
        <f t="shared" si="197"/>
        <v>-0.21411394217005453</v>
      </c>
      <c r="T341" s="520"/>
    </row>
    <row r="342" spans="1:20" ht="13" hidden="1" customHeight="1" outlineLevel="1">
      <c r="A342" s="526" t="s">
        <v>172</v>
      </c>
      <c r="B342" s="483">
        <f t="shared" ref="B342:M342" si="199">B334/B401-1</f>
        <v>-0.8928571428571429</v>
      </c>
      <c r="C342" s="483">
        <f t="shared" si="199"/>
        <v>-0.27777777777777779</v>
      </c>
      <c r="D342" s="483">
        <f t="shared" si="199"/>
        <v>4.7372881355932206</v>
      </c>
      <c r="E342" s="483">
        <f t="shared" si="199"/>
        <v>164.16666666666666</v>
      </c>
      <c r="F342" s="483">
        <f t="shared" si="199"/>
        <v>178.00000000000003</v>
      </c>
      <c r="G342" s="483">
        <f t="shared" si="199"/>
        <v>15.7</v>
      </c>
      <c r="H342" s="483">
        <f t="shared" si="199"/>
        <v>71.176470588235304</v>
      </c>
      <c r="I342" s="483">
        <f t="shared" si="199"/>
        <v>5.9487179487179489</v>
      </c>
      <c r="J342" s="483">
        <f t="shared" si="199"/>
        <v>4.4255319148936172</v>
      </c>
      <c r="K342" s="483">
        <f t="shared" si="199"/>
        <v>-0.58385093167701863</v>
      </c>
      <c r="L342" s="483">
        <f t="shared" si="199"/>
        <v>-0.47945205479452058</v>
      </c>
      <c r="M342" s="483">
        <f t="shared" si="199"/>
        <v>-5.9654631083202569E-2</v>
      </c>
      <c r="N342" s="42"/>
      <c r="O342" s="483">
        <f t="shared" si="197"/>
        <v>-0.68752897542883629</v>
      </c>
      <c r="P342" s="483">
        <f t="shared" si="197"/>
        <v>41.597222222222221</v>
      </c>
      <c r="Q342" s="483">
        <f t="shared" si="197"/>
        <v>12.386666666666667</v>
      </c>
      <c r="R342" s="483">
        <f t="shared" si="197"/>
        <v>-0.34641324340895174</v>
      </c>
      <c r="S342" s="483">
        <f t="shared" si="197"/>
        <v>0.21436679098427125</v>
      </c>
      <c r="T342" s="520"/>
    </row>
    <row r="343" spans="1:20" ht="13" hidden="1" customHeight="1" outlineLevel="1">
      <c r="A343" s="536" t="s">
        <v>196</v>
      </c>
      <c r="B343" s="484">
        <f t="shared" ref="B343:M343" si="200">B335/B402-1</f>
        <v>-0.9080183411506576</v>
      </c>
      <c r="C343" s="484">
        <f t="shared" si="200"/>
        <v>-0.36681465038845729</v>
      </c>
      <c r="D343" s="484">
        <f t="shared" si="200"/>
        <v>2.8935114503816792</v>
      </c>
      <c r="E343" s="484">
        <f t="shared" si="200"/>
        <v>26.746450304259636</v>
      </c>
      <c r="F343" s="484">
        <f t="shared" si="200"/>
        <v>21.279887482419134</v>
      </c>
      <c r="G343" s="484">
        <f t="shared" si="200"/>
        <v>9.7795774647887317</v>
      </c>
      <c r="H343" s="484">
        <f t="shared" si="200"/>
        <v>11.434602076124568</v>
      </c>
      <c r="I343" s="484">
        <f t="shared" si="200"/>
        <v>2.0762976860537834</v>
      </c>
      <c r="J343" s="484">
        <f t="shared" si="200"/>
        <v>2.0027311744049943</v>
      </c>
      <c r="K343" s="484">
        <f t="shared" si="200"/>
        <v>-0.41776135741652987</v>
      </c>
      <c r="L343" s="484">
        <f t="shared" si="200"/>
        <v>-0.26984343090537777</v>
      </c>
      <c r="M343" s="484">
        <f t="shared" si="200"/>
        <v>0.1016706968564518</v>
      </c>
      <c r="N343" s="42"/>
      <c r="O343" s="484">
        <f t="shared" si="197"/>
        <v>-0.74673322395596986</v>
      </c>
      <c r="P343" s="484">
        <f t="shared" si="197"/>
        <v>16.083460365853661</v>
      </c>
      <c r="Q343" s="484">
        <f t="shared" si="197"/>
        <v>4.4544319600499387</v>
      </c>
      <c r="R343" s="484">
        <f t="shared" si="197"/>
        <v>-0.17304534545913852</v>
      </c>
      <c r="S343" s="484">
        <f t="shared" si="197"/>
        <v>-9.3790015518601111E-3</v>
      </c>
      <c r="T343" s="520"/>
    </row>
    <row r="344" spans="1:20" ht="13" hidden="1" customHeight="1" outlineLevel="1">
      <c r="A344" s="526" t="s">
        <v>181</v>
      </c>
      <c r="B344" s="483"/>
      <c r="C344" s="483"/>
      <c r="D344" s="483"/>
      <c r="E344" s="483"/>
      <c r="F344" s="483"/>
      <c r="G344" s="483"/>
      <c r="H344" s="483"/>
      <c r="I344" s="483"/>
      <c r="J344" s="483"/>
      <c r="K344" s="483"/>
      <c r="L344" s="483"/>
      <c r="M344" s="483"/>
      <c r="N344" s="42"/>
      <c r="O344" s="337"/>
      <c r="P344" s="337"/>
      <c r="Q344" s="337"/>
      <c r="R344" s="337"/>
      <c r="S344" s="337"/>
      <c r="T344" s="520"/>
    </row>
    <row r="345" spans="1:20" s="489" customFormat="1" ht="13" hidden="1" customHeight="1" outlineLevel="1">
      <c r="A345" s="539" t="s">
        <v>197</v>
      </c>
      <c r="B345" s="540"/>
      <c r="C345" s="540"/>
      <c r="D345" s="540"/>
      <c r="E345" s="540"/>
      <c r="F345" s="540"/>
      <c r="G345" s="540"/>
      <c r="H345" s="540"/>
      <c r="I345" s="540"/>
      <c r="J345" s="540"/>
      <c r="K345" s="540"/>
      <c r="L345" s="540"/>
      <c r="M345" s="540"/>
      <c r="N345" s="49"/>
      <c r="O345" s="541"/>
      <c r="P345" s="541"/>
      <c r="Q345" s="541"/>
      <c r="R345" s="541"/>
      <c r="S345" s="541"/>
      <c r="T345" s="542"/>
    </row>
    <row r="346" spans="1:20" hidden="1" outlineLevel="1">
      <c r="A346" s="526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</row>
    <row r="347" spans="1:20" ht="13" hidden="1" customHeight="1" outlineLevel="1">
      <c r="A347" s="528" t="s">
        <v>179</v>
      </c>
      <c r="B347" s="337"/>
      <c r="C347" s="337"/>
      <c r="D347" s="337"/>
      <c r="E347" s="337"/>
      <c r="F347" s="337"/>
      <c r="G347" s="538"/>
      <c r="H347" s="337"/>
      <c r="I347" s="538"/>
      <c r="J347" s="538"/>
      <c r="K347" s="337"/>
      <c r="L347" s="337"/>
      <c r="M347" s="337"/>
      <c r="N347" s="42"/>
      <c r="O347" s="43"/>
      <c r="P347" s="43"/>
      <c r="Q347" s="43"/>
      <c r="R347" s="43"/>
      <c r="S347" s="44"/>
      <c r="T347" s="520"/>
    </row>
    <row r="348" spans="1:20" ht="13" hidden="1" customHeight="1" outlineLevel="1">
      <c r="A348" s="526" t="s">
        <v>22</v>
      </c>
      <c r="B348" s="483">
        <f t="shared" ref="B348:M348" si="201">B332/B458-1</f>
        <v>-0.94593085477641803</v>
      </c>
      <c r="C348" s="483">
        <f t="shared" si="201"/>
        <v>-0.95815735620673137</v>
      </c>
      <c r="D348" s="483">
        <f t="shared" si="201"/>
        <v>-0.92542193160731645</v>
      </c>
      <c r="E348" s="483">
        <f t="shared" si="201"/>
        <v>-0.92454203047423389</v>
      </c>
      <c r="F348" s="483">
        <f t="shared" si="201"/>
        <v>-0.91293000171144956</v>
      </c>
      <c r="G348" s="483">
        <f t="shared" si="201"/>
        <v>-0.91248067152639711</v>
      </c>
      <c r="H348" s="483">
        <f t="shared" si="201"/>
        <v>-0.92994976477154934</v>
      </c>
      <c r="I348" s="483">
        <f t="shared" si="201"/>
        <v>-0.96479868679038805</v>
      </c>
      <c r="J348" s="483">
        <f t="shared" si="201"/>
        <v>-0.96722027972027969</v>
      </c>
      <c r="K348" s="483">
        <f t="shared" si="201"/>
        <v>-0.9777668288476935</v>
      </c>
      <c r="L348" s="483">
        <f t="shared" si="201"/>
        <v>-0.96439403129928425</v>
      </c>
      <c r="M348" s="483">
        <f t="shared" si="201"/>
        <v>-0.944304435483871</v>
      </c>
      <c r="N348" s="42"/>
      <c r="O348" s="483">
        <f t="shared" ref="O348:S351" si="202">O332/O458-1</f>
        <v>-0.94319740058427237</v>
      </c>
      <c r="P348" s="483">
        <f t="shared" si="202"/>
        <v>-0.91669429588733042</v>
      </c>
      <c r="Q348" s="483">
        <f t="shared" si="202"/>
        <v>-0.95154611369369657</v>
      </c>
      <c r="R348" s="483">
        <f t="shared" si="202"/>
        <v>-0.96230064821483696</v>
      </c>
      <c r="S348" s="483">
        <f t="shared" si="202"/>
        <v>-0.94164950198922148</v>
      </c>
      <c r="T348" s="520"/>
    </row>
    <row r="349" spans="1:20" ht="13" hidden="1" customHeight="1" outlineLevel="1">
      <c r="A349" s="526" t="s">
        <v>25</v>
      </c>
      <c r="B349" s="483">
        <f t="shared" ref="B349:M349" si="203">B333/B459-1</f>
        <v>-0.94850258380616237</v>
      </c>
      <c r="C349" s="483">
        <f t="shared" si="203"/>
        <v>-0.96930468845635942</v>
      </c>
      <c r="D349" s="483">
        <f t="shared" si="203"/>
        <v>-0.94931224009073201</v>
      </c>
      <c r="E349" s="483">
        <f t="shared" si="203"/>
        <v>-0.94220352656448081</v>
      </c>
      <c r="F349" s="483">
        <f t="shared" si="203"/>
        <v>-0.91501510657759788</v>
      </c>
      <c r="G349" s="483">
        <f t="shared" si="203"/>
        <v>-0.90674978140072771</v>
      </c>
      <c r="H349" s="483">
        <f t="shared" si="203"/>
        <v>-0.89335101344951695</v>
      </c>
      <c r="I349" s="483">
        <f t="shared" si="203"/>
        <v>-0.95315708837239621</v>
      </c>
      <c r="J349" s="483">
        <f t="shared" si="203"/>
        <v>-0.9115675306375165</v>
      </c>
      <c r="K349" s="483">
        <f t="shared" si="203"/>
        <v>-0.92556007744280688</v>
      </c>
      <c r="L349" s="483">
        <f t="shared" si="203"/>
        <v>-0.91255837018058594</v>
      </c>
      <c r="M349" s="483">
        <f t="shared" si="203"/>
        <v>-0.86630153271345478</v>
      </c>
      <c r="N349" s="42"/>
      <c r="O349" s="483">
        <f t="shared" si="202"/>
        <v>-0.95553347410259593</v>
      </c>
      <c r="P349" s="483">
        <f t="shared" si="202"/>
        <v>-0.92113932867712123</v>
      </c>
      <c r="Q349" s="483">
        <f t="shared" si="202"/>
        <v>-0.91818691034497912</v>
      </c>
      <c r="R349" s="483">
        <f t="shared" si="202"/>
        <v>-0.90215025800358606</v>
      </c>
      <c r="S349" s="483">
        <f t="shared" si="202"/>
        <v>-0.92600519427309158</v>
      </c>
      <c r="T349" s="520"/>
    </row>
    <row r="350" spans="1:20" ht="13" hidden="1" customHeight="1" outlineLevel="1">
      <c r="A350" s="526" t="s">
        <v>172</v>
      </c>
      <c r="B350" s="483">
        <f t="shared" ref="B350:M350" si="204">B334/B460-1</f>
        <v>-0.91284987277353691</v>
      </c>
      <c r="C350" s="483">
        <f t="shared" si="204"/>
        <v>-0.94538962402856541</v>
      </c>
      <c r="D350" s="483">
        <f t="shared" si="204"/>
        <v>-0.85571184995737426</v>
      </c>
      <c r="E350" s="483">
        <f t="shared" si="204"/>
        <v>-0.80235341045073794</v>
      </c>
      <c r="F350" s="483">
        <f t="shared" si="204"/>
        <v>-0.78311793214862679</v>
      </c>
      <c r="G350" s="483">
        <f t="shared" si="204"/>
        <v>-0.79509202453987726</v>
      </c>
      <c r="H350" s="483">
        <f t="shared" si="204"/>
        <v>-0.76317313259988417</v>
      </c>
      <c r="I350" s="483">
        <f t="shared" si="204"/>
        <v>-0.94303132226192976</v>
      </c>
      <c r="J350" s="483">
        <f t="shared" si="204"/>
        <v>-0.85572842998585574</v>
      </c>
      <c r="K350" s="483">
        <f t="shared" si="204"/>
        <v>-0.9464285714285714</v>
      </c>
      <c r="L350" s="483">
        <f t="shared" si="204"/>
        <v>-0.92483752472449843</v>
      </c>
      <c r="M350" s="483">
        <f t="shared" si="204"/>
        <v>-0.84240989213364903</v>
      </c>
      <c r="N350" s="42"/>
      <c r="O350" s="483">
        <f t="shared" si="202"/>
        <v>-0.90486272849177785</v>
      </c>
      <c r="P350" s="483">
        <f t="shared" si="202"/>
        <v>-0.79355142703284864</v>
      </c>
      <c r="Q350" s="483">
        <f t="shared" si="202"/>
        <v>-0.85096118162250423</v>
      </c>
      <c r="R350" s="483">
        <f t="shared" si="202"/>
        <v>-0.90389469888207719</v>
      </c>
      <c r="S350" s="483">
        <f t="shared" si="202"/>
        <v>-0.86025377869005404</v>
      </c>
      <c r="T350" s="520"/>
    </row>
    <row r="351" spans="1:20" ht="13" hidden="1" customHeight="1" outlineLevel="1">
      <c r="A351" s="536" t="s">
        <v>196</v>
      </c>
      <c r="B351" s="484">
        <f t="shared" ref="B351:M351" si="205">B335/B461-1</f>
        <v>-0.93151415253532632</v>
      </c>
      <c r="C351" s="484">
        <f t="shared" si="205"/>
        <v>-0.95579789449216968</v>
      </c>
      <c r="D351" s="484">
        <f t="shared" si="205"/>
        <v>-0.90185778470478439</v>
      </c>
      <c r="E351" s="484">
        <f t="shared" si="205"/>
        <v>-0.87359072930913395</v>
      </c>
      <c r="F351" s="484">
        <f t="shared" si="205"/>
        <v>-0.85462838054859636</v>
      </c>
      <c r="G351" s="484">
        <f t="shared" si="205"/>
        <v>-0.8569278797622164</v>
      </c>
      <c r="H351" s="484">
        <f t="shared" si="205"/>
        <v>-0.84217137335851378</v>
      </c>
      <c r="I351" s="484">
        <f t="shared" si="205"/>
        <v>-0.95089740262333045</v>
      </c>
      <c r="J351" s="484">
        <f t="shared" si="205"/>
        <v>-0.89709166276659758</v>
      </c>
      <c r="K351" s="484">
        <f t="shared" si="205"/>
        <v>-0.94618420054131991</v>
      </c>
      <c r="L351" s="484">
        <f t="shared" si="205"/>
        <v>-0.92950377916529736</v>
      </c>
      <c r="M351" s="484">
        <f t="shared" si="205"/>
        <v>-0.87056240718021571</v>
      </c>
      <c r="N351" s="42"/>
      <c r="O351" s="484">
        <f t="shared" si="202"/>
        <v>-0.92965537078303084</v>
      </c>
      <c r="P351" s="484">
        <f t="shared" si="202"/>
        <v>-0.86171719072459119</v>
      </c>
      <c r="Q351" s="484">
        <f t="shared" si="202"/>
        <v>-0.89410611894407355</v>
      </c>
      <c r="R351" s="484">
        <f t="shared" si="202"/>
        <v>-0.91555018574573477</v>
      </c>
      <c r="S351" s="484">
        <f t="shared" si="202"/>
        <v>-0.89885733210098073</v>
      </c>
      <c r="T351" s="520"/>
    </row>
    <row r="352" spans="1:20" ht="13" hidden="1" customHeight="1" outlineLevel="1">
      <c r="A352" s="526" t="s">
        <v>181</v>
      </c>
      <c r="B352" s="483"/>
      <c r="C352" s="483"/>
      <c r="D352" s="483"/>
      <c r="E352" s="483"/>
      <c r="F352" s="483"/>
      <c r="G352" s="483"/>
      <c r="H352" s="483"/>
      <c r="I352" s="483"/>
      <c r="J352" s="483"/>
      <c r="K352" s="483"/>
      <c r="L352" s="483"/>
      <c r="M352" s="483"/>
      <c r="N352" s="42"/>
      <c r="O352" s="337"/>
      <c r="P352" s="337"/>
      <c r="Q352" s="337"/>
      <c r="R352" s="337"/>
      <c r="S352" s="337"/>
      <c r="T352" s="520"/>
    </row>
    <row r="353" spans="1:20" s="489" customFormat="1" ht="13" hidden="1" customHeight="1" outlineLevel="1">
      <c r="A353" s="539" t="s">
        <v>197</v>
      </c>
      <c r="B353" s="540"/>
      <c r="C353" s="540"/>
      <c r="D353" s="540"/>
      <c r="E353" s="540"/>
      <c r="F353" s="540"/>
      <c r="G353" s="540"/>
      <c r="H353" s="540"/>
      <c r="I353" s="540"/>
      <c r="J353" s="540"/>
      <c r="K353" s="540"/>
      <c r="L353" s="540"/>
      <c r="M353" s="540"/>
      <c r="N353" s="49"/>
      <c r="O353" s="541"/>
      <c r="P353" s="541"/>
      <c r="Q353" s="541"/>
      <c r="R353" s="541"/>
      <c r="S353" s="541"/>
      <c r="T353" s="542"/>
    </row>
    <row r="354" spans="1:20" hidden="1" outlineLevel="1">
      <c r="A354" s="526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19"/>
      <c r="O354" s="483"/>
      <c r="P354" s="483"/>
      <c r="Q354" s="483"/>
      <c r="R354" s="483"/>
      <c r="S354" s="483"/>
    </row>
    <row r="355" spans="1:20" ht="13" hidden="1" customHeight="1" outlineLevel="1">
      <c r="A355" s="536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484"/>
      <c r="P355" s="484"/>
      <c r="Q355" s="484"/>
      <c r="R355" s="484"/>
      <c r="S355" s="484"/>
      <c r="T355" s="31"/>
    </row>
    <row r="356" spans="1:20" ht="13" hidden="1" customHeight="1" outlineLevel="1">
      <c r="A356" s="525" t="s">
        <v>207</v>
      </c>
      <c r="B356" s="472" t="s">
        <v>51</v>
      </c>
      <c r="C356" s="472" t="s">
        <v>52</v>
      </c>
      <c r="D356" s="472" t="s">
        <v>53</v>
      </c>
      <c r="E356" s="472" t="s">
        <v>54</v>
      </c>
      <c r="F356" s="472" t="s">
        <v>55</v>
      </c>
      <c r="G356" s="472" t="s">
        <v>77</v>
      </c>
      <c r="H356" s="472" t="s">
        <v>78</v>
      </c>
      <c r="I356" s="472" t="s">
        <v>79</v>
      </c>
      <c r="J356" s="472" t="s">
        <v>80</v>
      </c>
      <c r="K356" s="472" t="s">
        <v>81</v>
      </c>
      <c r="L356" s="472" t="s">
        <v>82</v>
      </c>
      <c r="M356" s="472" t="s">
        <v>44</v>
      </c>
      <c r="N356" s="473" t="s">
        <v>133</v>
      </c>
      <c r="O356" s="473" t="s">
        <v>129</v>
      </c>
      <c r="P356" s="473" t="s">
        <v>130</v>
      </c>
      <c r="Q356" s="473" t="s">
        <v>131</v>
      </c>
      <c r="R356" s="473" t="s">
        <v>132</v>
      </c>
      <c r="S356" s="445" t="s">
        <v>171</v>
      </c>
      <c r="T356" s="445"/>
    </row>
    <row r="357" spans="1:20" hidden="1" outlineLevel="1">
      <c r="A357" s="526" t="s">
        <v>22</v>
      </c>
      <c r="B357" s="15">
        <f t="shared" ref="B357:M357" si="206">B382+B399</f>
        <v>1951.8999999999999</v>
      </c>
      <c r="C357" s="15">
        <f t="shared" si="206"/>
        <v>243.77</v>
      </c>
      <c r="D357" s="15">
        <f t="shared" si="206"/>
        <v>138.24</v>
      </c>
      <c r="E357" s="15">
        <f t="shared" si="206"/>
        <v>30.509999999999998</v>
      </c>
      <c r="F357" s="15">
        <f t="shared" si="206"/>
        <v>41.18</v>
      </c>
      <c r="G357" s="15">
        <f t="shared" si="206"/>
        <v>57.11</v>
      </c>
      <c r="H357" s="15">
        <f t="shared" si="206"/>
        <v>67.41</v>
      </c>
      <c r="I357" s="15">
        <f t="shared" si="206"/>
        <v>77.83</v>
      </c>
      <c r="J357" s="15">
        <f t="shared" si="206"/>
        <v>88.79</v>
      </c>
      <c r="K357" s="15">
        <f t="shared" si="206"/>
        <v>86.36</v>
      </c>
      <c r="L357" s="15">
        <f t="shared" si="206"/>
        <v>82.36</v>
      </c>
      <c r="M357" s="15">
        <f t="shared" si="206"/>
        <v>82.929999999999993</v>
      </c>
      <c r="N357" s="15"/>
      <c r="O357" s="15">
        <f>SUM(B357:D357)</f>
        <v>2333.91</v>
      </c>
      <c r="P357" s="15">
        <f t="shared" ref="P357:P362" si="207">SUM(E357:G357)</f>
        <v>128.80000000000001</v>
      </c>
      <c r="Q357" s="15">
        <f>SUM(H357:J357)</f>
        <v>234.03000000000003</v>
      </c>
      <c r="R357" s="15">
        <f>R382+R399</f>
        <v>251.65</v>
      </c>
      <c r="S357" s="15">
        <f>SUM(B357:M357)</f>
        <v>2948.39</v>
      </c>
    </row>
    <row r="358" spans="1:20" hidden="1" outlineLevel="1">
      <c r="A358" s="526" t="s">
        <v>25</v>
      </c>
      <c r="B358" s="15">
        <f t="shared" ref="B358:M358" si="208">B383+B400</f>
        <v>1818.14</v>
      </c>
      <c r="C358" s="15">
        <f t="shared" si="208"/>
        <v>316.67999999999995</v>
      </c>
      <c r="D358" s="15">
        <f t="shared" si="208"/>
        <v>146.9</v>
      </c>
      <c r="E358" s="15">
        <f t="shared" si="208"/>
        <v>21.07</v>
      </c>
      <c r="F358" s="15">
        <f t="shared" si="208"/>
        <v>26.330000000000002</v>
      </c>
      <c r="G358" s="15">
        <f t="shared" si="208"/>
        <v>31.25</v>
      </c>
      <c r="H358" s="15">
        <f t="shared" si="208"/>
        <v>38.299999999999997</v>
      </c>
      <c r="I358" s="15">
        <f t="shared" si="208"/>
        <v>38.700000000000003</v>
      </c>
      <c r="J358" s="15">
        <f t="shared" si="208"/>
        <v>37.450000000000003</v>
      </c>
      <c r="K358" s="15">
        <f t="shared" si="208"/>
        <v>41.28</v>
      </c>
      <c r="L358" s="15">
        <f t="shared" si="208"/>
        <v>35.82</v>
      </c>
      <c r="M358" s="15">
        <f t="shared" si="208"/>
        <v>38.64</v>
      </c>
      <c r="N358" s="15"/>
      <c r="O358" s="15">
        <f>SUM(B358:D358)</f>
        <v>2281.7200000000003</v>
      </c>
      <c r="P358" s="15">
        <f t="shared" si="207"/>
        <v>78.650000000000006</v>
      </c>
      <c r="Q358" s="15">
        <f>SUM(H358:J358)</f>
        <v>114.45</v>
      </c>
      <c r="R358" s="15">
        <f>R383+R400</f>
        <v>115.74</v>
      </c>
      <c r="S358" s="15">
        <f>SUM(B358:M358)</f>
        <v>2590.5600000000004</v>
      </c>
    </row>
    <row r="359" spans="1:20" hidden="1" outlineLevel="1">
      <c r="A359" s="526" t="s">
        <v>172</v>
      </c>
      <c r="B359" s="15">
        <f t="shared" ref="B359:M359" si="209">B384+B401</f>
        <v>1854.8000000000002</v>
      </c>
      <c r="C359" s="15">
        <f t="shared" si="209"/>
        <v>345.3</v>
      </c>
      <c r="D359" s="15">
        <f t="shared" si="209"/>
        <v>158.5</v>
      </c>
      <c r="E359" s="15">
        <f t="shared" si="209"/>
        <v>15.9</v>
      </c>
      <c r="F359" s="15">
        <f t="shared" si="209"/>
        <v>26.1</v>
      </c>
      <c r="G359" s="15">
        <f t="shared" si="209"/>
        <v>41.9</v>
      </c>
      <c r="H359" s="15">
        <f t="shared" si="209"/>
        <v>39.200000000000003</v>
      </c>
      <c r="I359" s="15">
        <f t="shared" si="209"/>
        <v>49.1</v>
      </c>
      <c r="J359" s="15">
        <f t="shared" si="209"/>
        <v>48.4</v>
      </c>
      <c r="K359" s="15">
        <f t="shared" si="209"/>
        <v>91.199999999999989</v>
      </c>
      <c r="L359" s="15">
        <f t="shared" si="209"/>
        <v>88.7</v>
      </c>
      <c r="M359" s="15">
        <f t="shared" si="209"/>
        <v>99.4</v>
      </c>
      <c r="N359" s="15"/>
      <c r="O359" s="15">
        <f>SUM(B359:D359)</f>
        <v>2358.6000000000004</v>
      </c>
      <c r="P359" s="15">
        <f t="shared" si="207"/>
        <v>83.9</v>
      </c>
      <c r="Q359" s="15">
        <f>SUM(H359:J359)</f>
        <v>136.70000000000002</v>
      </c>
      <c r="R359" s="15">
        <f>R384+R401</f>
        <v>279.3</v>
      </c>
      <c r="S359" s="15">
        <f>SUM(B359:M359)</f>
        <v>2858.5</v>
      </c>
    </row>
    <row r="360" spans="1:20" ht="13" hidden="1" customHeight="1" outlineLevel="1">
      <c r="A360" s="535" t="s">
        <v>196</v>
      </c>
      <c r="B360" s="21">
        <f t="shared" ref="B360:M360" si="210">B385+B402</f>
        <v>5624.84</v>
      </c>
      <c r="C360" s="21">
        <f t="shared" si="210"/>
        <v>905.75000000000011</v>
      </c>
      <c r="D360" s="21">
        <f t="shared" si="210"/>
        <v>443.64</v>
      </c>
      <c r="E360" s="21">
        <f t="shared" si="210"/>
        <v>67.47999999999999</v>
      </c>
      <c r="F360" s="21">
        <f t="shared" si="210"/>
        <v>93.61</v>
      </c>
      <c r="G360" s="21">
        <f t="shared" si="210"/>
        <v>130.26</v>
      </c>
      <c r="H360" s="21">
        <f t="shared" si="210"/>
        <v>144.90999999999997</v>
      </c>
      <c r="I360" s="21">
        <f t="shared" si="210"/>
        <v>165.63</v>
      </c>
      <c r="J360" s="21">
        <f t="shared" si="210"/>
        <v>174.64</v>
      </c>
      <c r="K360" s="21">
        <f t="shared" si="210"/>
        <v>218.83999999999997</v>
      </c>
      <c r="L360" s="21">
        <f t="shared" si="210"/>
        <v>206.88</v>
      </c>
      <c r="M360" s="21">
        <f t="shared" si="210"/>
        <v>220.97000000000003</v>
      </c>
      <c r="N360" s="45"/>
      <c r="O360" s="21">
        <f>SUM(B360:D360)</f>
        <v>6974.2300000000005</v>
      </c>
      <c r="P360" s="21">
        <f t="shared" si="207"/>
        <v>291.34999999999997</v>
      </c>
      <c r="Q360" s="21">
        <f>SUM(H360:J360)</f>
        <v>485.17999999999995</v>
      </c>
      <c r="R360" s="21">
        <f>SUM(K360:M360)</f>
        <v>646.69000000000005</v>
      </c>
      <c r="S360" s="21">
        <f>SUM(B360:M360)</f>
        <v>8397.4500000000007</v>
      </c>
      <c r="T360" s="520"/>
    </row>
    <row r="361" spans="1:20" ht="13" hidden="1" customHeight="1" outlineLevel="1">
      <c r="A361" s="526" t="s">
        <v>181</v>
      </c>
      <c r="B361" s="15">
        <f>B386+B403</f>
        <v>0</v>
      </c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>
        <f>O386+O403</f>
        <v>0</v>
      </c>
      <c r="P361" s="21">
        <f t="shared" si="207"/>
        <v>0</v>
      </c>
      <c r="Q361" s="15">
        <f>Q386+Q403</f>
        <v>0</v>
      </c>
      <c r="R361" s="15">
        <f>R386+R403</f>
        <v>0</v>
      </c>
      <c r="S361" s="15">
        <f>S386+S403</f>
        <v>0</v>
      </c>
    </row>
    <row r="362" spans="1:20" ht="13" hidden="1" customHeight="1" outlineLevel="1">
      <c r="A362" s="535" t="s">
        <v>197</v>
      </c>
      <c r="B362" s="15">
        <f>B387+B404</f>
        <v>5624.84</v>
      </c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21">
        <f>SUM(B362:D362)</f>
        <v>5624.84</v>
      </c>
      <c r="P362" s="21">
        <f t="shared" si="207"/>
        <v>0</v>
      </c>
      <c r="Q362" s="21">
        <f>SUM(H362:J362)</f>
        <v>0</v>
      </c>
      <c r="R362" s="21">
        <f>SUM(K362:M362)</f>
        <v>0</v>
      </c>
      <c r="S362" s="44">
        <f>SUM(O362:R362)</f>
        <v>5624.84</v>
      </c>
      <c r="T362" s="520"/>
    </row>
    <row r="363" spans="1:20" hidden="1" outlineLevel="1">
      <c r="A363" s="526"/>
      <c r="B363" s="15"/>
      <c r="C363" s="483"/>
      <c r="D363" s="488"/>
      <c r="E363" s="483"/>
      <c r="F363" s="15"/>
      <c r="G363" s="15"/>
      <c r="H363" s="15"/>
      <c r="I363" s="15"/>
      <c r="J363" s="15"/>
      <c r="K363" s="15"/>
      <c r="L363" s="15"/>
      <c r="M363" s="15"/>
      <c r="N363" s="488"/>
      <c r="O363" s="15"/>
      <c r="P363" s="19"/>
      <c r="Q363" s="15"/>
      <c r="R363" s="15"/>
      <c r="S363" s="36"/>
    </row>
    <row r="364" spans="1:20" ht="13" hidden="1" customHeight="1" outlineLevel="1">
      <c r="A364" s="528" t="s">
        <v>184</v>
      </c>
      <c r="B364" s="488"/>
      <c r="C364" s="483"/>
      <c r="D364" s="488"/>
      <c r="E364" s="488"/>
      <c r="F364" s="488"/>
      <c r="G364" s="488"/>
      <c r="H364" s="488"/>
      <c r="I364" s="488"/>
      <c r="J364" s="488"/>
      <c r="K364" s="488"/>
      <c r="L364" s="488"/>
      <c r="M364" s="488"/>
      <c r="N364" s="514"/>
      <c r="O364" s="488"/>
      <c r="P364" s="19"/>
      <c r="Q364" s="488"/>
      <c r="R364" s="488"/>
    </row>
    <row r="365" spans="1:20" hidden="1" outlineLevel="1">
      <c r="A365" s="526" t="s">
        <v>22</v>
      </c>
      <c r="B365" s="24">
        <f t="shared" ref="B365:M365" si="211">B357/B416-1</f>
        <v>3.2035996214264006E-2</v>
      </c>
      <c r="C365" s="24">
        <f t="shared" si="211"/>
        <v>-0.86780153690135953</v>
      </c>
      <c r="D365" s="24">
        <f t="shared" si="211"/>
        <v>-0.92554933218440327</v>
      </c>
      <c r="E365" s="24">
        <f t="shared" si="211"/>
        <v>-0.98389404169284123</v>
      </c>
      <c r="F365" s="24">
        <f t="shared" si="211"/>
        <v>-0.97761895703687596</v>
      </c>
      <c r="G365" s="24">
        <f t="shared" si="211"/>
        <v>-0.96936257416606764</v>
      </c>
      <c r="H365" s="24">
        <f t="shared" si="211"/>
        <v>-0.96803076937669252</v>
      </c>
      <c r="I365" s="24">
        <f t="shared" si="211"/>
        <v>-0.96444430231708211</v>
      </c>
      <c r="J365" s="24">
        <f t="shared" si="211"/>
        <v>-0.951911307531494</v>
      </c>
      <c r="K365" s="24">
        <f t="shared" si="211"/>
        <v>-0.95334741482229779</v>
      </c>
      <c r="L365" s="24">
        <f t="shared" si="211"/>
        <v>-0.95423758008145665</v>
      </c>
      <c r="M365" s="24">
        <f t="shared" si="211"/>
        <v>-0.95724662710789643</v>
      </c>
      <c r="N365" s="24"/>
      <c r="O365" s="483" t="e">
        <f>O357/#REF!-1</f>
        <v>#REF!</v>
      </c>
      <c r="P365" s="483" t="e">
        <f>P357/#REF!-1</f>
        <v>#REF!</v>
      </c>
      <c r="Q365" s="483" t="e">
        <f>Q357/#REF!-1</f>
        <v>#REF!</v>
      </c>
      <c r="R365" s="483" t="e">
        <f>R357/#REF!-1</f>
        <v>#REF!</v>
      </c>
      <c r="S365" s="483" t="e">
        <f>S357/#REF!-1</f>
        <v>#REF!</v>
      </c>
    </row>
    <row r="366" spans="1:20" hidden="1" outlineLevel="1">
      <c r="A366" s="526" t="s">
        <v>25</v>
      </c>
      <c r="B366" s="24">
        <f t="shared" ref="B366:M366" si="212">B358/B417-1</f>
        <v>-3.4121461440006495E-3</v>
      </c>
      <c r="C366" s="24">
        <f t="shared" si="212"/>
        <v>-0.82507249979285779</v>
      </c>
      <c r="D366" s="24">
        <f t="shared" si="212"/>
        <v>-0.91701783918746393</v>
      </c>
      <c r="E366" s="24">
        <f t="shared" si="212"/>
        <v>-0.98819528483707586</v>
      </c>
      <c r="F366" s="24">
        <f t="shared" si="212"/>
        <v>-0.9853771777342123</v>
      </c>
      <c r="G366" s="24">
        <f t="shared" si="212"/>
        <v>-0.98274919818273154</v>
      </c>
      <c r="H366" s="24">
        <f t="shared" si="212"/>
        <v>-0.97959096673807167</v>
      </c>
      <c r="I366" s="24">
        <f t="shared" si="212"/>
        <v>-0.97971411048733315</v>
      </c>
      <c r="J366" s="24">
        <f t="shared" si="212"/>
        <v>-0.97735367571914933</v>
      </c>
      <c r="K366" s="24">
        <f t="shared" si="212"/>
        <v>-0.97535169218276052</v>
      </c>
      <c r="L366" s="24">
        <f t="shared" si="212"/>
        <v>-0.97829590760915663</v>
      </c>
      <c r="M366" s="24">
        <f t="shared" si="212"/>
        <v>-0.97732740309577182</v>
      </c>
      <c r="N366" s="19"/>
      <c r="O366" s="483" t="e">
        <f t="shared" ref="O366:S367" si="213">O358/O414-1</f>
        <v>#DIV/0!</v>
      </c>
      <c r="P366" s="483" t="e">
        <f t="shared" si="213"/>
        <v>#DIV/0!</v>
      </c>
      <c r="Q366" s="483" t="e">
        <f t="shared" si="213"/>
        <v>#DIV/0!</v>
      </c>
      <c r="R366" s="483" t="e">
        <f t="shared" si="213"/>
        <v>#DIV/0!</v>
      </c>
      <c r="S366" s="483" t="e">
        <f t="shared" si="213"/>
        <v>#DIV/0!</v>
      </c>
    </row>
    <row r="367" spans="1:20" hidden="1" outlineLevel="1">
      <c r="A367" s="526" t="s">
        <v>172</v>
      </c>
      <c r="B367" s="24">
        <f t="shared" ref="B367:M367" si="214">B359/B418-1</f>
        <v>-3.876451077943599E-2</v>
      </c>
      <c r="C367" s="24">
        <f t="shared" si="214"/>
        <v>-0.81170247573344967</v>
      </c>
      <c r="D367" s="24">
        <f t="shared" si="214"/>
        <v>-0.91848804319876576</v>
      </c>
      <c r="E367" s="24">
        <f t="shared" si="214"/>
        <v>-0.9919632025879499</v>
      </c>
      <c r="F367" s="24">
        <f t="shared" si="214"/>
        <v>-0.98641827548524741</v>
      </c>
      <c r="G367" s="24">
        <f t="shared" si="214"/>
        <v>-0.97761752136752134</v>
      </c>
      <c r="H367" s="24">
        <f t="shared" si="214"/>
        <v>-0.97998774760057183</v>
      </c>
      <c r="I367" s="24">
        <f t="shared" si="214"/>
        <v>-0.97552464981805498</v>
      </c>
      <c r="J367" s="24">
        <f t="shared" si="214"/>
        <v>-0.97173557580004677</v>
      </c>
      <c r="K367" s="24">
        <f t="shared" si="214"/>
        <v>-0.94735322981007908</v>
      </c>
      <c r="L367" s="24">
        <f t="shared" si="214"/>
        <v>-0.94849311886650023</v>
      </c>
      <c r="M367" s="24">
        <f t="shared" si="214"/>
        <v>-0.94601640145549337</v>
      </c>
      <c r="N367" s="19"/>
      <c r="O367" s="483" t="e">
        <f t="shared" si="213"/>
        <v>#VALUE!</v>
      </c>
      <c r="P367" s="483" t="e">
        <f t="shared" si="213"/>
        <v>#VALUE!</v>
      </c>
      <c r="Q367" s="483" t="e">
        <f t="shared" si="213"/>
        <v>#VALUE!</v>
      </c>
      <c r="R367" s="483" t="e">
        <f t="shared" si="213"/>
        <v>#VALUE!</v>
      </c>
      <c r="S367" s="483" t="e">
        <f t="shared" si="213"/>
        <v>#VALUE!</v>
      </c>
    </row>
    <row r="368" spans="1:20" ht="13" hidden="1" customHeight="1" outlineLevel="1">
      <c r="A368" s="536" t="s">
        <v>196</v>
      </c>
      <c r="B368" s="28">
        <f t="shared" ref="B368:M368" si="215">B360/B419-1</f>
        <v>-3.619841371766519E-3</v>
      </c>
      <c r="C368" s="28">
        <f t="shared" si="215"/>
        <v>-0.83496169908821227</v>
      </c>
      <c r="D368" s="28">
        <f t="shared" si="215"/>
        <v>-0.920374186044842</v>
      </c>
      <c r="E368" s="28">
        <f t="shared" si="215"/>
        <v>-0.98807270207737896</v>
      </c>
      <c r="F368" s="28">
        <f t="shared" si="215"/>
        <v>-0.98317050982873866</v>
      </c>
      <c r="G368" s="28">
        <f t="shared" si="215"/>
        <v>-0.97651944905607324</v>
      </c>
      <c r="H368" s="28">
        <f t="shared" si="215"/>
        <v>-0.97562083509280773</v>
      </c>
      <c r="I368" s="28">
        <f t="shared" si="215"/>
        <v>-0.97285995421766114</v>
      </c>
      <c r="J368" s="28">
        <f t="shared" si="215"/>
        <v>-0.96649573043106241</v>
      </c>
      <c r="K368" s="28">
        <f t="shared" si="215"/>
        <v>-0.95838111593533137</v>
      </c>
      <c r="L368" s="28">
        <f t="shared" si="215"/>
        <v>-0.96000162406398815</v>
      </c>
      <c r="M368" s="28">
        <f t="shared" si="215"/>
        <v>-0.95971589469289686</v>
      </c>
      <c r="N368" s="28"/>
      <c r="O368" s="484">
        <f>O360/O419-1</f>
        <v>-0.58250531055007326</v>
      </c>
      <c r="P368" s="484">
        <f>P360/P419-1</f>
        <v>-0.98262406187229534</v>
      </c>
      <c r="Q368" s="484">
        <f>Q360/Q419-1</f>
        <v>-0.97188872994048991</v>
      </c>
      <c r="R368" s="484">
        <f>R360/R419-1</f>
        <v>-0.95936776853532579</v>
      </c>
      <c r="S368" s="484">
        <f>S360/S419-1</f>
        <v>-0.87400175145735348</v>
      </c>
      <c r="T368" s="31"/>
    </row>
    <row r="369" spans="1:20" ht="13" hidden="1" customHeight="1" outlineLevel="1">
      <c r="A369" s="526" t="s">
        <v>181</v>
      </c>
      <c r="B369" s="24">
        <f t="shared" ref="B369:M369" si="216">B361/B420-1</f>
        <v>-1</v>
      </c>
      <c r="C369" s="24">
        <f t="shared" si="216"/>
        <v>-1</v>
      </c>
      <c r="D369" s="24">
        <f t="shared" si="216"/>
        <v>-1</v>
      </c>
      <c r="E369" s="24">
        <f t="shared" si="216"/>
        <v>-1</v>
      </c>
      <c r="F369" s="24">
        <f t="shared" si="216"/>
        <v>-1</v>
      </c>
      <c r="G369" s="24">
        <f t="shared" si="216"/>
        <v>-1</v>
      </c>
      <c r="H369" s="24">
        <f t="shared" si="216"/>
        <v>-1</v>
      </c>
      <c r="I369" s="24">
        <f t="shared" si="216"/>
        <v>-1</v>
      </c>
      <c r="J369" s="24">
        <f t="shared" si="216"/>
        <v>-1</v>
      </c>
      <c r="K369" s="24">
        <f t="shared" si="216"/>
        <v>-1</v>
      </c>
      <c r="L369" s="24">
        <f t="shared" si="216"/>
        <v>-1</v>
      </c>
      <c r="M369" s="24">
        <f t="shared" si="216"/>
        <v>-1</v>
      </c>
      <c r="N369" s="21"/>
      <c r="O369" s="483">
        <f t="shared" ref="O369:S370" si="217">O361/O417-1</f>
        <v>-1</v>
      </c>
      <c r="P369" s="483">
        <f t="shared" si="217"/>
        <v>-1</v>
      </c>
      <c r="Q369" s="483">
        <f t="shared" si="217"/>
        <v>-1</v>
      </c>
      <c r="R369" s="483">
        <f t="shared" si="217"/>
        <v>-1</v>
      </c>
      <c r="S369" s="483">
        <f t="shared" si="217"/>
        <v>-1</v>
      </c>
    </row>
    <row r="370" spans="1:20" s="489" customFormat="1" ht="13" hidden="1" customHeight="1" outlineLevel="1">
      <c r="A370" s="537" t="s">
        <v>197</v>
      </c>
      <c r="B370" s="47">
        <f t="shared" ref="B370:M370" si="218">B362/B421-1</f>
        <v>-7.7430015950663567E-2</v>
      </c>
      <c r="C370" s="47">
        <f t="shared" si="218"/>
        <v>-1</v>
      </c>
      <c r="D370" s="47">
        <f t="shared" si="218"/>
        <v>-1</v>
      </c>
      <c r="E370" s="47">
        <f t="shared" si="218"/>
        <v>-1</v>
      </c>
      <c r="F370" s="47">
        <f t="shared" si="218"/>
        <v>-1</v>
      </c>
      <c r="G370" s="47">
        <f t="shared" si="218"/>
        <v>-1</v>
      </c>
      <c r="H370" s="47">
        <f t="shared" si="218"/>
        <v>-1</v>
      </c>
      <c r="I370" s="47">
        <f t="shared" si="218"/>
        <v>-1</v>
      </c>
      <c r="J370" s="47">
        <f t="shared" si="218"/>
        <v>-1</v>
      </c>
      <c r="K370" s="47">
        <f t="shared" si="218"/>
        <v>-1</v>
      </c>
      <c r="L370" s="47">
        <f t="shared" si="218"/>
        <v>-1</v>
      </c>
      <c r="M370" s="47">
        <f t="shared" si="218"/>
        <v>-1</v>
      </c>
      <c r="N370" s="47"/>
      <c r="O370" s="491">
        <f t="shared" si="217"/>
        <v>-1.4551761593580737E-2</v>
      </c>
      <c r="P370" s="491">
        <f t="shared" si="217"/>
        <v>-1</v>
      </c>
      <c r="Q370" s="491">
        <f t="shared" si="217"/>
        <v>-1</v>
      </c>
      <c r="R370" s="491">
        <f t="shared" si="217"/>
        <v>-1</v>
      </c>
      <c r="S370" s="491">
        <f t="shared" si="217"/>
        <v>-0.74948381062664227</v>
      </c>
      <c r="T370" s="48"/>
    </row>
    <row r="371" spans="1:20" hidden="1" outlineLevel="1">
      <c r="A371" s="526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508"/>
      <c r="O371" s="24"/>
      <c r="P371" s="19"/>
      <c r="Q371" s="19"/>
      <c r="R371" s="19"/>
    </row>
    <row r="372" spans="1:20" ht="13" hidden="1" customHeight="1" outlineLevel="1">
      <c r="A372" s="528" t="s">
        <v>185</v>
      </c>
      <c r="B372" s="488"/>
      <c r="C372" s="488"/>
      <c r="D372" s="488"/>
      <c r="E372" s="488"/>
      <c r="F372" s="488"/>
      <c r="G372" s="488"/>
      <c r="H372" s="488"/>
      <c r="I372" s="488"/>
      <c r="J372" s="488"/>
      <c r="K372" s="488"/>
      <c r="L372" s="488"/>
      <c r="M372" s="488"/>
      <c r="N372" s="488"/>
      <c r="O372" s="488"/>
      <c r="P372" s="488"/>
      <c r="Q372" s="488"/>
      <c r="R372" s="488"/>
    </row>
    <row r="373" spans="1:20" hidden="1" outlineLevel="1">
      <c r="A373" s="526" t="s">
        <v>22</v>
      </c>
      <c r="B373" s="483">
        <f t="shared" ref="B373:B378" si="219">B357/M416-1</f>
        <v>6.2740690714686576E-3</v>
      </c>
      <c r="C373" s="483">
        <f t="shared" ref="C373:M373" si="220">C357/B357-1</f>
        <v>-0.87511142988882629</v>
      </c>
      <c r="D373" s="483">
        <f t="shared" si="220"/>
        <v>-0.43290806908151125</v>
      </c>
      <c r="E373" s="483">
        <f t="shared" si="220"/>
        <v>-0.779296875</v>
      </c>
      <c r="F373" s="483">
        <f t="shared" si="220"/>
        <v>0.34972140281874808</v>
      </c>
      <c r="G373" s="483">
        <f t="shared" si="220"/>
        <v>0.3868382710053424</v>
      </c>
      <c r="H373" s="483">
        <f t="shared" si="220"/>
        <v>0.18035370337944312</v>
      </c>
      <c r="I373" s="483">
        <f t="shared" si="220"/>
        <v>0.15457647233348171</v>
      </c>
      <c r="J373" s="483">
        <f t="shared" si="220"/>
        <v>0.14081973532057068</v>
      </c>
      <c r="K373" s="483">
        <f t="shared" si="220"/>
        <v>-2.7367946840860524E-2</v>
      </c>
      <c r="L373" s="483">
        <f t="shared" si="220"/>
        <v>-4.6317739694302973E-2</v>
      </c>
      <c r="M373" s="483">
        <f t="shared" si="220"/>
        <v>6.9208353569694125E-3</v>
      </c>
      <c r="N373" s="488"/>
      <c r="O373" s="19"/>
      <c r="P373" s="19"/>
      <c r="Q373" s="19"/>
      <c r="R373" s="19"/>
    </row>
    <row r="374" spans="1:20" hidden="1" outlineLevel="1">
      <c r="A374" s="526" t="s">
        <v>25</v>
      </c>
      <c r="B374" s="483">
        <f t="shared" si="219"/>
        <v>6.68207902550082E-2</v>
      </c>
      <c r="C374" s="483">
        <f t="shared" ref="C374:M374" si="221">C358/B358-1</f>
        <v>-0.82582199390585986</v>
      </c>
      <c r="D374" s="483">
        <f t="shared" si="221"/>
        <v>-0.53612479474548436</v>
      </c>
      <c r="E374" s="483">
        <f t="shared" si="221"/>
        <v>-0.856569094622192</v>
      </c>
      <c r="F374" s="483">
        <f t="shared" si="221"/>
        <v>0.2496440436639773</v>
      </c>
      <c r="G374" s="483">
        <f t="shared" si="221"/>
        <v>0.18685909608811224</v>
      </c>
      <c r="H374" s="483">
        <f t="shared" si="221"/>
        <v>0.2255999999999998</v>
      </c>
      <c r="I374" s="483">
        <f t="shared" si="221"/>
        <v>1.0443864229765065E-2</v>
      </c>
      <c r="J374" s="483">
        <f t="shared" si="221"/>
        <v>-3.2299741602067167E-2</v>
      </c>
      <c r="K374" s="483">
        <f t="shared" si="221"/>
        <v>0.10226969292389843</v>
      </c>
      <c r="L374" s="483">
        <f t="shared" si="221"/>
        <v>-0.13226744186046513</v>
      </c>
      <c r="M374" s="483">
        <f t="shared" si="221"/>
        <v>7.8726968174204437E-2</v>
      </c>
      <c r="N374" s="488"/>
      <c r="O374" s="19"/>
      <c r="P374" s="19"/>
      <c r="Q374" s="19"/>
      <c r="R374" s="19"/>
    </row>
    <row r="375" spans="1:20" hidden="1" outlineLevel="1">
      <c r="A375" s="526" t="s">
        <v>172</v>
      </c>
      <c r="B375" s="483">
        <f t="shared" si="219"/>
        <v>7.3317764622820025E-3</v>
      </c>
      <c r="C375" s="483">
        <f t="shared" ref="C375:M375" si="222">C359/B359-1</f>
        <v>-0.81383437567392714</v>
      </c>
      <c r="D375" s="483">
        <f t="shared" si="222"/>
        <v>-0.5409788589632204</v>
      </c>
      <c r="E375" s="483">
        <f t="shared" si="222"/>
        <v>-0.89968454258675079</v>
      </c>
      <c r="F375" s="483">
        <f t="shared" si="222"/>
        <v>0.64150943396226423</v>
      </c>
      <c r="G375" s="483">
        <f t="shared" si="222"/>
        <v>0.60536398467432928</v>
      </c>
      <c r="H375" s="483">
        <f t="shared" si="222"/>
        <v>-6.4439140811455742E-2</v>
      </c>
      <c r="I375" s="483">
        <f t="shared" si="222"/>
        <v>0.25255102040816313</v>
      </c>
      <c r="J375" s="483">
        <f t="shared" si="222"/>
        <v>-1.4256619144602856E-2</v>
      </c>
      <c r="K375" s="483">
        <f t="shared" si="222"/>
        <v>0.88429752066115674</v>
      </c>
      <c r="L375" s="483">
        <f t="shared" si="222"/>
        <v>-2.7412280701754277E-2</v>
      </c>
      <c r="M375" s="483">
        <f t="shared" si="222"/>
        <v>0.12063134160090194</v>
      </c>
      <c r="N375" s="488"/>
      <c r="O375" s="19"/>
      <c r="P375" s="19"/>
      <c r="Q375" s="19"/>
      <c r="R375" s="19"/>
    </row>
    <row r="376" spans="1:20" ht="13" hidden="1" customHeight="1" outlineLevel="1">
      <c r="A376" s="535" t="s">
        <v>196</v>
      </c>
      <c r="B376" s="519">
        <f t="shared" si="219"/>
        <v>2.544076976787002E-2</v>
      </c>
      <c r="C376" s="519">
        <f t="shared" ref="C376:M376" si="223">C360/B360-1</f>
        <v>-0.83897319745983889</v>
      </c>
      <c r="D376" s="519">
        <f t="shared" si="223"/>
        <v>-0.51019597019044993</v>
      </c>
      <c r="E376" s="519">
        <f t="shared" si="223"/>
        <v>-0.84789468938779189</v>
      </c>
      <c r="F376" s="519">
        <f t="shared" si="223"/>
        <v>0.38722584469472454</v>
      </c>
      <c r="G376" s="519">
        <f t="shared" si="223"/>
        <v>0.39151800021365224</v>
      </c>
      <c r="H376" s="519">
        <f t="shared" si="223"/>
        <v>0.11246737294641473</v>
      </c>
      <c r="I376" s="519">
        <f t="shared" si="223"/>
        <v>0.14298530122144792</v>
      </c>
      <c r="J376" s="519">
        <f t="shared" si="223"/>
        <v>5.4398357785425233E-2</v>
      </c>
      <c r="K376" s="519">
        <f t="shared" si="223"/>
        <v>0.25309207512597331</v>
      </c>
      <c r="L376" s="519">
        <f t="shared" si="223"/>
        <v>-5.4651800402120143E-2</v>
      </c>
      <c r="M376" s="519">
        <f t="shared" si="223"/>
        <v>6.810711523588564E-2</v>
      </c>
      <c r="N376" s="45"/>
      <c r="O376" s="21"/>
      <c r="P376" s="21"/>
      <c r="Q376" s="21"/>
      <c r="R376" s="21"/>
      <c r="S376" s="44"/>
      <c r="T376" s="520"/>
    </row>
    <row r="377" spans="1:20" hidden="1" outlineLevel="1">
      <c r="A377" s="526" t="s">
        <v>181</v>
      </c>
      <c r="B377" s="483">
        <f t="shared" si="219"/>
        <v>-1</v>
      </c>
      <c r="C377" s="483" t="e">
        <f t="shared" ref="C377:M377" si="224">C361/B361-1</f>
        <v>#DIV/0!</v>
      </c>
      <c r="D377" s="483" t="e">
        <f t="shared" si="224"/>
        <v>#DIV/0!</v>
      </c>
      <c r="E377" s="483" t="e">
        <f t="shared" si="224"/>
        <v>#DIV/0!</v>
      </c>
      <c r="F377" s="483" t="e">
        <f t="shared" si="224"/>
        <v>#DIV/0!</v>
      </c>
      <c r="G377" s="483" t="e">
        <f t="shared" si="224"/>
        <v>#DIV/0!</v>
      </c>
      <c r="H377" s="483" t="e">
        <f t="shared" si="224"/>
        <v>#DIV/0!</v>
      </c>
      <c r="I377" s="483" t="e">
        <f t="shared" si="224"/>
        <v>#DIV/0!</v>
      </c>
      <c r="J377" s="483" t="e">
        <f t="shared" si="224"/>
        <v>#DIV/0!</v>
      </c>
      <c r="K377" s="483" t="e">
        <f t="shared" si="224"/>
        <v>#DIV/0!</v>
      </c>
      <c r="L377" s="483" t="e">
        <f t="shared" si="224"/>
        <v>#DIV/0!</v>
      </c>
      <c r="M377" s="483" t="e">
        <f t="shared" si="224"/>
        <v>#DIV/0!</v>
      </c>
      <c r="N377" s="470"/>
      <c r="O377" s="151"/>
      <c r="P377" s="151"/>
      <c r="Q377" s="151"/>
      <c r="R377" s="151"/>
    </row>
    <row r="378" spans="1:20" ht="13" hidden="1" customHeight="1" outlineLevel="1">
      <c r="A378" s="535" t="s">
        <v>197</v>
      </c>
      <c r="B378" s="519">
        <f t="shared" si="219"/>
        <v>-4.1836727741020985E-2</v>
      </c>
      <c r="C378" s="519">
        <f t="shared" ref="C378:M378" si="225">C362/B362-1</f>
        <v>-1</v>
      </c>
      <c r="D378" s="519" t="e">
        <f t="shared" si="225"/>
        <v>#DIV/0!</v>
      </c>
      <c r="E378" s="519" t="e">
        <f t="shared" si="225"/>
        <v>#DIV/0!</v>
      </c>
      <c r="F378" s="519" t="e">
        <f t="shared" si="225"/>
        <v>#DIV/0!</v>
      </c>
      <c r="G378" s="519" t="e">
        <f t="shared" si="225"/>
        <v>#DIV/0!</v>
      </c>
      <c r="H378" s="519" t="e">
        <f t="shared" si="225"/>
        <v>#DIV/0!</v>
      </c>
      <c r="I378" s="519" t="e">
        <f t="shared" si="225"/>
        <v>#DIV/0!</v>
      </c>
      <c r="J378" s="519" t="e">
        <f t="shared" si="225"/>
        <v>#DIV/0!</v>
      </c>
      <c r="K378" s="519" t="e">
        <f t="shared" si="225"/>
        <v>#DIV/0!</v>
      </c>
      <c r="L378" s="519" t="e">
        <f t="shared" si="225"/>
        <v>#DIV/0!</v>
      </c>
      <c r="M378" s="519" t="e">
        <f t="shared" si="225"/>
        <v>#DIV/0!</v>
      </c>
      <c r="N378" s="45"/>
      <c r="O378" s="21"/>
      <c r="P378" s="21"/>
      <c r="Q378" s="21"/>
      <c r="R378" s="21"/>
      <c r="S378" s="44"/>
      <c r="T378" s="520"/>
    </row>
    <row r="379" spans="1:20" ht="13" hidden="1" customHeight="1" outlineLevel="1">
      <c r="A379" s="532"/>
      <c r="B379" s="337"/>
      <c r="C379" s="337"/>
      <c r="D379" s="337"/>
      <c r="E379" s="337"/>
      <c r="F379" s="337"/>
      <c r="G379" s="538"/>
      <c r="H379" s="337"/>
      <c r="I379" s="538"/>
      <c r="J379" s="538"/>
      <c r="K379" s="337"/>
      <c r="L379" s="337"/>
      <c r="M379" s="337"/>
      <c r="N379" s="42"/>
      <c r="O379" s="43"/>
      <c r="P379" s="43"/>
      <c r="Q379" s="43"/>
      <c r="R379" s="43"/>
      <c r="S379" s="44"/>
      <c r="T379" s="520"/>
    </row>
    <row r="380" spans="1:20" ht="13" hidden="1" customHeight="1" outlineLevel="1">
      <c r="A380" s="532" t="s">
        <v>201</v>
      </c>
      <c r="B380" s="337"/>
      <c r="C380" s="337"/>
      <c r="D380" s="337"/>
      <c r="E380" s="337"/>
      <c r="F380" s="337"/>
      <c r="G380" s="538"/>
      <c r="H380" s="337"/>
      <c r="I380" s="538"/>
      <c r="J380" s="538"/>
      <c r="K380" s="337"/>
      <c r="L380" s="337"/>
      <c r="M380" s="337"/>
      <c r="N380" s="42"/>
      <c r="O380" s="43"/>
      <c r="P380" s="43"/>
      <c r="Q380" s="43"/>
      <c r="R380" s="43"/>
      <c r="S380" s="44"/>
      <c r="T380" s="520"/>
    </row>
    <row r="381" spans="1:20" ht="13" hidden="1" customHeight="1" outlineLevel="1">
      <c r="A381" s="533" t="s">
        <v>159</v>
      </c>
      <c r="B381" s="472" t="s">
        <v>51</v>
      </c>
      <c r="C381" s="472" t="s">
        <v>52</v>
      </c>
      <c r="D381" s="472" t="s">
        <v>53</v>
      </c>
      <c r="E381" s="472" t="s">
        <v>54</v>
      </c>
      <c r="F381" s="472" t="s">
        <v>55</v>
      </c>
      <c r="G381" s="472" t="s">
        <v>77</v>
      </c>
      <c r="H381" s="472" t="s">
        <v>78</v>
      </c>
      <c r="I381" s="472" t="s">
        <v>79</v>
      </c>
      <c r="J381" s="472" t="s">
        <v>80</v>
      </c>
      <c r="K381" s="472" t="s">
        <v>81</v>
      </c>
      <c r="L381" s="472" t="s">
        <v>82</v>
      </c>
      <c r="M381" s="472" t="s">
        <v>44</v>
      </c>
      <c r="N381" s="473" t="s">
        <v>133</v>
      </c>
      <c r="O381" s="473" t="s">
        <v>129</v>
      </c>
      <c r="P381" s="473" t="s">
        <v>130</v>
      </c>
      <c r="Q381" s="473" t="s">
        <v>131</v>
      </c>
      <c r="R381" s="473" t="s">
        <v>132</v>
      </c>
      <c r="S381" s="445" t="s">
        <v>171</v>
      </c>
      <c r="T381" s="520"/>
    </row>
    <row r="382" spans="1:20" ht="13" hidden="1" customHeight="1" outlineLevel="1">
      <c r="A382" s="526" t="s">
        <v>22</v>
      </c>
      <c r="B382" s="15">
        <v>1814.84</v>
      </c>
      <c r="C382" s="15">
        <v>232.72</v>
      </c>
      <c r="D382" s="15">
        <v>133.4</v>
      </c>
      <c r="E382" s="15">
        <v>29.65</v>
      </c>
      <c r="F382" s="15">
        <v>38.33</v>
      </c>
      <c r="G382" s="15">
        <v>52.32</v>
      </c>
      <c r="H382" s="15">
        <v>60.8</v>
      </c>
      <c r="I382" s="15">
        <v>73.52</v>
      </c>
      <c r="J382" s="15">
        <v>80.84</v>
      </c>
      <c r="K382" s="15">
        <v>76.13</v>
      </c>
      <c r="L382" s="15">
        <v>71.73</v>
      </c>
      <c r="M382" s="15">
        <v>70.88</v>
      </c>
      <c r="N382" s="15"/>
      <c r="O382" s="15">
        <f>SUM(B382:D382)</f>
        <v>2180.96</v>
      </c>
      <c r="P382" s="15">
        <f>SUM(E382:G382)</f>
        <v>120.29999999999998</v>
      </c>
      <c r="Q382" s="15">
        <f>SUM(H382:J382)</f>
        <v>215.16</v>
      </c>
      <c r="R382" s="15">
        <f>SUM(K382:M382)</f>
        <v>218.74</v>
      </c>
      <c r="S382" s="15">
        <f>SUM(B382:M382)</f>
        <v>2735.1600000000008</v>
      </c>
      <c r="T382" s="520"/>
    </row>
    <row r="383" spans="1:20" ht="13" hidden="1" customHeight="1" outlineLevel="1">
      <c r="A383" s="526" t="s">
        <v>25</v>
      </c>
      <c r="B383" s="15">
        <v>1577.67</v>
      </c>
      <c r="C383" s="15">
        <v>291.64999999999998</v>
      </c>
      <c r="D383" s="15">
        <v>137.34</v>
      </c>
      <c r="E383" s="15">
        <v>17.600000000000001</v>
      </c>
      <c r="F383" s="15">
        <v>22.67</v>
      </c>
      <c r="G383" s="15">
        <v>27.84</v>
      </c>
      <c r="H383" s="15">
        <v>32.159999999999997</v>
      </c>
      <c r="I383" s="15">
        <v>30.92</v>
      </c>
      <c r="J383" s="15">
        <v>29.17</v>
      </c>
      <c r="K383" s="15">
        <v>26.73</v>
      </c>
      <c r="L383" s="15">
        <v>24.1</v>
      </c>
      <c r="M383" s="15">
        <v>23.41</v>
      </c>
      <c r="N383" s="15"/>
      <c r="O383" s="15">
        <f>SUM(B383:D383)</f>
        <v>2006.66</v>
      </c>
      <c r="P383" s="15">
        <f>SUM(E383:G383)</f>
        <v>68.11</v>
      </c>
      <c r="Q383" s="15">
        <f>SUM(H383:J383)</f>
        <v>92.25</v>
      </c>
      <c r="R383" s="15">
        <f>SUM(K383:M383)</f>
        <v>74.239999999999995</v>
      </c>
      <c r="S383" s="15">
        <f>SUM(B383:M383)</f>
        <v>2241.2599999999998</v>
      </c>
      <c r="T383" s="520"/>
    </row>
    <row r="384" spans="1:20" ht="13" hidden="1" customHeight="1" outlineLevel="1">
      <c r="A384" s="526" t="s">
        <v>172</v>
      </c>
      <c r="B384" s="15">
        <v>1471.2</v>
      </c>
      <c r="C384" s="15">
        <v>309.3</v>
      </c>
      <c r="D384" s="15">
        <v>146.69999999999999</v>
      </c>
      <c r="E384" s="15">
        <v>15.3</v>
      </c>
      <c r="F384" s="15">
        <v>25.5</v>
      </c>
      <c r="G384" s="15">
        <v>35.9</v>
      </c>
      <c r="H384" s="15">
        <v>37.5</v>
      </c>
      <c r="I384" s="15">
        <v>45.2</v>
      </c>
      <c r="J384" s="15">
        <v>39</v>
      </c>
      <c r="K384" s="15">
        <v>42.9</v>
      </c>
      <c r="L384" s="15">
        <v>37.6</v>
      </c>
      <c r="M384" s="15">
        <v>35.700000000000003</v>
      </c>
      <c r="N384" s="15"/>
      <c r="O384" s="15">
        <f>SUM(B384:D384)</f>
        <v>1927.2</v>
      </c>
      <c r="P384" s="15">
        <f>SUM(E384:G384)</f>
        <v>76.699999999999989</v>
      </c>
      <c r="Q384" s="15">
        <f>SUM(H384:J384)</f>
        <v>121.7</v>
      </c>
      <c r="R384" s="15">
        <f>SUM(K384:M384)</f>
        <v>116.2</v>
      </c>
      <c r="S384" s="15">
        <f>SUM(B384:M384)</f>
        <v>2241.7999999999997</v>
      </c>
      <c r="T384" s="520"/>
    </row>
    <row r="385" spans="1:20" ht="13" hidden="1" customHeight="1" outlineLevel="1">
      <c r="A385" s="535" t="s">
        <v>196</v>
      </c>
      <c r="B385" s="45">
        <f t="shared" ref="B385:M385" si="226">SUM(B382:B384)</f>
        <v>4863.71</v>
      </c>
      <c r="C385" s="45">
        <f t="shared" si="226"/>
        <v>833.67000000000007</v>
      </c>
      <c r="D385" s="45">
        <f t="shared" si="226"/>
        <v>417.44</v>
      </c>
      <c r="E385" s="45">
        <f t="shared" si="226"/>
        <v>62.55</v>
      </c>
      <c r="F385" s="45">
        <f t="shared" si="226"/>
        <v>86.5</v>
      </c>
      <c r="G385" s="45">
        <f t="shared" si="226"/>
        <v>116.06</v>
      </c>
      <c r="H385" s="45">
        <f t="shared" si="226"/>
        <v>130.45999999999998</v>
      </c>
      <c r="I385" s="45">
        <f t="shared" si="226"/>
        <v>149.63999999999999</v>
      </c>
      <c r="J385" s="45">
        <f t="shared" si="226"/>
        <v>149.01</v>
      </c>
      <c r="K385" s="45">
        <f t="shared" si="226"/>
        <v>145.76</v>
      </c>
      <c r="L385" s="45">
        <f t="shared" si="226"/>
        <v>133.43</v>
      </c>
      <c r="M385" s="45">
        <f t="shared" si="226"/>
        <v>129.99</v>
      </c>
      <c r="N385" s="45"/>
      <c r="O385" s="21">
        <f>SUM(B385:D385)</f>
        <v>6114.82</v>
      </c>
      <c r="P385" s="21">
        <f>SUM(E385:G385)</f>
        <v>265.11</v>
      </c>
      <c r="Q385" s="21">
        <f>SUM(H385:J385)</f>
        <v>429.10999999999996</v>
      </c>
      <c r="R385" s="21">
        <f>SUM(K385:M385)</f>
        <v>409.18</v>
      </c>
      <c r="S385" s="21">
        <f>SUM(B385:M385)</f>
        <v>7218.2200000000012</v>
      </c>
      <c r="T385" s="520"/>
    </row>
    <row r="386" spans="1:20" ht="13" hidden="1" customHeight="1" outlineLevel="1">
      <c r="A386" s="526" t="s">
        <v>181</v>
      </c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42"/>
      <c r="O386" s="15"/>
      <c r="P386" s="15"/>
      <c r="Q386" s="15"/>
      <c r="R386" s="15"/>
      <c r="S386" s="1"/>
      <c r="T386" s="520"/>
    </row>
    <row r="387" spans="1:20" ht="13" hidden="1" customHeight="1" outlineLevel="1">
      <c r="A387" s="535" t="s">
        <v>197</v>
      </c>
      <c r="B387" s="42">
        <f>B385+B386</f>
        <v>4863.71</v>
      </c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21">
        <f>SUM(B387:D387)</f>
        <v>4863.71</v>
      </c>
      <c r="P387" s="21">
        <f>SUM(E387:G387)</f>
        <v>0</v>
      </c>
      <c r="Q387" s="21">
        <f>SUM(H387:J387)</f>
        <v>0</v>
      </c>
      <c r="R387" s="21">
        <f>SUM(K387:M387)</f>
        <v>0</v>
      </c>
      <c r="S387" s="44">
        <f>SUM(O387:R387)</f>
        <v>4863.71</v>
      </c>
      <c r="T387" s="520"/>
    </row>
    <row r="388" spans="1:20" ht="13" hidden="1" customHeight="1" outlineLevel="1">
      <c r="A388" s="532"/>
      <c r="B388" s="337"/>
      <c r="C388" s="337"/>
      <c r="D388" s="337"/>
      <c r="E388" s="337"/>
      <c r="F388" s="337"/>
      <c r="G388" s="483"/>
      <c r="H388" s="337"/>
      <c r="I388" s="538"/>
      <c r="J388" s="538"/>
      <c r="K388" s="337"/>
      <c r="L388" s="337"/>
      <c r="M388" s="337"/>
      <c r="N388" s="42"/>
      <c r="O388" s="43"/>
      <c r="P388" s="43"/>
      <c r="Q388" s="43"/>
      <c r="R388" s="43"/>
      <c r="S388" s="43"/>
      <c r="T388" s="520"/>
    </row>
    <row r="389" spans="1:20" ht="13" hidden="1" customHeight="1" outlineLevel="1">
      <c r="A389" s="528" t="s">
        <v>184</v>
      </c>
      <c r="B389" s="488"/>
      <c r="C389" s="337"/>
      <c r="D389" s="337"/>
      <c r="E389" s="337"/>
      <c r="F389" s="337"/>
      <c r="G389" s="538"/>
      <c r="H389" s="337"/>
      <c r="I389" s="538"/>
      <c r="J389" s="538"/>
      <c r="K389" s="337"/>
      <c r="L389" s="337"/>
      <c r="M389" s="337"/>
      <c r="N389" s="42"/>
      <c r="O389" s="43"/>
      <c r="P389" s="43"/>
      <c r="Q389" s="43"/>
      <c r="R389" s="43"/>
      <c r="S389" s="43"/>
      <c r="T389" s="520"/>
    </row>
    <row r="390" spans="1:20" ht="13" hidden="1" customHeight="1" outlineLevel="1">
      <c r="A390" s="526" t="s">
        <v>22</v>
      </c>
      <c r="B390" s="483">
        <f t="shared" ref="B390:M390" si="227">B382/B441-1</f>
        <v>8.2581722739202945E-2</v>
      </c>
      <c r="C390" s="483">
        <f t="shared" si="227"/>
        <v>-0.85583844390757602</v>
      </c>
      <c r="D390" s="483">
        <f t="shared" si="227"/>
        <v>-0.91818259877580566</v>
      </c>
      <c r="E390" s="483">
        <f t="shared" si="227"/>
        <v>-0.9821459754680284</v>
      </c>
      <c r="F390" s="483">
        <f t="shared" si="227"/>
        <v>-0.97613666784956077</v>
      </c>
      <c r="G390" s="483">
        <f t="shared" si="227"/>
        <v>-0.9680529519878367</v>
      </c>
      <c r="H390" s="483">
        <f t="shared" si="227"/>
        <v>-0.96727259025605972</v>
      </c>
      <c r="I390" s="483">
        <f t="shared" si="227"/>
        <v>-0.96267357144670374</v>
      </c>
      <c r="J390" s="483">
        <f t="shared" si="227"/>
        <v>-0.95205845026153169</v>
      </c>
      <c r="K390" s="483">
        <f t="shared" si="227"/>
        <v>-0.95491958596840287</v>
      </c>
      <c r="L390" s="483">
        <f t="shared" si="227"/>
        <v>-0.95612495183103241</v>
      </c>
      <c r="M390" s="483">
        <f t="shared" si="227"/>
        <v>-0.96020235708951662</v>
      </c>
      <c r="N390" s="42"/>
      <c r="O390" s="337" t="e">
        <f t="shared" ref="O390:S392" si="228">O382/O438-1</f>
        <v>#DIV/0!</v>
      </c>
      <c r="P390" s="483" t="e">
        <f t="shared" si="228"/>
        <v>#DIV/0!</v>
      </c>
      <c r="Q390" s="483" t="e">
        <f t="shared" si="228"/>
        <v>#DIV/0!</v>
      </c>
      <c r="R390" s="483" t="e">
        <f t="shared" si="228"/>
        <v>#DIV/0!</v>
      </c>
      <c r="S390" s="483" t="e">
        <f t="shared" si="228"/>
        <v>#DIV/0!</v>
      </c>
      <c r="T390" s="520"/>
    </row>
    <row r="391" spans="1:20" ht="13" hidden="1" customHeight="1" outlineLevel="1">
      <c r="A391" s="526" t="s">
        <v>25</v>
      </c>
      <c r="B391" s="483">
        <f t="shared" ref="B391:M391" si="229">B383/B442-1</f>
        <v>5.9820504897153182E-2</v>
      </c>
      <c r="C391" s="483">
        <f t="shared" si="229"/>
        <v>-0.80341603812374041</v>
      </c>
      <c r="D391" s="483">
        <f t="shared" si="229"/>
        <v>-0.90371497276340973</v>
      </c>
      <c r="E391" s="483">
        <f t="shared" si="229"/>
        <v>-0.98775907636667126</v>
      </c>
      <c r="F391" s="483">
        <f t="shared" si="229"/>
        <v>-0.98425519502166903</v>
      </c>
      <c r="G391" s="483">
        <f t="shared" si="229"/>
        <v>-0.98089198204505212</v>
      </c>
      <c r="H391" s="483">
        <f t="shared" si="229"/>
        <v>-0.9786608629876119</v>
      </c>
      <c r="I391" s="483">
        <f t="shared" si="229"/>
        <v>-0.98068658804717168</v>
      </c>
      <c r="J391" s="483">
        <f t="shared" si="229"/>
        <v>-0.97945051074321943</v>
      </c>
      <c r="K391" s="483">
        <f t="shared" si="229"/>
        <v>-0.98119816835130513</v>
      </c>
      <c r="L391" s="483">
        <f t="shared" si="229"/>
        <v>-0.9828882624841131</v>
      </c>
      <c r="M391" s="483">
        <f t="shared" si="229"/>
        <v>-0.98406105955485357</v>
      </c>
      <c r="N391" s="42"/>
      <c r="O391" s="337" t="e">
        <f t="shared" si="228"/>
        <v>#DIV/0!</v>
      </c>
      <c r="P391" s="483" t="e">
        <f t="shared" si="228"/>
        <v>#DIV/0!</v>
      </c>
      <c r="Q391" s="483" t="e">
        <f t="shared" si="228"/>
        <v>#DIV/0!</v>
      </c>
      <c r="R391" s="483" t="e">
        <f t="shared" si="228"/>
        <v>#DIV/0!</v>
      </c>
      <c r="S391" s="483" t="e">
        <f t="shared" si="228"/>
        <v>#DIV/0!</v>
      </c>
      <c r="T391" s="520"/>
    </row>
    <row r="392" spans="1:20" ht="13" hidden="1" customHeight="1" outlineLevel="1">
      <c r="A392" s="526" t="s">
        <v>172</v>
      </c>
      <c r="B392" s="483">
        <f t="shared" ref="B392:M392" si="230">B384/B443-1</f>
        <v>9.0534979423868567E-3</v>
      </c>
      <c r="C392" s="483">
        <f t="shared" si="230"/>
        <v>-0.77218825955660308</v>
      </c>
      <c r="D392" s="483">
        <f t="shared" si="230"/>
        <v>-0.90056259743780931</v>
      </c>
      <c r="E392" s="483">
        <f t="shared" si="230"/>
        <v>-0.98964116452268114</v>
      </c>
      <c r="F392" s="483">
        <f t="shared" si="230"/>
        <v>-0.98212407991587802</v>
      </c>
      <c r="G392" s="483">
        <f t="shared" si="230"/>
        <v>-0.9740419378163413</v>
      </c>
      <c r="H392" s="483">
        <f t="shared" si="230"/>
        <v>-0.97397098632609147</v>
      </c>
      <c r="I392" s="483">
        <f t="shared" si="230"/>
        <v>-0.97046523784631467</v>
      </c>
      <c r="J392" s="483">
        <f t="shared" si="230"/>
        <v>-0.97130031643240855</v>
      </c>
      <c r="K392" s="483">
        <f t="shared" si="230"/>
        <v>-0.96838847542553974</v>
      </c>
      <c r="L392" s="483">
        <f t="shared" si="230"/>
        <v>-0.97251863762607804</v>
      </c>
      <c r="M392" s="483">
        <f t="shared" si="230"/>
        <v>-0.97556802627977002</v>
      </c>
      <c r="N392" s="42"/>
      <c r="O392" s="337" t="e">
        <f t="shared" si="228"/>
        <v>#VALUE!</v>
      </c>
      <c r="P392" s="483" t="e">
        <f t="shared" si="228"/>
        <v>#VALUE!</v>
      </c>
      <c r="Q392" s="483" t="e">
        <f t="shared" si="228"/>
        <v>#VALUE!</v>
      </c>
      <c r="R392" s="483" t="e">
        <f t="shared" si="228"/>
        <v>#VALUE!</v>
      </c>
      <c r="S392" s="483" t="e">
        <f t="shared" si="228"/>
        <v>#VALUE!</v>
      </c>
      <c r="T392" s="520"/>
    </row>
    <row r="393" spans="1:20" ht="13" hidden="1" customHeight="1" outlineLevel="1">
      <c r="A393" s="536" t="s">
        <v>196</v>
      </c>
      <c r="B393" s="519">
        <f t="shared" ref="B393:M393" si="231">B385/B444-1</f>
        <v>5.2063369831841344E-2</v>
      </c>
      <c r="C393" s="519">
        <f t="shared" si="231"/>
        <v>-0.81289346640961124</v>
      </c>
      <c r="D393" s="519">
        <f t="shared" si="231"/>
        <v>-0.90789360458060742</v>
      </c>
      <c r="E393" s="519">
        <f t="shared" si="231"/>
        <v>-0.98632933303318338</v>
      </c>
      <c r="F393" s="519">
        <f t="shared" si="231"/>
        <v>-0.98065988905707457</v>
      </c>
      <c r="G393" s="519">
        <f t="shared" si="231"/>
        <v>-0.97408038519861806</v>
      </c>
      <c r="H393" s="519">
        <f t="shared" si="231"/>
        <v>-0.97285227944297858</v>
      </c>
      <c r="I393" s="519">
        <f t="shared" si="231"/>
        <v>-0.97066463308246798</v>
      </c>
      <c r="J393" s="519">
        <f t="shared" si="231"/>
        <v>-0.9666242591754729</v>
      </c>
      <c r="K393" s="519">
        <f t="shared" si="231"/>
        <v>-0.96737347035162613</v>
      </c>
      <c r="L393" s="519">
        <f t="shared" si="231"/>
        <v>-0.96975377766091042</v>
      </c>
      <c r="M393" s="519">
        <f t="shared" si="231"/>
        <v>-0.9724067808123219</v>
      </c>
      <c r="N393" s="42"/>
      <c r="O393" s="487">
        <f>O385/O444-1</f>
        <v>-0.55073632919836957</v>
      </c>
      <c r="P393" s="487">
        <f>P385/P444-1</f>
        <v>-0.98039960815481586</v>
      </c>
      <c r="Q393" s="487">
        <f>Q385/Q444-1</f>
        <v>-0.97014095562023739</v>
      </c>
      <c r="R393" s="487">
        <f>R385/R444-1</f>
        <v>-0.96989094130727682</v>
      </c>
      <c r="S393" s="487">
        <f>S385/S444-1</f>
        <v>-0.86899218714126181</v>
      </c>
      <c r="T393" s="520"/>
    </row>
    <row r="394" spans="1:20" ht="13" hidden="1" customHeight="1" outlineLevel="1">
      <c r="A394" s="526" t="s">
        <v>181</v>
      </c>
      <c r="B394" s="483">
        <f t="shared" ref="B394:M394" si="232">B386/B445-1</f>
        <v>-1</v>
      </c>
      <c r="C394" s="483">
        <f t="shared" si="232"/>
        <v>-1</v>
      </c>
      <c r="D394" s="483">
        <f t="shared" si="232"/>
        <v>-1</v>
      </c>
      <c r="E394" s="483">
        <f t="shared" si="232"/>
        <v>-1</v>
      </c>
      <c r="F394" s="483">
        <f t="shared" si="232"/>
        <v>-1</v>
      </c>
      <c r="G394" s="483">
        <f t="shared" si="232"/>
        <v>-1</v>
      </c>
      <c r="H394" s="483">
        <f t="shared" si="232"/>
        <v>-1</v>
      </c>
      <c r="I394" s="483">
        <f t="shared" si="232"/>
        <v>-1</v>
      </c>
      <c r="J394" s="483">
        <f t="shared" si="232"/>
        <v>-1</v>
      </c>
      <c r="K394" s="483">
        <f t="shared" si="232"/>
        <v>-1</v>
      </c>
      <c r="L394" s="483">
        <f t="shared" si="232"/>
        <v>-1</v>
      </c>
      <c r="M394" s="483">
        <f t="shared" si="232"/>
        <v>-1</v>
      </c>
      <c r="N394" s="42"/>
      <c r="O394" s="337">
        <f t="shared" ref="O394:S395" si="233">O386/O442-1</f>
        <v>-1</v>
      </c>
      <c r="P394" s="483">
        <f t="shared" si="233"/>
        <v>-1</v>
      </c>
      <c r="Q394" s="483">
        <f t="shared" si="233"/>
        <v>-1</v>
      </c>
      <c r="R394" s="483">
        <f t="shared" si="233"/>
        <v>-1</v>
      </c>
      <c r="S394" s="483">
        <f t="shared" si="233"/>
        <v>-1</v>
      </c>
      <c r="T394" s="520"/>
    </row>
    <row r="395" spans="1:20" s="489" customFormat="1" ht="13" hidden="1" customHeight="1" outlineLevel="1">
      <c r="A395" s="539" t="s">
        <v>197</v>
      </c>
      <c r="B395" s="540">
        <f t="shared" ref="B395:M395" si="234">B387/B446-1</f>
        <v>-3.6329989479044422E-2</v>
      </c>
      <c r="C395" s="540">
        <f t="shared" si="234"/>
        <v>-1</v>
      </c>
      <c r="D395" s="540">
        <f t="shared" si="234"/>
        <v>-1</v>
      </c>
      <c r="E395" s="540">
        <f t="shared" si="234"/>
        <v>-1</v>
      </c>
      <c r="F395" s="540">
        <f t="shared" si="234"/>
        <v>-1</v>
      </c>
      <c r="G395" s="540">
        <f t="shared" si="234"/>
        <v>-1</v>
      </c>
      <c r="H395" s="540">
        <f t="shared" si="234"/>
        <v>-1</v>
      </c>
      <c r="I395" s="540">
        <f t="shared" si="234"/>
        <v>-1</v>
      </c>
      <c r="J395" s="540">
        <f t="shared" si="234"/>
        <v>-1</v>
      </c>
      <c r="K395" s="540">
        <f t="shared" si="234"/>
        <v>-1</v>
      </c>
      <c r="L395" s="540">
        <f t="shared" si="234"/>
        <v>-1</v>
      </c>
      <c r="M395" s="540">
        <f t="shared" si="234"/>
        <v>-1</v>
      </c>
      <c r="N395" s="49"/>
      <c r="O395" s="541">
        <f t="shared" si="233"/>
        <v>0.13346772314145894</v>
      </c>
      <c r="P395" s="491">
        <f t="shared" si="233"/>
        <v>-1</v>
      </c>
      <c r="Q395" s="491">
        <f t="shared" si="233"/>
        <v>-1</v>
      </c>
      <c r="R395" s="491">
        <f t="shared" si="233"/>
        <v>-1</v>
      </c>
      <c r="S395" s="491">
        <f t="shared" si="233"/>
        <v>-0.71547268047268053</v>
      </c>
      <c r="T395" s="542"/>
    </row>
    <row r="396" spans="1:20" ht="13" hidden="1" customHeight="1" outlineLevel="1">
      <c r="A396" s="532"/>
      <c r="B396" s="483"/>
      <c r="C396" s="483"/>
      <c r="D396" s="337"/>
      <c r="E396" s="337"/>
      <c r="F396" s="337"/>
      <c r="G396" s="538"/>
      <c r="H396" s="337"/>
      <c r="I396" s="538"/>
      <c r="J396" s="538"/>
      <c r="K396" s="337"/>
      <c r="L396" s="337"/>
      <c r="M396" s="337"/>
      <c r="N396" s="42"/>
      <c r="O396" s="43"/>
      <c r="P396" s="43"/>
      <c r="Q396" s="43"/>
      <c r="R396" s="43"/>
      <c r="S396" s="44"/>
      <c r="T396" s="520"/>
    </row>
    <row r="397" spans="1:20" ht="13" hidden="1" customHeight="1" outlineLevel="1">
      <c r="A397" s="532" t="s">
        <v>148</v>
      </c>
      <c r="B397" s="337"/>
      <c r="C397" s="337"/>
      <c r="D397" s="337"/>
      <c r="E397" s="337"/>
      <c r="F397" s="337"/>
      <c r="G397" s="538"/>
      <c r="H397" s="337"/>
      <c r="I397" s="538"/>
      <c r="J397" s="538"/>
      <c r="K397" s="337"/>
      <c r="L397" s="337"/>
      <c r="M397" s="337"/>
      <c r="N397" s="42"/>
      <c r="O397" s="43"/>
      <c r="P397" s="43"/>
      <c r="Q397" s="43"/>
      <c r="R397" s="43"/>
      <c r="S397" s="44"/>
      <c r="T397" s="520"/>
    </row>
    <row r="398" spans="1:20" ht="13" hidden="1" customHeight="1" outlineLevel="1">
      <c r="A398" s="533" t="s">
        <v>159</v>
      </c>
      <c r="B398" s="472" t="s">
        <v>51</v>
      </c>
      <c r="C398" s="472" t="s">
        <v>52</v>
      </c>
      <c r="D398" s="472" t="s">
        <v>53</v>
      </c>
      <c r="E398" s="472" t="s">
        <v>54</v>
      </c>
      <c r="F398" s="472" t="s">
        <v>55</v>
      </c>
      <c r="G398" s="472" t="s">
        <v>77</v>
      </c>
      <c r="H398" s="472" t="s">
        <v>78</v>
      </c>
      <c r="I398" s="472" t="s">
        <v>79</v>
      </c>
      <c r="J398" s="472" t="s">
        <v>80</v>
      </c>
      <c r="K398" s="472" t="s">
        <v>81</v>
      </c>
      <c r="L398" s="472" t="s">
        <v>82</v>
      </c>
      <c r="M398" s="472" t="s">
        <v>44</v>
      </c>
      <c r="N398" s="473" t="s">
        <v>133</v>
      </c>
      <c r="O398" s="473" t="s">
        <v>129</v>
      </c>
      <c r="P398" s="473" t="s">
        <v>130</v>
      </c>
      <c r="Q398" s="473" t="s">
        <v>131</v>
      </c>
      <c r="R398" s="473" t="s">
        <v>132</v>
      </c>
      <c r="S398" s="445" t="s">
        <v>171</v>
      </c>
      <c r="T398" s="520"/>
    </row>
    <row r="399" spans="1:20" ht="13" hidden="1" customHeight="1" outlineLevel="1">
      <c r="A399" s="526" t="s">
        <v>22</v>
      </c>
      <c r="B399" s="15">
        <v>137.06</v>
      </c>
      <c r="C399" s="15">
        <v>11.05</v>
      </c>
      <c r="D399" s="15">
        <v>4.84</v>
      </c>
      <c r="E399" s="15">
        <v>0.86</v>
      </c>
      <c r="F399" s="15">
        <v>2.85</v>
      </c>
      <c r="G399" s="15">
        <v>4.79</v>
      </c>
      <c r="H399" s="15">
        <v>6.61</v>
      </c>
      <c r="I399" s="15">
        <v>4.3099999999999996</v>
      </c>
      <c r="J399" s="15">
        <v>7.95</v>
      </c>
      <c r="K399" s="15">
        <v>10.23</v>
      </c>
      <c r="L399" s="15">
        <v>10.63</v>
      </c>
      <c r="M399" s="15">
        <v>12.05</v>
      </c>
      <c r="N399" s="15"/>
      <c r="O399" s="15">
        <f>SUM(B399:D399)</f>
        <v>152.95000000000002</v>
      </c>
      <c r="P399" s="15">
        <f>SUM(E399:G399)</f>
        <v>8.5</v>
      </c>
      <c r="Q399" s="15">
        <f>SUM(H399:J399)</f>
        <v>18.87</v>
      </c>
      <c r="R399" s="15">
        <f>SUM(K399:M399)</f>
        <v>32.909999999999997</v>
      </c>
      <c r="S399" s="15">
        <f>SUM(B399:M399)</f>
        <v>213.23000000000002</v>
      </c>
      <c r="T399" s="520"/>
    </row>
    <row r="400" spans="1:20" ht="13" hidden="1" customHeight="1" outlineLevel="1">
      <c r="A400" s="526" t="s">
        <v>25</v>
      </c>
      <c r="B400" s="15">
        <v>240.47</v>
      </c>
      <c r="C400" s="15">
        <v>25.03</v>
      </c>
      <c r="D400" s="15">
        <v>9.56</v>
      </c>
      <c r="E400" s="15">
        <v>3.47</v>
      </c>
      <c r="F400" s="15">
        <v>3.66</v>
      </c>
      <c r="G400" s="15">
        <v>3.41</v>
      </c>
      <c r="H400" s="15">
        <v>6.14</v>
      </c>
      <c r="I400" s="15">
        <v>7.78</v>
      </c>
      <c r="J400" s="15">
        <v>8.2799999999999994</v>
      </c>
      <c r="K400" s="15">
        <v>14.55</v>
      </c>
      <c r="L400" s="15">
        <v>11.72</v>
      </c>
      <c r="M400" s="15">
        <v>15.23</v>
      </c>
      <c r="N400" s="15"/>
      <c r="O400" s="15">
        <f>SUM(B400:D400)</f>
        <v>275.06</v>
      </c>
      <c r="P400" s="15">
        <f>SUM(E400:G400)</f>
        <v>10.540000000000001</v>
      </c>
      <c r="Q400" s="15">
        <f>SUM(H400:J400)</f>
        <v>22.2</v>
      </c>
      <c r="R400" s="15">
        <f>SUM(K400:M400)</f>
        <v>41.5</v>
      </c>
      <c r="S400" s="15">
        <f>SUM(B400:M400)</f>
        <v>349.30000000000007</v>
      </c>
      <c r="T400" s="520"/>
    </row>
    <row r="401" spans="1:20" ht="13" hidden="1" customHeight="1" outlineLevel="1">
      <c r="A401" s="526" t="s">
        <v>172</v>
      </c>
      <c r="B401" s="15">
        <v>383.6</v>
      </c>
      <c r="C401" s="15">
        <v>36</v>
      </c>
      <c r="D401" s="15">
        <v>11.8</v>
      </c>
      <c r="E401" s="15">
        <v>0.6</v>
      </c>
      <c r="F401" s="15">
        <v>0.6</v>
      </c>
      <c r="G401" s="15">
        <v>6</v>
      </c>
      <c r="H401" s="15">
        <v>1.7</v>
      </c>
      <c r="I401" s="15">
        <v>3.9</v>
      </c>
      <c r="J401" s="15">
        <v>9.4</v>
      </c>
      <c r="K401" s="15">
        <v>48.3</v>
      </c>
      <c r="L401" s="15">
        <v>51.1</v>
      </c>
      <c r="M401" s="15">
        <v>63.7</v>
      </c>
      <c r="N401" s="15"/>
      <c r="O401" s="15">
        <f>SUM(B401:D401)</f>
        <v>431.40000000000003</v>
      </c>
      <c r="P401" s="15">
        <f>SUM(E401:G401)</f>
        <v>7.2</v>
      </c>
      <c r="Q401" s="15">
        <f>SUM(H401:J401)</f>
        <v>15</v>
      </c>
      <c r="R401" s="15">
        <f>SUM(K401:M401)</f>
        <v>163.10000000000002</v>
      </c>
      <c r="S401" s="15">
        <f>SUM(B401:M401)</f>
        <v>616.70000000000005</v>
      </c>
      <c r="T401" s="520"/>
    </row>
    <row r="402" spans="1:20" ht="13" hidden="1" customHeight="1" outlineLevel="1">
      <c r="A402" s="535" t="s">
        <v>196</v>
      </c>
      <c r="B402" s="45">
        <f t="shared" ref="B402:M402" si="235">SUM(B399:B401)</f>
        <v>761.13</v>
      </c>
      <c r="C402" s="45">
        <f t="shared" si="235"/>
        <v>72.08</v>
      </c>
      <c r="D402" s="45">
        <f t="shared" si="235"/>
        <v>26.200000000000003</v>
      </c>
      <c r="E402" s="45">
        <f t="shared" si="235"/>
        <v>4.93</v>
      </c>
      <c r="F402" s="45">
        <f t="shared" si="235"/>
        <v>7.1099999999999994</v>
      </c>
      <c r="G402" s="45">
        <f t="shared" si="235"/>
        <v>14.2</v>
      </c>
      <c r="H402" s="45">
        <f t="shared" si="235"/>
        <v>14.45</v>
      </c>
      <c r="I402" s="45">
        <f t="shared" si="235"/>
        <v>15.99</v>
      </c>
      <c r="J402" s="45">
        <f t="shared" si="235"/>
        <v>25.630000000000003</v>
      </c>
      <c r="K402" s="45">
        <f t="shared" si="235"/>
        <v>73.08</v>
      </c>
      <c r="L402" s="45">
        <f t="shared" si="235"/>
        <v>73.45</v>
      </c>
      <c r="M402" s="45">
        <f t="shared" si="235"/>
        <v>90.98</v>
      </c>
      <c r="N402" s="45"/>
      <c r="O402" s="21">
        <f>SUM(B402:D402)</f>
        <v>859.41000000000008</v>
      </c>
      <c r="P402" s="21">
        <f>SUM(E402:G402)</f>
        <v>26.24</v>
      </c>
      <c r="Q402" s="21">
        <f>SUM(H402:J402)</f>
        <v>56.07</v>
      </c>
      <c r="R402" s="21">
        <f>SUM(K402:M402)</f>
        <v>237.51</v>
      </c>
      <c r="S402" s="21">
        <f>SUM(B402:M402)</f>
        <v>1179.2300000000002</v>
      </c>
      <c r="T402" s="520"/>
    </row>
    <row r="403" spans="1:20" ht="13" hidden="1" customHeight="1" outlineLevel="1">
      <c r="A403" s="526" t="s">
        <v>181</v>
      </c>
      <c r="B403" s="38"/>
      <c r="C403" s="38"/>
      <c r="D403" s="38"/>
      <c r="E403" s="38"/>
      <c r="F403" s="543"/>
      <c r="G403" s="543"/>
      <c r="H403" s="543"/>
      <c r="I403" s="543"/>
      <c r="J403" s="543"/>
      <c r="K403" s="543"/>
      <c r="L403" s="543"/>
      <c r="M403" s="543"/>
      <c r="N403" s="42"/>
      <c r="O403" s="15"/>
      <c r="P403" s="15"/>
      <c r="Q403" s="15"/>
      <c r="R403" s="15"/>
      <c r="S403" s="1"/>
      <c r="T403" s="520"/>
    </row>
    <row r="404" spans="1:20" ht="13" hidden="1" customHeight="1" outlineLevel="1">
      <c r="A404" s="535" t="s">
        <v>197</v>
      </c>
      <c r="B404" s="42">
        <f>B402+B403</f>
        <v>761.13</v>
      </c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21">
        <f>SUM(B404:D404)</f>
        <v>761.13</v>
      </c>
      <c r="P404" s="21">
        <f>SUM(E404:G404)</f>
        <v>0</v>
      </c>
      <c r="Q404" s="21">
        <f>SUM(H404:J404)</f>
        <v>0</v>
      </c>
      <c r="R404" s="21">
        <f>SUM(K404:M404)</f>
        <v>0</v>
      </c>
      <c r="S404" s="44">
        <f>SUM(O404:R404)</f>
        <v>761.13</v>
      </c>
      <c r="T404" s="520"/>
    </row>
    <row r="405" spans="1:20" ht="13" hidden="1" customHeight="1" outlineLevel="1">
      <c r="A405" s="532"/>
      <c r="B405" s="337"/>
      <c r="C405" s="337"/>
      <c r="D405" s="337"/>
      <c r="E405" s="337"/>
      <c r="F405" s="337"/>
      <c r="G405" s="483"/>
      <c r="H405" s="337"/>
      <c r="I405" s="538"/>
      <c r="J405" s="538"/>
      <c r="K405" s="337"/>
      <c r="L405" s="337"/>
      <c r="M405" s="337"/>
      <c r="N405" s="42"/>
      <c r="O405" s="43"/>
      <c r="P405" s="43"/>
      <c r="Q405" s="43"/>
      <c r="R405" s="43"/>
      <c r="S405" s="44"/>
      <c r="T405" s="520"/>
    </row>
    <row r="406" spans="1:20" ht="13" hidden="1" customHeight="1" outlineLevel="1">
      <c r="A406" s="528" t="s">
        <v>184</v>
      </c>
      <c r="B406" s="337"/>
      <c r="C406" s="337"/>
      <c r="D406" s="337"/>
      <c r="E406" s="337"/>
      <c r="F406" s="337"/>
      <c r="G406" s="538"/>
      <c r="H406" s="337"/>
      <c r="I406" s="538"/>
      <c r="J406" s="538"/>
      <c r="K406" s="337"/>
      <c r="L406" s="337"/>
      <c r="M406" s="337"/>
      <c r="N406" s="42"/>
      <c r="O406" s="43"/>
      <c r="P406" s="43"/>
      <c r="Q406" s="43"/>
      <c r="R406" s="43"/>
      <c r="S406" s="44"/>
      <c r="T406" s="520"/>
    </row>
    <row r="407" spans="1:20" ht="13" hidden="1" customHeight="1" outlineLevel="1">
      <c r="A407" s="526" t="s">
        <v>22</v>
      </c>
      <c r="B407" s="483">
        <f t="shared" ref="B407:M407" si="236">B399/B458-1</f>
        <v>-0.36224466055558135</v>
      </c>
      <c r="C407" s="483">
        <f t="shared" si="236"/>
        <v>-0.95188749074759438</v>
      </c>
      <c r="D407" s="483">
        <f t="shared" si="236"/>
        <v>-0.97861624105328271</v>
      </c>
      <c r="E407" s="483">
        <f t="shared" si="236"/>
        <v>-0.99631912343776752</v>
      </c>
      <c r="F407" s="483">
        <f t="shared" si="236"/>
        <v>-0.98780592161560843</v>
      </c>
      <c r="G407" s="483">
        <f t="shared" si="236"/>
        <v>-0.9788380826154186</v>
      </c>
      <c r="H407" s="483">
        <f t="shared" si="236"/>
        <v>-0.97364643967785658</v>
      </c>
      <c r="I407" s="483">
        <f t="shared" si="236"/>
        <v>-0.98034745337649898</v>
      </c>
      <c r="J407" s="483">
        <f t="shared" si="236"/>
        <v>-0.95036213786213786</v>
      </c>
      <c r="K407" s="483">
        <f t="shared" si="236"/>
        <v>-0.93699575044651107</v>
      </c>
      <c r="L407" s="483">
        <f t="shared" si="236"/>
        <v>-0.93552104816207693</v>
      </c>
      <c r="M407" s="483">
        <f t="shared" si="236"/>
        <v>-0.92408014112903225</v>
      </c>
      <c r="N407" s="42"/>
      <c r="O407" s="337" t="e">
        <f t="shared" ref="O407:S409" si="237">O399/O455-1</f>
        <v>#DIV/0!</v>
      </c>
      <c r="P407" s="337" t="e">
        <f t="shared" si="237"/>
        <v>#DIV/0!</v>
      </c>
      <c r="Q407" s="337" t="e">
        <f t="shared" si="237"/>
        <v>#DIV/0!</v>
      </c>
      <c r="R407" s="337" t="e">
        <f t="shared" si="237"/>
        <v>#DIV/0!</v>
      </c>
      <c r="S407" s="337" t="e">
        <f t="shared" si="237"/>
        <v>#DIV/0!</v>
      </c>
      <c r="T407" s="520"/>
    </row>
    <row r="408" spans="1:20" ht="13" hidden="1" customHeight="1" outlineLevel="1">
      <c r="A408" s="526" t="s">
        <v>25</v>
      </c>
      <c r="B408" s="483">
        <f t="shared" ref="B408:M408" si="238">B400/B459-1</f>
        <v>-0.28377191022948967</v>
      </c>
      <c r="C408" s="483">
        <f t="shared" si="238"/>
        <v>-0.92339943689558091</v>
      </c>
      <c r="D408" s="483">
        <f t="shared" si="238"/>
        <v>-0.97219879605664927</v>
      </c>
      <c r="E408" s="483">
        <f t="shared" si="238"/>
        <v>-0.99000230494410513</v>
      </c>
      <c r="F408" s="483">
        <f t="shared" si="238"/>
        <v>-0.98985503229204197</v>
      </c>
      <c r="G408" s="483">
        <f t="shared" si="238"/>
        <v>-0.99038163201985729</v>
      </c>
      <c r="H408" s="483">
        <f t="shared" si="238"/>
        <v>-0.98338429897437285</v>
      </c>
      <c r="I408" s="483">
        <f t="shared" si="238"/>
        <v>-0.97463898034357987</v>
      </c>
      <c r="J408" s="483">
        <f t="shared" si="238"/>
        <v>-0.96464409240360394</v>
      </c>
      <c r="K408" s="483">
        <f t="shared" si="238"/>
        <v>-0.9425105693626773</v>
      </c>
      <c r="L408" s="483">
        <f t="shared" si="238"/>
        <v>-0.9515682466217612</v>
      </c>
      <c r="M408" s="483">
        <f t="shared" si="238"/>
        <v>-0.93533732433235683</v>
      </c>
      <c r="N408" s="42"/>
      <c r="O408" s="337" t="e">
        <f t="shared" si="237"/>
        <v>#DIV/0!</v>
      </c>
      <c r="P408" s="337" t="e">
        <f t="shared" si="237"/>
        <v>#DIV/0!</v>
      </c>
      <c r="Q408" s="337" t="e">
        <f t="shared" si="237"/>
        <v>#DIV/0!</v>
      </c>
      <c r="R408" s="337" t="e">
        <f t="shared" si="237"/>
        <v>#DIV/0!</v>
      </c>
      <c r="S408" s="337" t="e">
        <f t="shared" si="237"/>
        <v>#DIV/0!</v>
      </c>
      <c r="T408" s="520"/>
    </row>
    <row r="409" spans="1:20" ht="13" hidden="1" customHeight="1" outlineLevel="1">
      <c r="A409" s="526" t="s">
        <v>172</v>
      </c>
      <c r="B409" s="483">
        <f t="shared" ref="B409:M409" si="239">B401/B460-1</f>
        <v>-0.18659881255301103</v>
      </c>
      <c r="C409" s="483">
        <f t="shared" si="239"/>
        <v>-0.92438563327032131</v>
      </c>
      <c r="D409" s="483">
        <f t="shared" si="239"/>
        <v>-0.97485080988917305</v>
      </c>
      <c r="E409" s="483">
        <f t="shared" si="239"/>
        <v>-0.99880335061826886</v>
      </c>
      <c r="F409" s="483">
        <f t="shared" si="239"/>
        <v>-0.9987883683360258</v>
      </c>
      <c r="G409" s="483">
        <f t="shared" si="239"/>
        <v>-0.98773006134969321</v>
      </c>
      <c r="H409" s="483">
        <f t="shared" si="239"/>
        <v>-0.99671878015827065</v>
      </c>
      <c r="I409" s="483">
        <f t="shared" si="239"/>
        <v>-0.99180155560227035</v>
      </c>
      <c r="J409" s="483">
        <f t="shared" si="239"/>
        <v>-0.9734087694483734</v>
      </c>
      <c r="K409" s="483">
        <f t="shared" si="239"/>
        <v>-0.87126865671641796</v>
      </c>
      <c r="L409" s="483">
        <f t="shared" si="239"/>
        <v>-0.85560892907601016</v>
      </c>
      <c r="M409" s="483">
        <f t="shared" si="239"/>
        <v>-0.83241252302025781</v>
      </c>
      <c r="N409" s="42"/>
      <c r="O409" s="337" t="e">
        <f t="shared" si="237"/>
        <v>#VALUE!</v>
      </c>
      <c r="P409" s="337" t="e">
        <f t="shared" si="237"/>
        <v>#VALUE!</v>
      </c>
      <c r="Q409" s="337" t="e">
        <f t="shared" si="237"/>
        <v>#VALUE!</v>
      </c>
      <c r="R409" s="337" t="e">
        <f t="shared" si="237"/>
        <v>#VALUE!</v>
      </c>
      <c r="S409" s="337" t="e">
        <f t="shared" si="237"/>
        <v>#VALUE!</v>
      </c>
      <c r="T409" s="520"/>
    </row>
    <row r="410" spans="1:20" ht="13" hidden="1" customHeight="1" outlineLevel="1">
      <c r="A410" s="536" t="s">
        <v>196</v>
      </c>
      <c r="B410" s="519">
        <f t="shared" ref="B410:M410" si="240">B402/B461-1</f>
        <v>-0.25544017882035308</v>
      </c>
      <c r="C410" s="519">
        <f t="shared" si="240"/>
        <v>-0.93019089033732671</v>
      </c>
      <c r="D410" s="519">
        <f t="shared" si="240"/>
        <v>-0.97479339240530682</v>
      </c>
      <c r="E410" s="519">
        <f t="shared" si="240"/>
        <v>-0.9954441281928067</v>
      </c>
      <c r="F410" s="519">
        <f t="shared" si="240"/>
        <v>-0.9934752085455496</v>
      </c>
      <c r="G410" s="519">
        <f t="shared" si="240"/>
        <v>-0.98672748345608852</v>
      </c>
      <c r="H410" s="519">
        <f t="shared" si="240"/>
        <v>-0.98730730379024112</v>
      </c>
      <c r="I410" s="519">
        <f t="shared" si="240"/>
        <v>-0.98403841162730343</v>
      </c>
      <c r="J410" s="519">
        <f t="shared" si="240"/>
        <v>-0.96572842147489468</v>
      </c>
      <c r="K410" s="519">
        <f t="shared" si="240"/>
        <v>-0.90757089014241266</v>
      </c>
      <c r="L410" s="519">
        <f t="shared" si="240"/>
        <v>-0.90345054222806442</v>
      </c>
      <c r="M410" s="519">
        <f t="shared" si="240"/>
        <v>-0.88250790985988248</v>
      </c>
      <c r="N410" s="42"/>
      <c r="O410" s="487">
        <f>O402/O461-1</f>
        <v>-0.72225086007830785</v>
      </c>
      <c r="P410" s="487">
        <f>P402/P461-1</f>
        <v>-0.99190545672164832</v>
      </c>
      <c r="Q410" s="487">
        <f>Q402/Q461-1</f>
        <v>-0.98058571784715109</v>
      </c>
      <c r="R410" s="487">
        <f>R402/R461-1</f>
        <v>-0.89787854292790314</v>
      </c>
      <c r="S410" s="487">
        <f>S402/S461-1</f>
        <v>-0.89789973354343933</v>
      </c>
      <c r="T410" s="520"/>
    </row>
    <row r="411" spans="1:20" ht="13" hidden="1" customHeight="1" outlineLevel="1">
      <c r="A411" s="526" t="s">
        <v>181</v>
      </c>
      <c r="B411" s="483">
        <f t="shared" ref="B411:M411" si="241">B403/B462-1</f>
        <v>-1</v>
      </c>
      <c r="C411" s="483">
        <f t="shared" si="241"/>
        <v>-1</v>
      </c>
      <c r="D411" s="483">
        <f t="shared" si="241"/>
        <v>-1</v>
      </c>
      <c r="E411" s="483">
        <f t="shared" si="241"/>
        <v>-1</v>
      </c>
      <c r="F411" s="483">
        <f t="shared" si="241"/>
        <v>-1</v>
      </c>
      <c r="G411" s="483">
        <f t="shared" si="241"/>
        <v>-1</v>
      </c>
      <c r="H411" s="483">
        <f t="shared" si="241"/>
        <v>-1</v>
      </c>
      <c r="I411" s="483">
        <f t="shared" si="241"/>
        <v>-1</v>
      </c>
      <c r="J411" s="483">
        <f t="shared" si="241"/>
        <v>-1</v>
      </c>
      <c r="K411" s="483">
        <f t="shared" si="241"/>
        <v>-1</v>
      </c>
      <c r="L411" s="483">
        <f t="shared" si="241"/>
        <v>-1</v>
      </c>
      <c r="M411" s="483">
        <f t="shared" si="241"/>
        <v>-1</v>
      </c>
      <c r="N411" s="42"/>
      <c r="O411" s="337">
        <f t="shared" ref="O411:S412" si="242">O403/O459-1</f>
        <v>-1</v>
      </c>
      <c r="P411" s="337">
        <f t="shared" si="242"/>
        <v>-1</v>
      </c>
      <c r="Q411" s="337">
        <f t="shared" si="242"/>
        <v>-1</v>
      </c>
      <c r="R411" s="337">
        <f t="shared" si="242"/>
        <v>-1</v>
      </c>
      <c r="S411" s="337">
        <f t="shared" si="242"/>
        <v>-1</v>
      </c>
      <c r="T411" s="520"/>
    </row>
    <row r="412" spans="1:20" s="489" customFormat="1" ht="13" hidden="1" customHeight="1" outlineLevel="1">
      <c r="A412" s="539" t="s">
        <v>197</v>
      </c>
      <c r="B412" s="540">
        <f t="shared" ref="B412:M412" si="243">B404/B463-1</f>
        <v>-0.27501416862328609</v>
      </c>
      <c r="C412" s="540">
        <f t="shared" si="243"/>
        <v>-1</v>
      </c>
      <c r="D412" s="540">
        <f t="shared" si="243"/>
        <v>-1</v>
      </c>
      <c r="E412" s="540">
        <f t="shared" si="243"/>
        <v>-1</v>
      </c>
      <c r="F412" s="540">
        <f t="shared" si="243"/>
        <v>-1</v>
      </c>
      <c r="G412" s="540">
        <f t="shared" si="243"/>
        <v>-1</v>
      </c>
      <c r="H412" s="540">
        <f t="shared" si="243"/>
        <v>-1</v>
      </c>
      <c r="I412" s="540">
        <f t="shared" si="243"/>
        <v>-1</v>
      </c>
      <c r="J412" s="540">
        <f t="shared" si="243"/>
        <v>-1</v>
      </c>
      <c r="K412" s="540">
        <f t="shared" si="243"/>
        <v>-1</v>
      </c>
      <c r="L412" s="540">
        <f t="shared" si="243"/>
        <v>-1</v>
      </c>
      <c r="M412" s="540">
        <f t="shared" si="243"/>
        <v>-1</v>
      </c>
      <c r="N412" s="49"/>
      <c r="O412" s="541">
        <f t="shared" si="242"/>
        <v>-0.46282024137200939</v>
      </c>
      <c r="P412" s="541">
        <f t="shared" si="242"/>
        <v>-1</v>
      </c>
      <c r="Q412" s="541">
        <f t="shared" si="242"/>
        <v>-1</v>
      </c>
      <c r="R412" s="541">
        <f t="shared" si="242"/>
        <v>-1</v>
      </c>
      <c r="S412" s="541">
        <f t="shared" si="242"/>
        <v>-0.85797163649934682</v>
      </c>
      <c r="T412" s="542"/>
    </row>
    <row r="413" spans="1:20" hidden="1" outlineLevel="1"/>
    <row r="414" spans="1:20" collapsed="1"/>
    <row r="415" spans="1:20" ht="13" customHeight="1">
      <c r="A415" s="525" t="s">
        <v>208</v>
      </c>
      <c r="B415" s="472" t="s">
        <v>51</v>
      </c>
      <c r="C415" s="472" t="s">
        <v>52</v>
      </c>
      <c r="D415" s="472" t="s">
        <v>53</v>
      </c>
      <c r="E415" s="472" t="s">
        <v>54</v>
      </c>
      <c r="F415" s="472" t="s">
        <v>55</v>
      </c>
      <c r="G415" s="472" t="s">
        <v>77</v>
      </c>
      <c r="H415" s="472" t="s">
        <v>78</v>
      </c>
      <c r="I415" s="472" t="s">
        <v>79</v>
      </c>
      <c r="J415" s="472" t="s">
        <v>80</v>
      </c>
      <c r="K415" s="472" t="s">
        <v>81</v>
      </c>
      <c r="L415" s="472" t="s">
        <v>82</v>
      </c>
      <c r="M415" s="472" t="s">
        <v>44</v>
      </c>
      <c r="N415" s="473" t="s">
        <v>133</v>
      </c>
      <c r="O415" s="473" t="s">
        <v>129</v>
      </c>
      <c r="P415" s="473" t="s">
        <v>130</v>
      </c>
      <c r="Q415" s="473" t="s">
        <v>131</v>
      </c>
      <c r="R415" s="473" t="s">
        <v>132</v>
      </c>
      <c r="S415" s="445" t="s">
        <v>171</v>
      </c>
      <c r="T415" s="445"/>
    </row>
    <row r="416" spans="1:20">
      <c r="A416" s="526" t="s">
        <v>22</v>
      </c>
      <c r="B416" s="15">
        <f t="shared" ref="B416:M416" si="244">B441+B458</f>
        <v>1891.3100000000002</v>
      </c>
      <c r="C416" s="15">
        <f t="shared" si="244"/>
        <v>1843.97</v>
      </c>
      <c r="D416" s="15">
        <f t="shared" si="244"/>
        <v>1856.8</v>
      </c>
      <c r="E416" s="15">
        <f t="shared" si="244"/>
        <v>1894.33</v>
      </c>
      <c r="F416" s="15">
        <f t="shared" si="244"/>
        <v>1839.95</v>
      </c>
      <c r="G416" s="15">
        <f t="shared" si="244"/>
        <v>1864.06</v>
      </c>
      <c r="H416" s="15">
        <f t="shared" si="244"/>
        <v>2108.59</v>
      </c>
      <c r="I416" s="15">
        <f t="shared" si="244"/>
        <v>2188.96</v>
      </c>
      <c r="J416" s="15">
        <f t="shared" si="244"/>
        <v>1846.38</v>
      </c>
      <c r="K416" s="15">
        <f t="shared" si="244"/>
        <v>1851.13</v>
      </c>
      <c r="L416" s="15">
        <f t="shared" si="244"/>
        <v>1799.73</v>
      </c>
      <c r="M416" s="15">
        <f t="shared" si="244"/>
        <v>1939.73</v>
      </c>
      <c r="N416" s="15"/>
      <c r="O416" s="15">
        <f>SUM(B416:D416)</f>
        <v>5592.08</v>
      </c>
      <c r="P416" s="15">
        <f>SUM(E416:G416)</f>
        <v>5598.34</v>
      </c>
      <c r="Q416" s="15">
        <f>SUM(H416:J416)</f>
        <v>6143.93</v>
      </c>
      <c r="R416" s="15">
        <f>SUM(K416:M416)</f>
        <v>5590.59</v>
      </c>
      <c r="S416" s="15">
        <f>SUM(B416:M416)</f>
        <v>22924.940000000002</v>
      </c>
    </row>
    <row r="417" spans="1:20">
      <c r="A417" s="526" t="s">
        <v>25</v>
      </c>
      <c r="B417" s="15">
        <f t="shared" ref="B417:M417" si="245">B442+B459</f>
        <v>1824.3649999999998</v>
      </c>
      <c r="C417" s="15">
        <f t="shared" si="245"/>
        <v>1810.35</v>
      </c>
      <c r="D417" s="15">
        <f t="shared" si="245"/>
        <v>1770.2600000000002</v>
      </c>
      <c r="E417" s="15">
        <f t="shared" si="245"/>
        <v>1784.8799999999999</v>
      </c>
      <c r="F417" s="15">
        <f t="shared" si="245"/>
        <v>1800.61</v>
      </c>
      <c r="G417" s="15">
        <f t="shared" si="245"/>
        <v>1811.51</v>
      </c>
      <c r="H417" s="15">
        <f t="shared" si="245"/>
        <v>1876.62</v>
      </c>
      <c r="I417" s="15">
        <f t="shared" si="245"/>
        <v>1907.73</v>
      </c>
      <c r="J417" s="15">
        <f t="shared" si="245"/>
        <v>1653.69</v>
      </c>
      <c r="K417" s="15">
        <f t="shared" si="245"/>
        <v>1674.76</v>
      </c>
      <c r="L417" s="15">
        <f t="shared" si="245"/>
        <v>1650.38</v>
      </c>
      <c r="M417" s="15">
        <f t="shared" si="245"/>
        <v>1704.26</v>
      </c>
      <c r="N417" s="15"/>
      <c r="O417" s="15">
        <f>SUM(B417:D417)</f>
        <v>5404.9750000000004</v>
      </c>
      <c r="P417" s="15">
        <f>SUM(E417:G417)</f>
        <v>5397</v>
      </c>
      <c r="Q417" s="15">
        <f>SUM(H417:J417)</f>
        <v>5438.04</v>
      </c>
      <c r="R417" s="15">
        <f>SUM(K417:M417)</f>
        <v>5029.4000000000005</v>
      </c>
      <c r="S417" s="15">
        <f>SUM(B417:M417)</f>
        <v>21269.415000000001</v>
      </c>
    </row>
    <row r="418" spans="1:20">
      <c r="A418" s="526" t="s">
        <v>172</v>
      </c>
      <c r="B418" s="15">
        <f t="shared" ref="B418:M418" si="246">B443+B460</f>
        <v>1929.6</v>
      </c>
      <c r="C418" s="15">
        <f t="shared" si="246"/>
        <v>1833.8000000000002</v>
      </c>
      <c r="D418" s="15">
        <f t="shared" si="246"/>
        <v>1944.5</v>
      </c>
      <c r="E418" s="15">
        <f t="shared" si="246"/>
        <v>1978.4</v>
      </c>
      <c r="F418" s="15">
        <f t="shared" si="246"/>
        <v>1921.7</v>
      </c>
      <c r="G418" s="15">
        <f t="shared" si="246"/>
        <v>1872</v>
      </c>
      <c r="H418" s="15">
        <f t="shared" si="246"/>
        <v>1958.8000000000002</v>
      </c>
      <c r="I418" s="15">
        <f t="shared" si="246"/>
        <v>2006.1000000000001</v>
      </c>
      <c r="J418" s="15">
        <f t="shared" si="246"/>
        <v>1712.4</v>
      </c>
      <c r="K418" s="15">
        <f t="shared" si="246"/>
        <v>1732.3</v>
      </c>
      <c r="L418" s="15">
        <f t="shared" si="246"/>
        <v>1722.1</v>
      </c>
      <c r="M418" s="15">
        <f t="shared" si="246"/>
        <v>1841.3000000000002</v>
      </c>
      <c r="N418" s="15"/>
      <c r="O418" s="15">
        <f>SUM(B418:D418)</f>
        <v>5707.9</v>
      </c>
      <c r="P418" s="15">
        <f>SUM(E418:G418)</f>
        <v>5772.1</v>
      </c>
      <c r="Q418" s="15">
        <f>SUM(H418:J418)</f>
        <v>5677.3000000000011</v>
      </c>
      <c r="R418" s="15">
        <f>SUM(K418:M418)</f>
        <v>5295.7</v>
      </c>
      <c r="S418" s="15">
        <f>SUM(B418:M418)</f>
        <v>22452.999999999996</v>
      </c>
    </row>
    <row r="419" spans="1:20" ht="13" customHeight="1">
      <c r="A419" s="535" t="s">
        <v>196</v>
      </c>
      <c r="B419" s="45">
        <f t="shared" ref="B419:M419" si="247">SUM(B416:B418)</f>
        <v>5645.2749999999996</v>
      </c>
      <c r="C419" s="45">
        <f t="shared" si="247"/>
        <v>5488.12</v>
      </c>
      <c r="D419" s="45">
        <f t="shared" si="247"/>
        <v>5571.56</v>
      </c>
      <c r="E419" s="45">
        <f t="shared" si="247"/>
        <v>5657.6100000000006</v>
      </c>
      <c r="F419" s="45">
        <f t="shared" si="247"/>
        <v>5562.26</v>
      </c>
      <c r="G419" s="45">
        <f t="shared" si="247"/>
        <v>5547.57</v>
      </c>
      <c r="H419" s="45">
        <f t="shared" si="247"/>
        <v>5944.01</v>
      </c>
      <c r="I419" s="45">
        <f t="shared" si="247"/>
        <v>6102.7900000000009</v>
      </c>
      <c r="J419" s="45">
        <f t="shared" si="247"/>
        <v>5212.47</v>
      </c>
      <c r="K419" s="45">
        <f t="shared" si="247"/>
        <v>5258.1900000000005</v>
      </c>
      <c r="L419" s="45">
        <f t="shared" si="247"/>
        <v>5172.21</v>
      </c>
      <c r="M419" s="45">
        <f t="shared" si="247"/>
        <v>5485.29</v>
      </c>
      <c r="N419" s="45"/>
      <c r="O419" s="21">
        <f>SUM(B419:D419)</f>
        <v>16704.955000000002</v>
      </c>
      <c r="P419" s="21">
        <f>SUM(E419:G419)</f>
        <v>16767.440000000002</v>
      </c>
      <c r="Q419" s="21">
        <f>SUM(H419:J419)</f>
        <v>17259.27</v>
      </c>
      <c r="R419" s="21">
        <f>SUM(K419:M419)</f>
        <v>15915.690000000002</v>
      </c>
      <c r="S419" s="21">
        <f>SUM(B419:M419)</f>
        <v>66647.35500000001</v>
      </c>
      <c r="T419" s="520"/>
    </row>
    <row r="420" spans="1:20">
      <c r="A420" s="526" t="s">
        <v>181</v>
      </c>
      <c r="B420" s="15">
        <f t="shared" ref="B420:M420" si="248">B445+B462</f>
        <v>451.65000000000003</v>
      </c>
      <c r="C420" s="15">
        <f t="shared" si="248"/>
        <v>451.83</v>
      </c>
      <c r="D420" s="15">
        <f t="shared" si="248"/>
        <v>463.34999999999997</v>
      </c>
      <c r="E420" s="15">
        <f t="shared" si="248"/>
        <v>492.60999999999996</v>
      </c>
      <c r="F420" s="15">
        <f t="shared" si="248"/>
        <v>482.86</v>
      </c>
      <c r="G420" s="15">
        <f t="shared" si="248"/>
        <v>515.22</v>
      </c>
      <c r="H420" s="15">
        <f t="shared" si="248"/>
        <v>570.82000000000005</v>
      </c>
      <c r="I420" s="15">
        <f t="shared" si="248"/>
        <v>608.91</v>
      </c>
      <c r="J420" s="15">
        <f t="shared" si="248"/>
        <v>486.50099999999998</v>
      </c>
      <c r="K420" s="15">
        <f t="shared" si="248"/>
        <v>465.08000000000004</v>
      </c>
      <c r="L420" s="15">
        <f t="shared" si="248"/>
        <v>345.31</v>
      </c>
      <c r="M420" s="15">
        <f t="shared" si="248"/>
        <v>385.15</v>
      </c>
      <c r="N420" s="15"/>
      <c r="O420" s="15">
        <f>O445+O462</f>
        <v>0</v>
      </c>
      <c r="P420" s="15">
        <f>P445+P462</f>
        <v>0</v>
      </c>
      <c r="Q420" s="15">
        <f>Q445+Q462</f>
        <v>0</v>
      </c>
      <c r="R420" s="15">
        <f>R445+R462</f>
        <v>0</v>
      </c>
      <c r="S420" s="15">
        <f>S445+S462</f>
        <v>0</v>
      </c>
    </row>
    <row r="421" spans="1:20" ht="13" customHeight="1">
      <c r="A421" s="535" t="s">
        <v>197</v>
      </c>
      <c r="B421" s="45">
        <f t="shared" ref="B421:M421" si="249">B419+B420</f>
        <v>6096.9249999999993</v>
      </c>
      <c r="C421" s="45">
        <f t="shared" si="249"/>
        <v>5939.95</v>
      </c>
      <c r="D421" s="45">
        <f t="shared" si="249"/>
        <v>6034.9100000000008</v>
      </c>
      <c r="E421" s="45">
        <f t="shared" si="249"/>
        <v>6150.22</v>
      </c>
      <c r="F421" s="45">
        <f t="shared" si="249"/>
        <v>6045.12</v>
      </c>
      <c r="G421" s="45">
        <f t="shared" si="249"/>
        <v>6062.79</v>
      </c>
      <c r="H421" s="45">
        <f t="shared" si="249"/>
        <v>6514.83</v>
      </c>
      <c r="I421" s="45">
        <f t="shared" si="249"/>
        <v>6711.7000000000007</v>
      </c>
      <c r="J421" s="45">
        <f t="shared" si="249"/>
        <v>5698.9710000000005</v>
      </c>
      <c r="K421" s="45">
        <f t="shared" si="249"/>
        <v>5723.27</v>
      </c>
      <c r="L421" s="45">
        <f t="shared" si="249"/>
        <v>5517.52</v>
      </c>
      <c r="M421" s="45">
        <f t="shared" si="249"/>
        <v>5870.44</v>
      </c>
      <c r="N421" s="45"/>
      <c r="O421" s="21">
        <f>SUM(B421:D421)</f>
        <v>18071.785</v>
      </c>
      <c r="P421" s="21">
        <f>SUM(E421:G421)</f>
        <v>18258.13</v>
      </c>
      <c r="Q421" s="21">
        <f>SUM(H421:J421)</f>
        <v>18925.501</v>
      </c>
      <c r="R421" s="21">
        <f>SUM(K421:M421)</f>
        <v>17111.23</v>
      </c>
      <c r="S421" s="44">
        <f>SUM(O421:R421)</f>
        <v>72366.645999999993</v>
      </c>
      <c r="T421" s="520"/>
    </row>
    <row r="422" spans="1:20">
      <c r="A422" s="526"/>
      <c r="B422" s="15"/>
      <c r="C422" s="483">
        <f>SUM(B419:C419)/SUM(B477:C477)-1</f>
        <v>0.14137860685602521</v>
      </c>
      <c r="D422" s="488"/>
      <c r="E422" s="483"/>
      <c r="F422" s="15"/>
      <c r="G422" s="15"/>
      <c r="H422" s="15"/>
      <c r="I422" s="15"/>
      <c r="J422" s="15"/>
      <c r="K422" s="15"/>
      <c r="L422" s="15"/>
      <c r="M422" s="15"/>
      <c r="N422" s="488"/>
      <c r="O422" s="15"/>
      <c r="P422" s="19"/>
      <c r="Q422" s="15"/>
      <c r="R422" s="15"/>
      <c r="S422" s="36"/>
    </row>
    <row r="423" spans="1:20" ht="13" customHeight="1">
      <c r="A423" s="528" t="s">
        <v>184</v>
      </c>
      <c r="B423" s="488"/>
      <c r="C423" s="483">
        <f>SUM(B421:C421)/SUM(B479:C479)-1</f>
        <v>0.14860719077364082</v>
      </c>
      <c r="D423" s="488"/>
      <c r="E423" s="488"/>
      <c r="F423" s="488"/>
      <c r="G423" s="488"/>
      <c r="H423" s="488"/>
      <c r="I423" s="488"/>
      <c r="J423" s="488"/>
      <c r="K423" s="488"/>
      <c r="L423" s="488"/>
      <c r="M423" s="488"/>
      <c r="N423" s="514"/>
      <c r="O423" s="488"/>
      <c r="P423" s="19"/>
      <c r="Q423" s="488"/>
      <c r="R423" s="488"/>
    </row>
    <row r="424" spans="1:20">
      <c r="A424" s="526" t="s">
        <v>22</v>
      </c>
      <c r="B424" s="24">
        <f t="shared" ref="B424:M424" si="250">B416/B474-1</f>
        <v>0.1972892901004013</v>
      </c>
      <c r="C424" s="24">
        <f t="shared" si="250"/>
        <v>9.7797225695064549E-2</v>
      </c>
      <c r="D424" s="24">
        <f t="shared" si="250"/>
        <v>0.11197614114096122</v>
      </c>
      <c r="E424" s="24">
        <f t="shared" si="250"/>
        <v>0.10031191370968195</v>
      </c>
      <c r="F424" s="24">
        <f t="shared" si="250"/>
        <v>0.12422401994329868</v>
      </c>
      <c r="G424" s="24">
        <f t="shared" si="250"/>
        <v>0.12504224808072983</v>
      </c>
      <c r="H424" s="24">
        <f t="shared" si="250"/>
        <v>0.16483170460885765</v>
      </c>
      <c r="I424" s="24">
        <f t="shared" si="250"/>
        <v>0.14892165250389722</v>
      </c>
      <c r="J424" s="24">
        <f t="shared" si="250"/>
        <v>0.1534468218022802</v>
      </c>
      <c r="K424" s="24">
        <f t="shared" si="250"/>
        <v>9.0144046735686656E-2</v>
      </c>
      <c r="L424" s="24">
        <f t="shared" si="250"/>
        <v>9.8535066837575513E-2</v>
      </c>
      <c r="M424" s="24">
        <f t="shared" si="250"/>
        <v>8.1877150809010812E-2</v>
      </c>
      <c r="N424" s="24"/>
      <c r="O424" s="483">
        <f t="shared" ref="O424:S429" si="251">O416/O474-1</f>
        <v>0.13448484332079569</v>
      </c>
      <c r="P424" s="483">
        <f t="shared" si="251"/>
        <v>0.11628565446696526</v>
      </c>
      <c r="Q424" s="483">
        <f t="shared" si="251"/>
        <v>0.15570173376045626</v>
      </c>
      <c r="R424" s="483">
        <f t="shared" si="251"/>
        <v>8.9934474361948791E-2</v>
      </c>
      <c r="S424" s="483">
        <f t="shared" si="251"/>
        <v>0.12433318407577132</v>
      </c>
    </row>
    <row r="425" spans="1:20">
      <c r="A425" s="526" t="s">
        <v>25</v>
      </c>
      <c r="B425" s="24">
        <f t="shared" ref="B425:M425" si="252">B417/B475-1</f>
        <v>0.17760227727501565</v>
      </c>
      <c r="C425" s="24">
        <f t="shared" si="252"/>
        <v>4.8955303442921316E-2</v>
      </c>
      <c r="D425" s="24">
        <f t="shared" si="252"/>
        <v>5.0717885102771421E-2</v>
      </c>
      <c r="E425" s="24">
        <f t="shared" si="252"/>
        <v>6.223888591322968E-2</v>
      </c>
      <c r="F425" s="24">
        <f t="shared" si="252"/>
        <v>0.11783585795877816</v>
      </c>
      <c r="G425" s="24">
        <f t="shared" si="252"/>
        <v>0.10001153745726565</v>
      </c>
      <c r="H425" s="24">
        <f t="shared" si="252"/>
        <v>6.2374040442924716E-2</v>
      </c>
      <c r="I425" s="24">
        <f t="shared" si="252"/>
        <v>5.0494760549109952E-2</v>
      </c>
      <c r="J425" s="24">
        <f t="shared" si="252"/>
        <v>5.5392990596051517E-2</v>
      </c>
      <c r="K425" s="24">
        <f t="shared" si="252"/>
        <v>2.3860906139766325E-2</v>
      </c>
      <c r="L425" s="24">
        <f t="shared" si="252"/>
        <v>4.8252996360541589E-2</v>
      </c>
      <c r="M425" s="24">
        <f t="shared" si="252"/>
        <v>-5.6565079013161101E-3</v>
      </c>
      <c r="N425" s="19"/>
      <c r="O425" s="483">
        <f t="shared" si="251"/>
        <v>8.973686916443735E-2</v>
      </c>
      <c r="P425" s="483">
        <f t="shared" si="251"/>
        <v>9.2972532913722539E-2</v>
      </c>
      <c r="Q425" s="483">
        <f t="shared" si="251"/>
        <v>5.6060310348945874E-2</v>
      </c>
      <c r="R425" s="483">
        <f t="shared" si="251"/>
        <v>2.138565563824435E-2</v>
      </c>
      <c r="S425" s="483">
        <f t="shared" si="251"/>
        <v>6.5001156662123583E-2</v>
      </c>
    </row>
    <row r="426" spans="1:20">
      <c r="A426" s="526" t="s">
        <v>172</v>
      </c>
      <c r="B426" s="24">
        <f t="shared" ref="B426:M426" si="253">B418/B476-1</f>
        <v>0.19880715705765395</v>
      </c>
      <c r="C426" s="24">
        <f t="shared" si="253"/>
        <v>0.13879401353785004</v>
      </c>
      <c r="D426" s="24">
        <f t="shared" si="253"/>
        <v>0.15832990808418357</v>
      </c>
      <c r="E426" s="24">
        <f t="shared" si="253"/>
        <v>0.15750058506903808</v>
      </c>
      <c r="F426" s="24">
        <f t="shared" si="253"/>
        <v>0.17427436602505342</v>
      </c>
      <c r="G426" s="24">
        <f t="shared" si="253"/>
        <v>0.1170117548779761</v>
      </c>
      <c r="H426" s="24">
        <f t="shared" si="253"/>
        <v>7.4374725756910953E-2</v>
      </c>
      <c r="I426" s="24">
        <f t="shared" si="253"/>
        <v>5.284979531856826E-2</v>
      </c>
      <c r="J426" s="24">
        <f t="shared" si="253"/>
        <v>4.5804323928178903E-2</v>
      </c>
      <c r="K426" s="24">
        <f t="shared" si="253"/>
        <v>9.3223795373769125E-3</v>
      </c>
      <c r="L426" s="24">
        <f t="shared" si="253"/>
        <v>2.31107414448668E-2</v>
      </c>
      <c r="M426" s="24">
        <f t="shared" si="253"/>
        <v>3.287148707017451E-2</v>
      </c>
      <c r="N426" s="19"/>
      <c r="O426" s="483">
        <f t="shared" si="251"/>
        <v>0.16520808964175537</v>
      </c>
      <c r="P426" s="483">
        <f t="shared" si="251"/>
        <v>0.14945435717699551</v>
      </c>
      <c r="Q426" s="483">
        <f t="shared" si="251"/>
        <v>5.8013417815877988E-2</v>
      </c>
      <c r="R426" s="483">
        <f t="shared" si="251"/>
        <v>2.1901894948091583E-2</v>
      </c>
      <c r="S426" s="483">
        <f t="shared" si="251"/>
        <v>9.6958679252565183E-2</v>
      </c>
    </row>
    <row r="427" spans="1:20" ht="13" customHeight="1">
      <c r="A427" s="536" t="s">
        <v>196</v>
      </c>
      <c r="B427" s="28">
        <f t="shared" ref="B427:M427" si="254">B419/B477-1</f>
        <v>0.19136832908443191</v>
      </c>
      <c r="C427" s="28">
        <f t="shared" si="254"/>
        <v>9.4153345587795423E-2</v>
      </c>
      <c r="D427" s="28">
        <f t="shared" si="254"/>
        <v>0.10693098419737201</v>
      </c>
      <c r="E427" s="28">
        <f t="shared" si="254"/>
        <v>0.10691960486232999</v>
      </c>
      <c r="F427" s="28">
        <f t="shared" si="254"/>
        <v>0.13888786512528828</v>
      </c>
      <c r="G427" s="28">
        <f t="shared" si="254"/>
        <v>0.11406159944895045</v>
      </c>
      <c r="H427" s="28">
        <f t="shared" si="254"/>
        <v>0.1007731696250822</v>
      </c>
      <c r="I427" s="28">
        <f t="shared" si="254"/>
        <v>8.4620360924598348E-2</v>
      </c>
      <c r="J427" s="28">
        <f t="shared" si="254"/>
        <v>8.4791089365448213E-2</v>
      </c>
      <c r="K427" s="28">
        <f t="shared" si="254"/>
        <v>4.1207186406579055E-2</v>
      </c>
      <c r="L427" s="28">
        <f t="shared" si="254"/>
        <v>5.6434860934943654E-2</v>
      </c>
      <c r="M427" s="28">
        <f t="shared" si="254"/>
        <v>3.699817660553717E-2</v>
      </c>
      <c r="N427" s="28"/>
      <c r="O427" s="484">
        <f t="shared" si="251"/>
        <v>0.12965353591638462</v>
      </c>
      <c r="P427" s="484">
        <f t="shared" si="251"/>
        <v>0.1197209151994103</v>
      </c>
      <c r="Q427" s="484">
        <f t="shared" si="251"/>
        <v>9.0181602502091618E-2</v>
      </c>
      <c r="R427" s="484">
        <f t="shared" si="251"/>
        <v>4.4639244243001031E-2</v>
      </c>
      <c r="S427" s="484">
        <f t="shared" si="251"/>
        <v>9.5642359592750248E-2</v>
      </c>
      <c r="T427" s="31"/>
    </row>
    <row r="428" spans="1:20" ht="13" customHeight="1">
      <c r="A428" s="526" t="s">
        <v>181</v>
      </c>
      <c r="B428" s="41">
        <f t="shared" ref="B428:M428" si="255">B420/B478-1</f>
        <v>0.29791942065635957</v>
      </c>
      <c r="C428" s="41">
        <f t="shared" si="255"/>
        <v>0.19778908859551447</v>
      </c>
      <c r="D428" s="41">
        <f t="shared" si="255"/>
        <v>0.19018263080835318</v>
      </c>
      <c r="E428" s="41">
        <f t="shared" si="255"/>
        <v>0.21332512315270935</v>
      </c>
      <c r="F428" s="41">
        <f t="shared" si="255"/>
        <v>0.20108452315805203</v>
      </c>
      <c r="G428" s="41">
        <f t="shared" si="255"/>
        <v>0.21752487180093105</v>
      </c>
      <c r="H428" s="41">
        <f t="shared" si="255"/>
        <v>0.19957969948513199</v>
      </c>
      <c r="I428" s="41">
        <f t="shared" si="255"/>
        <v>0.19532400227714408</v>
      </c>
      <c r="J428" s="41">
        <f t="shared" si="255"/>
        <v>0.17734136779439513</v>
      </c>
      <c r="K428" s="41">
        <f t="shared" si="255"/>
        <v>0.15110264089300296</v>
      </c>
      <c r="L428" s="41">
        <f t="shared" si="255"/>
        <v>-1.922858441263342E-2</v>
      </c>
      <c r="M428" s="41">
        <f t="shared" si="255"/>
        <v>-9.5722201352366754E-2</v>
      </c>
      <c r="N428" s="21"/>
      <c r="O428" s="483">
        <f t="shared" si="251"/>
        <v>-1</v>
      </c>
      <c r="P428" s="483">
        <f t="shared" si="251"/>
        <v>-1</v>
      </c>
      <c r="Q428" s="483">
        <f t="shared" si="251"/>
        <v>-1</v>
      </c>
      <c r="R428" s="483">
        <f t="shared" si="251"/>
        <v>-1</v>
      </c>
      <c r="S428" s="483">
        <f t="shared" si="251"/>
        <v>-1</v>
      </c>
    </row>
    <row r="429" spans="1:20" s="489" customFormat="1" ht="13" customHeight="1">
      <c r="A429" s="537" t="s">
        <v>197</v>
      </c>
      <c r="B429" s="47">
        <f t="shared" ref="B429:M429" si="256">B421/B479-1</f>
        <v>0.19865780916393683</v>
      </c>
      <c r="C429" s="47">
        <f t="shared" si="256"/>
        <v>0.1014021672216987</v>
      </c>
      <c r="D429" s="47">
        <f t="shared" si="256"/>
        <v>0.11290789558610648</v>
      </c>
      <c r="E429" s="47">
        <f t="shared" si="256"/>
        <v>0.11474987901318268</v>
      </c>
      <c r="F429" s="47">
        <f t="shared" si="256"/>
        <v>0.14361818855988329</v>
      </c>
      <c r="G429" s="47">
        <f t="shared" si="256"/>
        <v>0.12216533771627835</v>
      </c>
      <c r="H429" s="47">
        <f t="shared" si="256"/>
        <v>0.10877512466599715</v>
      </c>
      <c r="I429" s="47">
        <f t="shared" si="256"/>
        <v>9.3810859393716362E-2</v>
      </c>
      <c r="J429" s="47">
        <f t="shared" si="256"/>
        <v>9.211989042334956E-2</v>
      </c>
      <c r="K429" s="47">
        <f t="shared" si="256"/>
        <v>4.9348015811900181E-2</v>
      </c>
      <c r="L429" s="47">
        <f t="shared" si="256"/>
        <v>5.1358710668275132E-2</v>
      </c>
      <c r="M429" s="47">
        <f t="shared" si="256"/>
        <v>2.710784086445539E-2</v>
      </c>
      <c r="N429" s="47"/>
      <c r="O429" s="491">
        <f t="shared" si="251"/>
        <v>0.13643372390846786</v>
      </c>
      <c r="P429" s="491">
        <f t="shared" si="251"/>
        <v>0.12663822014889692</v>
      </c>
      <c r="Q429" s="491">
        <f t="shared" si="251"/>
        <v>9.8401773414853899E-2</v>
      </c>
      <c r="R429" s="491">
        <f t="shared" si="251"/>
        <v>4.2248219366820106E-2</v>
      </c>
      <c r="S429" s="491">
        <f t="shared" si="251"/>
        <v>0.10053815875097638</v>
      </c>
      <c r="T429" s="48"/>
    </row>
    <row r="430" spans="1:20">
      <c r="A430" s="526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508"/>
      <c r="O430" s="24"/>
      <c r="P430" s="19"/>
      <c r="Q430" s="19"/>
      <c r="R430" s="19"/>
    </row>
    <row r="431" spans="1:20" ht="13" customHeight="1">
      <c r="A431" s="528" t="s">
        <v>185</v>
      </c>
      <c r="B431" s="488"/>
      <c r="C431" s="488"/>
      <c r="D431" s="488"/>
      <c r="E431" s="488"/>
      <c r="F431" s="488"/>
      <c r="G431" s="488"/>
      <c r="H431" s="488"/>
      <c r="I431" s="488"/>
      <c r="J431" s="488"/>
      <c r="K431" s="488"/>
      <c r="L431" s="488"/>
      <c r="M431" s="488"/>
      <c r="N431" s="488"/>
      <c r="O431" s="488"/>
      <c r="P431" s="488"/>
      <c r="Q431" s="488"/>
      <c r="R431" s="488"/>
    </row>
    <row r="432" spans="1:20">
      <c r="A432" s="526" t="s">
        <v>22</v>
      </c>
      <c r="B432" s="483">
        <f t="shared" ref="B432:B437" si="257">B416/M474-1</f>
        <v>5.4871076952251352E-2</v>
      </c>
      <c r="C432" s="483">
        <f t="shared" ref="C432:M432" si="258">C416/B416-1</f>
        <v>-2.5030270024480439E-2</v>
      </c>
      <c r="D432" s="483">
        <f t="shared" si="258"/>
        <v>6.9578138472967677E-3</v>
      </c>
      <c r="E432" s="483">
        <f t="shared" si="258"/>
        <v>2.0212193020249902E-2</v>
      </c>
      <c r="F432" s="483">
        <f t="shared" si="258"/>
        <v>-2.8706719526164881E-2</v>
      </c>
      <c r="G432" s="483">
        <f t="shared" si="258"/>
        <v>1.3103616946112506E-2</v>
      </c>
      <c r="H432" s="483">
        <f t="shared" si="258"/>
        <v>0.13118139974035192</v>
      </c>
      <c r="I432" s="483">
        <f t="shared" si="258"/>
        <v>3.8115517952755029E-2</v>
      </c>
      <c r="J432" s="483">
        <f t="shared" si="258"/>
        <v>-0.15650354506249542</v>
      </c>
      <c r="K432" s="483">
        <f t="shared" si="258"/>
        <v>2.5726015229801114E-3</v>
      </c>
      <c r="L432" s="483">
        <f t="shared" si="258"/>
        <v>-2.7766823507803351E-2</v>
      </c>
      <c r="M432" s="483">
        <f t="shared" si="258"/>
        <v>7.7789446194707068E-2</v>
      </c>
      <c r="N432" s="488"/>
      <c r="O432" s="19"/>
      <c r="P432" s="19"/>
      <c r="Q432" s="19"/>
      <c r="R432" s="19"/>
    </row>
    <row r="433" spans="1:20">
      <c r="A433" s="526" t="s">
        <v>25</v>
      </c>
      <c r="B433" s="483">
        <f t="shared" si="257"/>
        <v>6.4418260689457885E-2</v>
      </c>
      <c r="C433" s="483">
        <f t="shared" ref="C433:M433" si="259">C417/B417-1</f>
        <v>-7.6821250133607411E-3</v>
      </c>
      <c r="D433" s="483">
        <f t="shared" si="259"/>
        <v>-2.2144889109840471E-2</v>
      </c>
      <c r="E433" s="483">
        <f t="shared" si="259"/>
        <v>8.2586738671153181E-3</v>
      </c>
      <c r="F433" s="483">
        <f t="shared" si="259"/>
        <v>8.8129173950068918E-3</v>
      </c>
      <c r="G433" s="483">
        <f t="shared" si="259"/>
        <v>6.0535040902804926E-3</v>
      </c>
      <c r="H433" s="483">
        <f t="shared" si="259"/>
        <v>3.5942390602315077E-2</v>
      </c>
      <c r="I433" s="483">
        <f t="shared" si="259"/>
        <v>1.657767688716949E-2</v>
      </c>
      <c r="J433" s="483">
        <f t="shared" si="259"/>
        <v>-0.13316349797927374</v>
      </c>
      <c r="K433" s="483">
        <f t="shared" si="259"/>
        <v>1.2741203006609414E-2</v>
      </c>
      <c r="L433" s="483">
        <f t="shared" si="259"/>
        <v>-1.4557309704076982E-2</v>
      </c>
      <c r="M433" s="483">
        <f t="shared" si="259"/>
        <v>3.2647026745355578E-2</v>
      </c>
      <c r="N433" s="488"/>
      <c r="O433" s="19"/>
      <c r="P433" s="19"/>
      <c r="Q433" s="19"/>
      <c r="R433" s="19"/>
    </row>
    <row r="434" spans="1:20">
      <c r="A434" s="526" t="s">
        <v>172</v>
      </c>
      <c r="B434" s="483">
        <f t="shared" si="257"/>
        <v>8.2403096426768352E-2</v>
      </c>
      <c r="C434" s="483">
        <f t="shared" ref="C434:M434" si="260">C418/B418-1</f>
        <v>-4.9647595356550389E-2</v>
      </c>
      <c r="D434" s="483">
        <f t="shared" si="260"/>
        <v>6.0366452175809604E-2</v>
      </c>
      <c r="E434" s="483">
        <f t="shared" si="260"/>
        <v>1.7433787606068396E-2</v>
      </c>
      <c r="F434" s="483">
        <f t="shared" si="260"/>
        <v>-2.8659522846744889E-2</v>
      </c>
      <c r="G434" s="483">
        <f t="shared" si="260"/>
        <v>-2.5862517562574849E-2</v>
      </c>
      <c r="H434" s="483">
        <f t="shared" si="260"/>
        <v>4.6367521367521425E-2</v>
      </c>
      <c r="I434" s="483">
        <f t="shared" si="260"/>
        <v>2.414743720645296E-2</v>
      </c>
      <c r="J434" s="483">
        <f t="shared" si="260"/>
        <v>-0.14640346941827431</v>
      </c>
      <c r="K434" s="483">
        <f t="shared" si="260"/>
        <v>1.1621116561550959E-2</v>
      </c>
      <c r="L434" s="483">
        <f t="shared" si="260"/>
        <v>-5.8881256133463955E-3</v>
      </c>
      <c r="M434" s="483">
        <f t="shared" si="260"/>
        <v>6.9217815457871312E-2</v>
      </c>
      <c r="N434" s="488"/>
      <c r="O434" s="19"/>
      <c r="P434" s="19"/>
      <c r="Q434" s="19"/>
      <c r="R434" s="19"/>
    </row>
    <row r="435" spans="1:20" ht="13" customHeight="1">
      <c r="A435" s="535" t="s">
        <v>196</v>
      </c>
      <c r="B435" s="519">
        <f t="shared" si="257"/>
        <v>6.7243460498318752E-2</v>
      </c>
      <c r="C435" s="519">
        <f t="shared" ref="C435:M435" si="261">C419/B419-1</f>
        <v>-2.7838324970882677E-2</v>
      </c>
      <c r="D435" s="519">
        <f t="shared" si="261"/>
        <v>1.5203749189157678E-2</v>
      </c>
      <c r="E435" s="519">
        <f t="shared" si="261"/>
        <v>1.5444507462900825E-2</v>
      </c>
      <c r="F435" s="519">
        <f t="shared" si="261"/>
        <v>-1.685340629700538E-2</v>
      </c>
      <c r="G435" s="519">
        <f t="shared" si="261"/>
        <v>-2.6410128257220444E-3</v>
      </c>
      <c r="H435" s="519">
        <f t="shared" si="261"/>
        <v>7.1461919362892257E-2</v>
      </c>
      <c r="I435" s="519">
        <f t="shared" si="261"/>
        <v>2.6712606472734768E-2</v>
      </c>
      <c r="J435" s="519">
        <f t="shared" si="261"/>
        <v>-0.14588737282456066</v>
      </c>
      <c r="K435" s="519">
        <f t="shared" si="261"/>
        <v>8.771273503732413E-3</v>
      </c>
      <c r="L435" s="519">
        <f t="shared" si="261"/>
        <v>-1.6351634307623097E-2</v>
      </c>
      <c r="M435" s="519">
        <f t="shared" si="261"/>
        <v>6.0531184928686255E-2</v>
      </c>
      <c r="N435" s="45"/>
      <c r="O435" s="21"/>
      <c r="P435" s="21"/>
      <c r="Q435" s="21"/>
      <c r="R435" s="21"/>
      <c r="S435" s="44"/>
      <c r="T435" s="520"/>
    </row>
    <row r="436" spans="1:20">
      <c r="A436" s="526" t="s">
        <v>181</v>
      </c>
      <c r="B436" s="483">
        <f t="shared" si="257"/>
        <v>6.0410405709992565E-2</v>
      </c>
      <c r="C436" s="483">
        <f t="shared" ref="C436:M436" si="262">C420/B420-1</f>
        <v>3.9853869146444509E-4</v>
      </c>
      <c r="D436" s="483">
        <f t="shared" si="262"/>
        <v>2.5496314985724577E-2</v>
      </c>
      <c r="E436" s="483">
        <f t="shared" si="262"/>
        <v>6.3148807596848933E-2</v>
      </c>
      <c r="F436" s="483">
        <f t="shared" si="262"/>
        <v>-1.9792533647307042E-2</v>
      </c>
      <c r="G436" s="483">
        <f t="shared" si="262"/>
        <v>6.7017354926893979E-2</v>
      </c>
      <c r="H436" s="483">
        <f t="shared" si="262"/>
        <v>0.10791506540895157</v>
      </c>
      <c r="I436" s="483">
        <f t="shared" si="262"/>
        <v>6.6728565922707483E-2</v>
      </c>
      <c r="J436" s="483">
        <f t="shared" si="262"/>
        <v>-0.20102970882396409</v>
      </c>
      <c r="K436" s="483">
        <f t="shared" si="262"/>
        <v>-4.4030741971753273E-2</v>
      </c>
      <c r="L436" s="483">
        <f t="shared" si="262"/>
        <v>-0.25752558699578576</v>
      </c>
      <c r="M436" s="483">
        <f t="shared" si="262"/>
        <v>0.11537459094726477</v>
      </c>
      <c r="N436" s="470"/>
      <c r="O436" s="151"/>
      <c r="P436" s="151"/>
      <c r="Q436" s="151"/>
      <c r="R436" s="151"/>
    </row>
    <row r="437" spans="1:20" ht="13" customHeight="1">
      <c r="A437" s="535" t="s">
        <v>197</v>
      </c>
      <c r="B437" s="519">
        <f t="shared" si="257"/>
        <v>6.6734260577149263E-2</v>
      </c>
      <c r="C437" s="519">
        <f t="shared" ref="C437:M437" si="263">C421/B421-1</f>
        <v>-2.574658536885388E-2</v>
      </c>
      <c r="D437" s="519">
        <f t="shared" si="263"/>
        <v>1.5986666554432372E-2</v>
      </c>
      <c r="E437" s="519">
        <f t="shared" si="263"/>
        <v>1.9107161498680192E-2</v>
      </c>
      <c r="F437" s="519">
        <f t="shared" si="263"/>
        <v>-1.7088819586941639E-2</v>
      </c>
      <c r="G437" s="519">
        <f t="shared" si="263"/>
        <v>2.9230188978879301E-3</v>
      </c>
      <c r="H437" s="519">
        <f t="shared" si="263"/>
        <v>7.4559732400429457E-2</v>
      </c>
      <c r="I437" s="519">
        <f t="shared" si="263"/>
        <v>3.0218747073983643E-2</v>
      </c>
      <c r="J437" s="519">
        <f t="shared" si="263"/>
        <v>-0.15089008745921306</v>
      </c>
      <c r="K437" s="519">
        <f t="shared" si="263"/>
        <v>4.2637521756121455E-3</v>
      </c>
      <c r="L437" s="519">
        <f t="shared" si="263"/>
        <v>-3.5949728040089002E-2</v>
      </c>
      <c r="M437" s="519">
        <f t="shared" si="263"/>
        <v>6.3963519842247907E-2</v>
      </c>
      <c r="N437" s="45"/>
      <c r="O437" s="21"/>
      <c r="P437" s="21"/>
      <c r="Q437" s="21"/>
      <c r="R437" s="21"/>
      <c r="S437" s="44"/>
      <c r="T437" s="520"/>
    </row>
    <row r="438" spans="1:20" ht="13" customHeight="1">
      <c r="A438" s="532"/>
      <c r="B438" s="337"/>
      <c r="C438" s="337"/>
      <c r="D438" s="337"/>
      <c r="E438" s="337"/>
      <c r="F438" s="337"/>
      <c r="G438" s="538"/>
      <c r="H438" s="337"/>
      <c r="I438" s="538"/>
      <c r="J438" s="538"/>
      <c r="K438" s="337"/>
      <c r="L438" s="337"/>
      <c r="M438" s="337"/>
      <c r="N438" s="42"/>
      <c r="O438" s="43"/>
      <c r="P438" s="43"/>
      <c r="Q438" s="43"/>
      <c r="R438" s="43"/>
      <c r="S438" s="44"/>
      <c r="T438" s="520"/>
    </row>
    <row r="439" spans="1:20" ht="13" customHeight="1">
      <c r="A439" s="532" t="s">
        <v>201</v>
      </c>
      <c r="B439" s="337"/>
      <c r="C439" s="337"/>
      <c r="D439" s="337"/>
      <c r="E439" s="337"/>
      <c r="F439" s="337"/>
      <c r="G439" s="538"/>
      <c r="H439" s="337"/>
      <c r="I439" s="538"/>
      <c r="J439" s="538"/>
      <c r="K439" s="337"/>
      <c r="L439" s="337"/>
      <c r="M439" s="337"/>
      <c r="N439" s="42"/>
      <c r="O439" s="43"/>
      <c r="P439" s="43"/>
      <c r="Q439" s="43"/>
      <c r="R439" s="43"/>
      <c r="S439" s="44"/>
      <c r="T439" s="520"/>
    </row>
    <row r="440" spans="1:20" ht="13" customHeight="1">
      <c r="A440" s="533" t="s">
        <v>160</v>
      </c>
      <c r="B440" s="472" t="s">
        <v>51</v>
      </c>
      <c r="C440" s="472" t="s">
        <v>52</v>
      </c>
      <c r="D440" s="472" t="s">
        <v>53</v>
      </c>
      <c r="E440" s="472" t="s">
        <v>54</v>
      </c>
      <c r="F440" s="472" t="s">
        <v>55</v>
      </c>
      <c r="G440" s="472" t="s">
        <v>77</v>
      </c>
      <c r="H440" s="472" t="s">
        <v>78</v>
      </c>
      <c r="I440" s="472" t="s">
        <v>79</v>
      </c>
      <c r="J440" s="472" t="s">
        <v>80</v>
      </c>
      <c r="K440" s="472" t="s">
        <v>81</v>
      </c>
      <c r="L440" s="472" t="s">
        <v>82</v>
      </c>
      <c r="M440" s="472" t="s">
        <v>44</v>
      </c>
      <c r="N440" s="473" t="s">
        <v>133</v>
      </c>
      <c r="O440" s="473" t="s">
        <v>129</v>
      </c>
      <c r="P440" s="473" t="s">
        <v>130</v>
      </c>
      <c r="Q440" s="473" t="s">
        <v>131</v>
      </c>
      <c r="R440" s="473" t="s">
        <v>132</v>
      </c>
      <c r="S440" s="445" t="s">
        <v>171</v>
      </c>
      <c r="T440" s="520"/>
    </row>
    <row r="441" spans="1:20" ht="13" customHeight="1">
      <c r="A441" s="526" t="s">
        <v>22</v>
      </c>
      <c r="B441" s="15">
        <v>1676.4</v>
      </c>
      <c r="C441" s="15">
        <v>1614.3</v>
      </c>
      <c r="D441" s="15">
        <v>1630.46</v>
      </c>
      <c r="E441" s="15">
        <v>1660.69</v>
      </c>
      <c r="F441" s="15">
        <v>1606.23</v>
      </c>
      <c r="G441" s="15">
        <v>1637.71</v>
      </c>
      <c r="H441" s="15">
        <v>1857.77</v>
      </c>
      <c r="I441" s="15">
        <v>1969.65</v>
      </c>
      <c r="J441" s="15">
        <v>1686.22</v>
      </c>
      <c r="K441" s="15">
        <v>1688.76</v>
      </c>
      <c r="L441" s="15">
        <v>1634.87</v>
      </c>
      <c r="M441" s="15">
        <v>1781.01</v>
      </c>
      <c r="N441" s="15"/>
      <c r="O441" s="15">
        <f>SUM(B441:D441)</f>
        <v>4921.16</v>
      </c>
      <c r="P441" s="15">
        <f>SUM(E441:G441)</f>
        <v>4904.63</v>
      </c>
      <c r="Q441" s="15">
        <f>SUM(H441:J441)</f>
        <v>5513.64</v>
      </c>
      <c r="R441" s="15">
        <f>SUM(K441:M441)</f>
        <v>5104.6400000000003</v>
      </c>
      <c r="S441" s="15">
        <f>SUM(B441:M441)</f>
        <v>20444.069999999996</v>
      </c>
      <c r="T441" s="520"/>
    </row>
    <row r="442" spans="1:20" ht="13" customHeight="1">
      <c r="A442" s="526" t="s">
        <v>25</v>
      </c>
      <c r="B442" s="15">
        <v>1488.62</v>
      </c>
      <c r="C442" s="15">
        <v>1483.59</v>
      </c>
      <c r="D442" s="15">
        <v>1426.39</v>
      </c>
      <c r="E442" s="15">
        <v>1437.8</v>
      </c>
      <c r="F442" s="15">
        <v>1439.84</v>
      </c>
      <c r="G442" s="15">
        <v>1456.98</v>
      </c>
      <c r="H442" s="15">
        <v>1507.09</v>
      </c>
      <c r="I442" s="15">
        <v>1600.96</v>
      </c>
      <c r="J442" s="15">
        <v>1419.5</v>
      </c>
      <c r="K442" s="15">
        <v>1421.67</v>
      </c>
      <c r="L442" s="15">
        <v>1408.39</v>
      </c>
      <c r="M442" s="15">
        <v>1468.73</v>
      </c>
      <c r="N442" s="15"/>
      <c r="O442" s="15">
        <f>SUM(B442:D442)</f>
        <v>4398.6000000000004</v>
      </c>
      <c r="P442" s="15">
        <f>SUM(E442:G442)</f>
        <v>4334.62</v>
      </c>
      <c r="Q442" s="15">
        <f>SUM(H442:J442)</f>
        <v>4527.55</v>
      </c>
      <c r="R442" s="15">
        <f>SUM(K442:M442)</f>
        <v>4298.7900000000009</v>
      </c>
      <c r="S442" s="15">
        <f>SUM(B442:M442)</f>
        <v>17559.560000000001</v>
      </c>
      <c r="T442" s="520"/>
    </row>
    <row r="443" spans="1:20" ht="13" customHeight="1">
      <c r="A443" s="526" t="s">
        <v>172</v>
      </c>
      <c r="B443" s="15">
        <v>1458</v>
      </c>
      <c r="C443" s="15">
        <v>1357.7</v>
      </c>
      <c r="D443" s="15">
        <v>1475.3</v>
      </c>
      <c r="E443" s="15">
        <v>1477</v>
      </c>
      <c r="F443" s="15">
        <v>1426.5</v>
      </c>
      <c r="G443" s="15">
        <v>1383</v>
      </c>
      <c r="H443" s="15">
        <v>1440.7</v>
      </c>
      <c r="I443" s="15">
        <v>1530.4</v>
      </c>
      <c r="J443" s="15">
        <v>1358.9</v>
      </c>
      <c r="K443" s="15">
        <v>1357.1</v>
      </c>
      <c r="L443" s="15">
        <v>1368.2</v>
      </c>
      <c r="M443" s="15">
        <v>1461.2</v>
      </c>
      <c r="N443" s="15"/>
      <c r="O443" s="15">
        <f>SUM(B443:D443)</f>
        <v>4291</v>
      </c>
      <c r="P443" s="15">
        <f>SUM(E443:G443)</f>
        <v>4286.5</v>
      </c>
      <c r="Q443" s="15">
        <f>SUM(H443:J443)</f>
        <v>4330</v>
      </c>
      <c r="R443" s="15">
        <f>SUM(K443:M443)</f>
        <v>4186.5</v>
      </c>
      <c r="S443" s="15">
        <f>SUM(B443:M443)</f>
        <v>17094</v>
      </c>
      <c r="T443" s="520"/>
    </row>
    <row r="444" spans="1:20" ht="13" customHeight="1">
      <c r="A444" s="535" t="s">
        <v>196</v>
      </c>
      <c r="B444" s="45">
        <f t="shared" ref="B444:M444" si="264">SUM(B441:B443)</f>
        <v>4623.0200000000004</v>
      </c>
      <c r="C444" s="45">
        <f t="shared" si="264"/>
        <v>4455.59</v>
      </c>
      <c r="D444" s="45">
        <f t="shared" si="264"/>
        <v>4532.1500000000005</v>
      </c>
      <c r="E444" s="45">
        <f t="shared" si="264"/>
        <v>4575.49</v>
      </c>
      <c r="F444" s="45">
        <f t="shared" si="264"/>
        <v>4472.57</v>
      </c>
      <c r="G444" s="45">
        <f t="shared" si="264"/>
        <v>4477.6900000000005</v>
      </c>
      <c r="H444" s="45">
        <f t="shared" si="264"/>
        <v>4805.5599999999995</v>
      </c>
      <c r="I444" s="45">
        <f t="shared" si="264"/>
        <v>5101.01</v>
      </c>
      <c r="J444" s="45">
        <f t="shared" si="264"/>
        <v>4464.6200000000008</v>
      </c>
      <c r="K444" s="45">
        <f t="shared" si="264"/>
        <v>4467.5300000000007</v>
      </c>
      <c r="L444" s="45">
        <f t="shared" si="264"/>
        <v>4411.46</v>
      </c>
      <c r="M444" s="45">
        <f t="shared" si="264"/>
        <v>4710.9399999999996</v>
      </c>
      <c r="N444" s="45"/>
      <c r="O444" s="21">
        <f>SUM(B444:D444)</f>
        <v>13610.760000000002</v>
      </c>
      <c r="P444" s="21">
        <f>SUM(E444:G444)</f>
        <v>13525.75</v>
      </c>
      <c r="Q444" s="21">
        <f>SUM(H444:J444)</f>
        <v>14371.19</v>
      </c>
      <c r="R444" s="21">
        <f>SUM(K444:M444)</f>
        <v>13589.93</v>
      </c>
      <c r="S444" s="21">
        <f>SUM(B444:M444)</f>
        <v>55097.630000000005</v>
      </c>
      <c r="T444" s="520"/>
    </row>
    <row r="445" spans="1:20" ht="13" customHeight="1">
      <c r="A445" s="526" t="s">
        <v>181</v>
      </c>
      <c r="B445" s="15">
        <v>424.05</v>
      </c>
      <c r="C445" s="15">
        <v>423.64</v>
      </c>
      <c r="D445" s="15">
        <v>433.15</v>
      </c>
      <c r="E445" s="15">
        <v>461.4</v>
      </c>
      <c r="F445" s="15">
        <v>452.11</v>
      </c>
      <c r="G445" s="15">
        <v>485.77</v>
      </c>
      <c r="H445" s="15">
        <v>538.44000000000005</v>
      </c>
      <c r="I445" s="15">
        <v>577.39</v>
      </c>
      <c r="J445" s="15">
        <v>464.4</v>
      </c>
      <c r="K445" s="15">
        <v>442.85</v>
      </c>
      <c r="L445" s="15">
        <v>326.66000000000003</v>
      </c>
      <c r="M445" s="15">
        <v>366.18</v>
      </c>
      <c r="N445" s="42"/>
      <c r="O445" s="15"/>
      <c r="P445" s="15"/>
      <c r="Q445" s="15"/>
      <c r="R445" s="15"/>
      <c r="S445" s="1"/>
      <c r="T445" s="520"/>
    </row>
    <row r="446" spans="1:20" ht="13" customHeight="1">
      <c r="A446" s="535" t="s">
        <v>197</v>
      </c>
      <c r="B446" s="42">
        <f t="shared" ref="B446:M446" si="265">B444+B445</f>
        <v>5047.0700000000006</v>
      </c>
      <c r="C446" s="42">
        <f t="shared" si="265"/>
        <v>4879.2300000000005</v>
      </c>
      <c r="D446" s="42">
        <f t="shared" si="265"/>
        <v>4965.3</v>
      </c>
      <c r="E446" s="42">
        <f t="shared" si="265"/>
        <v>5036.8899999999994</v>
      </c>
      <c r="F446" s="42">
        <f t="shared" si="265"/>
        <v>4924.6799999999994</v>
      </c>
      <c r="G446" s="42">
        <f t="shared" si="265"/>
        <v>4963.4600000000009</v>
      </c>
      <c r="H446" s="42">
        <f t="shared" si="265"/>
        <v>5344</v>
      </c>
      <c r="I446" s="42">
        <f t="shared" si="265"/>
        <v>5678.4000000000005</v>
      </c>
      <c r="J446" s="42">
        <f t="shared" si="265"/>
        <v>4929.0200000000004</v>
      </c>
      <c r="K446" s="42">
        <f t="shared" si="265"/>
        <v>4910.380000000001</v>
      </c>
      <c r="L446" s="42">
        <f t="shared" si="265"/>
        <v>4738.12</v>
      </c>
      <c r="M446" s="42">
        <f t="shared" si="265"/>
        <v>5077.12</v>
      </c>
      <c r="N446" s="42"/>
      <c r="O446" s="21">
        <f>SUM(B446:D446)</f>
        <v>14891.600000000002</v>
      </c>
      <c r="P446" s="21">
        <f>SUM(E446:G446)</f>
        <v>14925.03</v>
      </c>
      <c r="Q446" s="21">
        <f>SUM(H446:J446)</f>
        <v>15951.420000000002</v>
      </c>
      <c r="R446" s="21">
        <f>SUM(K446:M446)</f>
        <v>14725.619999999999</v>
      </c>
      <c r="S446" s="44">
        <f>SUM(O446:R446)</f>
        <v>60493.67</v>
      </c>
      <c r="T446" s="520"/>
    </row>
    <row r="447" spans="1:20" ht="13" customHeight="1">
      <c r="A447" s="532"/>
      <c r="B447" s="337"/>
      <c r="C447" s="337">
        <f>SUM(B444:C444)/SUM(B502:C502)-1</f>
        <v>0.14163323818266416</v>
      </c>
      <c r="D447" s="337"/>
      <c r="E447" s="337"/>
      <c r="F447" s="337"/>
      <c r="G447" s="483"/>
      <c r="H447" s="337"/>
      <c r="I447" s="538"/>
      <c r="J447" s="538"/>
      <c r="K447" s="337"/>
      <c r="L447" s="337"/>
      <c r="M447" s="337"/>
      <c r="N447" s="42"/>
      <c r="O447" s="43"/>
      <c r="P447" s="43"/>
      <c r="Q447" s="43"/>
      <c r="R447" s="43"/>
      <c r="S447" s="43"/>
      <c r="T447" s="520"/>
    </row>
    <row r="448" spans="1:20" ht="13" customHeight="1">
      <c r="A448" s="528" t="s">
        <v>184</v>
      </c>
      <c r="B448" s="488"/>
      <c r="C448" s="337">
        <f>SUM(B446:C446)/SUM(B504:C504)-1</f>
        <v>0.15046719656562413</v>
      </c>
      <c r="D448" s="337"/>
      <c r="E448" s="337"/>
      <c r="F448" s="337"/>
      <c r="G448" s="538"/>
      <c r="H448" s="337"/>
      <c r="I448" s="538"/>
      <c r="J448" s="538"/>
      <c r="K448" s="337"/>
      <c r="L448" s="337"/>
      <c r="M448" s="337"/>
      <c r="N448" s="42"/>
      <c r="O448" s="43"/>
      <c r="P448" s="43"/>
      <c r="Q448" s="43"/>
      <c r="R448" s="43"/>
      <c r="S448" s="43"/>
      <c r="T448" s="520"/>
    </row>
    <row r="449" spans="1:20" ht="13" customHeight="1">
      <c r="A449" s="526" t="s">
        <v>22</v>
      </c>
      <c r="B449" s="483">
        <f t="shared" ref="B449:M449" si="266">B441/B499-1</f>
        <v>0.20266014305084257</v>
      </c>
      <c r="C449" s="483">
        <f t="shared" si="266"/>
        <v>9.5829967484200251E-2</v>
      </c>
      <c r="D449" s="483">
        <f t="shared" si="266"/>
        <v>0.11161411283449807</v>
      </c>
      <c r="E449" s="483">
        <f t="shared" si="266"/>
        <v>0.10350716317146436</v>
      </c>
      <c r="F449" s="483">
        <f t="shared" si="266"/>
        <v>0.12440147845322436</v>
      </c>
      <c r="G449" s="483">
        <f t="shared" si="266"/>
        <v>0.12790721699185248</v>
      </c>
      <c r="H449" s="483">
        <f t="shared" si="266"/>
        <v>0.17082408994655629</v>
      </c>
      <c r="I449" s="483">
        <f t="shared" si="266"/>
        <v>0.18148281446823833</v>
      </c>
      <c r="J449" s="483">
        <f t="shared" si="266"/>
        <v>0.20441704820610984</v>
      </c>
      <c r="K449" s="483">
        <f t="shared" si="266"/>
        <v>0.13257504627518313</v>
      </c>
      <c r="L449" s="483">
        <f t="shared" si="266"/>
        <v>0.14810705281712377</v>
      </c>
      <c r="M449" s="483">
        <f t="shared" si="266"/>
        <v>0.1310657106748887</v>
      </c>
      <c r="N449" s="42"/>
      <c r="O449" s="337">
        <f t="shared" ref="O449:S454" si="267">O441/O499-1</f>
        <v>0.13553264002178222</v>
      </c>
      <c r="P449" s="483">
        <f t="shared" si="267"/>
        <v>0.11839203909308771</v>
      </c>
      <c r="Q449" s="483">
        <f t="shared" si="267"/>
        <v>0.18474811177842021</v>
      </c>
      <c r="R449" s="483">
        <f t="shared" si="267"/>
        <v>0.13697190000178194</v>
      </c>
      <c r="S449" s="483">
        <f t="shared" si="267"/>
        <v>0.14450854431708415</v>
      </c>
      <c r="T449" s="520"/>
    </row>
    <row r="450" spans="1:20" ht="13" customHeight="1">
      <c r="A450" s="526" t="s">
        <v>25</v>
      </c>
      <c r="B450" s="483">
        <f t="shared" ref="B450:M450" si="268">B442/B500-1</f>
        <v>0.17780819533345449</v>
      </c>
      <c r="C450" s="483">
        <f t="shared" si="268"/>
        <v>4.3260880266090984E-2</v>
      </c>
      <c r="D450" s="483">
        <f t="shared" si="268"/>
        <v>4.3353911873134976E-2</v>
      </c>
      <c r="E450" s="483">
        <f t="shared" si="268"/>
        <v>5.7485805066046725E-2</v>
      </c>
      <c r="F450" s="483">
        <f t="shared" si="268"/>
        <v>0.11529911153455874</v>
      </c>
      <c r="G450" s="483">
        <f t="shared" si="268"/>
        <v>0.10156958809653416</v>
      </c>
      <c r="H450" s="483">
        <f t="shared" si="268"/>
        <v>6.1047043748855723E-2</v>
      </c>
      <c r="I450" s="483">
        <f t="shared" si="268"/>
        <v>9.8647415266159388E-2</v>
      </c>
      <c r="J450" s="483">
        <f t="shared" si="268"/>
        <v>0.13008428462360899</v>
      </c>
      <c r="K450" s="483">
        <f t="shared" si="268"/>
        <v>8.9427343157314043E-2</v>
      </c>
      <c r="L450" s="483">
        <f t="shared" si="268"/>
        <v>0.12395157493196729</v>
      </c>
      <c r="M450" s="483">
        <f t="shared" si="268"/>
        <v>6.1113760168769016E-2</v>
      </c>
      <c r="N450" s="42"/>
      <c r="O450" s="337">
        <f t="shared" si="267"/>
        <v>8.524874909945046E-2</v>
      </c>
      <c r="P450" s="483">
        <f t="shared" si="267"/>
        <v>9.0945241576837033E-2</v>
      </c>
      <c r="Q450" s="483">
        <f t="shared" si="267"/>
        <v>9.5280222929096325E-2</v>
      </c>
      <c r="R450" s="483">
        <f t="shared" si="267"/>
        <v>9.0460100756434292E-2</v>
      </c>
      <c r="S450" s="483">
        <f t="shared" si="267"/>
        <v>9.0505465053547507E-2</v>
      </c>
      <c r="T450" s="520"/>
    </row>
    <row r="451" spans="1:20" ht="13" customHeight="1">
      <c r="A451" s="526" t="s">
        <v>172</v>
      </c>
      <c r="B451" s="483">
        <f t="shared" ref="B451:M451" si="269">B443/B501-1</f>
        <v>0.19616047255722369</v>
      </c>
      <c r="C451" s="483">
        <f t="shared" si="269"/>
        <v>0.15020332090816657</v>
      </c>
      <c r="D451" s="483">
        <f t="shared" si="269"/>
        <v>0.15600097162692661</v>
      </c>
      <c r="E451" s="483">
        <f t="shared" si="269"/>
        <v>0.14496124031007751</v>
      </c>
      <c r="F451" s="483">
        <f t="shared" si="269"/>
        <v>0.16145578895945278</v>
      </c>
      <c r="G451" s="483">
        <f t="shared" si="269"/>
        <v>9.4925184070936641E-2</v>
      </c>
      <c r="H451" s="483">
        <f t="shared" si="269"/>
        <v>5.275849470222882E-2</v>
      </c>
      <c r="I451" s="483">
        <f t="shared" si="269"/>
        <v>7.4341874341874448E-2</v>
      </c>
      <c r="J451" s="483">
        <f t="shared" si="269"/>
        <v>7.7807741116751483E-2</v>
      </c>
      <c r="K451" s="483">
        <f t="shared" si="269"/>
        <v>5.4058252427184428E-2</v>
      </c>
      <c r="L451" s="483">
        <f t="shared" si="269"/>
        <v>8.5873015873015879E-2</v>
      </c>
      <c r="M451" s="483">
        <f t="shared" si="269"/>
        <v>9.7079360312335661E-2</v>
      </c>
      <c r="N451" s="42"/>
      <c r="O451" s="337">
        <f t="shared" si="267"/>
        <v>0.16745703317362759</v>
      </c>
      <c r="P451" s="483">
        <f t="shared" si="267"/>
        <v>0.133604844894613</v>
      </c>
      <c r="Q451" s="483">
        <f t="shared" si="267"/>
        <v>6.8133603039123747E-2</v>
      </c>
      <c r="R451" s="483">
        <f t="shared" si="267"/>
        <v>7.9161726040109182E-2</v>
      </c>
      <c r="S451" s="483">
        <f t="shared" si="267"/>
        <v>0.11072052584761161</v>
      </c>
      <c r="T451" s="520"/>
    </row>
    <row r="452" spans="1:20" ht="13" customHeight="1">
      <c r="A452" s="536" t="s">
        <v>196</v>
      </c>
      <c r="B452" s="519">
        <f t="shared" ref="B452:M452" si="270">B444/B502-1</f>
        <v>0.19251425181210835</v>
      </c>
      <c r="C452" s="519">
        <f t="shared" si="270"/>
        <v>9.3235351850034398E-2</v>
      </c>
      <c r="D452" s="519">
        <f t="shared" si="270"/>
        <v>0.10269143179694806</v>
      </c>
      <c r="E452" s="519">
        <f t="shared" si="270"/>
        <v>0.10131758838481075</v>
      </c>
      <c r="F452" s="519">
        <f t="shared" si="270"/>
        <v>0.13295302846460344</v>
      </c>
      <c r="G452" s="519">
        <f t="shared" si="270"/>
        <v>0.10896221391722594</v>
      </c>
      <c r="H452" s="519">
        <f t="shared" si="270"/>
        <v>9.8263095346923679E-2</v>
      </c>
      <c r="I452" s="519">
        <f t="shared" si="270"/>
        <v>0.12139438666376501</v>
      </c>
      <c r="J452" s="519">
        <f t="shared" si="270"/>
        <v>0.13982605259066361</v>
      </c>
      <c r="K452" s="519">
        <f t="shared" si="270"/>
        <v>9.4030928971115868E-2</v>
      </c>
      <c r="L452" s="519">
        <f t="shared" si="270"/>
        <v>0.12050169670615496</v>
      </c>
      <c r="M452" s="519">
        <f t="shared" si="270"/>
        <v>9.7949737453591146E-2</v>
      </c>
      <c r="N452" s="42"/>
      <c r="O452" s="487">
        <f t="shared" si="267"/>
        <v>0.12836438580114384</v>
      </c>
      <c r="P452" s="484">
        <f t="shared" si="267"/>
        <v>0.11414744645799013</v>
      </c>
      <c r="Q452" s="484">
        <f t="shared" si="267"/>
        <v>0.11913467604356898</v>
      </c>
      <c r="R452" s="484">
        <f t="shared" si="267"/>
        <v>0.10386183055186882</v>
      </c>
      <c r="S452" s="484">
        <f t="shared" si="267"/>
        <v>0.11635399069447505</v>
      </c>
      <c r="T452" s="520"/>
    </row>
    <row r="453" spans="1:20" ht="13" customHeight="1">
      <c r="A453" s="526" t="s">
        <v>181</v>
      </c>
      <c r="B453" s="544">
        <f t="shared" ref="B453:M453" si="271">B445/B503-1</f>
        <v>0.30513065156504871</v>
      </c>
      <c r="C453" s="544">
        <f t="shared" si="271"/>
        <v>0.20746757873735211</v>
      </c>
      <c r="D453" s="544">
        <f t="shared" si="271"/>
        <v>0.18114637870855144</v>
      </c>
      <c r="E453" s="544">
        <f t="shared" si="271"/>
        <v>0.21334841034002161</v>
      </c>
      <c r="F453" s="544">
        <f t="shared" si="271"/>
        <v>0.19381584853845957</v>
      </c>
      <c r="G453" s="544">
        <f t="shared" si="271"/>
        <v>0.21771282462649144</v>
      </c>
      <c r="H453" s="544">
        <f t="shared" si="271"/>
        <v>0.20284156911804141</v>
      </c>
      <c r="I453" s="544">
        <f t="shared" si="271"/>
        <v>0.20591060985797816</v>
      </c>
      <c r="J453" s="544">
        <f t="shared" si="271"/>
        <v>0.19422943400107995</v>
      </c>
      <c r="K453" s="544">
        <f t="shared" si="271"/>
        <v>0.16816143497757841</v>
      </c>
      <c r="L453" s="544">
        <f t="shared" si="271"/>
        <v>-3.1432146235770286E-3</v>
      </c>
      <c r="M453" s="544">
        <f t="shared" si="271"/>
        <v>-8.5921118322516254E-2</v>
      </c>
      <c r="N453" s="42"/>
      <c r="O453" s="337">
        <f t="shared" si="267"/>
        <v>-1</v>
      </c>
      <c r="P453" s="483">
        <f t="shared" si="267"/>
        <v>-1</v>
      </c>
      <c r="Q453" s="483">
        <f t="shared" si="267"/>
        <v>-1</v>
      </c>
      <c r="R453" s="483">
        <f t="shared" si="267"/>
        <v>-1</v>
      </c>
      <c r="S453" s="483">
        <f t="shared" si="267"/>
        <v>-1</v>
      </c>
      <c r="T453" s="520"/>
    </row>
    <row r="454" spans="1:20" s="489" customFormat="1" ht="13" customHeight="1">
      <c r="A454" s="539" t="s">
        <v>197</v>
      </c>
      <c r="B454" s="540">
        <f t="shared" ref="B454:M454" si="272">B446/B504-1</f>
        <v>0.20122286456858207</v>
      </c>
      <c r="C454" s="540">
        <f t="shared" si="272"/>
        <v>0.10228964520100781</v>
      </c>
      <c r="D454" s="540">
        <f t="shared" si="272"/>
        <v>0.10911812008577559</v>
      </c>
      <c r="E454" s="540">
        <f t="shared" si="272"/>
        <v>0.11071197817779277</v>
      </c>
      <c r="F454" s="540">
        <f t="shared" si="272"/>
        <v>0.13828061075901066</v>
      </c>
      <c r="G454" s="540">
        <f t="shared" si="272"/>
        <v>0.11874049113633056</v>
      </c>
      <c r="H454" s="540">
        <f t="shared" si="272"/>
        <v>0.10796891715941959</v>
      </c>
      <c r="I454" s="540">
        <f t="shared" si="272"/>
        <v>0.12944321456914931</v>
      </c>
      <c r="J454" s="540">
        <f t="shared" si="272"/>
        <v>0.14473938763077987</v>
      </c>
      <c r="K454" s="540">
        <f t="shared" si="272"/>
        <v>0.10032828028189544</v>
      </c>
      <c r="L454" s="540">
        <f t="shared" si="272"/>
        <v>0.11100116537272009</v>
      </c>
      <c r="M454" s="540">
        <f t="shared" si="272"/>
        <v>8.2248516926120008E-2</v>
      </c>
      <c r="N454" s="49"/>
      <c r="O454" s="541">
        <f t="shared" si="267"/>
        <v>0.13634178465088542</v>
      </c>
      <c r="P454" s="491">
        <f t="shared" si="267"/>
        <v>0.12235992149136332</v>
      </c>
      <c r="Q454" s="491">
        <f t="shared" si="267"/>
        <v>0.12677920787903862</v>
      </c>
      <c r="R454" s="491">
        <f t="shared" si="267"/>
        <v>9.7399514854325631E-2</v>
      </c>
      <c r="S454" s="491">
        <f t="shared" si="267"/>
        <v>0.12070846709369554</v>
      </c>
      <c r="T454" s="542"/>
    </row>
    <row r="455" spans="1:20" ht="13" customHeight="1">
      <c r="A455" s="532"/>
      <c r="B455" s="483"/>
      <c r="C455" s="483"/>
      <c r="D455" s="337"/>
      <c r="E455" s="337"/>
      <c r="F455" s="337"/>
      <c r="G455" s="538"/>
      <c r="H455" s="337"/>
      <c r="I455" s="538"/>
      <c r="J455" s="538"/>
      <c r="K455" s="337"/>
      <c r="L455" s="337"/>
      <c r="M455" s="337"/>
      <c r="N455" s="42"/>
      <c r="O455" s="43"/>
      <c r="P455" s="43"/>
      <c r="Q455" s="43"/>
      <c r="R455" s="43"/>
      <c r="S455" s="44"/>
      <c r="T455" s="520"/>
    </row>
    <row r="456" spans="1:20" ht="13" customHeight="1">
      <c r="A456" s="532" t="s">
        <v>148</v>
      </c>
      <c r="B456" s="337"/>
      <c r="C456" s="337"/>
      <c r="D456" s="337"/>
      <c r="E456" s="337"/>
      <c r="F456" s="337"/>
      <c r="G456" s="538"/>
      <c r="H456" s="337"/>
      <c r="I456" s="538"/>
      <c r="J456" s="538"/>
      <c r="K456" s="337"/>
      <c r="L456" s="337"/>
      <c r="M456" s="337"/>
      <c r="N456" s="42"/>
      <c r="O456" s="43"/>
      <c r="P456" s="43"/>
      <c r="Q456" s="43"/>
      <c r="R456" s="43"/>
      <c r="S456" s="44"/>
      <c r="T456" s="520"/>
    </row>
    <row r="457" spans="1:20" ht="13" customHeight="1">
      <c r="A457" s="533" t="s">
        <v>160</v>
      </c>
      <c r="B457" s="472" t="s">
        <v>51</v>
      </c>
      <c r="C457" s="472" t="s">
        <v>52</v>
      </c>
      <c r="D457" s="472" t="s">
        <v>53</v>
      </c>
      <c r="E457" s="472" t="s">
        <v>54</v>
      </c>
      <c r="F457" s="472" t="s">
        <v>55</v>
      </c>
      <c r="G457" s="472" t="s">
        <v>77</v>
      </c>
      <c r="H457" s="472" t="s">
        <v>78</v>
      </c>
      <c r="I457" s="472" t="s">
        <v>79</v>
      </c>
      <c r="J457" s="472" t="s">
        <v>80</v>
      </c>
      <c r="K457" s="472" t="s">
        <v>81</v>
      </c>
      <c r="L457" s="472" t="s">
        <v>82</v>
      </c>
      <c r="M457" s="472" t="s">
        <v>44</v>
      </c>
      <c r="N457" s="473" t="s">
        <v>133</v>
      </c>
      <c r="O457" s="473" t="s">
        <v>129</v>
      </c>
      <c r="P457" s="473" t="s">
        <v>130</v>
      </c>
      <c r="Q457" s="473" t="s">
        <v>131</v>
      </c>
      <c r="R457" s="473" t="s">
        <v>132</v>
      </c>
      <c r="S457" s="445" t="s">
        <v>171</v>
      </c>
      <c r="T457" s="520"/>
    </row>
    <row r="458" spans="1:20" ht="13" customHeight="1">
      <c r="A458" s="526" t="s">
        <v>22</v>
      </c>
      <c r="B458" s="15">
        <v>214.91</v>
      </c>
      <c r="C458" s="15">
        <v>229.67</v>
      </c>
      <c r="D458" s="15">
        <v>226.34</v>
      </c>
      <c r="E458" s="34">
        <v>233.64</v>
      </c>
      <c r="F458" s="15">
        <v>233.72</v>
      </c>
      <c r="G458" s="15">
        <v>226.35</v>
      </c>
      <c r="H458" s="15">
        <v>250.82</v>
      </c>
      <c r="I458" s="15">
        <v>219.31</v>
      </c>
      <c r="J458" s="15">
        <v>160.16</v>
      </c>
      <c r="K458" s="15">
        <v>162.37</v>
      </c>
      <c r="L458" s="15">
        <v>164.86</v>
      </c>
      <c r="M458" s="15">
        <v>158.72</v>
      </c>
      <c r="N458" s="15"/>
      <c r="O458" s="15">
        <f>SUM(B458:D458)</f>
        <v>670.92</v>
      </c>
      <c r="P458" s="15">
        <f>SUM(E458:G458)</f>
        <v>693.71</v>
      </c>
      <c r="Q458" s="15">
        <f>SUM(H458:J458)</f>
        <v>630.29</v>
      </c>
      <c r="R458" s="15">
        <f>SUM(K458:M458)</f>
        <v>485.95000000000005</v>
      </c>
      <c r="S458" s="15">
        <f>SUM(B458:M458)</f>
        <v>2480.87</v>
      </c>
      <c r="T458" s="520"/>
    </row>
    <row r="459" spans="1:20" ht="13" customHeight="1">
      <c r="A459" s="526" t="s">
        <v>25</v>
      </c>
      <c r="B459" s="15">
        <v>335.745</v>
      </c>
      <c r="C459" s="15">
        <v>326.76</v>
      </c>
      <c r="D459" s="15">
        <v>343.87</v>
      </c>
      <c r="E459" s="15">
        <v>347.08</v>
      </c>
      <c r="F459" s="15">
        <v>360.77</v>
      </c>
      <c r="G459" s="15">
        <v>354.53</v>
      </c>
      <c r="H459" s="15">
        <v>369.53</v>
      </c>
      <c r="I459" s="15">
        <v>306.77</v>
      </c>
      <c r="J459" s="15">
        <v>234.19</v>
      </c>
      <c r="K459" s="15">
        <v>253.09</v>
      </c>
      <c r="L459" s="15">
        <v>241.99</v>
      </c>
      <c r="M459" s="15">
        <v>235.53</v>
      </c>
      <c r="N459" s="15"/>
      <c r="O459" s="15">
        <f>SUM(B459:D459)</f>
        <v>1006.375</v>
      </c>
      <c r="P459" s="15">
        <f>SUM(E459:G459)</f>
        <v>1062.3799999999999</v>
      </c>
      <c r="Q459" s="15">
        <f>SUM(H459:J459)</f>
        <v>910.49</v>
      </c>
      <c r="R459" s="15">
        <f>SUM(K459:M459)</f>
        <v>730.61</v>
      </c>
      <c r="S459" s="15">
        <f>SUM(B459:M459)</f>
        <v>3709.855</v>
      </c>
      <c r="T459" s="520"/>
    </row>
    <row r="460" spans="1:20" ht="13" customHeight="1">
      <c r="A460" s="526" t="s">
        <v>172</v>
      </c>
      <c r="B460" s="15">
        <v>471.6</v>
      </c>
      <c r="C460" s="15">
        <v>476.1</v>
      </c>
      <c r="D460" s="15">
        <v>469.2</v>
      </c>
      <c r="E460" s="15">
        <v>501.4</v>
      </c>
      <c r="F460" s="15">
        <v>495.2</v>
      </c>
      <c r="G460" s="15">
        <v>489</v>
      </c>
      <c r="H460" s="15">
        <v>518.1</v>
      </c>
      <c r="I460" s="15">
        <v>475.7</v>
      </c>
      <c r="J460" s="15">
        <v>353.5</v>
      </c>
      <c r="K460" s="15">
        <v>375.2</v>
      </c>
      <c r="L460" s="15">
        <v>353.9</v>
      </c>
      <c r="M460" s="15">
        <v>380.1</v>
      </c>
      <c r="N460" s="15"/>
      <c r="O460" s="15">
        <f>SUM(B460:D460)</f>
        <v>1416.9</v>
      </c>
      <c r="P460" s="15">
        <f>SUM(E460:G460)</f>
        <v>1485.6</v>
      </c>
      <c r="Q460" s="15">
        <f>SUM(H460:J460)</f>
        <v>1347.3</v>
      </c>
      <c r="R460" s="15">
        <f>SUM(K460:M460)</f>
        <v>1109.1999999999998</v>
      </c>
      <c r="S460" s="15">
        <f>SUM(B460:M460)</f>
        <v>5358.9999999999991</v>
      </c>
      <c r="T460" s="520"/>
    </row>
    <row r="461" spans="1:20" ht="13" customHeight="1">
      <c r="A461" s="535" t="s">
        <v>196</v>
      </c>
      <c r="B461" s="45">
        <f t="shared" ref="B461:M461" si="273">SUM(B458:B460)</f>
        <v>1022.255</v>
      </c>
      <c r="C461" s="45">
        <f t="shared" si="273"/>
        <v>1032.53</v>
      </c>
      <c r="D461" s="45">
        <f t="shared" si="273"/>
        <v>1039.4100000000001</v>
      </c>
      <c r="E461" s="45">
        <f t="shared" si="273"/>
        <v>1082.1199999999999</v>
      </c>
      <c r="F461" s="45">
        <f t="shared" si="273"/>
        <v>1089.69</v>
      </c>
      <c r="G461" s="45">
        <f t="shared" si="273"/>
        <v>1069.8800000000001</v>
      </c>
      <c r="H461" s="45">
        <f t="shared" si="273"/>
        <v>1138.4499999999998</v>
      </c>
      <c r="I461" s="45">
        <f t="shared" si="273"/>
        <v>1001.78</v>
      </c>
      <c r="J461" s="45">
        <f t="shared" si="273"/>
        <v>747.85</v>
      </c>
      <c r="K461" s="45">
        <f t="shared" si="273"/>
        <v>790.66000000000008</v>
      </c>
      <c r="L461" s="45">
        <f t="shared" si="273"/>
        <v>760.75</v>
      </c>
      <c r="M461" s="45">
        <f t="shared" si="273"/>
        <v>774.35</v>
      </c>
      <c r="N461" s="45"/>
      <c r="O461" s="21">
        <f>SUM(B461:D461)</f>
        <v>3094.1949999999997</v>
      </c>
      <c r="P461" s="21">
        <f>SUM(E461:G461)</f>
        <v>3241.69</v>
      </c>
      <c r="Q461" s="21">
        <f>SUM(H461:J461)</f>
        <v>2888.0799999999995</v>
      </c>
      <c r="R461" s="21">
        <f>SUM(K461:M461)</f>
        <v>2325.7600000000002</v>
      </c>
      <c r="S461" s="21">
        <f>SUM(B461:M461)</f>
        <v>11549.725</v>
      </c>
      <c r="T461" s="520"/>
    </row>
    <row r="462" spans="1:20" ht="13" customHeight="1">
      <c r="A462" s="526" t="s">
        <v>181</v>
      </c>
      <c r="B462" s="38">
        <v>27.6</v>
      </c>
      <c r="C462" s="38">
        <v>28.19</v>
      </c>
      <c r="D462" s="38">
        <v>30.2</v>
      </c>
      <c r="E462" s="38">
        <v>31.21</v>
      </c>
      <c r="F462" s="543">
        <v>30.75</v>
      </c>
      <c r="G462" s="543">
        <v>29.45</v>
      </c>
      <c r="H462" s="543">
        <v>32.380000000000003</v>
      </c>
      <c r="I462" s="543">
        <v>31.52</v>
      </c>
      <c r="J462" s="543">
        <v>22.100999999999999</v>
      </c>
      <c r="K462" s="543">
        <v>22.23</v>
      </c>
      <c r="L462" s="543">
        <v>18.649999999999999</v>
      </c>
      <c r="M462" s="543">
        <v>18.97</v>
      </c>
      <c r="N462" s="42"/>
      <c r="O462" s="15"/>
      <c r="P462" s="15"/>
      <c r="Q462" s="15"/>
      <c r="R462" s="15"/>
      <c r="S462" s="1"/>
      <c r="T462" s="520"/>
    </row>
    <row r="463" spans="1:20" ht="13" customHeight="1">
      <c r="A463" s="535" t="s">
        <v>197</v>
      </c>
      <c r="B463" s="42">
        <f t="shared" ref="B463:M463" si="274">B461+B462</f>
        <v>1049.855</v>
      </c>
      <c r="C463" s="42">
        <f t="shared" si="274"/>
        <v>1060.72</v>
      </c>
      <c r="D463" s="42">
        <f t="shared" si="274"/>
        <v>1069.6100000000001</v>
      </c>
      <c r="E463" s="42">
        <f t="shared" si="274"/>
        <v>1113.33</v>
      </c>
      <c r="F463" s="42">
        <f t="shared" si="274"/>
        <v>1120.44</v>
      </c>
      <c r="G463" s="42">
        <f t="shared" si="274"/>
        <v>1099.3300000000002</v>
      </c>
      <c r="H463" s="42">
        <f t="shared" si="274"/>
        <v>1170.83</v>
      </c>
      <c r="I463" s="42">
        <f t="shared" si="274"/>
        <v>1033.3</v>
      </c>
      <c r="J463" s="42">
        <f t="shared" si="274"/>
        <v>769.95100000000002</v>
      </c>
      <c r="K463" s="42">
        <f t="shared" si="274"/>
        <v>812.8900000000001</v>
      </c>
      <c r="L463" s="42">
        <f t="shared" si="274"/>
        <v>779.4</v>
      </c>
      <c r="M463" s="42">
        <f t="shared" si="274"/>
        <v>793.32</v>
      </c>
      <c r="N463" s="42"/>
      <c r="O463" s="21">
        <f>SUM(B463:D463)</f>
        <v>3180.1849999999999</v>
      </c>
      <c r="P463" s="21">
        <f>SUM(E463:G463)</f>
        <v>3333.1000000000004</v>
      </c>
      <c r="Q463" s="21">
        <f>SUM(H463:J463)</f>
        <v>2974.0810000000001</v>
      </c>
      <c r="R463" s="21">
        <f>SUM(K463:M463)</f>
        <v>2385.61</v>
      </c>
      <c r="S463" s="44">
        <f>SUM(O463:R463)</f>
        <v>11872.976000000001</v>
      </c>
      <c r="T463" s="520"/>
    </row>
    <row r="464" spans="1:20" ht="13" customHeight="1">
      <c r="A464" s="532"/>
      <c r="B464" s="337"/>
      <c r="C464" s="337">
        <f>SUM(B461:C461)/SUM(B519:C519)-1</f>
        <v>0.14025493329781802</v>
      </c>
      <c r="D464" s="337"/>
      <c r="E464" s="337"/>
      <c r="F464" s="337"/>
      <c r="G464" s="483">
        <f>(F463+G463)/(F521+G521)-1</f>
        <v>0.15273803650715378</v>
      </c>
      <c r="H464" s="337"/>
      <c r="I464" s="538"/>
      <c r="J464" s="538"/>
      <c r="K464" s="337"/>
      <c r="L464" s="337"/>
      <c r="M464" s="337"/>
      <c r="N464" s="42"/>
      <c r="O464" s="43"/>
      <c r="P464" s="43"/>
      <c r="Q464" s="43"/>
      <c r="R464" s="43"/>
      <c r="S464" s="44"/>
      <c r="T464" s="520"/>
    </row>
    <row r="465" spans="1:20" ht="13" customHeight="1">
      <c r="A465" s="528" t="s">
        <v>184</v>
      </c>
      <c r="B465" s="337"/>
      <c r="C465" s="337">
        <f>SUM(B463:C463)/SUM(B521:C521)-1</f>
        <v>0.13993939983148596</v>
      </c>
      <c r="D465" s="337"/>
      <c r="E465" s="337"/>
      <c r="F465" s="337"/>
      <c r="G465" s="538"/>
      <c r="H465" s="337"/>
      <c r="I465" s="538"/>
      <c r="J465" s="538"/>
      <c r="K465" s="337"/>
      <c r="L465" s="337"/>
      <c r="M465" s="337"/>
      <c r="N465" s="42"/>
      <c r="O465" s="43"/>
      <c r="P465" s="43"/>
      <c r="Q465" s="43"/>
      <c r="R465" s="43"/>
      <c r="S465" s="44"/>
      <c r="T465" s="520"/>
    </row>
    <row r="466" spans="1:20" ht="13" customHeight="1">
      <c r="A466" s="526" t="s">
        <v>22</v>
      </c>
      <c r="B466" s="483">
        <f t="shared" ref="B466:M466" si="275">B458/B516-1</f>
        <v>0.15698519515477782</v>
      </c>
      <c r="C466" s="483">
        <f t="shared" si="275"/>
        <v>0.11182649949169776</v>
      </c>
      <c r="D466" s="483">
        <f t="shared" si="275"/>
        <v>0.11459102772442997</v>
      </c>
      <c r="E466" s="483">
        <f t="shared" si="275"/>
        <v>7.8122836971067144E-2</v>
      </c>
      <c r="F466" s="483">
        <f t="shared" si="275"/>
        <v>0.1230059581010956</v>
      </c>
      <c r="G466" s="483">
        <f t="shared" si="275"/>
        <v>0.10473912831275323</v>
      </c>
      <c r="H466" s="483">
        <f t="shared" si="275"/>
        <v>0.12228735066445928</v>
      </c>
      <c r="I466" s="483">
        <f t="shared" si="275"/>
        <v>-7.9032461260655884E-2</v>
      </c>
      <c r="J466" s="483">
        <f t="shared" si="275"/>
        <v>-0.20207253886010368</v>
      </c>
      <c r="K466" s="483">
        <f t="shared" si="275"/>
        <v>-0.2155280703449608</v>
      </c>
      <c r="L466" s="483">
        <f t="shared" si="275"/>
        <v>-0.23081229879158305</v>
      </c>
      <c r="M466" s="483">
        <f t="shared" si="275"/>
        <v>-0.27292716445258824</v>
      </c>
      <c r="N466" s="42"/>
      <c r="O466" s="337">
        <f t="shared" ref="O466:S471" si="276">O458/O516-1</f>
        <v>0.12685802583180772</v>
      </c>
      <c r="P466" s="337">
        <f t="shared" si="276"/>
        <v>0.10161659150098457</v>
      </c>
      <c r="Q466" s="337">
        <f t="shared" si="276"/>
        <v>-4.8389044901410272E-2</v>
      </c>
      <c r="R466" s="337">
        <f t="shared" si="276"/>
        <v>-0.24024014633917534</v>
      </c>
      <c r="S466" s="337">
        <f t="shared" si="276"/>
        <v>-1.8278157226183978E-2</v>
      </c>
      <c r="T466" s="520"/>
    </row>
    <row r="467" spans="1:20" ht="13" customHeight="1">
      <c r="A467" s="526" t="s">
        <v>25</v>
      </c>
      <c r="B467" s="483">
        <f t="shared" ref="B467:M467" si="277">B459/B517-1</f>
        <v>0.17669014824939544</v>
      </c>
      <c r="C467" s="483">
        <f t="shared" si="277"/>
        <v>7.5611442114618566E-2</v>
      </c>
      <c r="D467" s="483">
        <f t="shared" si="277"/>
        <v>8.2407378261827535E-2</v>
      </c>
      <c r="E467" s="483">
        <f t="shared" si="277"/>
        <v>8.2392565333998524E-2</v>
      </c>
      <c r="F467" s="483">
        <f t="shared" si="277"/>
        <v>0.12807604515180881</v>
      </c>
      <c r="G467" s="483">
        <f t="shared" si="277"/>
        <v>9.3654563963352366E-2</v>
      </c>
      <c r="H467" s="483">
        <f t="shared" si="277"/>
        <v>6.7820609142923205E-2</v>
      </c>
      <c r="I467" s="483">
        <f t="shared" si="277"/>
        <v>-0.14505880385708714</v>
      </c>
      <c r="J467" s="483">
        <f t="shared" si="277"/>
        <v>-0.24647837474339918</v>
      </c>
      <c r="K467" s="483">
        <f t="shared" si="277"/>
        <v>-0.23482283226508649</v>
      </c>
      <c r="L467" s="483">
        <f t="shared" si="277"/>
        <v>-0.24693471089811403</v>
      </c>
      <c r="M467" s="483">
        <f t="shared" si="277"/>
        <v>-0.28587238300259232</v>
      </c>
      <c r="N467" s="42"/>
      <c r="O467" s="337">
        <f t="shared" si="276"/>
        <v>0.10979698062438659</v>
      </c>
      <c r="P467" s="337">
        <f t="shared" si="276"/>
        <v>0.10132277326256411</v>
      </c>
      <c r="Q467" s="337">
        <f t="shared" si="276"/>
        <v>-0.10356078820566439</v>
      </c>
      <c r="R467" s="337">
        <f t="shared" si="276"/>
        <v>-0.25593355840373144</v>
      </c>
      <c r="S467" s="337">
        <f t="shared" si="276"/>
        <v>-4.1143033192480027E-2</v>
      </c>
      <c r="T467" s="520"/>
    </row>
    <row r="468" spans="1:20" ht="13" customHeight="1">
      <c r="A468" s="526" t="s">
        <v>172</v>
      </c>
      <c r="B468" s="483">
        <f t="shared" ref="B468:M468" si="278">B460/B518-1</f>
        <v>0.20706424366521614</v>
      </c>
      <c r="C468" s="483">
        <f t="shared" si="278"/>
        <v>0.10746685275645507</v>
      </c>
      <c r="D468" s="483">
        <f t="shared" si="278"/>
        <v>0.1657142857142857</v>
      </c>
      <c r="E468" s="483">
        <f t="shared" si="278"/>
        <v>0.19608778625954204</v>
      </c>
      <c r="F468" s="483">
        <f t="shared" si="278"/>
        <v>0.21283370071026209</v>
      </c>
      <c r="G468" s="483">
        <f t="shared" si="278"/>
        <v>0.18459302325581395</v>
      </c>
      <c r="H468" s="483">
        <f t="shared" si="278"/>
        <v>0.13943259291840793</v>
      </c>
      <c r="I468" s="483">
        <f t="shared" si="278"/>
        <v>-1.0813058847993329E-2</v>
      </c>
      <c r="J468" s="483">
        <f t="shared" si="278"/>
        <v>-6.133828996282531E-2</v>
      </c>
      <c r="K468" s="483">
        <f t="shared" si="278"/>
        <v>-0.125</v>
      </c>
      <c r="L468" s="483">
        <f t="shared" si="278"/>
        <v>-0.16375236294896034</v>
      </c>
      <c r="M468" s="483">
        <f t="shared" si="278"/>
        <v>-0.1568322981366459</v>
      </c>
      <c r="N468" s="42"/>
      <c r="O468" s="337">
        <f t="shared" si="276"/>
        <v>0.15844984056904599</v>
      </c>
      <c r="P468" s="337">
        <f t="shared" si="276"/>
        <v>0.19777473191969674</v>
      </c>
      <c r="Q468" s="337">
        <f t="shared" si="276"/>
        <v>2.6748971193415683E-2</v>
      </c>
      <c r="R468" s="337">
        <f t="shared" si="276"/>
        <v>-0.14860300890389944</v>
      </c>
      <c r="S468" s="337">
        <f t="shared" si="276"/>
        <v>5.5253623188405765E-2</v>
      </c>
      <c r="T468" s="520"/>
    </row>
    <row r="469" spans="1:20" ht="13" customHeight="1">
      <c r="A469" s="536" t="s">
        <v>196</v>
      </c>
      <c r="B469" s="519">
        <f t="shared" ref="B469:M469" si="279">B461/B519-1</f>
        <v>0.18621341873796093</v>
      </c>
      <c r="C469" s="519">
        <f t="shared" si="279"/>
        <v>9.813243145512951E-2</v>
      </c>
      <c r="D469" s="519">
        <f t="shared" si="279"/>
        <v>0.12580421549725984</v>
      </c>
      <c r="E469" s="519">
        <f t="shared" si="279"/>
        <v>0.13125019601283761</v>
      </c>
      <c r="F469" s="519">
        <f t="shared" si="279"/>
        <v>0.16391271375623506</v>
      </c>
      <c r="G469" s="519">
        <f t="shared" si="279"/>
        <v>0.13592253625804274</v>
      </c>
      <c r="H469" s="519">
        <f t="shared" si="279"/>
        <v>0.11149621674395882</v>
      </c>
      <c r="I469" s="519">
        <f t="shared" si="279"/>
        <v>-7.0575683072783724E-2</v>
      </c>
      <c r="J469" s="519">
        <f t="shared" si="279"/>
        <v>-0.15793467955690377</v>
      </c>
      <c r="K469" s="519">
        <f t="shared" si="279"/>
        <v>-0.18196867175698872</v>
      </c>
      <c r="L469" s="519">
        <f t="shared" si="279"/>
        <v>-0.20661820684764354</v>
      </c>
      <c r="M469" s="519">
        <f t="shared" si="279"/>
        <v>-0.22480891767567801</v>
      </c>
      <c r="N469" s="42"/>
      <c r="O469" s="487">
        <f t="shared" si="276"/>
        <v>0.13535940997321383</v>
      </c>
      <c r="P469" s="487">
        <f t="shared" si="276"/>
        <v>0.14359041295957908</v>
      </c>
      <c r="Q469" s="487">
        <f t="shared" si="276"/>
        <v>-3.415608381206181E-2</v>
      </c>
      <c r="R469" s="487">
        <f t="shared" si="276"/>
        <v>-0.20468484180109925</v>
      </c>
      <c r="S469" s="487">
        <f t="shared" si="276"/>
        <v>6.5559289342393967E-3</v>
      </c>
      <c r="T469" s="520"/>
    </row>
    <row r="470" spans="1:20" ht="13" customHeight="1">
      <c r="A470" s="526" t="s">
        <v>181</v>
      </c>
      <c r="B470" s="544">
        <f t="shared" ref="B470:M470" si="280">B462/B520-1</f>
        <v>0.1963589076723018</v>
      </c>
      <c r="C470" s="544">
        <f t="shared" si="280"/>
        <v>6.9017823284034829E-2</v>
      </c>
      <c r="D470" s="544">
        <f t="shared" si="280"/>
        <v>0.33687472332890667</v>
      </c>
      <c r="E470" s="544">
        <f t="shared" si="280"/>
        <v>0.21298095608239409</v>
      </c>
      <c r="F470" s="544">
        <f t="shared" si="280"/>
        <v>0.31917631917631928</v>
      </c>
      <c r="G470" s="544">
        <f t="shared" si="280"/>
        <v>0.21443298969072155</v>
      </c>
      <c r="H470" s="544">
        <f t="shared" si="280"/>
        <v>0.14781992201347038</v>
      </c>
      <c r="I470" s="544">
        <f t="shared" si="280"/>
        <v>2.9728846782097307E-2</v>
      </c>
      <c r="J470" s="544">
        <f t="shared" si="280"/>
        <v>-9.23613963039015E-2</v>
      </c>
      <c r="K470" s="544">
        <f t="shared" si="280"/>
        <v>-0.10830324909747291</v>
      </c>
      <c r="L470" s="544">
        <f t="shared" si="280"/>
        <v>-0.23534235342353427</v>
      </c>
      <c r="M470" s="544">
        <f t="shared" si="280"/>
        <v>-0.25078988941548186</v>
      </c>
      <c r="N470" s="42"/>
      <c r="O470" s="337">
        <f t="shared" si="276"/>
        <v>-1</v>
      </c>
      <c r="P470" s="337">
        <f t="shared" si="276"/>
        <v>-1</v>
      </c>
      <c r="Q470" s="337">
        <f t="shared" si="276"/>
        <v>-1</v>
      </c>
      <c r="R470" s="337">
        <f t="shared" si="276"/>
        <v>-1</v>
      </c>
      <c r="S470" s="337">
        <f t="shared" si="276"/>
        <v>-1</v>
      </c>
      <c r="T470" s="520"/>
    </row>
    <row r="471" spans="1:20" s="489" customFormat="1" ht="13" customHeight="1">
      <c r="A471" s="539" t="s">
        <v>197</v>
      </c>
      <c r="B471" s="540">
        <f t="shared" ref="B471:M471" si="281">B463/B521-1</f>
        <v>0.18647793411312641</v>
      </c>
      <c r="C471" s="540">
        <f t="shared" si="281"/>
        <v>9.7338174896289154E-2</v>
      </c>
      <c r="D471" s="540">
        <f t="shared" si="281"/>
        <v>0.13084527144896141</v>
      </c>
      <c r="E471" s="540">
        <f t="shared" si="281"/>
        <v>0.13339102107299183</v>
      </c>
      <c r="F471" s="540">
        <f t="shared" si="281"/>
        <v>0.16768451549700902</v>
      </c>
      <c r="G471" s="540">
        <f t="shared" si="281"/>
        <v>0.13789320056722354</v>
      </c>
      <c r="H471" s="540">
        <f t="shared" si="281"/>
        <v>0.11246983258271093</v>
      </c>
      <c r="I471" s="540">
        <f t="shared" si="281"/>
        <v>-6.7805784602060437E-2</v>
      </c>
      <c r="J471" s="540">
        <f t="shared" si="281"/>
        <v>-0.15618479194795631</v>
      </c>
      <c r="K471" s="540">
        <f t="shared" si="281"/>
        <v>-0.18011639283084691</v>
      </c>
      <c r="L471" s="540">
        <f t="shared" si="281"/>
        <v>-0.20733071618900389</v>
      </c>
      <c r="M471" s="540">
        <f t="shared" si="281"/>
        <v>-0.22545119040064032</v>
      </c>
      <c r="N471" s="49"/>
      <c r="O471" s="541">
        <f t="shared" si="276"/>
        <v>0.13686443858965514</v>
      </c>
      <c r="P471" s="541">
        <f t="shared" si="276"/>
        <v>0.14620265135232735</v>
      </c>
      <c r="Q471" s="541">
        <f t="shared" si="276"/>
        <v>-3.2310638696628868E-2</v>
      </c>
      <c r="R471" s="541">
        <f t="shared" si="276"/>
        <v>-0.2045222268349246</v>
      </c>
      <c r="S471" s="541">
        <f t="shared" si="276"/>
        <v>8.0956022642588721E-3</v>
      </c>
      <c r="T471" s="542"/>
    </row>
    <row r="473" spans="1:20" ht="13" customHeight="1">
      <c r="A473" s="525" t="s">
        <v>209</v>
      </c>
      <c r="B473" s="472" t="s">
        <v>51</v>
      </c>
      <c r="C473" s="472" t="s">
        <v>52</v>
      </c>
      <c r="D473" s="472" t="s">
        <v>53</v>
      </c>
      <c r="E473" s="472" t="s">
        <v>54</v>
      </c>
      <c r="F473" s="472" t="s">
        <v>55</v>
      </c>
      <c r="G473" s="472" t="s">
        <v>77</v>
      </c>
      <c r="H473" s="472" t="s">
        <v>78</v>
      </c>
      <c r="I473" s="472" t="s">
        <v>79</v>
      </c>
      <c r="J473" s="472" t="s">
        <v>80</v>
      </c>
      <c r="K473" s="472" t="s">
        <v>81</v>
      </c>
      <c r="L473" s="472" t="s">
        <v>82</v>
      </c>
      <c r="M473" s="472" t="s">
        <v>44</v>
      </c>
      <c r="N473" s="473" t="s">
        <v>133</v>
      </c>
      <c r="O473" s="473" t="s">
        <v>129</v>
      </c>
      <c r="P473" s="473" t="s">
        <v>130</v>
      </c>
      <c r="Q473" s="473" t="s">
        <v>131</v>
      </c>
      <c r="R473" s="473" t="s">
        <v>132</v>
      </c>
      <c r="S473" s="445" t="s">
        <v>171</v>
      </c>
      <c r="T473" s="445"/>
    </row>
    <row r="474" spans="1:20">
      <c r="A474" s="526" t="s">
        <v>22</v>
      </c>
      <c r="B474" s="15">
        <f t="shared" ref="B474:M474" si="282">B499+B516</f>
        <v>1579.66</v>
      </c>
      <c r="C474" s="15">
        <f t="shared" si="282"/>
        <v>1679.7</v>
      </c>
      <c r="D474" s="15">
        <f t="shared" si="282"/>
        <v>1669.82</v>
      </c>
      <c r="E474" s="15">
        <f t="shared" si="282"/>
        <v>1721.63</v>
      </c>
      <c r="F474" s="15">
        <f t="shared" si="282"/>
        <v>1636.6399999999999</v>
      </c>
      <c r="G474" s="15">
        <f t="shared" si="282"/>
        <v>1656.88</v>
      </c>
      <c r="H474" s="15">
        <f t="shared" si="282"/>
        <v>1810.21</v>
      </c>
      <c r="I474" s="15">
        <f t="shared" si="282"/>
        <v>1905.23</v>
      </c>
      <c r="J474" s="15">
        <f t="shared" si="282"/>
        <v>1600.75</v>
      </c>
      <c r="K474" s="15">
        <f t="shared" si="282"/>
        <v>1698.06</v>
      </c>
      <c r="L474" s="15">
        <f t="shared" si="282"/>
        <v>1638.3</v>
      </c>
      <c r="M474" s="15">
        <f t="shared" si="282"/>
        <v>1792.93</v>
      </c>
      <c r="N474" s="15"/>
      <c r="O474" s="15">
        <f t="shared" ref="O474:O479" si="283">SUM(B474:D474)</f>
        <v>4929.18</v>
      </c>
      <c r="P474" s="15">
        <f t="shared" ref="P474:P479" si="284">SUM(E474:G474)</f>
        <v>5015.1499999999996</v>
      </c>
      <c r="Q474" s="15">
        <f t="shared" ref="Q474:Q479" si="285">SUM(H474:J474)</f>
        <v>5316.1900000000005</v>
      </c>
      <c r="R474" s="15">
        <f t="shared" ref="R474:R479" si="286">SUM(K474:M474)</f>
        <v>5129.29</v>
      </c>
      <c r="S474" s="1">
        <f t="shared" ref="S474:S479" si="287">SUM(O474:R474)</f>
        <v>20389.810000000001</v>
      </c>
    </row>
    <row r="475" spans="1:20">
      <c r="A475" s="526" t="s">
        <v>25</v>
      </c>
      <c r="B475" s="15">
        <f t="shared" ref="B475:M475" si="288">B500+B517</f>
        <v>1549.22</v>
      </c>
      <c r="C475" s="15">
        <f t="shared" si="288"/>
        <v>1725.86</v>
      </c>
      <c r="D475" s="15">
        <f t="shared" si="288"/>
        <v>1684.81</v>
      </c>
      <c r="E475" s="15">
        <f t="shared" si="288"/>
        <v>1680.3000000000002</v>
      </c>
      <c r="F475" s="15">
        <f t="shared" si="288"/>
        <v>1610.8</v>
      </c>
      <c r="G475" s="15">
        <f t="shared" si="288"/>
        <v>1646.8100000000002</v>
      </c>
      <c r="H475" s="15">
        <f t="shared" si="288"/>
        <v>1766.44</v>
      </c>
      <c r="I475" s="15">
        <f t="shared" si="288"/>
        <v>1816.03</v>
      </c>
      <c r="J475" s="15">
        <f t="shared" si="288"/>
        <v>1566.895</v>
      </c>
      <c r="K475" s="15">
        <f t="shared" si="288"/>
        <v>1635.73</v>
      </c>
      <c r="L475" s="15">
        <f t="shared" si="288"/>
        <v>1574.4099999999999</v>
      </c>
      <c r="M475" s="15">
        <f t="shared" si="288"/>
        <v>1713.9550000000002</v>
      </c>
      <c r="N475" s="15"/>
      <c r="O475" s="15">
        <f t="shared" si="283"/>
        <v>4959.8899999999994</v>
      </c>
      <c r="P475" s="15">
        <f t="shared" si="284"/>
        <v>4937.9100000000008</v>
      </c>
      <c r="Q475" s="15">
        <f t="shared" si="285"/>
        <v>5149.3649999999998</v>
      </c>
      <c r="R475" s="15">
        <f t="shared" si="286"/>
        <v>4924.0950000000003</v>
      </c>
      <c r="S475" s="1">
        <f t="shared" si="287"/>
        <v>19971.259999999998</v>
      </c>
    </row>
    <row r="476" spans="1:20">
      <c r="A476" s="526" t="s">
        <v>172</v>
      </c>
      <c r="B476" s="15">
        <f t="shared" ref="B476:M476" si="289">B501+B518</f>
        <v>1609.6000000000001</v>
      </c>
      <c r="C476" s="15">
        <f t="shared" si="289"/>
        <v>1610.3000000000002</v>
      </c>
      <c r="D476" s="15">
        <f t="shared" si="289"/>
        <v>1678.71</v>
      </c>
      <c r="E476" s="15">
        <f t="shared" si="289"/>
        <v>1709.2</v>
      </c>
      <c r="F476" s="15">
        <f t="shared" si="289"/>
        <v>1636.5</v>
      </c>
      <c r="G476" s="15">
        <f t="shared" si="289"/>
        <v>1675.8999999999999</v>
      </c>
      <c r="H476" s="15">
        <f t="shared" si="289"/>
        <v>1823.2</v>
      </c>
      <c r="I476" s="15">
        <f t="shared" si="289"/>
        <v>1905.4</v>
      </c>
      <c r="J476" s="15">
        <f t="shared" si="289"/>
        <v>1637.4</v>
      </c>
      <c r="K476" s="15">
        <f t="shared" si="289"/>
        <v>1716.3</v>
      </c>
      <c r="L476" s="15">
        <f t="shared" si="289"/>
        <v>1683.2</v>
      </c>
      <c r="M476" s="15">
        <f t="shared" si="289"/>
        <v>1782.7</v>
      </c>
      <c r="N476" s="15"/>
      <c r="O476" s="15">
        <f t="shared" si="283"/>
        <v>4898.6100000000006</v>
      </c>
      <c r="P476" s="15">
        <f t="shared" si="284"/>
        <v>5021.5999999999995</v>
      </c>
      <c r="Q476" s="15">
        <f t="shared" si="285"/>
        <v>5366</v>
      </c>
      <c r="R476" s="15">
        <f t="shared" si="286"/>
        <v>5182.2</v>
      </c>
      <c r="S476" s="1">
        <f t="shared" si="287"/>
        <v>20468.41</v>
      </c>
    </row>
    <row r="477" spans="1:20" ht="13" customHeight="1">
      <c r="A477" s="535" t="s">
        <v>196</v>
      </c>
      <c r="B477" s="45">
        <f t="shared" ref="B477:M477" si="290">SUM(B474:B476)</f>
        <v>4738.4800000000005</v>
      </c>
      <c r="C477" s="45">
        <f t="shared" si="290"/>
        <v>5015.8600000000006</v>
      </c>
      <c r="D477" s="45">
        <f t="shared" si="290"/>
        <v>5033.34</v>
      </c>
      <c r="E477" s="45">
        <f t="shared" si="290"/>
        <v>5111.13</v>
      </c>
      <c r="F477" s="45">
        <f t="shared" si="290"/>
        <v>4883.9399999999996</v>
      </c>
      <c r="G477" s="45">
        <f t="shared" si="290"/>
        <v>4979.59</v>
      </c>
      <c r="H477" s="45">
        <f t="shared" si="290"/>
        <v>5399.85</v>
      </c>
      <c r="I477" s="45">
        <f t="shared" si="290"/>
        <v>5626.66</v>
      </c>
      <c r="J477" s="45">
        <f t="shared" si="290"/>
        <v>4805.0450000000001</v>
      </c>
      <c r="K477" s="45">
        <f t="shared" si="290"/>
        <v>5050.09</v>
      </c>
      <c r="L477" s="45">
        <f t="shared" si="290"/>
        <v>4895.91</v>
      </c>
      <c r="M477" s="45">
        <f t="shared" si="290"/>
        <v>5289.585</v>
      </c>
      <c r="N477" s="45"/>
      <c r="O477" s="21">
        <f t="shared" si="283"/>
        <v>14787.68</v>
      </c>
      <c r="P477" s="21">
        <f t="shared" si="284"/>
        <v>14974.66</v>
      </c>
      <c r="Q477" s="21">
        <f t="shared" si="285"/>
        <v>15831.555</v>
      </c>
      <c r="R477" s="21">
        <f t="shared" si="286"/>
        <v>15235.584999999999</v>
      </c>
      <c r="S477" s="44">
        <f t="shared" si="287"/>
        <v>60829.48</v>
      </c>
      <c r="T477" s="520"/>
    </row>
    <row r="478" spans="1:20" ht="13" customHeight="1">
      <c r="A478" s="526" t="s">
        <v>181</v>
      </c>
      <c r="B478" s="15">
        <f t="shared" ref="B478:M478" si="291">B503+B520</f>
        <v>347.98</v>
      </c>
      <c r="C478" s="15">
        <f t="shared" si="291"/>
        <v>377.22</v>
      </c>
      <c r="D478" s="15">
        <f t="shared" si="291"/>
        <v>389.31</v>
      </c>
      <c r="E478" s="15">
        <f t="shared" si="291"/>
        <v>406</v>
      </c>
      <c r="F478" s="15">
        <f t="shared" si="291"/>
        <v>402.02</v>
      </c>
      <c r="G478" s="15">
        <f t="shared" si="291"/>
        <v>423.17</v>
      </c>
      <c r="H478" s="15">
        <f t="shared" si="291"/>
        <v>475.84999999999997</v>
      </c>
      <c r="I478" s="15">
        <f t="shared" si="291"/>
        <v>509.41</v>
      </c>
      <c r="J478" s="15">
        <f t="shared" si="291"/>
        <v>413.22</v>
      </c>
      <c r="K478" s="15">
        <f t="shared" si="291"/>
        <v>404.03000000000003</v>
      </c>
      <c r="L478" s="15">
        <f t="shared" si="291"/>
        <v>352.08</v>
      </c>
      <c r="M478" s="15">
        <f t="shared" si="291"/>
        <v>425.92</v>
      </c>
      <c r="N478" s="21"/>
      <c r="O478" s="15">
        <f t="shared" si="283"/>
        <v>1114.51</v>
      </c>
      <c r="P478" s="15">
        <f t="shared" si="284"/>
        <v>1231.19</v>
      </c>
      <c r="Q478" s="15">
        <f t="shared" si="285"/>
        <v>1398.48</v>
      </c>
      <c r="R478" s="15">
        <f t="shared" si="286"/>
        <v>1182.03</v>
      </c>
      <c r="S478" s="1">
        <f t="shared" si="287"/>
        <v>4926.21</v>
      </c>
    </row>
    <row r="479" spans="1:20" ht="13" customHeight="1">
      <c r="A479" s="535" t="s">
        <v>197</v>
      </c>
      <c r="B479" s="45">
        <f t="shared" ref="B479:M479" si="292">B477+B478</f>
        <v>5086.4600000000009</v>
      </c>
      <c r="C479" s="45">
        <f t="shared" si="292"/>
        <v>5393.0800000000008</v>
      </c>
      <c r="D479" s="45">
        <f t="shared" si="292"/>
        <v>5422.6500000000005</v>
      </c>
      <c r="E479" s="45">
        <f t="shared" si="292"/>
        <v>5517.13</v>
      </c>
      <c r="F479" s="45">
        <f t="shared" si="292"/>
        <v>5285.9599999999991</v>
      </c>
      <c r="G479" s="45">
        <f t="shared" si="292"/>
        <v>5402.76</v>
      </c>
      <c r="H479" s="45">
        <f t="shared" si="292"/>
        <v>5875.7000000000007</v>
      </c>
      <c r="I479" s="45">
        <f t="shared" si="292"/>
        <v>6136.07</v>
      </c>
      <c r="J479" s="45">
        <f t="shared" si="292"/>
        <v>5218.2650000000003</v>
      </c>
      <c r="K479" s="45">
        <f t="shared" si="292"/>
        <v>5454.12</v>
      </c>
      <c r="L479" s="45">
        <f t="shared" si="292"/>
        <v>5247.99</v>
      </c>
      <c r="M479" s="45">
        <f t="shared" si="292"/>
        <v>5715.5050000000001</v>
      </c>
      <c r="N479" s="45"/>
      <c r="O479" s="21">
        <f t="shared" si="283"/>
        <v>15902.190000000002</v>
      </c>
      <c r="P479" s="21">
        <f t="shared" si="284"/>
        <v>16205.85</v>
      </c>
      <c r="Q479" s="21">
        <f t="shared" si="285"/>
        <v>17230.035</v>
      </c>
      <c r="R479" s="21">
        <f t="shared" si="286"/>
        <v>16417.615000000002</v>
      </c>
      <c r="S479" s="44">
        <f t="shared" si="287"/>
        <v>65755.69</v>
      </c>
      <c r="T479" s="520"/>
    </row>
    <row r="480" spans="1:20">
      <c r="A480" s="526"/>
      <c r="B480" s="15"/>
      <c r="C480" s="15"/>
      <c r="D480" s="488"/>
      <c r="E480" s="483"/>
      <c r="F480" s="15"/>
      <c r="G480" s="15"/>
      <c r="H480" s="15"/>
      <c r="I480" s="15"/>
      <c r="J480" s="15"/>
      <c r="K480" s="15"/>
      <c r="L480" s="15"/>
      <c r="M480" s="15"/>
      <c r="N480" s="488"/>
      <c r="O480" s="15"/>
      <c r="P480" s="19"/>
      <c r="Q480" s="15"/>
      <c r="R480" s="15"/>
      <c r="S480" s="36"/>
    </row>
    <row r="481" spans="1:20" ht="13" customHeight="1">
      <c r="A481" s="528" t="s">
        <v>184</v>
      </c>
      <c r="B481" s="488"/>
      <c r="C481" s="488"/>
      <c r="D481" s="488"/>
      <c r="E481" s="488"/>
      <c r="F481" s="488"/>
      <c r="G481" s="488"/>
      <c r="H481" s="488"/>
      <c r="I481" s="488"/>
      <c r="J481" s="488"/>
      <c r="K481" s="488"/>
      <c r="L481" s="488"/>
      <c r="M481" s="488"/>
      <c r="N481" s="514"/>
      <c r="O481" s="488"/>
      <c r="P481" s="19"/>
      <c r="Q481" s="488"/>
      <c r="R481" s="488"/>
    </row>
    <row r="482" spans="1:20">
      <c r="A482" s="526" t="s">
        <v>22</v>
      </c>
      <c r="B482" s="24">
        <f t="shared" ref="B482:M482" si="293">B474/B532-1</f>
        <v>5.3460280284614026E-3</v>
      </c>
      <c r="C482" s="24">
        <f t="shared" si="293"/>
        <v>0.1667581253516528</v>
      </c>
      <c r="D482" s="24">
        <f t="shared" si="293"/>
        <v>0.2141761254153729</v>
      </c>
      <c r="E482" s="24">
        <f t="shared" si="293"/>
        <v>0.25987369283795947</v>
      </c>
      <c r="F482" s="24">
        <f t="shared" si="293"/>
        <v>0.18794231006525308</v>
      </c>
      <c r="G482" s="24">
        <f t="shared" si="293"/>
        <v>0.18499234741313964</v>
      </c>
      <c r="H482" s="24">
        <f t="shared" si="293"/>
        <v>0.16458652324399448</v>
      </c>
      <c r="I482" s="24">
        <f t="shared" si="293"/>
        <v>0.18734770442662096</v>
      </c>
      <c r="J482" s="24">
        <f t="shared" si="293"/>
        <v>0.1173272095263358</v>
      </c>
      <c r="K482" s="24">
        <f t="shared" si="293"/>
        <v>0.10776517251952211</v>
      </c>
      <c r="L482" s="24">
        <f t="shared" si="293"/>
        <v>0.12773880900098433</v>
      </c>
      <c r="M482" s="24">
        <f t="shared" si="293"/>
        <v>0.13818758927154429</v>
      </c>
      <c r="N482" s="24"/>
      <c r="O482" s="483">
        <f t="shared" ref="O482:S487" si="294">O474/O532-1</f>
        <v>0.12380305324019192</v>
      </c>
      <c r="P482" s="483">
        <f t="shared" si="294"/>
        <v>0.21067535075945565</v>
      </c>
      <c r="Q482" s="483">
        <f t="shared" si="294"/>
        <v>0.1577951281129879</v>
      </c>
      <c r="R482" s="483">
        <f t="shared" si="294"/>
        <v>0.12463466239845622</v>
      </c>
      <c r="S482" s="483">
        <f t="shared" si="294"/>
        <v>0.15319804763278322</v>
      </c>
    </row>
    <row r="483" spans="1:20">
      <c r="A483" s="526" t="s">
        <v>25</v>
      </c>
      <c r="B483" s="24">
        <f t="shared" ref="B483:M483" si="295">B475/B533-1</f>
        <v>-5.3643869991942816E-2</v>
      </c>
      <c r="C483" s="24">
        <f t="shared" si="295"/>
        <v>0.15065081048790629</v>
      </c>
      <c r="D483" s="24">
        <f t="shared" si="295"/>
        <v>0.14237108397137033</v>
      </c>
      <c r="E483" s="24">
        <f t="shared" si="295"/>
        <v>0.16181224179357323</v>
      </c>
      <c r="F483" s="24">
        <f t="shared" si="295"/>
        <v>0.13989952636283021</v>
      </c>
      <c r="G483" s="24">
        <f t="shared" si="295"/>
        <v>0.19672262190247825</v>
      </c>
      <c r="H483" s="24">
        <f t="shared" si="295"/>
        <v>9.0913582381749292E-2</v>
      </c>
      <c r="I483" s="24">
        <f t="shared" si="295"/>
        <v>6.1031684359973415E-2</v>
      </c>
      <c r="J483" s="24">
        <f t="shared" si="295"/>
        <v>5.3570984311027914E-2</v>
      </c>
      <c r="K483" s="24">
        <f t="shared" si="295"/>
        <v>7.051583689085561E-2</v>
      </c>
      <c r="L483" s="24">
        <f t="shared" si="295"/>
        <v>9.7432787548008992E-2</v>
      </c>
      <c r="M483" s="24">
        <f t="shared" si="295"/>
        <v>0.10414897770127407</v>
      </c>
      <c r="N483" s="19"/>
      <c r="O483" s="483">
        <f t="shared" si="294"/>
        <v>7.5484651019174231E-2</v>
      </c>
      <c r="P483" s="483">
        <f t="shared" si="294"/>
        <v>0.16584369854481751</v>
      </c>
      <c r="Q483" s="483">
        <f t="shared" si="294"/>
        <v>6.877136119939653E-2</v>
      </c>
      <c r="R483" s="483">
        <f t="shared" si="294"/>
        <v>9.0632370735203693E-2</v>
      </c>
      <c r="S483" s="483">
        <f t="shared" si="294"/>
        <v>9.8518518192563187E-2</v>
      </c>
    </row>
    <row r="484" spans="1:20">
      <c r="A484" s="526" t="s">
        <v>172</v>
      </c>
      <c r="B484" s="24">
        <f t="shared" ref="B484:M484" si="296">B476/B534-1</f>
        <v>2.3462834615629147E-2</v>
      </c>
      <c r="C484" s="24">
        <f t="shared" si="296"/>
        <v>0.12710856022957939</v>
      </c>
      <c r="D484" s="24">
        <f t="shared" si="296"/>
        <v>0.19549209514314225</v>
      </c>
      <c r="E484" s="24">
        <f t="shared" si="296"/>
        <v>0.21211261612651588</v>
      </c>
      <c r="F484" s="24">
        <f t="shared" si="296"/>
        <v>0.18664346312812685</v>
      </c>
      <c r="G484" s="24">
        <f t="shared" si="296"/>
        <v>0.196473191975441</v>
      </c>
      <c r="H484" s="24">
        <f t="shared" si="296"/>
        <v>0.1350308161613647</v>
      </c>
      <c r="I484" s="24">
        <f t="shared" si="296"/>
        <v>0.14109474188525573</v>
      </c>
      <c r="J484" s="24">
        <f t="shared" si="296"/>
        <v>0.10374115267947426</v>
      </c>
      <c r="K484" s="24">
        <f t="shared" si="296"/>
        <v>0.10451122980886818</v>
      </c>
      <c r="L484" s="24">
        <f t="shared" si="296"/>
        <v>0.11381683430386458</v>
      </c>
      <c r="M484" s="24">
        <f t="shared" si="296"/>
        <v>9.2876410004904431E-2</v>
      </c>
      <c r="N484" s="19"/>
      <c r="O484" s="483">
        <f t="shared" si="294"/>
        <v>0.1119053023424732</v>
      </c>
      <c r="P484" s="483">
        <f t="shared" si="294"/>
        <v>0.19850115754552622</v>
      </c>
      <c r="Q484" s="483">
        <f t="shared" si="294"/>
        <v>0.12740566434154132</v>
      </c>
      <c r="R484" s="483">
        <f t="shared" si="294"/>
        <v>0.10346442944445644</v>
      </c>
      <c r="S484" s="483">
        <f t="shared" si="294"/>
        <v>0.13389598590691021</v>
      </c>
    </row>
    <row r="485" spans="1:20" ht="13" customHeight="1">
      <c r="A485" s="536" t="s">
        <v>196</v>
      </c>
      <c r="B485" s="28">
        <f t="shared" ref="B485:M485" si="297">B477/B535-1</f>
        <v>-8.8929150133330026E-3</v>
      </c>
      <c r="C485" s="28">
        <f t="shared" si="297"/>
        <v>0.14825939757279216</v>
      </c>
      <c r="D485" s="28">
        <f t="shared" si="297"/>
        <v>0.18311658822849153</v>
      </c>
      <c r="E485" s="28">
        <f t="shared" si="297"/>
        <v>0.21034079781950021</v>
      </c>
      <c r="F485" s="28">
        <f t="shared" si="297"/>
        <v>0.17123194538404451</v>
      </c>
      <c r="G485" s="28">
        <f t="shared" si="297"/>
        <v>0.19271045408165732</v>
      </c>
      <c r="H485" s="28">
        <f t="shared" si="297"/>
        <v>0.12969700266323025</v>
      </c>
      <c r="I485" s="28">
        <f t="shared" si="297"/>
        <v>0.12849630363539344</v>
      </c>
      <c r="J485" s="28">
        <f t="shared" si="297"/>
        <v>9.1216684989700036E-2</v>
      </c>
      <c r="K485" s="28">
        <f t="shared" si="297"/>
        <v>9.4335926538213544E-2</v>
      </c>
      <c r="L485" s="28">
        <f t="shared" si="297"/>
        <v>0.11307109599505294</v>
      </c>
      <c r="M485" s="28">
        <f t="shared" si="297"/>
        <v>0.11155252150991357</v>
      </c>
      <c r="N485" s="28"/>
      <c r="O485" s="484">
        <f t="shared" si="294"/>
        <v>0.10326740742663953</v>
      </c>
      <c r="P485" s="484">
        <f t="shared" si="294"/>
        <v>0.19150796375060053</v>
      </c>
      <c r="Q485" s="484">
        <f t="shared" si="294"/>
        <v>0.11731596956315271</v>
      </c>
      <c r="R485" s="484">
        <f t="shared" si="294"/>
        <v>0.10626857339819229</v>
      </c>
      <c r="S485" s="484">
        <f t="shared" si="294"/>
        <v>0.12829643254955481</v>
      </c>
      <c r="T485" s="31"/>
    </row>
    <row r="486" spans="1:20" ht="13" customHeight="1">
      <c r="A486" s="526" t="s">
        <v>181</v>
      </c>
      <c r="B486" s="41">
        <f t="shared" ref="B486:M486" si="298">B478/B536-1</f>
        <v>-1.0267641286725859E-2</v>
      </c>
      <c r="C486" s="41">
        <f t="shared" si="298"/>
        <v>0.17554302097291918</v>
      </c>
      <c r="D486" s="41">
        <f t="shared" si="298"/>
        <v>0.22463038691412396</v>
      </c>
      <c r="E486" s="41">
        <f t="shared" si="298"/>
        <v>0.22870199437097116</v>
      </c>
      <c r="F486" s="41">
        <f t="shared" si="298"/>
        <v>0.21207187650747694</v>
      </c>
      <c r="G486" s="41">
        <f t="shared" si="298"/>
        <v>0.20643745010833636</v>
      </c>
      <c r="H486" s="41">
        <f t="shared" si="298"/>
        <v>0.1262988473099953</v>
      </c>
      <c r="I486" s="41">
        <f t="shared" si="298"/>
        <v>0.14005326410491703</v>
      </c>
      <c r="J486" s="41">
        <f t="shared" si="298"/>
        <v>0.13506386485372901</v>
      </c>
      <c r="K486" s="41">
        <f t="shared" si="298"/>
        <v>0.11015552014068253</v>
      </c>
      <c r="L486" s="41">
        <f t="shared" si="298"/>
        <v>0.10207531223589084</v>
      </c>
      <c r="M486" s="41">
        <f t="shared" si="298"/>
        <v>0.17388308574263434</v>
      </c>
      <c r="N486" s="21"/>
      <c r="O486" s="483">
        <f t="shared" si="294"/>
        <v>0.12533572971990559</v>
      </c>
      <c r="P486" s="483">
        <f t="shared" si="294"/>
        <v>0.21554592395865213</v>
      </c>
      <c r="Q486" s="483">
        <f t="shared" si="294"/>
        <v>0.13386899308398958</v>
      </c>
      <c r="R486" s="483">
        <f t="shared" si="294"/>
        <v>0.12978857623489826</v>
      </c>
      <c r="S486" s="483">
        <f t="shared" si="294"/>
        <v>0.15021504321878387</v>
      </c>
    </row>
    <row r="487" spans="1:20" s="489" customFormat="1" ht="13" customHeight="1">
      <c r="A487" s="537" t="s">
        <v>197</v>
      </c>
      <c r="B487" s="47">
        <f t="shared" ref="B487:M487" si="299">B479/B537-1</f>
        <v>-8.9870858496893247E-3</v>
      </c>
      <c r="C487" s="47">
        <f t="shared" si="299"/>
        <v>0.15012649497698827</v>
      </c>
      <c r="D487" s="47">
        <f t="shared" si="299"/>
        <v>0.18600299286602606</v>
      </c>
      <c r="E487" s="47">
        <f t="shared" si="299"/>
        <v>0.21167325344282117</v>
      </c>
      <c r="F487" s="47">
        <f t="shared" si="299"/>
        <v>0.17424105267530576</v>
      </c>
      <c r="G487" s="47">
        <f t="shared" si="299"/>
        <v>0.1937743328221877</v>
      </c>
      <c r="H487" s="47">
        <f t="shared" si="299"/>
        <v>0.12942103644471814</v>
      </c>
      <c r="I487" s="47">
        <f t="shared" si="299"/>
        <v>0.1294468240192459</v>
      </c>
      <c r="J487" s="47">
        <f t="shared" si="299"/>
        <v>9.4564936728004367E-2</v>
      </c>
      <c r="K487" s="47">
        <f t="shared" si="299"/>
        <v>9.549233101940624E-2</v>
      </c>
      <c r="L487" s="47">
        <f t="shared" si="299"/>
        <v>0.11232654306988299</v>
      </c>
      <c r="M487" s="47">
        <f t="shared" si="299"/>
        <v>0.11596824096379899</v>
      </c>
      <c r="N487" s="47"/>
      <c r="O487" s="491">
        <f t="shared" si="294"/>
        <v>0.10478582889766197</v>
      </c>
      <c r="P487" s="491">
        <f t="shared" si="294"/>
        <v>0.19330075374656919</v>
      </c>
      <c r="Q487" s="491">
        <f t="shared" si="294"/>
        <v>0.11864145653444025</v>
      </c>
      <c r="R487" s="491">
        <f t="shared" si="294"/>
        <v>0.10792919479435215</v>
      </c>
      <c r="S487" s="491">
        <f t="shared" si="294"/>
        <v>0.1299095174585212</v>
      </c>
      <c r="T487" s="48"/>
    </row>
    <row r="488" spans="1:20">
      <c r="A488" s="526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508"/>
      <c r="O488" s="24"/>
      <c r="P488" s="19"/>
      <c r="Q488" s="19"/>
      <c r="R488" s="19"/>
    </row>
    <row r="489" spans="1:20" ht="13" customHeight="1">
      <c r="A489" s="528" t="s">
        <v>185</v>
      </c>
      <c r="B489" s="488"/>
      <c r="C489" s="488"/>
      <c r="D489" s="488"/>
      <c r="E489" s="488"/>
      <c r="F489" s="488"/>
      <c r="G489" s="488"/>
      <c r="H489" s="488"/>
      <c r="I489" s="488"/>
      <c r="J489" s="488"/>
      <c r="K489" s="488"/>
      <c r="L489" s="488"/>
      <c r="M489" s="488"/>
      <c r="N489" s="488"/>
      <c r="O489" s="488"/>
      <c r="P489" s="488"/>
      <c r="Q489" s="488"/>
      <c r="R489" s="488"/>
    </row>
    <row r="490" spans="1:20">
      <c r="A490" s="526" t="s">
        <v>22</v>
      </c>
      <c r="B490" s="483">
        <f t="shared" ref="B490:B495" si="300">B474/M532-1</f>
        <v>2.7995556260911325E-3</v>
      </c>
      <c r="C490" s="483">
        <f t="shared" ref="C490:M490" si="301">C474/B474-1</f>
        <v>6.3330083688895034E-2</v>
      </c>
      <c r="D490" s="483">
        <f t="shared" si="301"/>
        <v>-5.8820027385843021E-3</v>
      </c>
      <c r="E490" s="483">
        <f t="shared" si="301"/>
        <v>3.1027296355295775E-2</v>
      </c>
      <c r="F490" s="483">
        <f t="shared" si="301"/>
        <v>-4.9366007794938604E-2</v>
      </c>
      <c r="G490" s="483">
        <f t="shared" si="301"/>
        <v>1.2366800273731604E-2</v>
      </c>
      <c r="H490" s="483">
        <f t="shared" si="301"/>
        <v>9.2541403119115406E-2</v>
      </c>
      <c r="I490" s="483">
        <f t="shared" si="301"/>
        <v>5.2491147435932861E-2</v>
      </c>
      <c r="J490" s="483">
        <f t="shared" si="301"/>
        <v>-0.15981272602258001</v>
      </c>
      <c r="K490" s="483">
        <f t="shared" si="301"/>
        <v>6.0790254568171109E-2</v>
      </c>
      <c r="L490" s="483">
        <f t="shared" si="301"/>
        <v>-3.5193102717218427E-2</v>
      </c>
      <c r="M490" s="483">
        <f t="shared" si="301"/>
        <v>9.438442287737292E-2</v>
      </c>
      <c r="N490" s="488"/>
      <c r="O490" s="19"/>
      <c r="P490" s="19"/>
      <c r="Q490" s="19"/>
      <c r="R490" s="19"/>
    </row>
    <row r="491" spans="1:20">
      <c r="A491" s="526" t="s">
        <v>25</v>
      </c>
      <c r="B491" s="483">
        <f t="shared" si="300"/>
        <v>-1.9751514862595965E-3</v>
      </c>
      <c r="C491" s="483">
        <f t="shared" ref="C491:M491" si="302">C475/B475-1</f>
        <v>0.1140186674584629</v>
      </c>
      <c r="D491" s="483">
        <f t="shared" si="302"/>
        <v>-2.3785243298992897E-2</v>
      </c>
      <c r="E491" s="483">
        <f t="shared" si="302"/>
        <v>-2.6768597052485577E-3</v>
      </c>
      <c r="F491" s="483">
        <f t="shared" si="302"/>
        <v>-4.136166160804633E-2</v>
      </c>
      <c r="G491" s="483">
        <f t="shared" si="302"/>
        <v>2.235535137819733E-2</v>
      </c>
      <c r="H491" s="483">
        <f t="shared" si="302"/>
        <v>7.264347435344698E-2</v>
      </c>
      <c r="I491" s="483">
        <f t="shared" si="302"/>
        <v>2.8073413192635899E-2</v>
      </c>
      <c r="J491" s="483">
        <f t="shared" si="302"/>
        <v>-0.13718661035335322</v>
      </c>
      <c r="K491" s="483">
        <f t="shared" si="302"/>
        <v>4.3930831357557487E-2</v>
      </c>
      <c r="L491" s="483">
        <f t="shared" si="302"/>
        <v>-3.7487849461708356E-2</v>
      </c>
      <c r="M491" s="483">
        <f t="shared" si="302"/>
        <v>8.8633202278949108E-2</v>
      </c>
      <c r="N491" s="488"/>
      <c r="O491" s="19"/>
      <c r="P491" s="19"/>
      <c r="Q491" s="19"/>
      <c r="R491" s="19"/>
    </row>
    <row r="492" spans="1:20">
      <c r="A492" s="526" t="s">
        <v>172</v>
      </c>
      <c r="B492" s="483">
        <f t="shared" si="300"/>
        <v>-1.3241785188817801E-2</v>
      </c>
      <c r="C492" s="483">
        <f t="shared" ref="C492:M492" si="303">C476/B476-1</f>
        <v>4.3489065606361343E-4</v>
      </c>
      <c r="D492" s="483">
        <f t="shared" si="303"/>
        <v>4.2482767186238446E-2</v>
      </c>
      <c r="E492" s="483">
        <f t="shared" si="303"/>
        <v>1.8162755925680951E-2</v>
      </c>
      <c r="F492" s="483">
        <f t="shared" si="303"/>
        <v>-4.2534519073250676E-2</v>
      </c>
      <c r="G492" s="483">
        <f t="shared" si="303"/>
        <v>2.407577146348916E-2</v>
      </c>
      <c r="H492" s="483">
        <f t="shared" si="303"/>
        <v>8.7893072379020332E-2</v>
      </c>
      <c r="I492" s="483">
        <f t="shared" si="303"/>
        <v>4.5085563843791254E-2</v>
      </c>
      <c r="J492" s="483">
        <f t="shared" si="303"/>
        <v>-0.1406528812847696</v>
      </c>
      <c r="K492" s="483">
        <f t="shared" si="303"/>
        <v>4.8186148772443982E-2</v>
      </c>
      <c r="L492" s="483">
        <f t="shared" si="303"/>
        <v>-1.928567266794845E-2</v>
      </c>
      <c r="M492" s="483">
        <f t="shared" si="303"/>
        <v>5.9113593155893485E-2</v>
      </c>
      <c r="N492" s="488"/>
      <c r="O492" s="19"/>
      <c r="P492" s="19"/>
      <c r="Q492" s="19"/>
      <c r="R492" s="19"/>
    </row>
    <row r="493" spans="1:20" ht="13" customHeight="1">
      <c r="A493" s="535" t="s">
        <v>196</v>
      </c>
      <c r="B493" s="519">
        <f t="shared" si="300"/>
        <v>-4.256592506917678E-3</v>
      </c>
      <c r="C493" s="519">
        <f t="shared" ref="C493:M493" si="304">C477/B477-1</f>
        <v>5.8537758943796314E-2</v>
      </c>
      <c r="D493" s="519">
        <f t="shared" si="304"/>
        <v>3.4849457520742533E-3</v>
      </c>
      <c r="E493" s="519">
        <f t="shared" si="304"/>
        <v>1.5454946417289506E-2</v>
      </c>
      <c r="F493" s="519">
        <f t="shared" si="304"/>
        <v>-4.4450053119369004E-2</v>
      </c>
      <c r="G493" s="519">
        <f t="shared" si="304"/>
        <v>1.9584597681380211E-2</v>
      </c>
      <c r="H493" s="519">
        <f t="shared" si="304"/>
        <v>8.4396506539694993E-2</v>
      </c>
      <c r="I493" s="519">
        <f t="shared" si="304"/>
        <v>4.2003018602368547E-2</v>
      </c>
      <c r="J493" s="519">
        <f t="shared" si="304"/>
        <v>-0.14602179623435574</v>
      </c>
      <c r="K493" s="519">
        <f t="shared" si="304"/>
        <v>5.0997441231039442E-2</v>
      </c>
      <c r="L493" s="519">
        <f t="shared" si="304"/>
        <v>-3.0530148967642168E-2</v>
      </c>
      <c r="M493" s="519">
        <f t="shared" si="304"/>
        <v>8.0408953595960675E-2</v>
      </c>
      <c r="N493" s="45"/>
      <c r="O493" s="21"/>
      <c r="P493" s="21"/>
      <c r="Q493" s="21"/>
      <c r="R493" s="21"/>
      <c r="S493" s="44"/>
      <c r="T493" s="520"/>
    </row>
    <row r="494" spans="1:20">
      <c r="A494" s="526" t="s">
        <v>181</v>
      </c>
      <c r="B494" s="483">
        <f t="shared" si="300"/>
        <v>-4.0928258413030827E-2</v>
      </c>
      <c r="C494" s="483">
        <f t="shared" ref="C494:M494" si="305">C478/B478-1</f>
        <v>8.4027817690671913E-2</v>
      </c>
      <c r="D494" s="483">
        <f t="shared" si="305"/>
        <v>3.2050262446317701E-2</v>
      </c>
      <c r="E494" s="483">
        <f t="shared" si="305"/>
        <v>4.2870719991780382E-2</v>
      </c>
      <c r="F494" s="483">
        <f t="shared" si="305"/>
        <v>-9.8029556650246485E-3</v>
      </c>
      <c r="G494" s="483">
        <f t="shared" si="305"/>
        <v>5.2609322919257906E-2</v>
      </c>
      <c r="H494" s="483">
        <f t="shared" si="305"/>
        <v>0.1244889760616299</v>
      </c>
      <c r="I494" s="483">
        <f t="shared" si="305"/>
        <v>7.0526426394872388E-2</v>
      </c>
      <c r="J494" s="483">
        <f t="shared" si="305"/>
        <v>-0.18882628923656775</v>
      </c>
      <c r="K494" s="483">
        <f t="shared" si="305"/>
        <v>-2.2239969023764572E-2</v>
      </c>
      <c r="L494" s="483">
        <f t="shared" si="305"/>
        <v>-0.12857956092369394</v>
      </c>
      <c r="M494" s="483">
        <f t="shared" si="305"/>
        <v>0.2097250624857987</v>
      </c>
      <c r="N494" s="470"/>
      <c r="O494" s="151"/>
      <c r="P494" s="151"/>
      <c r="Q494" s="151"/>
      <c r="R494" s="151"/>
    </row>
    <row r="495" spans="1:20" ht="13" customHeight="1">
      <c r="A495" s="535" t="s">
        <v>197</v>
      </c>
      <c r="B495" s="519">
        <f t="shared" si="300"/>
        <v>-6.8545440984258965E-3</v>
      </c>
      <c r="C495" s="519">
        <f t="shared" ref="C495:M495" si="306">C479/B479-1</f>
        <v>6.0281610393082774E-2</v>
      </c>
      <c r="D495" s="519">
        <f t="shared" si="306"/>
        <v>5.4829522276693687E-3</v>
      </c>
      <c r="E495" s="519">
        <f t="shared" si="306"/>
        <v>1.7423215586475083E-2</v>
      </c>
      <c r="F495" s="519">
        <f t="shared" si="306"/>
        <v>-4.1900408364494046E-2</v>
      </c>
      <c r="G495" s="519">
        <f t="shared" si="306"/>
        <v>2.2096270119335237E-2</v>
      </c>
      <c r="H495" s="519">
        <f t="shared" si="306"/>
        <v>8.7536740480791408E-2</v>
      </c>
      <c r="I495" s="519">
        <f t="shared" si="306"/>
        <v>4.4313018023384165E-2</v>
      </c>
      <c r="J495" s="519">
        <f t="shared" si="306"/>
        <v>-0.14957537968113133</v>
      </c>
      <c r="K495" s="519">
        <f t="shared" si="306"/>
        <v>4.5197972889456484E-2</v>
      </c>
      <c r="L495" s="519">
        <f t="shared" si="306"/>
        <v>-3.779344788893535E-2</v>
      </c>
      <c r="M495" s="519">
        <f t="shared" si="306"/>
        <v>8.9084582859342509E-2</v>
      </c>
      <c r="N495" s="45"/>
      <c r="O495" s="21"/>
      <c r="P495" s="21"/>
      <c r="Q495" s="21"/>
      <c r="R495" s="21"/>
      <c r="S495" s="44"/>
      <c r="T495" s="520"/>
    </row>
    <row r="496" spans="1:20" ht="13" customHeight="1">
      <c r="A496" s="532"/>
      <c r="B496" s="337"/>
      <c r="C496" s="337"/>
      <c r="D496" s="337"/>
      <c r="E496" s="337"/>
      <c r="F496" s="337"/>
      <c r="G496" s="538"/>
      <c r="H496" s="337"/>
      <c r="I496" s="538"/>
      <c r="J496" s="538"/>
      <c r="K496" s="337"/>
      <c r="L496" s="337"/>
      <c r="M496" s="337"/>
      <c r="N496" s="42"/>
      <c r="O496" s="43"/>
      <c r="P496" s="43"/>
      <c r="Q496" s="43"/>
      <c r="R496" s="43"/>
      <c r="S496" s="44"/>
      <c r="T496" s="520"/>
    </row>
    <row r="497" spans="1:20" ht="13" customHeight="1">
      <c r="A497" s="532" t="s">
        <v>201</v>
      </c>
      <c r="B497" s="337"/>
      <c r="C497" s="337"/>
      <c r="D497" s="337"/>
      <c r="E497" s="337"/>
      <c r="F497" s="337"/>
      <c r="G497" s="538"/>
      <c r="H497" s="337"/>
      <c r="I497" s="538"/>
      <c r="J497" s="538"/>
      <c r="K497" s="337"/>
      <c r="L497" s="337"/>
      <c r="M497" s="337"/>
      <c r="N497" s="42"/>
      <c r="O497" s="43"/>
      <c r="P497" s="43"/>
      <c r="Q497" s="43"/>
      <c r="R497" s="43"/>
      <c r="S497" s="44"/>
      <c r="T497" s="520"/>
    </row>
    <row r="498" spans="1:20" ht="13" customHeight="1">
      <c r="A498" s="533" t="s">
        <v>161</v>
      </c>
      <c r="B498" s="472" t="s">
        <v>51</v>
      </c>
      <c r="C498" s="472" t="s">
        <v>52</v>
      </c>
      <c r="D498" s="472" t="s">
        <v>53</v>
      </c>
      <c r="E498" s="472" t="s">
        <v>54</v>
      </c>
      <c r="F498" s="472" t="s">
        <v>55</v>
      </c>
      <c r="G498" s="472" t="s">
        <v>77</v>
      </c>
      <c r="H498" s="472" t="s">
        <v>78</v>
      </c>
      <c r="I498" s="472" t="s">
        <v>79</v>
      </c>
      <c r="J498" s="472" t="s">
        <v>80</v>
      </c>
      <c r="K498" s="472" t="s">
        <v>81</v>
      </c>
      <c r="L498" s="472" t="s">
        <v>82</v>
      </c>
      <c r="M498" s="472" t="s">
        <v>44</v>
      </c>
      <c r="N498" s="473" t="s">
        <v>133</v>
      </c>
      <c r="O498" s="473" t="s">
        <v>129</v>
      </c>
      <c r="P498" s="473" t="s">
        <v>130</v>
      </c>
      <c r="Q498" s="473" t="s">
        <v>131</v>
      </c>
      <c r="R498" s="473" t="s">
        <v>132</v>
      </c>
      <c r="S498" s="445" t="s">
        <v>171</v>
      </c>
      <c r="T498" s="520"/>
    </row>
    <row r="499" spans="1:20" ht="13" customHeight="1">
      <c r="A499" s="526" t="s">
        <v>22</v>
      </c>
      <c r="B499" s="15">
        <v>1393.91</v>
      </c>
      <c r="C499" s="15">
        <v>1473.13</v>
      </c>
      <c r="D499" s="15">
        <v>1466.75</v>
      </c>
      <c r="E499" s="15">
        <v>1504.92</v>
      </c>
      <c r="F499" s="15">
        <v>1428.52</v>
      </c>
      <c r="G499" s="15">
        <v>1451.99</v>
      </c>
      <c r="H499" s="15">
        <v>1586.72</v>
      </c>
      <c r="I499" s="15">
        <v>1667.1</v>
      </c>
      <c r="J499" s="15">
        <v>1400.03</v>
      </c>
      <c r="K499" s="15">
        <v>1491.08</v>
      </c>
      <c r="L499" s="15">
        <v>1423.97</v>
      </c>
      <c r="M499" s="15">
        <v>1574.63</v>
      </c>
      <c r="N499" s="15"/>
      <c r="O499" s="15">
        <f t="shared" ref="O499:O504" si="307">SUM(B499:D499)</f>
        <v>4333.79</v>
      </c>
      <c r="P499" s="15">
        <f t="shared" ref="P499:P504" si="308">SUM(E499:G499)</f>
        <v>4385.43</v>
      </c>
      <c r="Q499" s="15">
        <f t="shared" ref="Q499:Q504" si="309">SUM(H499:J499)</f>
        <v>4653.8499999999995</v>
      </c>
      <c r="R499" s="15">
        <f t="shared" ref="R499:R504" si="310">SUM(K499:M499)</f>
        <v>4489.68</v>
      </c>
      <c r="S499" s="1">
        <f t="shared" ref="S499:S504" si="311">SUM(O499:R499)</f>
        <v>17862.75</v>
      </c>
      <c r="T499" s="520"/>
    </row>
    <row r="500" spans="1:20" ht="13" customHeight="1">
      <c r="A500" s="526" t="s">
        <v>25</v>
      </c>
      <c r="B500" s="15">
        <v>1263.8900000000001</v>
      </c>
      <c r="C500" s="15">
        <v>1422.07</v>
      </c>
      <c r="D500" s="15">
        <v>1367.12</v>
      </c>
      <c r="E500" s="15">
        <v>1359.64</v>
      </c>
      <c r="F500" s="15">
        <v>1290.99</v>
      </c>
      <c r="G500" s="15">
        <v>1322.64</v>
      </c>
      <c r="H500" s="15">
        <v>1420.38</v>
      </c>
      <c r="I500" s="15">
        <v>1457.21</v>
      </c>
      <c r="J500" s="15">
        <v>1256.1010000000001</v>
      </c>
      <c r="K500" s="15">
        <v>1304.97</v>
      </c>
      <c r="L500" s="15">
        <v>1253.07</v>
      </c>
      <c r="M500" s="15">
        <v>1384.14</v>
      </c>
      <c r="N500" s="15"/>
      <c r="O500" s="15">
        <f t="shared" si="307"/>
        <v>4053.08</v>
      </c>
      <c r="P500" s="15">
        <f t="shared" si="308"/>
        <v>3973.2700000000004</v>
      </c>
      <c r="Q500" s="15">
        <f t="shared" si="309"/>
        <v>4133.6910000000007</v>
      </c>
      <c r="R500" s="15">
        <f t="shared" si="310"/>
        <v>3942.1800000000003</v>
      </c>
      <c r="S500" s="1">
        <f t="shared" si="311"/>
        <v>16102.221000000001</v>
      </c>
      <c r="T500" s="520"/>
    </row>
    <row r="501" spans="1:20" ht="13" customHeight="1">
      <c r="A501" s="526" t="s">
        <v>172</v>
      </c>
      <c r="B501" s="15">
        <f>2399.3-C501</f>
        <v>1218.9000000000001</v>
      </c>
      <c r="C501" s="15">
        <v>1180.4000000000001</v>
      </c>
      <c r="D501" s="15">
        <v>1276.21</v>
      </c>
      <c r="E501" s="15">
        <v>1290</v>
      </c>
      <c r="F501" s="15">
        <v>1228.2</v>
      </c>
      <c r="G501" s="15">
        <v>1263.0999999999999</v>
      </c>
      <c r="H501" s="15">
        <v>1368.5</v>
      </c>
      <c r="I501" s="15">
        <v>1424.5</v>
      </c>
      <c r="J501" s="15">
        <v>1260.8</v>
      </c>
      <c r="K501" s="15">
        <v>1287.5</v>
      </c>
      <c r="L501" s="15">
        <v>1260</v>
      </c>
      <c r="M501" s="15">
        <v>1331.9</v>
      </c>
      <c r="N501" s="15"/>
      <c r="O501" s="15">
        <f t="shared" si="307"/>
        <v>3675.51</v>
      </c>
      <c r="P501" s="15">
        <f t="shared" si="308"/>
        <v>3781.2999999999997</v>
      </c>
      <c r="Q501" s="15">
        <f t="shared" si="309"/>
        <v>4053.8</v>
      </c>
      <c r="R501" s="15">
        <f t="shared" si="310"/>
        <v>3879.4</v>
      </c>
      <c r="S501" s="1">
        <f t="shared" si="311"/>
        <v>15390.01</v>
      </c>
      <c r="T501" s="520"/>
    </row>
    <row r="502" spans="1:20" ht="13" customHeight="1">
      <c r="A502" s="535" t="s">
        <v>196</v>
      </c>
      <c r="B502" s="45">
        <f t="shared" ref="B502:M502" si="312">SUM(B499:B501)</f>
        <v>3876.7000000000003</v>
      </c>
      <c r="C502" s="45">
        <f t="shared" si="312"/>
        <v>4075.6</v>
      </c>
      <c r="D502" s="45">
        <f t="shared" si="312"/>
        <v>4110.08</v>
      </c>
      <c r="E502" s="45">
        <f t="shared" si="312"/>
        <v>4154.5600000000004</v>
      </c>
      <c r="F502" s="45">
        <f t="shared" si="312"/>
        <v>3947.71</v>
      </c>
      <c r="G502" s="45">
        <f t="shared" si="312"/>
        <v>4037.73</v>
      </c>
      <c r="H502" s="45">
        <f t="shared" si="312"/>
        <v>4375.6000000000004</v>
      </c>
      <c r="I502" s="45">
        <f t="shared" si="312"/>
        <v>4548.8099999999995</v>
      </c>
      <c r="J502" s="45">
        <f t="shared" si="312"/>
        <v>3916.9310000000005</v>
      </c>
      <c r="K502" s="45">
        <f t="shared" si="312"/>
        <v>4083.55</v>
      </c>
      <c r="L502" s="45">
        <f t="shared" si="312"/>
        <v>3937.04</v>
      </c>
      <c r="M502" s="45">
        <f t="shared" si="312"/>
        <v>4290.67</v>
      </c>
      <c r="N502" s="45"/>
      <c r="O502" s="21">
        <f t="shared" si="307"/>
        <v>12062.380000000001</v>
      </c>
      <c r="P502" s="21">
        <f t="shared" si="308"/>
        <v>12140</v>
      </c>
      <c r="Q502" s="21">
        <f t="shared" si="309"/>
        <v>12841.341</v>
      </c>
      <c r="R502" s="21">
        <f t="shared" si="310"/>
        <v>12311.26</v>
      </c>
      <c r="S502" s="44">
        <f t="shared" si="311"/>
        <v>49354.981000000007</v>
      </c>
      <c r="T502" s="520"/>
    </row>
    <row r="503" spans="1:20" ht="13" customHeight="1">
      <c r="A503" s="526" t="s">
        <v>181</v>
      </c>
      <c r="B503" s="15">
        <v>324.91000000000003</v>
      </c>
      <c r="C503" s="15">
        <v>350.85</v>
      </c>
      <c r="D503" s="15">
        <v>366.72</v>
      </c>
      <c r="E503" s="15">
        <v>380.27</v>
      </c>
      <c r="F503" s="15">
        <v>378.71</v>
      </c>
      <c r="G503" s="15">
        <v>398.92</v>
      </c>
      <c r="H503" s="15">
        <v>447.64</v>
      </c>
      <c r="I503" s="15">
        <v>478.8</v>
      </c>
      <c r="J503" s="15">
        <v>388.87</v>
      </c>
      <c r="K503" s="15">
        <v>379.1</v>
      </c>
      <c r="L503" s="15">
        <v>327.69</v>
      </c>
      <c r="M503" s="15">
        <v>400.6</v>
      </c>
      <c r="N503" s="42"/>
      <c r="O503" s="15">
        <f t="shared" si="307"/>
        <v>1042.48</v>
      </c>
      <c r="P503" s="15">
        <f t="shared" si="308"/>
        <v>1157.9000000000001</v>
      </c>
      <c r="Q503" s="15">
        <f t="shared" si="309"/>
        <v>1315.31</v>
      </c>
      <c r="R503" s="15">
        <f t="shared" si="310"/>
        <v>1107.3899999999999</v>
      </c>
      <c r="S503" s="1">
        <f t="shared" si="311"/>
        <v>4623.08</v>
      </c>
      <c r="T503" s="520"/>
    </row>
    <row r="504" spans="1:20" ht="13" customHeight="1">
      <c r="A504" s="535" t="s">
        <v>197</v>
      </c>
      <c r="B504" s="42">
        <f t="shared" ref="B504:M504" si="313">B502+B503</f>
        <v>4201.6100000000006</v>
      </c>
      <c r="C504" s="42">
        <f t="shared" si="313"/>
        <v>4426.45</v>
      </c>
      <c r="D504" s="42">
        <f t="shared" si="313"/>
        <v>4476.8</v>
      </c>
      <c r="E504" s="42">
        <f t="shared" si="313"/>
        <v>4534.83</v>
      </c>
      <c r="F504" s="42">
        <f t="shared" si="313"/>
        <v>4326.42</v>
      </c>
      <c r="G504" s="42">
        <f t="shared" si="313"/>
        <v>4436.6499999999996</v>
      </c>
      <c r="H504" s="42">
        <f t="shared" si="313"/>
        <v>4823.2400000000007</v>
      </c>
      <c r="I504" s="42">
        <f t="shared" si="313"/>
        <v>5027.6099999999997</v>
      </c>
      <c r="J504" s="42">
        <f t="shared" si="313"/>
        <v>4305.8010000000004</v>
      </c>
      <c r="K504" s="42">
        <f t="shared" si="313"/>
        <v>4462.6500000000005</v>
      </c>
      <c r="L504" s="42">
        <f t="shared" si="313"/>
        <v>4264.7299999999996</v>
      </c>
      <c r="M504" s="42">
        <f t="shared" si="313"/>
        <v>4691.2700000000004</v>
      </c>
      <c r="N504" s="42"/>
      <c r="O504" s="21">
        <f t="shared" si="307"/>
        <v>13104.86</v>
      </c>
      <c r="P504" s="21">
        <f t="shared" si="308"/>
        <v>13297.9</v>
      </c>
      <c r="Q504" s="21">
        <f t="shared" si="309"/>
        <v>14156.651000000002</v>
      </c>
      <c r="R504" s="21">
        <f t="shared" si="310"/>
        <v>13418.650000000001</v>
      </c>
      <c r="S504" s="44">
        <f t="shared" si="311"/>
        <v>53978.061000000009</v>
      </c>
      <c r="T504" s="520"/>
    </row>
    <row r="505" spans="1:20" ht="13" customHeight="1">
      <c r="A505" s="532"/>
      <c r="B505" s="337"/>
      <c r="C505" s="337"/>
      <c r="D505" s="337"/>
      <c r="E505" s="337"/>
      <c r="F505" s="337"/>
      <c r="G505" s="483">
        <f>(F504+G504)/(F562+G562)-1</f>
        <v>0.19710440475712354</v>
      </c>
      <c r="H505" s="337"/>
      <c r="I505" s="538"/>
      <c r="J505" s="538"/>
      <c r="K505" s="337"/>
      <c r="L505" s="337"/>
      <c r="M505" s="337"/>
      <c r="N505" s="42"/>
      <c r="O505" s="43"/>
      <c r="P505" s="43"/>
      <c r="Q505" s="43"/>
      <c r="R505" s="43"/>
      <c r="S505" s="43"/>
      <c r="T505" s="520"/>
    </row>
    <row r="506" spans="1:20" ht="13" customHeight="1">
      <c r="A506" s="528" t="s">
        <v>184</v>
      </c>
      <c r="B506" s="488"/>
      <c r="C506" s="488"/>
      <c r="D506" s="337"/>
      <c r="E506" s="337"/>
      <c r="F506" s="337"/>
      <c r="G506" s="538"/>
      <c r="H506" s="337"/>
      <c r="I506" s="538"/>
      <c r="J506" s="538"/>
      <c r="K506" s="337"/>
      <c r="L506" s="337"/>
      <c r="M506" s="337"/>
      <c r="N506" s="42"/>
      <c r="O506" s="43"/>
      <c r="P506" s="43"/>
      <c r="Q506" s="43"/>
      <c r="R506" s="43"/>
      <c r="S506" s="43"/>
      <c r="T506" s="520"/>
    </row>
    <row r="507" spans="1:20" ht="13" customHeight="1">
      <c r="A507" s="526" t="s">
        <v>22</v>
      </c>
      <c r="B507" s="483">
        <f t="shared" ref="B507:M507" si="314">B499/B557-1</f>
        <v>1.5821308847106863E-2</v>
      </c>
      <c r="C507" s="483">
        <f t="shared" si="314"/>
        <v>0.17200639653759553</v>
      </c>
      <c r="D507" s="483">
        <f t="shared" si="314"/>
        <v>0.22351518184851527</v>
      </c>
      <c r="E507" s="483">
        <f t="shared" si="314"/>
        <v>0.2734242124235271</v>
      </c>
      <c r="F507" s="483">
        <f t="shared" si="314"/>
        <v>0.20299460196889174</v>
      </c>
      <c r="G507" s="483">
        <f t="shared" si="314"/>
        <v>0.20075585289812525</v>
      </c>
      <c r="H507" s="483">
        <f t="shared" si="314"/>
        <v>0.17611480075901342</v>
      </c>
      <c r="I507" s="483">
        <f t="shared" si="314"/>
        <v>0.19762070674779619</v>
      </c>
      <c r="J507" s="483">
        <f t="shared" si="314"/>
        <v>0.1197104810653018</v>
      </c>
      <c r="K507" s="483">
        <f t="shared" si="314"/>
        <v>0.12500377244605398</v>
      </c>
      <c r="L507" s="483">
        <f t="shared" si="314"/>
        <v>0.13424882311239972</v>
      </c>
      <c r="M507" s="483">
        <f t="shared" si="314"/>
        <v>0.14717946102680313</v>
      </c>
      <c r="N507" s="42"/>
      <c r="O507" s="337">
        <f t="shared" ref="O507:S512" si="315">O499/O557-1</f>
        <v>0.13214975195471168</v>
      </c>
      <c r="P507" s="483">
        <f t="shared" si="315"/>
        <v>0.22549734664621113</v>
      </c>
      <c r="Q507" s="483">
        <f t="shared" si="315"/>
        <v>0.16594596490524793</v>
      </c>
      <c r="R507" s="483">
        <f t="shared" si="315"/>
        <v>0.1356388360516414</v>
      </c>
      <c r="S507" s="483">
        <f t="shared" si="315"/>
        <v>0.16359549068680646</v>
      </c>
      <c r="T507" s="520"/>
    </row>
    <row r="508" spans="1:20" ht="13" customHeight="1">
      <c r="A508" s="526" t="s">
        <v>25</v>
      </c>
      <c r="B508" s="483">
        <f t="shared" ref="B508:M508" si="316">B500/B558-1</f>
        <v>-5.7371822361772518E-2</v>
      </c>
      <c r="C508" s="483">
        <f t="shared" si="316"/>
        <v>0.15573633929188224</v>
      </c>
      <c r="D508" s="483">
        <f t="shared" si="316"/>
        <v>0.13460627140686277</v>
      </c>
      <c r="E508" s="483">
        <f t="shared" si="316"/>
        <v>0.17514464156377119</v>
      </c>
      <c r="F508" s="483">
        <f t="shared" si="316"/>
        <v>0.15387296752327417</v>
      </c>
      <c r="G508" s="483">
        <f t="shared" si="316"/>
        <v>0.20666721405698363</v>
      </c>
      <c r="H508" s="483">
        <f t="shared" si="316"/>
        <v>8.8513886334375513E-2</v>
      </c>
      <c r="I508" s="483">
        <f t="shared" si="316"/>
        <v>3.9809621669449458E-2</v>
      </c>
      <c r="J508" s="483">
        <f t="shared" si="316"/>
        <v>4.2754476800993757E-2</v>
      </c>
      <c r="K508" s="483">
        <f t="shared" si="316"/>
        <v>6.8030612670817225E-2</v>
      </c>
      <c r="L508" s="483">
        <f t="shared" si="316"/>
        <v>9.9550727435461006E-2</v>
      </c>
      <c r="M508" s="483">
        <f t="shared" si="316"/>
        <v>0.10850741439568434</v>
      </c>
      <c r="N508" s="42"/>
      <c r="O508" s="337">
        <f t="shared" si="315"/>
        <v>7.3325514162559058E-2</v>
      </c>
      <c r="P508" s="483">
        <f t="shared" si="315"/>
        <v>0.17833354092896103</v>
      </c>
      <c r="Q508" s="483">
        <f t="shared" si="315"/>
        <v>5.6966953122542963E-2</v>
      </c>
      <c r="R508" s="483">
        <f t="shared" si="315"/>
        <v>9.1980624461409866E-2</v>
      </c>
      <c r="S508" s="483">
        <f t="shared" si="315"/>
        <v>9.7693069678830069E-2</v>
      </c>
      <c r="T508" s="520"/>
    </row>
    <row r="509" spans="1:20" ht="13" customHeight="1">
      <c r="A509" s="526" t="s">
        <v>172</v>
      </c>
      <c r="B509" s="483">
        <f t="shared" ref="B509:M509" si="317">B501/B559-1</f>
        <v>2.2824536376604865E-2</v>
      </c>
      <c r="C509" s="483">
        <f t="shared" si="317"/>
        <v>9.4787608977926263E-2</v>
      </c>
      <c r="D509" s="483">
        <f t="shared" si="317"/>
        <v>0.19182853940978717</v>
      </c>
      <c r="E509" s="483">
        <f t="shared" si="317"/>
        <v>0.22565320665083144</v>
      </c>
      <c r="F509" s="483">
        <f t="shared" si="317"/>
        <v>0.19486331355190178</v>
      </c>
      <c r="G509" s="483">
        <f t="shared" si="317"/>
        <v>0.20917097453570754</v>
      </c>
      <c r="H509" s="483">
        <f t="shared" si="317"/>
        <v>0.14942046027213185</v>
      </c>
      <c r="I509" s="483">
        <f t="shared" si="317"/>
        <v>0.14916101968376894</v>
      </c>
      <c r="J509" s="483">
        <f t="shared" si="317"/>
        <v>0.12863664846477496</v>
      </c>
      <c r="K509" s="483">
        <f t="shared" si="317"/>
        <v>0.11077560175998635</v>
      </c>
      <c r="L509" s="483">
        <f t="shared" si="317"/>
        <v>0.13482842475006751</v>
      </c>
      <c r="M509" s="483">
        <f t="shared" si="317"/>
        <v>9.2527274218686006E-2</v>
      </c>
      <c r="N509" s="42"/>
      <c r="O509" s="337">
        <f t="shared" si="315"/>
        <v>0.10022151046187933</v>
      </c>
      <c r="P509" s="483">
        <f t="shared" si="315"/>
        <v>0.21001599999999998</v>
      </c>
      <c r="Q509" s="483">
        <f t="shared" si="315"/>
        <v>0.14278465311645494</v>
      </c>
      <c r="R509" s="483">
        <f t="shared" si="315"/>
        <v>0.11205389135731703</v>
      </c>
      <c r="S509" s="483">
        <f t="shared" si="315"/>
        <v>0.13987408806428925</v>
      </c>
      <c r="T509" s="520"/>
    </row>
    <row r="510" spans="1:20" ht="13" customHeight="1">
      <c r="A510" s="536" t="s">
        <v>196</v>
      </c>
      <c r="B510" s="519">
        <f t="shared" ref="B510:M510" si="318">B502/B560-1</f>
        <v>-7.1746593541397452E-3</v>
      </c>
      <c r="C510" s="519">
        <f t="shared" si="318"/>
        <v>0.14304144492823734</v>
      </c>
      <c r="D510" s="519">
        <f t="shared" si="318"/>
        <v>0.18291716661452506</v>
      </c>
      <c r="E510" s="519">
        <f t="shared" si="318"/>
        <v>0.22506846956082782</v>
      </c>
      <c r="F510" s="519">
        <f t="shared" si="318"/>
        <v>0.18400444844073638</v>
      </c>
      <c r="G510" s="519">
        <f t="shared" si="318"/>
        <v>0.20531412502910507</v>
      </c>
      <c r="H510" s="519">
        <f t="shared" si="318"/>
        <v>0.13811579878270841</v>
      </c>
      <c r="I510" s="519">
        <f t="shared" si="318"/>
        <v>0.12788895693808366</v>
      </c>
      <c r="J510" s="519">
        <f t="shared" si="318"/>
        <v>9.6550187301462254E-2</v>
      </c>
      <c r="K510" s="519">
        <f t="shared" si="318"/>
        <v>0.10177217621555679</v>
      </c>
      <c r="L510" s="519">
        <f t="shared" si="318"/>
        <v>0.12315175374784237</v>
      </c>
      <c r="M510" s="519">
        <f t="shared" si="318"/>
        <v>0.11725665445080447</v>
      </c>
      <c r="N510" s="42"/>
      <c r="O510" s="487">
        <f t="shared" si="315"/>
        <v>0.10210867808777846</v>
      </c>
      <c r="P510" s="484">
        <f t="shared" si="315"/>
        <v>0.20491135365934743</v>
      </c>
      <c r="Q510" s="484">
        <f t="shared" si="315"/>
        <v>0.12154594028356613</v>
      </c>
      <c r="R510" s="484">
        <f t="shared" si="315"/>
        <v>0.11393361182744322</v>
      </c>
      <c r="S510" s="484">
        <f t="shared" si="315"/>
        <v>0.13402407385490012</v>
      </c>
      <c r="T510" s="520"/>
    </row>
    <row r="511" spans="1:20" ht="13" customHeight="1">
      <c r="A511" s="526" t="s">
        <v>181</v>
      </c>
      <c r="B511" s="544">
        <f t="shared" ref="B511:M511" si="319">B503/B561-1</f>
        <v>-7.1808348102425645E-3</v>
      </c>
      <c r="C511" s="544">
        <f t="shared" si="319"/>
        <v>0.18079628445461582</v>
      </c>
      <c r="D511" s="544">
        <f t="shared" si="319"/>
        <v>0.24434189542261908</v>
      </c>
      <c r="E511" s="544">
        <f t="shared" si="319"/>
        <v>0.24674600832759586</v>
      </c>
      <c r="F511" s="544">
        <f t="shared" si="319"/>
        <v>0.22607485107485092</v>
      </c>
      <c r="G511" s="544">
        <f t="shared" si="319"/>
        <v>0.21919315403423001</v>
      </c>
      <c r="H511" s="544">
        <f t="shared" si="319"/>
        <v>0.13009012648001805</v>
      </c>
      <c r="I511" s="544">
        <f t="shared" si="319"/>
        <v>0.13748129142612786</v>
      </c>
      <c r="J511" s="544">
        <f t="shared" si="319"/>
        <v>0.13971277842907392</v>
      </c>
      <c r="K511" s="544">
        <f t="shared" si="319"/>
        <v>0.11677369940493731</v>
      </c>
      <c r="L511" s="544">
        <f t="shared" si="319"/>
        <v>0.10485855895343743</v>
      </c>
      <c r="M511" s="544">
        <f t="shared" si="319"/>
        <v>0.18279252413711666</v>
      </c>
      <c r="N511" s="42"/>
      <c r="O511" s="337">
        <f t="shared" si="315"/>
        <v>0.13424001740833447</v>
      </c>
      <c r="P511" s="483">
        <f t="shared" si="315"/>
        <v>0.23038179132707848</v>
      </c>
      <c r="Q511" s="483">
        <f t="shared" si="315"/>
        <v>0.1356109269236081</v>
      </c>
      <c r="R511" s="483">
        <f t="shared" si="315"/>
        <v>0.13608757207050082</v>
      </c>
      <c r="S511" s="483">
        <f t="shared" si="315"/>
        <v>0.15774685275107236</v>
      </c>
      <c r="T511" s="520"/>
    </row>
    <row r="512" spans="1:20" s="489" customFormat="1" ht="13" customHeight="1">
      <c r="A512" s="539" t="s">
        <v>197</v>
      </c>
      <c r="B512" s="540">
        <f t="shared" ref="B512:M512" si="320">B504/B562-1</f>
        <v>-7.1751369041640478E-3</v>
      </c>
      <c r="C512" s="540">
        <f t="shared" si="320"/>
        <v>0.14594565207542387</v>
      </c>
      <c r="D512" s="540">
        <f t="shared" si="320"/>
        <v>0.18771985538725455</v>
      </c>
      <c r="E512" s="540">
        <f t="shared" si="320"/>
        <v>0.22685725014595692</v>
      </c>
      <c r="F512" s="540">
        <f t="shared" si="320"/>
        <v>0.18757140245539339</v>
      </c>
      <c r="G512" s="540">
        <f t="shared" si="320"/>
        <v>0.20654911153777111</v>
      </c>
      <c r="H512" s="540">
        <f t="shared" si="320"/>
        <v>0.13736614859304241</v>
      </c>
      <c r="I512" s="540">
        <f t="shared" si="320"/>
        <v>0.12879549883698993</v>
      </c>
      <c r="J512" s="540">
        <f t="shared" si="320"/>
        <v>0.10031357575252708</v>
      </c>
      <c r="K512" s="540">
        <f t="shared" si="320"/>
        <v>0.10303086627711111</v>
      </c>
      <c r="L512" s="540">
        <f t="shared" si="320"/>
        <v>0.12172469844342593</v>
      </c>
      <c r="M512" s="540">
        <f t="shared" si="320"/>
        <v>0.122567989103749</v>
      </c>
      <c r="N512" s="49"/>
      <c r="O512" s="541">
        <f t="shared" si="315"/>
        <v>0.10459789888990301</v>
      </c>
      <c r="P512" s="491">
        <f t="shared" si="315"/>
        <v>0.20708717453424486</v>
      </c>
      <c r="Q512" s="491">
        <f t="shared" si="315"/>
        <v>0.12283803536491633</v>
      </c>
      <c r="R512" s="491">
        <f t="shared" si="315"/>
        <v>0.11572913125096718</v>
      </c>
      <c r="S512" s="491">
        <f t="shared" si="315"/>
        <v>0.13601773429897346</v>
      </c>
      <c r="T512" s="542"/>
    </row>
    <row r="513" spans="1:20" ht="13" customHeight="1">
      <c r="A513" s="532"/>
      <c r="B513" s="483"/>
      <c r="C513" s="483"/>
      <c r="D513" s="337"/>
      <c r="E513" s="337"/>
      <c r="F513" s="337"/>
      <c r="G513" s="538"/>
      <c r="H513" s="337"/>
      <c r="I513" s="538"/>
      <c r="J513" s="538"/>
      <c r="K513" s="337"/>
      <c r="L513" s="337"/>
      <c r="M513" s="337"/>
      <c r="N513" s="42"/>
      <c r="O513" s="43"/>
      <c r="P513" s="43"/>
      <c r="Q513" s="43"/>
      <c r="R513" s="43"/>
      <c r="S513" s="44"/>
      <c r="T513" s="520"/>
    </row>
    <row r="514" spans="1:20" ht="13" customHeight="1">
      <c r="A514" s="532" t="s">
        <v>148</v>
      </c>
      <c r="B514" s="337"/>
      <c r="C514" s="337"/>
      <c r="D514" s="337"/>
      <c r="E514" s="337"/>
      <c r="F514" s="337"/>
      <c r="G514" s="538"/>
      <c r="H514" s="337"/>
      <c r="I514" s="538"/>
      <c r="J514" s="538"/>
      <c r="K514" s="337"/>
      <c r="L514" s="337"/>
      <c r="M514" s="337"/>
      <c r="N514" s="42"/>
      <c r="O514" s="43"/>
      <c r="P514" s="43"/>
      <c r="Q514" s="43"/>
      <c r="R514" s="43"/>
      <c r="S514" s="44"/>
      <c r="T514" s="520"/>
    </row>
    <row r="515" spans="1:20" ht="13" customHeight="1">
      <c r="A515" s="533" t="s">
        <v>161</v>
      </c>
      <c r="B515" s="472" t="s">
        <v>51</v>
      </c>
      <c r="C515" s="472" t="s">
        <v>52</v>
      </c>
      <c r="D515" s="472" t="s">
        <v>53</v>
      </c>
      <c r="E515" s="472" t="s">
        <v>54</v>
      </c>
      <c r="F515" s="472" t="s">
        <v>55</v>
      </c>
      <c r="G515" s="472" t="s">
        <v>77</v>
      </c>
      <c r="H515" s="472" t="s">
        <v>78</v>
      </c>
      <c r="I515" s="472" t="s">
        <v>79</v>
      </c>
      <c r="J515" s="472" t="s">
        <v>80</v>
      </c>
      <c r="K515" s="472" t="s">
        <v>81</v>
      </c>
      <c r="L515" s="472" t="s">
        <v>82</v>
      </c>
      <c r="M515" s="472" t="s">
        <v>44</v>
      </c>
      <c r="N515" s="473" t="s">
        <v>133</v>
      </c>
      <c r="O515" s="473" t="s">
        <v>129</v>
      </c>
      <c r="P515" s="473" t="s">
        <v>130</v>
      </c>
      <c r="Q515" s="473" t="s">
        <v>131</v>
      </c>
      <c r="R515" s="473" t="s">
        <v>132</v>
      </c>
      <c r="S515" s="445" t="s">
        <v>171</v>
      </c>
      <c r="T515" s="520"/>
    </row>
    <row r="516" spans="1:20" ht="13" customHeight="1">
      <c r="A516" s="526" t="s">
        <v>22</v>
      </c>
      <c r="B516" s="15">
        <v>185.75</v>
      </c>
      <c r="C516" s="15">
        <v>206.57</v>
      </c>
      <c r="D516" s="15">
        <v>203.07</v>
      </c>
      <c r="E516" s="34">
        <v>216.71</v>
      </c>
      <c r="F516" s="15">
        <v>208.12</v>
      </c>
      <c r="G516" s="15">
        <v>204.89</v>
      </c>
      <c r="H516" s="15">
        <v>223.49</v>
      </c>
      <c r="I516" s="15">
        <v>238.13</v>
      </c>
      <c r="J516" s="15">
        <v>200.72</v>
      </c>
      <c r="K516" s="15">
        <v>206.98</v>
      </c>
      <c r="L516" s="15">
        <v>214.33</v>
      </c>
      <c r="M516" s="15">
        <v>218.3</v>
      </c>
      <c r="N516" s="15"/>
      <c r="O516" s="15">
        <f t="shared" ref="O516:O521" si="321">SUM(B516:D516)</f>
        <v>595.39</v>
      </c>
      <c r="P516" s="15">
        <f t="shared" ref="P516:P521" si="322">SUM(E516:G516)</f>
        <v>629.72</v>
      </c>
      <c r="Q516" s="15">
        <f t="shared" ref="Q516:Q521" si="323">SUM(H516:J516)</f>
        <v>662.34</v>
      </c>
      <c r="R516" s="15">
        <f t="shared" ref="R516:R521" si="324">SUM(K516:M516)</f>
        <v>639.61</v>
      </c>
      <c r="S516" s="1">
        <f t="shared" ref="S516:S521" si="325">SUM(O516:R516)</f>
        <v>2527.0600000000004</v>
      </c>
      <c r="T516" s="520"/>
    </row>
    <row r="517" spans="1:20" ht="13" customHeight="1">
      <c r="A517" s="526" t="s">
        <v>25</v>
      </c>
      <c r="B517" s="15">
        <v>285.33</v>
      </c>
      <c r="C517" s="15">
        <v>303.79000000000002</v>
      </c>
      <c r="D517" s="15">
        <v>317.69</v>
      </c>
      <c r="E517" s="15">
        <v>320.66000000000003</v>
      </c>
      <c r="F517" s="15">
        <v>319.81</v>
      </c>
      <c r="G517" s="15">
        <v>324.17</v>
      </c>
      <c r="H517" s="15">
        <v>346.06</v>
      </c>
      <c r="I517" s="15">
        <v>358.82</v>
      </c>
      <c r="J517" s="15">
        <v>310.79399999999998</v>
      </c>
      <c r="K517" s="15">
        <v>330.76</v>
      </c>
      <c r="L517" s="15">
        <v>321.33999999999997</v>
      </c>
      <c r="M517" s="15">
        <v>329.815</v>
      </c>
      <c r="N517" s="15"/>
      <c r="O517" s="15">
        <f t="shared" si="321"/>
        <v>906.81</v>
      </c>
      <c r="P517" s="15">
        <f t="shared" si="322"/>
        <v>964.6400000000001</v>
      </c>
      <c r="Q517" s="15">
        <f t="shared" si="323"/>
        <v>1015.674</v>
      </c>
      <c r="R517" s="15">
        <f t="shared" si="324"/>
        <v>981.91499999999996</v>
      </c>
      <c r="S517" s="1">
        <f t="shared" si="325"/>
        <v>3869.0389999999998</v>
      </c>
      <c r="T517" s="520"/>
    </row>
    <row r="518" spans="1:20" ht="13" customHeight="1">
      <c r="A518" s="526" t="s">
        <v>172</v>
      </c>
      <c r="B518" s="15">
        <f>820.6-C518</f>
        <v>390.70000000000005</v>
      </c>
      <c r="C518" s="15">
        <v>429.9</v>
      </c>
      <c r="D518" s="15">
        <v>402.5</v>
      </c>
      <c r="E518" s="15">
        <v>419.2</v>
      </c>
      <c r="F518" s="15">
        <v>408.3</v>
      </c>
      <c r="G518" s="15">
        <v>412.8</v>
      </c>
      <c r="H518" s="15">
        <v>454.7</v>
      </c>
      <c r="I518" s="15">
        <v>480.9</v>
      </c>
      <c r="J518" s="15">
        <v>376.6</v>
      </c>
      <c r="K518" s="15">
        <v>428.8</v>
      </c>
      <c r="L518" s="15">
        <v>423.2</v>
      </c>
      <c r="M518" s="15">
        <v>450.8</v>
      </c>
      <c r="N518" s="15"/>
      <c r="O518" s="15">
        <f t="shared" si="321"/>
        <v>1223.0999999999999</v>
      </c>
      <c r="P518" s="15">
        <f t="shared" si="322"/>
        <v>1240.3</v>
      </c>
      <c r="Q518" s="15">
        <f t="shared" si="323"/>
        <v>1312.1999999999998</v>
      </c>
      <c r="R518" s="15">
        <f t="shared" si="324"/>
        <v>1302.8</v>
      </c>
      <c r="S518" s="1">
        <f t="shared" si="325"/>
        <v>5078.3999999999996</v>
      </c>
      <c r="T518" s="520"/>
    </row>
    <row r="519" spans="1:20" ht="13" customHeight="1">
      <c r="A519" s="535" t="s">
        <v>196</v>
      </c>
      <c r="B519" s="45">
        <f t="shared" ref="B519:M519" si="326">SUM(B516:B518)</f>
        <v>861.78</v>
      </c>
      <c r="C519" s="45">
        <f t="shared" si="326"/>
        <v>940.26</v>
      </c>
      <c r="D519" s="45">
        <f t="shared" si="326"/>
        <v>923.26</v>
      </c>
      <c r="E519" s="45">
        <f t="shared" si="326"/>
        <v>956.56999999999994</v>
      </c>
      <c r="F519" s="45">
        <f t="shared" si="326"/>
        <v>936.23</v>
      </c>
      <c r="G519" s="45">
        <f t="shared" si="326"/>
        <v>941.8599999999999</v>
      </c>
      <c r="H519" s="45">
        <f t="shared" si="326"/>
        <v>1024.25</v>
      </c>
      <c r="I519" s="45">
        <f t="shared" si="326"/>
        <v>1077.8499999999999</v>
      </c>
      <c r="J519" s="45">
        <f t="shared" si="326"/>
        <v>888.11400000000003</v>
      </c>
      <c r="K519" s="45">
        <f t="shared" si="326"/>
        <v>966.54</v>
      </c>
      <c r="L519" s="45">
        <f t="shared" si="326"/>
        <v>958.86999999999989</v>
      </c>
      <c r="M519" s="45">
        <f t="shared" si="326"/>
        <v>998.91499999999996</v>
      </c>
      <c r="N519" s="45"/>
      <c r="O519" s="21">
        <f t="shared" si="321"/>
        <v>2725.3</v>
      </c>
      <c r="P519" s="21">
        <f t="shared" si="322"/>
        <v>2834.66</v>
      </c>
      <c r="Q519" s="21">
        <f t="shared" si="323"/>
        <v>2990.2139999999999</v>
      </c>
      <c r="R519" s="21">
        <f t="shared" si="324"/>
        <v>2924.3249999999998</v>
      </c>
      <c r="S519" s="44">
        <f t="shared" si="325"/>
        <v>11474.499</v>
      </c>
      <c r="T519" s="520"/>
    </row>
    <row r="520" spans="1:20" ht="13" customHeight="1">
      <c r="A520" s="526" t="s">
        <v>181</v>
      </c>
      <c r="B520" s="38">
        <v>23.07</v>
      </c>
      <c r="C520" s="38">
        <v>26.37</v>
      </c>
      <c r="D520" s="38">
        <v>22.59</v>
      </c>
      <c r="E520" s="38">
        <v>25.73</v>
      </c>
      <c r="F520" s="543">
        <v>23.31</v>
      </c>
      <c r="G520" s="543">
        <v>24.25</v>
      </c>
      <c r="H520" s="543">
        <v>28.21</v>
      </c>
      <c r="I520" s="543">
        <v>30.61</v>
      </c>
      <c r="J520" s="543">
        <v>24.35</v>
      </c>
      <c r="K520" s="543">
        <v>24.93</v>
      </c>
      <c r="L520" s="543">
        <v>24.39</v>
      </c>
      <c r="M520" s="543">
        <v>25.32</v>
      </c>
      <c r="N520" s="42"/>
      <c r="O520" s="15">
        <f t="shared" si="321"/>
        <v>72.03</v>
      </c>
      <c r="P520" s="15">
        <f t="shared" si="322"/>
        <v>73.289999999999992</v>
      </c>
      <c r="Q520" s="15">
        <f t="shared" si="323"/>
        <v>83.17</v>
      </c>
      <c r="R520" s="15">
        <f t="shared" si="324"/>
        <v>74.64</v>
      </c>
      <c r="S520" s="1">
        <f t="shared" si="325"/>
        <v>303.13</v>
      </c>
      <c r="T520" s="520"/>
    </row>
    <row r="521" spans="1:20" ht="13" customHeight="1">
      <c r="A521" s="535" t="s">
        <v>197</v>
      </c>
      <c r="B521" s="42">
        <f t="shared" ref="B521:M521" si="327">B519+B520</f>
        <v>884.85</v>
      </c>
      <c r="C521" s="42">
        <f t="shared" si="327"/>
        <v>966.63</v>
      </c>
      <c r="D521" s="42">
        <f t="shared" si="327"/>
        <v>945.85</v>
      </c>
      <c r="E521" s="42">
        <f t="shared" si="327"/>
        <v>982.3</v>
      </c>
      <c r="F521" s="42">
        <f t="shared" si="327"/>
        <v>959.54</v>
      </c>
      <c r="G521" s="42">
        <f t="shared" si="327"/>
        <v>966.1099999999999</v>
      </c>
      <c r="H521" s="42">
        <f t="shared" si="327"/>
        <v>1052.46</v>
      </c>
      <c r="I521" s="42">
        <f t="shared" si="327"/>
        <v>1108.4599999999998</v>
      </c>
      <c r="J521" s="42">
        <f t="shared" si="327"/>
        <v>912.46400000000006</v>
      </c>
      <c r="K521" s="42">
        <f t="shared" si="327"/>
        <v>991.46999999999991</v>
      </c>
      <c r="L521" s="42">
        <f t="shared" si="327"/>
        <v>983.25999999999988</v>
      </c>
      <c r="M521" s="42">
        <f t="shared" si="327"/>
        <v>1024.2349999999999</v>
      </c>
      <c r="N521" s="42"/>
      <c r="O521" s="21">
        <f t="shared" si="321"/>
        <v>2797.33</v>
      </c>
      <c r="P521" s="21">
        <f t="shared" si="322"/>
        <v>2907.95</v>
      </c>
      <c r="Q521" s="21">
        <f t="shared" si="323"/>
        <v>3073.384</v>
      </c>
      <c r="R521" s="21">
        <f t="shared" si="324"/>
        <v>2998.9649999999997</v>
      </c>
      <c r="S521" s="44">
        <f t="shared" si="325"/>
        <v>11777.629000000001</v>
      </c>
      <c r="T521" s="520"/>
    </row>
    <row r="522" spans="1:20" ht="13" customHeight="1">
      <c r="A522" s="532"/>
      <c r="B522" s="337"/>
      <c r="C522" s="337"/>
      <c r="D522" s="337"/>
      <c r="E522" s="337"/>
      <c r="F522" s="337"/>
      <c r="G522" s="483">
        <f>(F521+G521)/(F579+G579)-1</f>
        <v>0.12798779255545045</v>
      </c>
      <c r="H522" s="337"/>
      <c r="I522" s="538"/>
      <c r="J522" s="538"/>
      <c r="K522" s="337"/>
      <c r="L522" s="337"/>
      <c r="M522" s="337"/>
      <c r="N522" s="42"/>
      <c r="O522" s="43"/>
      <c r="P522" s="43"/>
      <c r="Q522" s="43"/>
      <c r="R522" s="43"/>
      <c r="S522" s="44"/>
      <c r="T522" s="520"/>
    </row>
    <row r="523" spans="1:20" ht="13" customHeight="1">
      <c r="A523" s="528" t="s">
        <v>184</v>
      </c>
      <c r="B523" s="337"/>
      <c r="C523" s="337"/>
      <c r="D523" s="337"/>
      <c r="E523" s="337"/>
      <c r="F523" s="337"/>
      <c r="G523" s="538"/>
      <c r="H523" s="337"/>
      <c r="I523" s="538"/>
      <c r="J523" s="538"/>
      <c r="K523" s="337"/>
      <c r="L523" s="337"/>
      <c r="M523" s="337"/>
      <c r="N523" s="42"/>
      <c r="O523" s="43"/>
      <c r="P523" s="43"/>
      <c r="Q523" s="43"/>
      <c r="R523" s="43"/>
      <c r="S523" s="44"/>
      <c r="T523" s="520"/>
    </row>
    <row r="524" spans="1:20" ht="13" customHeight="1">
      <c r="A524" s="526" t="s">
        <v>22</v>
      </c>
      <c r="B524" s="483">
        <f t="shared" ref="B524:M524" si="328">B516/B574-1</f>
        <v>-6.6864262031548272E-2</v>
      </c>
      <c r="C524" s="483">
        <f t="shared" si="328"/>
        <v>0.13065134099616871</v>
      </c>
      <c r="D524" s="483">
        <f t="shared" si="328"/>
        <v>0.15073383577945254</v>
      </c>
      <c r="E524" s="483">
        <f t="shared" si="328"/>
        <v>0.17318103074924207</v>
      </c>
      <c r="F524" s="483">
        <f t="shared" si="328"/>
        <v>9.3986543313709037E-2</v>
      </c>
      <c r="G524" s="483">
        <f t="shared" si="328"/>
        <v>8.4131435525689025E-2</v>
      </c>
      <c r="H524" s="483">
        <f t="shared" si="328"/>
        <v>8.8814186884926594E-2</v>
      </c>
      <c r="I524" s="483">
        <f t="shared" si="328"/>
        <v>0.12008466603951073</v>
      </c>
      <c r="J524" s="483">
        <f t="shared" si="328"/>
        <v>0.10098184411167788</v>
      </c>
      <c r="K524" s="483">
        <f t="shared" si="328"/>
        <v>-2.3617872463489453E-3</v>
      </c>
      <c r="L524" s="483">
        <f t="shared" si="328"/>
        <v>8.6315255955397907E-2</v>
      </c>
      <c r="M524" s="483">
        <f t="shared" si="328"/>
        <v>7.727990525069095E-2</v>
      </c>
      <c r="N524" s="42"/>
      <c r="O524" s="337">
        <f t="shared" ref="O524:S529" si="329">O516/O574-1</f>
        <v>6.6567543843935262E-2</v>
      </c>
      <c r="P524" s="337">
        <f t="shared" si="329"/>
        <v>0.11662381416792256</v>
      </c>
      <c r="Q524" s="337">
        <f t="shared" si="329"/>
        <v>0.10358731692687062</v>
      </c>
      <c r="R524" s="337">
        <f t="shared" si="329"/>
        <v>5.301196885135262E-2</v>
      </c>
      <c r="S524" s="337">
        <f t="shared" si="329"/>
        <v>8.4686834695419266E-2</v>
      </c>
      <c r="T524" s="520"/>
    </row>
    <row r="525" spans="1:20" ht="13" customHeight="1">
      <c r="A525" s="526" t="s">
        <v>25</v>
      </c>
      <c r="B525" s="483">
        <f t="shared" ref="B525:M525" si="330">B517/B575-1</f>
        <v>-3.676972000729184E-2</v>
      </c>
      <c r="C525" s="483">
        <f t="shared" si="330"/>
        <v>0.12742805822144043</v>
      </c>
      <c r="D525" s="483">
        <f t="shared" si="330"/>
        <v>0.17703505281448795</v>
      </c>
      <c r="E525" s="483">
        <f t="shared" si="330"/>
        <v>0.10848771246936351</v>
      </c>
      <c r="F525" s="483">
        <f t="shared" si="330"/>
        <v>8.6772576671480861E-2</v>
      </c>
      <c r="G525" s="483">
        <f t="shared" si="330"/>
        <v>0.15779134969106035</v>
      </c>
      <c r="H525" s="483">
        <f t="shared" si="330"/>
        <v>0.10087482105932866</v>
      </c>
      <c r="I525" s="483">
        <f t="shared" si="330"/>
        <v>0.15692406899887157</v>
      </c>
      <c r="J525" s="483">
        <f t="shared" si="330"/>
        <v>9.9673063858695565E-2</v>
      </c>
      <c r="K525" s="483">
        <f t="shared" si="330"/>
        <v>8.0434839417774961E-2</v>
      </c>
      <c r="L525" s="483">
        <f t="shared" si="330"/>
        <v>8.9251211823327958E-2</v>
      </c>
      <c r="M525" s="483">
        <f t="shared" si="330"/>
        <v>8.6225521516035686E-2</v>
      </c>
      <c r="N525" s="42"/>
      <c r="O525" s="337">
        <f t="shared" si="329"/>
        <v>8.5242279941071253E-2</v>
      </c>
      <c r="P525" s="337">
        <f t="shared" si="329"/>
        <v>0.11707363394021386</v>
      </c>
      <c r="Q525" s="337">
        <f t="shared" si="329"/>
        <v>0.11966390482447808</v>
      </c>
      <c r="R525" s="337">
        <f t="shared" si="329"/>
        <v>8.5252768628838016E-2</v>
      </c>
      <c r="S525" s="337">
        <f t="shared" si="329"/>
        <v>0.10196725803176232</v>
      </c>
      <c r="T525" s="520"/>
    </row>
    <row r="526" spans="1:20" ht="13" customHeight="1">
      <c r="A526" s="526" t="s">
        <v>172</v>
      </c>
      <c r="B526" s="483">
        <f t="shared" ref="B526:M526" si="331">B518/B576-1</f>
        <v>2.5459317585301955E-2</v>
      </c>
      <c r="C526" s="483">
        <f t="shared" si="331"/>
        <v>0.22653352353780298</v>
      </c>
      <c r="D526" s="483">
        <f t="shared" si="331"/>
        <v>0.20725854829034196</v>
      </c>
      <c r="E526" s="483">
        <f t="shared" si="331"/>
        <v>0.17225950782997757</v>
      </c>
      <c r="F526" s="483">
        <f t="shared" si="331"/>
        <v>0.16258542141230081</v>
      </c>
      <c r="G526" s="483">
        <f t="shared" si="331"/>
        <v>0.15922493681550121</v>
      </c>
      <c r="H526" s="483">
        <f t="shared" si="331"/>
        <v>9.3817656964156892E-2</v>
      </c>
      <c r="I526" s="483">
        <f t="shared" si="331"/>
        <v>0.11785216178521618</v>
      </c>
      <c r="J526" s="483">
        <f t="shared" si="331"/>
        <v>2.7838427947598277E-2</v>
      </c>
      <c r="K526" s="483">
        <f t="shared" si="331"/>
        <v>8.6119554204660664E-2</v>
      </c>
      <c r="L526" s="483">
        <f t="shared" si="331"/>
        <v>5.5624844100773396E-2</v>
      </c>
      <c r="M526" s="483">
        <f t="shared" si="331"/>
        <v>9.3909245328803737E-2</v>
      </c>
      <c r="N526" s="42"/>
      <c r="O526" s="337">
        <f t="shared" si="329"/>
        <v>0.14855855009860064</v>
      </c>
      <c r="P526" s="337">
        <f t="shared" si="329"/>
        <v>0.16471030143675458</v>
      </c>
      <c r="Q526" s="337">
        <f t="shared" si="329"/>
        <v>8.240534521158116E-2</v>
      </c>
      <c r="R526" s="337">
        <f t="shared" si="329"/>
        <v>7.8655406524258842E-2</v>
      </c>
      <c r="S526" s="337">
        <f t="shared" si="329"/>
        <v>0.11615639904173691</v>
      </c>
      <c r="T526" s="520"/>
    </row>
    <row r="527" spans="1:20" ht="13" customHeight="1">
      <c r="A527" s="536" t="s">
        <v>196</v>
      </c>
      <c r="B527" s="519">
        <f t="shared" ref="B527:M527" si="332">B519/B577-1</f>
        <v>-1.6549466952419323E-2</v>
      </c>
      <c r="C527" s="519">
        <f t="shared" si="332"/>
        <v>0.17143875194043767</v>
      </c>
      <c r="D527" s="519">
        <f t="shared" si="332"/>
        <v>0.18400517070906175</v>
      </c>
      <c r="E527" s="519">
        <f t="shared" si="332"/>
        <v>0.15028072491843991</v>
      </c>
      <c r="F527" s="519">
        <f t="shared" si="332"/>
        <v>0.12027425617584964</v>
      </c>
      <c r="G527" s="519">
        <f t="shared" si="332"/>
        <v>0.14153779027488222</v>
      </c>
      <c r="H527" s="519">
        <f t="shared" si="332"/>
        <v>9.5091467000246066E-2</v>
      </c>
      <c r="I527" s="519">
        <f t="shared" si="332"/>
        <v>0.13106668765412643</v>
      </c>
      <c r="J527" s="519">
        <f t="shared" si="332"/>
        <v>6.8299865036194785E-2</v>
      </c>
      <c r="K527" s="519">
        <f t="shared" si="332"/>
        <v>6.3995614295810466E-2</v>
      </c>
      <c r="L527" s="519">
        <f t="shared" si="332"/>
        <v>7.351014878919826E-2</v>
      </c>
      <c r="M527" s="519">
        <f t="shared" si="332"/>
        <v>8.7699564665375984E-2</v>
      </c>
      <c r="N527" s="42"/>
      <c r="O527" s="487">
        <f t="shared" si="329"/>
        <v>0.10842542419550405</v>
      </c>
      <c r="P527" s="487">
        <f t="shared" si="329"/>
        <v>0.13732510776795936</v>
      </c>
      <c r="Q527" s="487">
        <f t="shared" si="329"/>
        <v>9.9507500016546624E-2</v>
      </c>
      <c r="R527" s="487">
        <f t="shared" si="329"/>
        <v>7.512343795381593E-2</v>
      </c>
      <c r="S527" s="487">
        <f t="shared" si="329"/>
        <v>0.10430588385428541</v>
      </c>
      <c r="T527" s="520"/>
    </row>
    <row r="528" spans="1:20" ht="13" customHeight="1">
      <c r="A528" s="526" t="s">
        <v>181</v>
      </c>
      <c r="B528" s="544">
        <f t="shared" ref="B528:M528" si="333">B520/B578-1</f>
        <v>-5.1787916152897573E-2</v>
      </c>
      <c r="C528" s="544">
        <f t="shared" si="333"/>
        <v>0.10984848484848486</v>
      </c>
      <c r="D528" s="544">
        <f t="shared" si="333"/>
        <v>-2.5873221216041409E-2</v>
      </c>
      <c r="E528" s="544">
        <f t="shared" si="333"/>
        <v>1.2195121951219523E-2</v>
      </c>
      <c r="F528" s="544">
        <f t="shared" si="333"/>
        <v>2.2368421052631593E-2</v>
      </c>
      <c r="G528" s="544">
        <f t="shared" si="333"/>
        <v>2.9286926994906759E-2</v>
      </c>
      <c r="H528" s="544">
        <f t="shared" si="333"/>
        <v>6.937073540561034E-2</v>
      </c>
      <c r="I528" s="544">
        <f t="shared" si="333"/>
        <v>0.18185328185328187</v>
      </c>
      <c r="J528" s="544">
        <f t="shared" si="333"/>
        <v>6.5645514223194645E-2</v>
      </c>
      <c r="K528" s="544">
        <f t="shared" si="333"/>
        <v>1.8382352941176405E-2</v>
      </c>
      <c r="L528" s="544">
        <f t="shared" si="333"/>
        <v>6.5996503496503545E-2</v>
      </c>
      <c r="M528" s="544">
        <f t="shared" si="333"/>
        <v>4.8881524440762103E-2</v>
      </c>
      <c r="N528" s="42"/>
      <c r="O528" s="337">
        <f t="shared" si="329"/>
        <v>1.0521885521885599E-2</v>
      </c>
      <c r="P528" s="337">
        <f t="shared" si="329"/>
        <v>2.1036500417943582E-2</v>
      </c>
      <c r="Q528" s="337">
        <f t="shared" si="329"/>
        <v>0.10701450818581137</v>
      </c>
      <c r="R528" s="337">
        <f t="shared" si="329"/>
        <v>4.3916083916083926E-2</v>
      </c>
      <c r="S528" s="337">
        <f t="shared" si="329"/>
        <v>4.6394421623114246E-2</v>
      </c>
      <c r="T528" s="520"/>
    </row>
    <row r="529" spans="1:20" ht="13" customHeight="1">
      <c r="A529" s="535" t="s">
        <v>197</v>
      </c>
      <c r="B529" s="519">
        <f t="shared" ref="B529:M529" si="334">B521/B579-1</f>
        <v>-1.7501432359328883E-2</v>
      </c>
      <c r="C529" s="519">
        <f t="shared" si="334"/>
        <v>0.16966798723158139</v>
      </c>
      <c r="D529" s="519">
        <f t="shared" si="334"/>
        <v>0.17794380092830719</v>
      </c>
      <c r="E529" s="519">
        <f t="shared" si="334"/>
        <v>0.14618496482566856</v>
      </c>
      <c r="F529" s="519">
        <f t="shared" si="334"/>
        <v>0.11767412334088534</v>
      </c>
      <c r="G529" s="519">
        <f t="shared" si="334"/>
        <v>0.13842147435897423</v>
      </c>
      <c r="H529" s="519">
        <f t="shared" si="334"/>
        <v>9.4385924778255026E-2</v>
      </c>
      <c r="I529" s="519">
        <f t="shared" si="334"/>
        <v>0.13241048168769454</v>
      </c>
      <c r="J529" s="519">
        <f t="shared" si="334"/>
        <v>6.8228859355829563E-2</v>
      </c>
      <c r="K529" s="519">
        <f t="shared" si="334"/>
        <v>6.2798669933946893E-2</v>
      </c>
      <c r="L529" s="519">
        <f t="shared" si="334"/>
        <v>7.3322490148347796E-2</v>
      </c>
      <c r="M529" s="519">
        <f t="shared" si="334"/>
        <v>8.6705343368904675E-2</v>
      </c>
      <c r="N529" s="42"/>
      <c r="O529" s="487">
        <f t="shared" si="329"/>
        <v>0.105667090778512</v>
      </c>
      <c r="P529" s="487">
        <f t="shared" si="329"/>
        <v>0.1340697893901035</v>
      </c>
      <c r="Q529" s="487">
        <f t="shared" si="329"/>
        <v>9.9709309398709811E-2</v>
      </c>
      <c r="R529" s="487">
        <f t="shared" si="329"/>
        <v>7.4324106480768037E-2</v>
      </c>
      <c r="S529" s="487">
        <f t="shared" si="329"/>
        <v>0.10273511829495963</v>
      </c>
      <c r="T529" s="520"/>
    </row>
    <row r="531" spans="1:20" s="445" customFormat="1" ht="13" customHeight="1">
      <c r="A531" s="525" t="s">
        <v>210</v>
      </c>
      <c r="B531" s="472" t="s">
        <v>51</v>
      </c>
      <c r="C531" s="472" t="s">
        <v>52</v>
      </c>
      <c r="D531" s="472" t="s">
        <v>53</v>
      </c>
      <c r="E531" s="472" t="s">
        <v>54</v>
      </c>
      <c r="F531" s="472" t="s">
        <v>55</v>
      </c>
      <c r="G531" s="472" t="s">
        <v>77</v>
      </c>
      <c r="H531" s="472" t="s">
        <v>78</v>
      </c>
      <c r="I531" s="472" t="s">
        <v>79</v>
      </c>
      <c r="J531" s="472" t="s">
        <v>80</v>
      </c>
      <c r="K531" s="472" t="s">
        <v>81</v>
      </c>
      <c r="L531" s="472" t="s">
        <v>82</v>
      </c>
      <c r="M531" s="472" t="s">
        <v>44</v>
      </c>
      <c r="N531" s="473" t="s">
        <v>133</v>
      </c>
      <c r="O531" s="473" t="s">
        <v>129</v>
      </c>
      <c r="P531" s="473" t="s">
        <v>130</v>
      </c>
      <c r="Q531" s="473" t="s">
        <v>131</v>
      </c>
      <c r="R531" s="473" t="s">
        <v>132</v>
      </c>
      <c r="S531" s="445" t="s">
        <v>171</v>
      </c>
    </row>
    <row r="532" spans="1:20">
      <c r="A532" s="526" t="s">
        <v>22</v>
      </c>
      <c r="B532" s="15">
        <f t="shared" ref="B532:M532" si="335">B557+B574</f>
        <v>1571.26</v>
      </c>
      <c r="C532" s="15">
        <f t="shared" si="335"/>
        <v>1439.63</v>
      </c>
      <c r="D532" s="15">
        <f t="shared" si="335"/>
        <v>1375.27</v>
      </c>
      <c r="E532" s="15">
        <f t="shared" si="335"/>
        <v>1366.51</v>
      </c>
      <c r="F532" s="15">
        <f t="shared" si="335"/>
        <v>1377.71</v>
      </c>
      <c r="G532" s="15">
        <f t="shared" si="335"/>
        <v>1398.22</v>
      </c>
      <c r="H532" s="15">
        <f t="shared" si="335"/>
        <v>1554.3799999999999</v>
      </c>
      <c r="I532" s="15">
        <f t="shared" si="335"/>
        <v>1604.61</v>
      </c>
      <c r="J532" s="15">
        <f t="shared" si="335"/>
        <v>1432.6599999999999</v>
      </c>
      <c r="K532" s="15">
        <f t="shared" si="335"/>
        <v>1532.8700000000001</v>
      </c>
      <c r="L532" s="15">
        <f t="shared" si="335"/>
        <v>1452.73</v>
      </c>
      <c r="M532" s="15">
        <f t="shared" si="335"/>
        <v>1575.25</v>
      </c>
      <c r="N532" s="15"/>
      <c r="O532" s="15">
        <f t="shared" ref="O532:O537" si="336">SUM(B532:D532)</f>
        <v>4386.16</v>
      </c>
      <c r="P532" s="15">
        <f t="shared" ref="P532:P537" si="337">SUM(E532:G532)</f>
        <v>4142.4400000000005</v>
      </c>
      <c r="Q532" s="15">
        <f t="shared" ref="Q532:Q537" si="338">SUM(H532:J532)</f>
        <v>4591.6499999999996</v>
      </c>
      <c r="R532" s="15">
        <f t="shared" ref="R532:R537" si="339">SUM(K532:M532)</f>
        <v>4560.8500000000004</v>
      </c>
      <c r="S532" s="1">
        <f t="shared" ref="S532:S537" si="340">SUM(O532:R532)</f>
        <v>17681.099999999999</v>
      </c>
    </row>
    <row r="533" spans="1:20">
      <c r="A533" s="526" t="s">
        <v>25</v>
      </c>
      <c r="B533" s="15">
        <f t="shared" ref="B533:M533" si="341">B558+B575</f>
        <v>1637.037</v>
      </c>
      <c r="C533" s="15">
        <f t="shared" si="341"/>
        <v>1499.8989999999999</v>
      </c>
      <c r="D533" s="15">
        <f t="shared" si="341"/>
        <v>1474.836</v>
      </c>
      <c r="E533" s="15">
        <f t="shared" si="341"/>
        <v>1446.2750000000001</v>
      </c>
      <c r="F533" s="15">
        <f t="shared" si="341"/>
        <v>1413.107</v>
      </c>
      <c r="G533" s="15">
        <f t="shared" si="341"/>
        <v>1376.1</v>
      </c>
      <c r="H533" s="15">
        <f t="shared" si="341"/>
        <v>1619.23</v>
      </c>
      <c r="I533" s="15">
        <f t="shared" si="341"/>
        <v>1711.5700000000002</v>
      </c>
      <c r="J533" s="15">
        <f t="shared" si="341"/>
        <v>1487.223</v>
      </c>
      <c r="K533" s="15">
        <f t="shared" si="341"/>
        <v>1527.9829999999999</v>
      </c>
      <c r="L533" s="15">
        <f t="shared" si="341"/>
        <v>1434.6299999999999</v>
      </c>
      <c r="M533" s="15">
        <f t="shared" si="341"/>
        <v>1552.2860000000001</v>
      </c>
      <c r="N533" s="15"/>
      <c r="O533" s="15">
        <f t="shared" si="336"/>
        <v>4611.7719999999999</v>
      </c>
      <c r="P533" s="15">
        <f t="shared" si="337"/>
        <v>4235.482</v>
      </c>
      <c r="Q533" s="15">
        <f t="shared" si="338"/>
        <v>4818.0230000000001</v>
      </c>
      <c r="R533" s="15">
        <f t="shared" si="339"/>
        <v>4514.8989999999994</v>
      </c>
      <c r="S533" s="1">
        <f t="shared" si="340"/>
        <v>18180.175999999999</v>
      </c>
    </row>
    <row r="534" spans="1:20">
      <c r="A534" s="526" t="s">
        <v>172</v>
      </c>
      <c r="B534" s="15">
        <f t="shared" ref="B534:J534" si="342">B559+B576</f>
        <v>1572.7</v>
      </c>
      <c r="C534" s="15">
        <f t="shared" si="342"/>
        <v>1428.7</v>
      </c>
      <c r="D534" s="15">
        <f t="shared" si="342"/>
        <v>1404.1999999999998</v>
      </c>
      <c r="E534" s="15">
        <f t="shared" si="342"/>
        <v>1410.1</v>
      </c>
      <c r="F534" s="15">
        <f t="shared" si="342"/>
        <v>1379.1000000000001</v>
      </c>
      <c r="G534" s="15">
        <f t="shared" si="342"/>
        <v>1400.6999999999998</v>
      </c>
      <c r="H534" s="15">
        <f t="shared" si="342"/>
        <v>1606.3</v>
      </c>
      <c r="I534" s="15">
        <f t="shared" si="342"/>
        <v>1669.8</v>
      </c>
      <c r="J534" s="15">
        <f t="shared" si="342"/>
        <v>1483.5</v>
      </c>
      <c r="K534" s="15">
        <f>1159.1+394.8</f>
        <v>1553.8999999999999</v>
      </c>
      <c r="L534" s="15">
        <f>L559+L576</f>
        <v>1511.1999999999998</v>
      </c>
      <c r="M534" s="15">
        <f>M559+M576</f>
        <v>1631.1999999999998</v>
      </c>
      <c r="N534" s="15"/>
      <c r="O534" s="15">
        <f t="shared" si="336"/>
        <v>4405.6000000000004</v>
      </c>
      <c r="P534" s="15">
        <f t="shared" si="337"/>
        <v>4189.8999999999996</v>
      </c>
      <c r="Q534" s="15">
        <f t="shared" si="338"/>
        <v>4759.6000000000004</v>
      </c>
      <c r="R534" s="15">
        <f t="shared" si="339"/>
        <v>4696.2999999999993</v>
      </c>
      <c r="S534" s="1">
        <f t="shared" si="340"/>
        <v>18051.400000000001</v>
      </c>
    </row>
    <row r="535" spans="1:20" s="520" customFormat="1" ht="13" customHeight="1">
      <c r="A535" s="535" t="s">
        <v>196</v>
      </c>
      <c r="B535" s="45">
        <f t="shared" ref="B535:M535" si="343">SUM(B532:B534)</f>
        <v>4780.9970000000003</v>
      </c>
      <c r="C535" s="45">
        <f t="shared" si="343"/>
        <v>4368.2290000000003</v>
      </c>
      <c r="D535" s="45">
        <f t="shared" si="343"/>
        <v>4254.3059999999996</v>
      </c>
      <c r="E535" s="45">
        <f t="shared" si="343"/>
        <v>4222.8850000000002</v>
      </c>
      <c r="F535" s="45">
        <f t="shared" si="343"/>
        <v>4169.9170000000004</v>
      </c>
      <c r="G535" s="45">
        <f t="shared" si="343"/>
        <v>4175.0199999999995</v>
      </c>
      <c r="H535" s="45">
        <f t="shared" si="343"/>
        <v>4779.91</v>
      </c>
      <c r="I535" s="45">
        <f t="shared" si="343"/>
        <v>4985.9800000000005</v>
      </c>
      <c r="J535" s="45">
        <f t="shared" si="343"/>
        <v>4403.3829999999998</v>
      </c>
      <c r="K535" s="45">
        <f t="shared" si="343"/>
        <v>4614.7529999999997</v>
      </c>
      <c r="L535" s="45">
        <f t="shared" si="343"/>
        <v>4398.5599999999995</v>
      </c>
      <c r="M535" s="45">
        <f t="shared" si="343"/>
        <v>4758.7359999999999</v>
      </c>
      <c r="N535" s="45"/>
      <c r="O535" s="21">
        <f t="shared" si="336"/>
        <v>13403.531999999999</v>
      </c>
      <c r="P535" s="21">
        <f t="shared" si="337"/>
        <v>12567.822</v>
      </c>
      <c r="Q535" s="21">
        <f t="shared" si="338"/>
        <v>14169.272999999999</v>
      </c>
      <c r="R535" s="21">
        <f t="shared" si="339"/>
        <v>13772.048999999999</v>
      </c>
      <c r="S535" s="44">
        <f t="shared" si="340"/>
        <v>53912.675999999999</v>
      </c>
    </row>
    <row r="536" spans="1:20" ht="13" customHeight="1">
      <c r="A536" s="526" t="s">
        <v>181</v>
      </c>
      <c r="B536" s="15">
        <f t="shared" ref="B536:M536" si="344">B561+B578</f>
        <v>351.59</v>
      </c>
      <c r="C536" s="15">
        <f t="shared" si="344"/>
        <v>320.89</v>
      </c>
      <c r="D536" s="15">
        <f t="shared" si="344"/>
        <v>317.89999999999998</v>
      </c>
      <c r="E536" s="15">
        <f t="shared" si="344"/>
        <v>330.43</v>
      </c>
      <c r="F536" s="15">
        <f t="shared" si="344"/>
        <v>331.68</v>
      </c>
      <c r="G536" s="15">
        <f t="shared" si="344"/>
        <v>350.76</v>
      </c>
      <c r="H536" s="15">
        <f t="shared" si="344"/>
        <v>422.49</v>
      </c>
      <c r="I536" s="15">
        <f t="shared" si="344"/>
        <v>446.83</v>
      </c>
      <c r="J536" s="15">
        <f t="shared" si="344"/>
        <v>364.05</v>
      </c>
      <c r="K536" s="15">
        <f t="shared" si="344"/>
        <v>363.94</v>
      </c>
      <c r="L536" s="15">
        <f t="shared" si="344"/>
        <v>319.46999999999997</v>
      </c>
      <c r="M536" s="15">
        <f t="shared" si="344"/>
        <v>362.83</v>
      </c>
      <c r="N536" s="21"/>
      <c r="O536" s="15">
        <f t="shared" si="336"/>
        <v>990.38</v>
      </c>
      <c r="P536" s="15">
        <f t="shared" si="337"/>
        <v>1012.87</v>
      </c>
      <c r="Q536" s="15">
        <f t="shared" si="338"/>
        <v>1233.3699999999999</v>
      </c>
      <c r="R536" s="15">
        <f t="shared" si="339"/>
        <v>1046.24</v>
      </c>
      <c r="S536" s="1">
        <f t="shared" si="340"/>
        <v>4282.8599999999997</v>
      </c>
    </row>
    <row r="537" spans="1:20" s="520" customFormat="1" ht="13" customHeight="1">
      <c r="A537" s="535" t="s">
        <v>197</v>
      </c>
      <c r="B537" s="45">
        <f t="shared" ref="B537:M537" si="345">B535+B536</f>
        <v>5132.5870000000004</v>
      </c>
      <c r="C537" s="45">
        <f t="shared" si="345"/>
        <v>4689.1190000000006</v>
      </c>
      <c r="D537" s="45">
        <f t="shared" si="345"/>
        <v>4572.2059999999992</v>
      </c>
      <c r="E537" s="45">
        <f t="shared" si="345"/>
        <v>4553.3150000000005</v>
      </c>
      <c r="F537" s="45">
        <f t="shared" si="345"/>
        <v>4501.5970000000007</v>
      </c>
      <c r="G537" s="45">
        <f t="shared" si="345"/>
        <v>4525.78</v>
      </c>
      <c r="H537" s="45">
        <f t="shared" si="345"/>
        <v>5202.3999999999996</v>
      </c>
      <c r="I537" s="45">
        <f t="shared" si="345"/>
        <v>5432.81</v>
      </c>
      <c r="J537" s="45">
        <f t="shared" si="345"/>
        <v>4767.433</v>
      </c>
      <c r="K537" s="45">
        <f t="shared" si="345"/>
        <v>4978.6929999999993</v>
      </c>
      <c r="L537" s="45">
        <f t="shared" si="345"/>
        <v>4718.03</v>
      </c>
      <c r="M537" s="45">
        <f t="shared" si="345"/>
        <v>5121.5659999999998</v>
      </c>
      <c r="N537" s="45"/>
      <c r="O537" s="21">
        <f t="shared" si="336"/>
        <v>14393.912</v>
      </c>
      <c r="P537" s="21">
        <f t="shared" si="337"/>
        <v>13580.691999999999</v>
      </c>
      <c r="Q537" s="21">
        <f t="shared" si="338"/>
        <v>15402.643</v>
      </c>
      <c r="R537" s="21">
        <f t="shared" si="339"/>
        <v>14818.288999999997</v>
      </c>
      <c r="S537" s="44">
        <f t="shared" si="340"/>
        <v>58195.536</v>
      </c>
    </row>
    <row r="538" spans="1:20">
      <c r="A538" s="526"/>
      <c r="B538" s="15"/>
      <c r="C538" s="15"/>
      <c r="D538" s="488"/>
      <c r="E538" s="483"/>
      <c r="F538" s="15"/>
      <c r="G538" s="15"/>
      <c r="H538" s="15"/>
      <c r="I538" s="15"/>
      <c r="J538" s="15"/>
      <c r="K538" s="15"/>
      <c r="L538" s="15"/>
      <c r="M538" s="15"/>
      <c r="N538" s="488"/>
      <c r="O538" s="15"/>
      <c r="P538" s="19"/>
      <c r="Q538" s="15"/>
      <c r="R538" s="15"/>
      <c r="S538" s="36"/>
    </row>
    <row r="539" spans="1:20" ht="13" customHeight="1">
      <c r="A539" s="528" t="s">
        <v>184</v>
      </c>
      <c r="B539" s="488"/>
      <c r="C539" s="488"/>
      <c r="D539" s="488"/>
      <c r="E539" s="488"/>
      <c r="F539" s="488"/>
      <c r="G539" s="488"/>
      <c r="H539" s="488"/>
      <c r="I539" s="488"/>
      <c r="J539" s="488"/>
      <c r="K539" s="488"/>
      <c r="L539" s="488"/>
      <c r="M539" s="488"/>
      <c r="N539" s="514"/>
      <c r="O539" s="488"/>
      <c r="P539" s="19"/>
      <c r="Q539" s="488"/>
      <c r="R539" s="488"/>
    </row>
    <row r="540" spans="1:20">
      <c r="A540" s="526" t="s">
        <v>22</v>
      </c>
      <c r="B540" s="24">
        <f t="shared" ref="B540:M540" si="346">B532/B588-1</f>
        <v>0.1643706695320315</v>
      </c>
      <c r="C540" s="24">
        <f t="shared" si="346"/>
        <v>-2.6968023629125426E-2</v>
      </c>
      <c r="D540" s="24">
        <f t="shared" si="346"/>
        <v>2.1358920468470322E-2</v>
      </c>
      <c r="E540" s="24">
        <f t="shared" si="346"/>
        <v>-9.4738978529697038E-3</v>
      </c>
      <c r="F540" s="24">
        <f t="shared" si="346"/>
        <v>5.5029291266224911E-2</v>
      </c>
      <c r="G540" s="24">
        <f t="shared" si="346"/>
        <v>8.5448123277568566E-2</v>
      </c>
      <c r="H540" s="24">
        <f t="shared" si="346"/>
        <v>7.7350670233854002E-2</v>
      </c>
      <c r="I540" s="24">
        <f t="shared" si="346"/>
        <v>8.7775314718024688E-2</v>
      </c>
      <c r="J540" s="24">
        <f t="shared" si="346"/>
        <v>0.15484942284129732</v>
      </c>
      <c r="K540" s="24">
        <f t="shared" si="346"/>
        <v>0.20259997018742704</v>
      </c>
      <c r="L540" s="24">
        <f t="shared" si="346"/>
        <v>0.18496374299534235</v>
      </c>
      <c r="M540" s="24">
        <f t="shared" si="346"/>
        <v>0.15697046704810025</v>
      </c>
      <c r="N540" s="19"/>
      <c r="O540" s="24">
        <f t="shared" ref="O540:S545" si="347">O532/O588-1</f>
        <v>5.045395869706315E-2</v>
      </c>
      <c r="P540" s="24">
        <f t="shared" si="347"/>
        <v>4.2495683992772371E-2</v>
      </c>
      <c r="Q540" s="24">
        <f t="shared" si="347"/>
        <v>0.10416811952472904</v>
      </c>
      <c r="R540" s="24">
        <f t="shared" si="347"/>
        <v>0.18091571231418935</v>
      </c>
      <c r="S540" s="24">
        <f t="shared" si="347"/>
        <v>9.3473150657991111E-2</v>
      </c>
    </row>
    <row r="541" spans="1:20">
      <c r="A541" s="526" t="s">
        <v>25</v>
      </c>
      <c r="B541" s="24">
        <f t="shared" ref="B541:M541" si="348">B533/B589-1</f>
        <v>0.1559607956671869</v>
      </c>
      <c r="C541" s="24">
        <f t="shared" si="348"/>
        <v>-2.7529889260613727E-2</v>
      </c>
      <c r="D541" s="24">
        <f t="shared" si="348"/>
        <v>5.5240657398596182E-2</v>
      </c>
      <c r="E541" s="24">
        <f t="shared" si="348"/>
        <v>-7.4964072518246549E-4</v>
      </c>
      <c r="F541" s="24">
        <f t="shared" si="348"/>
        <v>4.0763978200473172E-3</v>
      </c>
      <c r="G541" s="24">
        <f t="shared" si="348"/>
        <v>-4.2519882271901843E-2</v>
      </c>
      <c r="H541" s="24">
        <f t="shared" si="348"/>
        <v>-7.4689763181041702E-3</v>
      </c>
      <c r="I541" s="24">
        <f t="shared" si="348"/>
        <v>2.9268146009982621E-2</v>
      </c>
      <c r="J541" s="24">
        <f t="shared" si="348"/>
        <v>6.920615977454414E-2</v>
      </c>
      <c r="K541" s="24">
        <f t="shared" si="348"/>
        <v>9.7008822834693698E-2</v>
      </c>
      <c r="L541" s="24">
        <f t="shared" si="348"/>
        <v>7.5387220505239938E-2</v>
      </c>
      <c r="M541" s="24">
        <f t="shared" si="348"/>
        <v>5.4618063529031424E-2</v>
      </c>
      <c r="N541" s="19"/>
      <c r="O541" s="24">
        <f t="shared" si="347"/>
        <v>5.8678285462425706E-2</v>
      </c>
      <c r="P541" s="24">
        <f t="shared" si="347"/>
        <v>-1.3154424339576143E-2</v>
      </c>
      <c r="Q541" s="24">
        <f t="shared" si="347"/>
        <v>2.8333022074478187E-2</v>
      </c>
      <c r="R541" s="24">
        <f t="shared" si="347"/>
        <v>7.5279078673607058E-2</v>
      </c>
      <c r="S541" s="24">
        <f t="shared" si="347"/>
        <v>3.6959727395166952E-2</v>
      </c>
    </row>
    <row r="542" spans="1:20">
      <c r="A542" s="526" t="s">
        <v>172</v>
      </c>
      <c r="B542" s="24">
        <f t="shared" ref="B542:M542" si="349">B534/B590-1</f>
        <v>5.8629509962304649E-2</v>
      </c>
      <c r="C542" s="24">
        <f t="shared" si="349"/>
        <v>-3.6550003371771389E-2</v>
      </c>
      <c r="D542" s="24">
        <f t="shared" si="349"/>
        <v>1.2473862571201755E-2</v>
      </c>
      <c r="E542" s="24">
        <f t="shared" si="349"/>
        <v>-2.7517241379310442E-2</v>
      </c>
      <c r="F542" s="24">
        <f t="shared" si="349"/>
        <v>-1.3236977676015838E-2</v>
      </c>
      <c r="G542" s="24">
        <f t="shared" si="349"/>
        <v>-4.3172347837967306E-2</v>
      </c>
      <c r="H542" s="24">
        <f t="shared" si="349"/>
        <v>-4.4267269590051783E-2</v>
      </c>
      <c r="I542" s="24">
        <f t="shared" si="349"/>
        <v>-3.7024221453287209E-2</v>
      </c>
      <c r="J542" s="24">
        <f t="shared" si="349"/>
        <v>2.1694214876033069E-2</v>
      </c>
      <c r="K542" s="24">
        <f t="shared" si="349"/>
        <v>8.459551895023365E-2</v>
      </c>
      <c r="L542" s="24">
        <f t="shared" si="349"/>
        <v>0.16541991208452234</v>
      </c>
      <c r="M542" s="24">
        <f t="shared" si="349"/>
        <v>0.13254183156286858</v>
      </c>
      <c r="N542" s="19"/>
      <c r="O542" s="24">
        <f t="shared" si="347"/>
        <v>1.1525921844147691E-2</v>
      </c>
      <c r="P542" s="24">
        <f t="shared" si="347"/>
        <v>-2.820364142409848E-2</v>
      </c>
      <c r="Q542" s="24">
        <f t="shared" si="347"/>
        <v>-2.200669858425619E-2</v>
      </c>
      <c r="R542" s="24">
        <f t="shared" si="347"/>
        <v>0.12629205938077059</v>
      </c>
      <c r="S542" s="24">
        <f t="shared" si="347"/>
        <v>1.9663000683488585E-2</v>
      </c>
    </row>
    <row r="543" spans="1:20" s="31" customFormat="1" ht="13" customHeight="1">
      <c r="A543" s="536" t="s">
        <v>196</v>
      </c>
      <c r="B543" s="28">
        <f t="shared" ref="B543:M543" si="350">B535/B591-1</f>
        <v>0.12461763917181412</v>
      </c>
      <c r="C543" s="28">
        <f t="shared" si="350"/>
        <v>-3.0314620659342539E-2</v>
      </c>
      <c r="D543" s="28">
        <f t="shared" si="350"/>
        <v>2.9838975173321902E-2</v>
      </c>
      <c r="E543" s="28">
        <f t="shared" si="350"/>
        <v>-1.2638708983525704E-2</v>
      </c>
      <c r="F543" s="28">
        <f t="shared" si="350"/>
        <v>1.4375963919607493E-2</v>
      </c>
      <c r="G543" s="28">
        <f t="shared" si="350"/>
        <v>-3.3991683495415703E-3</v>
      </c>
      <c r="H543" s="28">
        <f t="shared" si="350"/>
        <v>5.2608942994536445E-3</v>
      </c>
      <c r="I543" s="28">
        <f t="shared" si="350"/>
        <v>2.3388608034022651E-2</v>
      </c>
      <c r="J543" s="28">
        <f t="shared" si="350"/>
        <v>7.8330215108533663E-2</v>
      </c>
      <c r="K543" s="28">
        <f t="shared" si="350"/>
        <v>0.12549653150473628</v>
      </c>
      <c r="L543" s="28">
        <f t="shared" si="350"/>
        <v>0.14048977773652216</v>
      </c>
      <c r="M543" s="28">
        <f t="shared" si="350"/>
        <v>0.11348697295379861</v>
      </c>
      <c r="N543" s="28"/>
      <c r="O543" s="28">
        <f t="shared" si="347"/>
        <v>4.0077597277887511E-2</v>
      </c>
      <c r="P543" s="522">
        <f t="shared" si="347"/>
        <v>-7.3133381357426419E-4</v>
      </c>
      <c r="Q543" s="522">
        <f t="shared" si="347"/>
        <v>3.3465580438855058E-2</v>
      </c>
      <c r="R543" s="28">
        <f t="shared" si="347"/>
        <v>0.12602793016820191</v>
      </c>
      <c r="S543" s="28">
        <f t="shared" si="347"/>
        <v>4.8779440647992445E-2</v>
      </c>
    </row>
    <row r="544" spans="1:20" s="31" customFormat="1" ht="13" customHeight="1">
      <c r="A544" s="526" t="s">
        <v>181</v>
      </c>
      <c r="B544" s="41">
        <f t="shared" ref="B544:M544" si="351">B536/B592-1</f>
        <v>1.1928735818577585</v>
      </c>
      <c r="C544" s="41">
        <f t="shared" si="351"/>
        <v>0.89716333021957873</v>
      </c>
      <c r="D544" s="41">
        <f t="shared" si="351"/>
        <v>0.81287316731011572</v>
      </c>
      <c r="E544" s="41">
        <f t="shared" si="351"/>
        <v>0.76096908458172807</v>
      </c>
      <c r="F544" s="41">
        <f t="shared" si="351"/>
        <v>0.67164780888541675</v>
      </c>
      <c r="G544" s="41">
        <f t="shared" si="351"/>
        <v>0.70860733596375858</v>
      </c>
      <c r="H544" s="41">
        <f t="shared" si="351"/>
        <v>0.62202940837716425</v>
      </c>
      <c r="I544" s="41">
        <f t="shared" si="351"/>
        <v>0.58568437488910186</v>
      </c>
      <c r="J544" s="41">
        <f t="shared" si="351"/>
        <v>0.49249754017710723</v>
      </c>
      <c r="K544" s="41">
        <f t="shared" si="351"/>
        <v>0.54316485753052923</v>
      </c>
      <c r="L544" s="41">
        <f t="shared" si="351"/>
        <v>0.5331125827814569</v>
      </c>
      <c r="M544" s="41">
        <f t="shared" si="351"/>
        <v>0.47288300722578547</v>
      </c>
      <c r="N544" s="41"/>
      <c r="O544" s="41">
        <f t="shared" si="347"/>
        <v>0.96180115365111574</v>
      </c>
      <c r="P544" s="41">
        <f t="shared" si="347"/>
        <v>0.71282125862016477</v>
      </c>
      <c r="Q544" s="41">
        <f t="shared" si="347"/>
        <v>0.56881375766363917</v>
      </c>
      <c r="R544" s="41">
        <f t="shared" si="347"/>
        <v>0.51506024096385539</v>
      </c>
      <c r="S544" s="41">
        <f t="shared" si="347"/>
        <v>0.66459249770105355</v>
      </c>
    </row>
    <row r="545" spans="1:256" s="31" customFormat="1" ht="13" customHeight="1">
      <c r="A545" s="535" t="s">
        <v>197</v>
      </c>
      <c r="B545" s="28">
        <f t="shared" ref="B545:M545" si="352">B537/B593-1</f>
        <v>0.16344221638049028</v>
      </c>
      <c r="C545" s="28">
        <f t="shared" si="352"/>
        <v>3.2492984493570631E-3</v>
      </c>
      <c r="D545" s="28">
        <f t="shared" si="352"/>
        <v>6.172422096708674E-2</v>
      </c>
      <c r="E545" s="28">
        <f t="shared" si="352"/>
        <v>1.9875101381294336E-2</v>
      </c>
      <c r="F545" s="28">
        <f t="shared" si="352"/>
        <v>4.4639477772737246E-2</v>
      </c>
      <c r="G545" s="28">
        <f t="shared" si="352"/>
        <v>2.9861988144405993E-2</v>
      </c>
      <c r="H545" s="28">
        <f t="shared" si="352"/>
        <v>3.729240045340676E-2</v>
      </c>
      <c r="I545" s="28">
        <f t="shared" si="352"/>
        <v>5.4132662762766293E-2</v>
      </c>
      <c r="J545" s="28">
        <f t="shared" si="352"/>
        <v>0.10167512432292547</v>
      </c>
      <c r="K545" s="28">
        <f t="shared" si="352"/>
        <v>0.14821381663838795</v>
      </c>
      <c r="L545" s="28">
        <f t="shared" si="352"/>
        <v>0.16061586540483908</v>
      </c>
      <c r="M545" s="28">
        <f t="shared" si="352"/>
        <v>0.13307377948630794</v>
      </c>
      <c r="N545" s="28"/>
      <c r="O545" s="28">
        <f t="shared" si="347"/>
        <v>7.4823687962602969E-2</v>
      </c>
      <c r="P545" s="28">
        <f t="shared" si="347"/>
        <v>3.1311857522793529E-2</v>
      </c>
      <c r="Q545" s="28">
        <f t="shared" si="347"/>
        <v>6.2498547075612532E-2</v>
      </c>
      <c r="R545" s="28">
        <f t="shared" si="347"/>
        <v>0.14681934488158443</v>
      </c>
      <c r="S545" s="28">
        <f t="shared" si="347"/>
        <v>7.8132773120733079E-2</v>
      </c>
    </row>
    <row r="546" spans="1:256">
      <c r="A546" s="526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508"/>
      <c r="O546" s="19"/>
      <c r="P546" s="19"/>
      <c r="Q546" s="19"/>
      <c r="R546" s="19"/>
    </row>
    <row r="547" spans="1:256" ht="13" customHeight="1">
      <c r="A547" s="528" t="s">
        <v>185</v>
      </c>
      <c r="B547" s="488"/>
      <c r="C547" s="488"/>
      <c r="D547" s="488"/>
      <c r="E547" s="488"/>
      <c r="F547" s="488"/>
      <c r="G547" s="488"/>
      <c r="H547" s="488"/>
      <c r="I547" s="488"/>
      <c r="J547" s="488"/>
      <c r="K547" s="488"/>
      <c r="L547" s="488"/>
      <c r="M547" s="488"/>
      <c r="N547" s="488"/>
      <c r="O547" s="488"/>
      <c r="P547" s="488"/>
      <c r="Q547" s="488"/>
      <c r="R547" s="488"/>
    </row>
    <row r="548" spans="1:256">
      <c r="A548" s="526" t="s">
        <v>22</v>
      </c>
      <c r="B548" s="483">
        <f t="shared" ref="B548:B553" si="353">B532/M588-1</f>
        <v>0.15403994036121138</v>
      </c>
      <c r="C548" s="483">
        <f t="shared" ref="C548:M548" si="354">C532/B532-1</f>
        <v>-8.3773532069803758E-2</v>
      </c>
      <c r="D548" s="483">
        <f t="shared" si="354"/>
        <v>-4.4705931385147668E-2</v>
      </c>
      <c r="E548" s="483">
        <f t="shared" si="354"/>
        <v>-6.3696583216386049E-3</v>
      </c>
      <c r="F548" s="483">
        <f t="shared" si="354"/>
        <v>8.1960614997329539E-3</v>
      </c>
      <c r="G548" s="483">
        <f t="shared" si="354"/>
        <v>1.4887022668050642E-2</v>
      </c>
      <c r="H548" s="483">
        <f t="shared" si="354"/>
        <v>0.11168485646035653</v>
      </c>
      <c r="I548" s="483">
        <f t="shared" si="354"/>
        <v>3.231513529510166E-2</v>
      </c>
      <c r="J548" s="483">
        <f t="shared" si="354"/>
        <v>-0.10715999526364661</v>
      </c>
      <c r="K548" s="483">
        <f t="shared" si="354"/>
        <v>6.994681222341681E-2</v>
      </c>
      <c r="L548" s="483">
        <f t="shared" si="354"/>
        <v>-5.2281015350290727E-2</v>
      </c>
      <c r="M548" s="483">
        <f t="shared" si="354"/>
        <v>8.4337764071782173E-2</v>
      </c>
      <c r="N548" s="488"/>
      <c r="O548" s="19"/>
      <c r="P548" s="19"/>
      <c r="Q548" s="19"/>
      <c r="R548" s="19"/>
    </row>
    <row r="549" spans="1:256">
      <c r="A549" s="526" t="s">
        <v>25</v>
      </c>
      <c r="B549" s="483">
        <f t="shared" si="353"/>
        <v>0.11219761749147716</v>
      </c>
      <c r="C549" s="483">
        <f t="shared" ref="C549:M549" si="355">C533/B533-1</f>
        <v>-8.3772083343259918E-2</v>
      </c>
      <c r="D549" s="483">
        <f t="shared" si="355"/>
        <v>-1.6709791792647311E-2</v>
      </c>
      <c r="E549" s="483">
        <f t="shared" si="355"/>
        <v>-1.9365543016308218E-2</v>
      </c>
      <c r="F549" s="483">
        <f t="shared" si="355"/>
        <v>-2.2933397866934047E-2</v>
      </c>
      <c r="G549" s="483">
        <f t="shared" si="355"/>
        <v>-2.6188391961825985E-2</v>
      </c>
      <c r="H549" s="483">
        <f t="shared" si="355"/>
        <v>0.17668047380277607</v>
      </c>
      <c r="I549" s="483">
        <f t="shared" si="355"/>
        <v>5.7027105476059603E-2</v>
      </c>
      <c r="J549" s="483">
        <f t="shared" si="355"/>
        <v>-0.13107673072091719</v>
      </c>
      <c r="K549" s="483">
        <f t="shared" si="355"/>
        <v>2.7406784322189681E-2</v>
      </c>
      <c r="L549" s="483">
        <f t="shared" si="355"/>
        <v>-6.109557501621421E-2</v>
      </c>
      <c r="M549" s="483">
        <f t="shared" si="355"/>
        <v>8.2011389696298176E-2</v>
      </c>
      <c r="N549" s="488"/>
      <c r="O549" s="19"/>
      <c r="P549" s="19"/>
      <c r="Q549" s="19"/>
      <c r="R549" s="19"/>
    </row>
    <row r="550" spans="1:256">
      <c r="A550" s="526" t="s">
        <v>172</v>
      </c>
      <c r="B550" s="483">
        <f t="shared" si="353"/>
        <v>9.1925293341664771E-2</v>
      </c>
      <c r="C550" s="483">
        <f t="shared" ref="C550:M550" si="356">C534/B534-1</f>
        <v>-9.1562281426845527E-2</v>
      </c>
      <c r="D550" s="483">
        <f t="shared" si="356"/>
        <v>-1.7148456638902632E-2</v>
      </c>
      <c r="E550" s="483">
        <f t="shared" si="356"/>
        <v>4.2016806722688926E-3</v>
      </c>
      <c r="F550" s="483">
        <f t="shared" si="356"/>
        <v>-2.1984256435713667E-2</v>
      </c>
      <c r="G550" s="483">
        <f t="shared" si="356"/>
        <v>1.5662388514248171E-2</v>
      </c>
      <c r="H550" s="483">
        <f t="shared" si="356"/>
        <v>0.14678375098165208</v>
      </c>
      <c r="I550" s="483">
        <f t="shared" si="356"/>
        <v>3.9531843366743535E-2</v>
      </c>
      <c r="J550" s="483">
        <f t="shared" si="356"/>
        <v>-0.11157024793388426</v>
      </c>
      <c r="K550" s="483">
        <f t="shared" si="356"/>
        <v>4.7455342096393682E-2</v>
      </c>
      <c r="L550" s="483">
        <f t="shared" si="356"/>
        <v>-2.7479245768710969E-2</v>
      </c>
      <c r="M550" s="483">
        <f t="shared" si="356"/>
        <v>7.9407093700370579E-2</v>
      </c>
      <c r="N550" s="488"/>
      <c r="O550" s="19"/>
      <c r="P550" s="19"/>
      <c r="Q550" s="19"/>
      <c r="R550" s="19"/>
    </row>
    <row r="551" spans="1:256" s="520" customFormat="1" ht="13" customHeight="1">
      <c r="A551" s="535" t="s">
        <v>196</v>
      </c>
      <c r="B551" s="483">
        <f t="shared" si="353"/>
        <v>0.11869577913781981</v>
      </c>
      <c r="C551" s="483">
        <f t="shared" ref="C551:M551" si="357">C535/B535-1</f>
        <v>-8.6335130517755987E-2</v>
      </c>
      <c r="D551" s="483">
        <f t="shared" si="357"/>
        <v>-2.6079905609344367E-2</v>
      </c>
      <c r="E551" s="483">
        <f t="shared" si="357"/>
        <v>-7.3856934597557045E-3</v>
      </c>
      <c r="F551" s="483">
        <f t="shared" si="357"/>
        <v>-1.2543083697519553E-2</v>
      </c>
      <c r="G551" s="483">
        <f t="shared" si="357"/>
        <v>1.2237653651137048E-3</v>
      </c>
      <c r="H551" s="483">
        <f t="shared" si="357"/>
        <v>0.14488313828436761</v>
      </c>
      <c r="I551" s="483">
        <f t="shared" si="357"/>
        <v>4.3111690387475976E-2</v>
      </c>
      <c r="J551" s="483">
        <f t="shared" si="357"/>
        <v>-0.11684703909762983</v>
      </c>
      <c r="K551" s="483">
        <f t="shared" si="357"/>
        <v>4.8001729579280283E-2</v>
      </c>
      <c r="L551" s="483">
        <f t="shared" si="357"/>
        <v>-4.684822784664755E-2</v>
      </c>
      <c r="M551" s="483">
        <f t="shared" si="357"/>
        <v>8.188498053908555E-2</v>
      </c>
      <c r="N551" s="45"/>
      <c r="O551" s="21"/>
      <c r="P551" s="21"/>
      <c r="Q551" s="21"/>
      <c r="R551" s="21"/>
      <c r="S551" s="44"/>
    </row>
    <row r="552" spans="1:256">
      <c r="A552" s="526" t="s">
        <v>181</v>
      </c>
      <c r="B552" s="483">
        <f t="shared" si="353"/>
        <v>0.42725501339611904</v>
      </c>
      <c r="C552" s="483">
        <f t="shared" ref="C552:M552" si="358">C536/B536-1</f>
        <v>-8.7317614266617327E-2</v>
      </c>
      <c r="D552" s="483">
        <f t="shared" si="358"/>
        <v>-9.3178347720402899E-3</v>
      </c>
      <c r="E552" s="483">
        <f t="shared" si="358"/>
        <v>3.9414910349166554E-2</v>
      </c>
      <c r="F552" s="483">
        <f t="shared" si="358"/>
        <v>3.7829494900583072E-3</v>
      </c>
      <c r="G552" s="483">
        <f t="shared" si="358"/>
        <v>5.7525325615050527E-2</v>
      </c>
      <c r="H552" s="483">
        <f t="shared" si="358"/>
        <v>0.20449880260006847</v>
      </c>
      <c r="I552" s="483">
        <f t="shared" si="358"/>
        <v>5.7610831025586284E-2</v>
      </c>
      <c r="J552" s="483">
        <f t="shared" si="358"/>
        <v>-0.18526061365620028</v>
      </c>
      <c r="K552" s="483">
        <f t="shared" si="358"/>
        <v>-3.0215629721197512E-4</v>
      </c>
      <c r="L552" s="483">
        <f t="shared" si="358"/>
        <v>-0.12219047095675117</v>
      </c>
      <c r="M552" s="483">
        <f t="shared" si="358"/>
        <v>0.13572479419037786</v>
      </c>
      <c r="N552" s="470"/>
      <c r="O552" s="151"/>
      <c r="P552" s="151"/>
      <c r="Q552" s="151"/>
      <c r="R552" s="151"/>
      <c r="IV552" s="483"/>
    </row>
    <row r="553" spans="1:256" s="520" customFormat="1" ht="13" customHeight="1">
      <c r="A553" s="535" t="s">
        <v>197</v>
      </c>
      <c r="B553" s="483">
        <f t="shared" si="353"/>
        <v>0.13551201929884171</v>
      </c>
      <c r="C553" s="483">
        <f t="shared" ref="C553:M553" si="359">C537/B537-1</f>
        <v>-8.6402432145816443E-2</v>
      </c>
      <c r="D553" s="483">
        <f t="shared" si="359"/>
        <v>-2.493282853346257E-2</v>
      </c>
      <c r="E553" s="483">
        <f t="shared" si="359"/>
        <v>-4.1317036021558673E-3</v>
      </c>
      <c r="F553" s="483">
        <f t="shared" si="359"/>
        <v>-1.1358318060577854E-2</v>
      </c>
      <c r="G553" s="483">
        <f t="shared" si="359"/>
        <v>5.3720935037051554E-3</v>
      </c>
      <c r="H553" s="483">
        <f t="shared" si="359"/>
        <v>0.14950351099699932</v>
      </c>
      <c r="I553" s="483">
        <f t="shared" si="359"/>
        <v>4.4289174227279959E-2</v>
      </c>
      <c r="J553" s="483">
        <f t="shared" si="359"/>
        <v>-0.12247382109810578</v>
      </c>
      <c r="K553" s="483">
        <f t="shared" si="359"/>
        <v>4.4313155528352244E-2</v>
      </c>
      <c r="L553" s="483">
        <f t="shared" si="359"/>
        <v>-5.2355708616699137E-2</v>
      </c>
      <c r="M553" s="483">
        <f t="shared" si="359"/>
        <v>8.5530613412801548E-2</v>
      </c>
      <c r="N553" s="45"/>
      <c r="O553" s="21"/>
      <c r="P553" s="21"/>
      <c r="Q553" s="21"/>
      <c r="R553" s="21"/>
      <c r="S553" s="44"/>
    </row>
    <row r="554" spans="1:256" s="520" customFormat="1" ht="13" customHeight="1">
      <c r="A554" s="532"/>
      <c r="B554" s="337"/>
      <c r="C554" s="337"/>
      <c r="D554" s="337"/>
      <c r="E554" s="337"/>
      <c r="F554" s="337"/>
      <c r="G554" s="538"/>
      <c r="H554" s="337"/>
      <c r="I554" s="538"/>
      <c r="J554" s="538"/>
      <c r="K554" s="337"/>
      <c r="L554" s="337"/>
      <c r="M554" s="337"/>
      <c r="N554" s="42"/>
      <c r="O554" s="43"/>
      <c r="P554" s="43"/>
      <c r="Q554" s="43"/>
      <c r="R554" s="43"/>
      <c r="S554" s="44"/>
    </row>
    <row r="555" spans="1:256" s="520" customFormat="1" ht="13" customHeight="1">
      <c r="A555" s="532" t="s">
        <v>201</v>
      </c>
      <c r="B555" s="337"/>
      <c r="C555" s="337"/>
      <c r="D555" s="337"/>
      <c r="E555" s="337"/>
      <c r="F555" s="337"/>
      <c r="G555" s="538"/>
      <c r="H555" s="337"/>
      <c r="I555" s="538"/>
      <c r="J555" s="538"/>
      <c r="K555" s="337"/>
      <c r="L555" s="337"/>
      <c r="M555" s="337"/>
      <c r="N555" s="42"/>
      <c r="O555" s="43"/>
      <c r="P555" s="43"/>
      <c r="Q555" s="43"/>
      <c r="R555" s="43"/>
      <c r="S555" s="44"/>
    </row>
    <row r="556" spans="1:256" s="520" customFormat="1" ht="13" customHeight="1">
      <c r="A556" s="533" t="s">
        <v>162</v>
      </c>
      <c r="B556" s="472" t="s">
        <v>51</v>
      </c>
      <c r="C556" s="472" t="s">
        <v>52</v>
      </c>
      <c r="D556" s="472" t="s">
        <v>53</v>
      </c>
      <c r="E556" s="472" t="s">
        <v>54</v>
      </c>
      <c r="F556" s="472" t="s">
        <v>55</v>
      </c>
      <c r="G556" s="472" t="s">
        <v>77</v>
      </c>
      <c r="H556" s="472" t="s">
        <v>78</v>
      </c>
      <c r="I556" s="472" t="s">
        <v>79</v>
      </c>
      <c r="J556" s="472" t="s">
        <v>80</v>
      </c>
      <c r="K556" s="472" t="s">
        <v>81</v>
      </c>
      <c r="L556" s="472" t="s">
        <v>82</v>
      </c>
      <c r="M556" s="472" t="s">
        <v>44</v>
      </c>
      <c r="N556" s="473" t="s">
        <v>133</v>
      </c>
      <c r="O556" s="473" t="s">
        <v>129</v>
      </c>
      <c r="P556" s="473" t="s">
        <v>130</v>
      </c>
      <c r="Q556" s="473" t="s">
        <v>131</v>
      </c>
      <c r="R556" s="473" t="s">
        <v>132</v>
      </c>
      <c r="S556" s="445" t="s">
        <v>171</v>
      </c>
    </row>
    <row r="557" spans="1:256" s="520" customFormat="1" ht="13" customHeight="1">
      <c r="A557" s="526" t="s">
        <v>22</v>
      </c>
      <c r="B557" s="15">
        <v>1372.2</v>
      </c>
      <c r="C557" s="15">
        <v>1256.93</v>
      </c>
      <c r="D557" s="15">
        <v>1198.8</v>
      </c>
      <c r="E557" s="15">
        <v>1181.79</v>
      </c>
      <c r="F557" s="15">
        <v>1187.47</v>
      </c>
      <c r="G557" s="15">
        <v>1209.23</v>
      </c>
      <c r="H557" s="15">
        <v>1349.12</v>
      </c>
      <c r="I557" s="15">
        <v>1392.01</v>
      </c>
      <c r="J557" s="15">
        <v>1250.3499999999999</v>
      </c>
      <c r="K557" s="15">
        <v>1325.4</v>
      </c>
      <c r="L557" s="15">
        <v>1255.43</v>
      </c>
      <c r="M557" s="15">
        <v>1372.61</v>
      </c>
      <c r="N557" s="15"/>
      <c r="O557" s="15">
        <f t="shared" ref="O557:O562" si="360">SUM(B557:D557)</f>
        <v>3827.9300000000003</v>
      </c>
      <c r="P557" s="15">
        <f t="shared" ref="P557:P562" si="361">SUM(E557:G557)</f>
        <v>3578.4900000000002</v>
      </c>
      <c r="Q557" s="15">
        <f t="shared" ref="Q557:Q562" si="362">SUM(H557:J557)</f>
        <v>3991.48</v>
      </c>
      <c r="R557" s="15">
        <f t="shared" ref="R557:R562" si="363">SUM(K557:M557)</f>
        <v>3953.4399999999996</v>
      </c>
      <c r="S557" s="1">
        <f t="shared" ref="S557:S562" si="364">SUM(O557:R557)</f>
        <v>15351.34</v>
      </c>
    </row>
    <row r="558" spans="1:256" s="520" customFormat="1" ht="13" customHeight="1">
      <c r="A558" s="526" t="s">
        <v>25</v>
      </c>
      <c r="B558" s="15">
        <v>1340.8150000000001</v>
      </c>
      <c r="C558" s="15">
        <v>1230.4449999999999</v>
      </c>
      <c r="D558" s="15">
        <v>1204.9290000000001</v>
      </c>
      <c r="E558" s="15">
        <v>1156.998</v>
      </c>
      <c r="F558" s="15">
        <v>1118.8320000000001</v>
      </c>
      <c r="G558" s="15">
        <v>1096.1099999999999</v>
      </c>
      <c r="H558" s="15">
        <v>1304.8800000000001</v>
      </c>
      <c r="I558" s="15">
        <v>1401.42</v>
      </c>
      <c r="J558" s="15">
        <v>1204.5989999999999</v>
      </c>
      <c r="K558" s="15">
        <v>1221.847</v>
      </c>
      <c r="L558" s="15">
        <v>1139.6199999999999</v>
      </c>
      <c r="M558" s="15">
        <v>1248.652</v>
      </c>
      <c r="N558" s="15"/>
      <c r="O558" s="15">
        <f t="shared" si="360"/>
        <v>3776.1890000000003</v>
      </c>
      <c r="P558" s="15">
        <f t="shared" si="361"/>
        <v>3371.9399999999996</v>
      </c>
      <c r="Q558" s="15">
        <f t="shared" si="362"/>
        <v>3910.8990000000003</v>
      </c>
      <c r="R558" s="15">
        <f t="shared" si="363"/>
        <v>3610.1189999999997</v>
      </c>
      <c r="S558" s="1">
        <f t="shared" si="364"/>
        <v>14669.147000000001</v>
      </c>
    </row>
    <row r="559" spans="1:256" s="520" customFormat="1" ht="13" customHeight="1">
      <c r="A559" s="526" t="s">
        <v>172</v>
      </c>
      <c r="B559" s="15">
        <v>1191.7</v>
      </c>
      <c r="C559" s="15">
        <v>1078.2</v>
      </c>
      <c r="D559" s="15">
        <v>1070.8</v>
      </c>
      <c r="E559" s="470">
        <v>1052.5</v>
      </c>
      <c r="F559" s="15">
        <v>1027.9000000000001</v>
      </c>
      <c r="G559" s="15">
        <v>1044.5999999999999</v>
      </c>
      <c r="H559" s="15">
        <v>1190.5999999999999</v>
      </c>
      <c r="I559" s="15">
        <v>1239.5999999999999</v>
      </c>
      <c r="J559" s="15">
        <v>1117.0999999999999</v>
      </c>
      <c r="K559" s="15">
        <v>1159.0999999999999</v>
      </c>
      <c r="L559" s="15">
        <v>1110.3</v>
      </c>
      <c r="M559" s="15">
        <v>1219.0999999999999</v>
      </c>
      <c r="N559" s="15"/>
      <c r="O559" s="15">
        <f t="shared" si="360"/>
        <v>3340.7</v>
      </c>
      <c r="P559" s="15">
        <f t="shared" si="361"/>
        <v>3125</v>
      </c>
      <c r="Q559" s="15">
        <f t="shared" si="362"/>
        <v>3547.2999999999997</v>
      </c>
      <c r="R559" s="15">
        <f t="shared" si="363"/>
        <v>3488.4999999999995</v>
      </c>
      <c r="S559" s="1">
        <f t="shared" si="364"/>
        <v>13501.5</v>
      </c>
    </row>
    <row r="560" spans="1:256" s="520" customFormat="1" ht="13" customHeight="1">
      <c r="A560" s="535" t="s">
        <v>196</v>
      </c>
      <c r="B560" s="45">
        <f t="shared" ref="B560:M560" si="365">SUM(B557:B559)</f>
        <v>3904.7150000000001</v>
      </c>
      <c r="C560" s="45">
        <f t="shared" si="365"/>
        <v>3565.5749999999998</v>
      </c>
      <c r="D560" s="45">
        <f t="shared" si="365"/>
        <v>3474.5290000000005</v>
      </c>
      <c r="E560" s="45">
        <f t="shared" si="365"/>
        <v>3391.288</v>
      </c>
      <c r="F560" s="45">
        <f t="shared" si="365"/>
        <v>3334.2020000000002</v>
      </c>
      <c r="G560" s="45">
        <f t="shared" si="365"/>
        <v>3349.94</v>
      </c>
      <c r="H560" s="45">
        <f t="shared" si="365"/>
        <v>3844.6</v>
      </c>
      <c r="I560" s="45">
        <f t="shared" si="365"/>
        <v>4033.03</v>
      </c>
      <c r="J560" s="45">
        <f t="shared" si="365"/>
        <v>3572.0489999999995</v>
      </c>
      <c r="K560" s="45">
        <f t="shared" si="365"/>
        <v>3706.3470000000002</v>
      </c>
      <c r="L560" s="45">
        <f t="shared" si="365"/>
        <v>3505.3500000000004</v>
      </c>
      <c r="M560" s="45">
        <f t="shared" si="365"/>
        <v>3840.3619999999996</v>
      </c>
      <c r="N560" s="45"/>
      <c r="O560" s="21">
        <f t="shared" si="360"/>
        <v>10944.819</v>
      </c>
      <c r="P560" s="21">
        <f t="shared" si="361"/>
        <v>10075.43</v>
      </c>
      <c r="Q560" s="21">
        <f t="shared" si="362"/>
        <v>11449.679</v>
      </c>
      <c r="R560" s="21">
        <f t="shared" si="363"/>
        <v>11052.058999999999</v>
      </c>
      <c r="S560" s="44">
        <f t="shared" si="364"/>
        <v>43521.987000000001</v>
      </c>
    </row>
    <row r="561" spans="1:19" s="520" customFormat="1" ht="13" customHeight="1">
      <c r="A561" s="526" t="s">
        <v>181</v>
      </c>
      <c r="B561" s="39">
        <v>327.26</v>
      </c>
      <c r="C561" s="39">
        <v>297.13</v>
      </c>
      <c r="D561" s="39">
        <v>294.70999999999998</v>
      </c>
      <c r="E561" s="39">
        <v>305.01</v>
      </c>
      <c r="F561" s="39">
        <v>308.88</v>
      </c>
      <c r="G561" s="40">
        <v>327.2</v>
      </c>
      <c r="H561" s="39">
        <v>396.11</v>
      </c>
      <c r="I561" s="40">
        <v>420.93</v>
      </c>
      <c r="J561" s="40">
        <v>341.2</v>
      </c>
      <c r="K561" s="39">
        <v>339.46</v>
      </c>
      <c r="L561" s="39">
        <v>296.58999999999997</v>
      </c>
      <c r="M561" s="39">
        <v>338.69</v>
      </c>
      <c r="N561" s="42"/>
      <c r="O561" s="15">
        <f t="shared" si="360"/>
        <v>919.09999999999991</v>
      </c>
      <c r="P561" s="15">
        <f t="shared" si="361"/>
        <v>941.08999999999992</v>
      </c>
      <c r="Q561" s="15">
        <f t="shared" si="362"/>
        <v>1158.24</v>
      </c>
      <c r="R561" s="15">
        <f t="shared" si="363"/>
        <v>974.74</v>
      </c>
      <c r="S561" s="1">
        <f t="shared" si="364"/>
        <v>3993.17</v>
      </c>
    </row>
    <row r="562" spans="1:19" s="520" customFormat="1" ht="13" customHeight="1">
      <c r="A562" s="535" t="s">
        <v>197</v>
      </c>
      <c r="B562" s="42">
        <f t="shared" ref="B562:M562" si="366">B560+B561</f>
        <v>4231.9750000000004</v>
      </c>
      <c r="C562" s="42">
        <f t="shared" si="366"/>
        <v>3862.7049999999999</v>
      </c>
      <c r="D562" s="42">
        <f t="shared" si="366"/>
        <v>3769.2390000000005</v>
      </c>
      <c r="E562" s="42">
        <f t="shared" si="366"/>
        <v>3696.2979999999998</v>
      </c>
      <c r="F562" s="42">
        <f t="shared" si="366"/>
        <v>3643.0820000000003</v>
      </c>
      <c r="G562" s="42">
        <f t="shared" si="366"/>
        <v>3677.14</v>
      </c>
      <c r="H562" s="42">
        <f t="shared" si="366"/>
        <v>4240.71</v>
      </c>
      <c r="I562" s="42">
        <f t="shared" si="366"/>
        <v>4453.96</v>
      </c>
      <c r="J562" s="42">
        <f t="shared" si="366"/>
        <v>3913.2489999999993</v>
      </c>
      <c r="K562" s="42">
        <f t="shared" si="366"/>
        <v>4045.8070000000002</v>
      </c>
      <c r="L562" s="42">
        <f t="shared" si="366"/>
        <v>3801.9400000000005</v>
      </c>
      <c r="M562" s="42">
        <f t="shared" si="366"/>
        <v>4179.0519999999997</v>
      </c>
      <c r="N562" s="42"/>
      <c r="O562" s="21">
        <f t="shared" si="360"/>
        <v>11863.919000000002</v>
      </c>
      <c r="P562" s="21">
        <f t="shared" si="361"/>
        <v>11016.52</v>
      </c>
      <c r="Q562" s="21">
        <f t="shared" si="362"/>
        <v>12607.919</v>
      </c>
      <c r="R562" s="21">
        <f t="shared" si="363"/>
        <v>12026.799000000001</v>
      </c>
      <c r="S562" s="44">
        <f t="shared" si="364"/>
        <v>47515.156999999999</v>
      </c>
    </row>
    <row r="563" spans="1:19" s="520" customFormat="1" ht="13" customHeight="1">
      <c r="A563" s="532"/>
      <c r="B563" s="337"/>
      <c r="C563" s="337"/>
      <c r="D563" s="337"/>
      <c r="E563" s="337"/>
      <c r="F563" s="337"/>
      <c r="G563" s="538"/>
      <c r="H563" s="337"/>
      <c r="I563" s="538"/>
      <c r="J563" s="538"/>
      <c r="K563" s="337"/>
      <c r="L563" s="337"/>
      <c r="M563" s="337"/>
      <c r="N563" s="42"/>
      <c r="O563" s="43"/>
      <c r="P563" s="43"/>
      <c r="Q563" s="43"/>
      <c r="R563" s="43"/>
      <c r="S563" s="44"/>
    </row>
    <row r="564" spans="1:19" s="520" customFormat="1" ht="13" customHeight="1">
      <c r="A564" s="528" t="s">
        <v>184</v>
      </c>
      <c r="B564" s="337"/>
      <c r="C564" s="337"/>
      <c r="D564" s="337"/>
      <c r="E564" s="337"/>
      <c r="F564" s="337"/>
      <c r="G564" s="538"/>
      <c r="H564" s="337"/>
      <c r="I564" s="538"/>
      <c r="J564" s="538"/>
      <c r="K564" s="337"/>
      <c r="L564" s="337"/>
      <c r="M564" s="337"/>
      <c r="N564" s="42"/>
      <c r="O564" s="43"/>
      <c r="P564" s="43"/>
      <c r="Q564" s="43"/>
      <c r="R564" s="43"/>
      <c r="S564" s="44"/>
    </row>
    <row r="565" spans="1:19" s="520" customFormat="1" ht="13" customHeight="1">
      <c r="A565" s="526" t="s">
        <v>22</v>
      </c>
      <c r="B565" s="337">
        <f t="shared" ref="B565:M565" si="367">B557/B613-1</f>
        <v>0.20523833364074728</v>
      </c>
      <c r="C565" s="337">
        <f t="shared" si="367"/>
        <v>2.4317694708619664E-2</v>
      </c>
      <c r="D565" s="337">
        <f t="shared" si="367"/>
        <v>5.0224710242056325E-2</v>
      </c>
      <c r="E565" s="337">
        <f t="shared" si="367"/>
        <v>5.9927644179611494E-3</v>
      </c>
      <c r="F565" s="337">
        <f t="shared" si="367"/>
        <v>6.0061239611137296E-2</v>
      </c>
      <c r="G565" s="337">
        <f t="shared" si="367"/>
        <v>9.5932498323333615E-2</v>
      </c>
      <c r="H565" s="337">
        <f t="shared" si="367"/>
        <v>8.5365363110514014E-2</v>
      </c>
      <c r="I565" s="337">
        <f t="shared" si="367"/>
        <v>9.2869704487642535E-2</v>
      </c>
      <c r="J565" s="337">
        <f t="shared" si="367"/>
        <v>0.17055337633522738</v>
      </c>
      <c r="K565" s="337">
        <f t="shared" si="367"/>
        <v>0.2085897961975105</v>
      </c>
      <c r="L565" s="337">
        <f t="shared" si="367"/>
        <v>0.18724643711640487</v>
      </c>
      <c r="M565" s="337">
        <f t="shared" si="367"/>
        <v>0.15896617525372791</v>
      </c>
      <c r="N565" s="42"/>
      <c r="O565" s="337">
        <f t="shared" ref="O565:S570" si="368">O557/O613-1</f>
        <v>9.1483252497084555E-2</v>
      </c>
      <c r="P565" s="337">
        <f t="shared" si="368"/>
        <v>5.3017373290331626E-2</v>
      </c>
      <c r="Q565" s="337">
        <f t="shared" si="368"/>
        <v>0.11341460012831606</v>
      </c>
      <c r="R565" s="337">
        <f t="shared" si="368"/>
        <v>0.18422487284403988</v>
      </c>
      <c r="S565" s="337">
        <f t="shared" si="368"/>
        <v>0.11010483247557801</v>
      </c>
    </row>
    <row r="566" spans="1:19" s="520" customFormat="1" ht="13" customHeight="1">
      <c r="A566" s="526" t="s">
        <v>25</v>
      </c>
      <c r="B566" s="337">
        <f t="shared" ref="B566:M566" si="369">B558/B614-1</f>
        <v>0.17308701814554928</v>
      </c>
      <c r="C566" s="337">
        <f t="shared" si="369"/>
        <v>-1.145255884952201E-2</v>
      </c>
      <c r="D566" s="337">
        <f t="shared" si="369"/>
        <v>5.5751336195566603E-2</v>
      </c>
      <c r="E566" s="337">
        <f t="shared" si="369"/>
        <v>-1.7936900002546441E-2</v>
      </c>
      <c r="F566" s="337">
        <f t="shared" si="369"/>
        <v>-2.6094828561728955E-2</v>
      </c>
      <c r="G566" s="337">
        <f t="shared" si="369"/>
        <v>-6.8004999617376272E-2</v>
      </c>
      <c r="H566" s="337">
        <f t="shared" si="369"/>
        <v>-3.2949441949397307E-2</v>
      </c>
      <c r="I566" s="337">
        <f t="shared" si="369"/>
        <v>9.3050054015124672E-3</v>
      </c>
      <c r="J566" s="337">
        <f t="shared" si="369"/>
        <v>4.9485101934134912E-2</v>
      </c>
      <c r="K566" s="337">
        <f t="shared" si="369"/>
        <v>7.5399144501751447E-2</v>
      </c>
      <c r="L566" s="337">
        <f t="shared" si="369"/>
        <v>5.3053719027356117E-2</v>
      </c>
      <c r="M566" s="337">
        <f t="shared" si="369"/>
        <v>4.4314177776922925E-2</v>
      </c>
      <c r="N566" s="42"/>
      <c r="O566" s="337">
        <f t="shared" si="368"/>
        <v>7.005111958696264E-2</v>
      </c>
      <c r="P566" s="337">
        <f t="shared" si="368"/>
        <v>-3.7421889050336499E-2</v>
      </c>
      <c r="Q566" s="337">
        <f t="shared" si="368"/>
        <v>6.5006022173952349E-3</v>
      </c>
      <c r="R566" s="337">
        <f t="shared" si="368"/>
        <v>5.7429412322952178E-2</v>
      </c>
      <c r="S566" s="337">
        <f t="shared" si="368"/>
        <v>2.3545354208453384E-2</v>
      </c>
    </row>
    <row r="567" spans="1:19" s="520" customFormat="1" ht="13" customHeight="1">
      <c r="A567" s="526" t="s">
        <v>172</v>
      </c>
      <c r="B567" s="337">
        <f t="shared" ref="B567:M567" si="370">B559/B615-1</f>
        <v>8.2477972567899016E-2</v>
      </c>
      <c r="C567" s="337">
        <f t="shared" si="370"/>
        <v>3.1178270849273382E-2</v>
      </c>
      <c r="D567" s="337">
        <f t="shared" si="370"/>
        <v>4.6520719311962333E-2</v>
      </c>
      <c r="E567" s="337">
        <f t="shared" si="370"/>
        <v>-1.3034508627156827E-2</v>
      </c>
      <c r="F567" s="337">
        <f t="shared" si="370"/>
        <v>-4.6480100706884908E-3</v>
      </c>
      <c r="G567" s="337">
        <f t="shared" si="370"/>
        <v>-5.0104573974720457E-2</v>
      </c>
      <c r="H567" s="337">
        <f t="shared" si="370"/>
        <v>-7.9480439152621152E-2</v>
      </c>
      <c r="I567" s="337">
        <f t="shared" si="370"/>
        <v>-7.7472650145121724E-2</v>
      </c>
      <c r="J567" s="337">
        <f t="shared" si="370"/>
        <v>-3.3012134189864817E-3</v>
      </c>
      <c r="K567" s="545">
        <f t="shared" si="370"/>
        <v>6.8886019918849017E-2</v>
      </c>
      <c r="L567" s="337">
        <f t="shared" si="370"/>
        <v>0.15319900290818445</v>
      </c>
      <c r="M567" s="337">
        <f t="shared" si="370"/>
        <v>0.13383556547619024</v>
      </c>
      <c r="N567" s="42"/>
      <c r="O567" s="337">
        <f t="shared" si="368"/>
        <v>5.3948323185159408E-2</v>
      </c>
      <c r="P567" s="337">
        <f t="shared" si="368"/>
        <v>-2.3071151681880786E-2</v>
      </c>
      <c r="Q567" s="337">
        <f t="shared" si="368"/>
        <v>-5.6041938316613193E-2</v>
      </c>
      <c r="R567" s="337">
        <f t="shared" si="368"/>
        <v>0.11724955162695339</v>
      </c>
      <c r="S567" s="337">
        <f t="shared" si="368"/>
        <v>1.9073425517782683E-2</v>
      </c>
    </row>
    <row r="568" spans="1:19" s="520" customFormat="1" ht="13" customHeight="1">
      <c r="A568" s="536" t="s">
        <v>196</v>
      </c>
      <c r="B568" s="522">
        <f t="shared" ref="B568:M568" si="371">B560/B616-1</f>
        <v>0.1544180037310674</v>
      </c>
      <c r="C568" s="522">
        <f t="shared" si="371"/>
        <v>1.3699078009546728E-2</v>
      </c>
      <c r="D568" s="522">
        <f t="shared" si="371"/>
        <v>5.0986246094187226E-2</v>
      </c>
      <c r="E568" s="522">
        <f t="shared" si="371"/>
        <v>-8.1865187992794519E-3</v>
      </c>
      <c r="F568" s="522">
        <f t="shared" si="371"/>
        <v>9.84401974740301E-3</v>
      </c>
      <c r="G568" s="522">
        <f t="shared" si="371"/>
        <v>-8.650053119553025E-3</v>
      </c>
      <c r="H568" s="522">
        <f t="shared" si="371"/>
        <v>-1.0589976195071737E-2</v>
      </c>
      <c r="I568" s="522">
        <f t="shared" si="371"/>
        <v>6.7674841234972583E-3</v>
      </c>
      <c r="J568" s="522">
        <f t="shared" si="371"/>
        <v>7.0511003155746099E-2</v>
      </c>
      <c r="K568" s="522">
        <f t="shared" si="371"/>
        <v>0.11730178492296295</v>
      </c>
      <c r="L568" s="522">
        <f t="shared" si="371"/>
        <v>0.12987056940757813</v>
      </c>
      <c r="M568" s="522">
        <f t="shared" si="371"/>
        <v>0.11147089016663836</v>
      </c>
      <c r="N568" s="42"/>
      <c r="O568" s="522">
        <f t="shared" si="368"/>
        <v>7.2414820243842382E-2</v>
      </c>
      <c r="P568" s="522">
        <f t="shared" si="368"/>
        <v>-2.44748840363751E-3</v>
      </c>
      <c r="Q568" s="522">
        <f t="shared" si="368"/>
        <v>1.9703449455133581E-2</v>
      </c>
      <c r="R568" s="522">
        <f t="shared" si="368"/>
        <v>0.11921035533422608</v>
      </c>
      <c r="S568" s="522">
        <f t="shared" si="368"/>
        <v>5.1021351953593364E-2</v>
      </c>
    </row>
    <row r="569" spans="1:19" s="31" customFormat="1" ht="13" customHeight="1">
      <c r="A569" s="526" t="s">
        <v>181</v>
      </c>
      <c r="B569" s="41">
        <f t="shared" ref="B569:M569" si="372">B561/B617-1</f>
        <v>1.4007277155453828</v>
      </c>
      <c r="C569" s="41">
        <f t="shared" si="372"/>
        <v>1.101715296198055</v>
      </c>
      <c r="D569" s="41">
        <f t="shared" si="372"/>
        <v>0.97768054865855114</v>
      </c>
      <c r="E569" s="41">
        <f t="shared" si="372"/>
        <v>0.90775523990017448</v>
      </c>
      <c r="F569" s="41">
        <f t="shared" si="372"/>
        <v>0.78356748142117194</v>
      </c>
      <c r="G569" s="41">
        <f t="shared" si="372"/>
        <v>0.81183897225760004</v>
      </c>
      <c r="H569" s="41">
        <f t="shared" si="372"/>
        <v>0.70391878521959828</v>
      </c>
      <c r="I569" s="41">
        <f t="shared" si="372"/>
        <v>0.64086071804467326</v>
      </c>
      <c r="J569" s="41">
        <f t="shared" si="372"/>
        <v>0.52178760983007</v>
      </c>
      <c r="K569" s="41">
        <f t="shared" si="372"/>
        <v>0.58072176949941778</v>
      </c>
      <c r="L569" s="41">
        <f t="shared" si="372"/>
        <v>0.59012438344413454</v>
      </c>
      <c r="M569" s="41">
        <f t="shared" si="372"/>
        <v>0.5139013052029322</v>
      </c>
      <c r="N569" s="41"/>
      <c r="O569" s="41">
        <f t="shared" si="368"/>
        <v>1.1539218673103511</v>
      </c>
      <c r="P569" s="41">
        <f t="shared" si="368"/>
        <v>0.832161978000584</v>
      </c>
      <c r="Q569" s="41">
        <f t="shared" si="368"/>
        <v>0.62398171646499612</v>
      </c>
      <c r="R569" s="41">
        <f t="shared" si="368"/>
        <v>0.55960895374325981</v>
      </c>
      <c r="S569" s="41">
        <f t="shared" si="368"/>
        <v>0.75249719120848235</v>
      </c>
    </row>
    <row r="570" spans="1:19" s="31" customFormat="1" ht="13" customHeight="1">
      <c r="A570" s="535" t="s">
        <v>197</v>
      </c>
      <c r="B570" s="28">
        <f t="shared" ref="B570:M570" si="373">B562/B618-1</f>
        <v>0.20270057893095994</v>
      </c>
      <c r="C570" s="28">
        <f t="shared" si="373"/>
        <v>5.5740119958510581E-2</v>
      </c>
      <c r="D570" s="28">
        <f t="shared" si="373"/>
        <v>9.0955742827471431E-2</v>
      </c>
      <c r="E570" s="28">
        <f t="shared" si="373"/>
        <v>3.272807941753908E-2</v>
      </c>
      <c r="F570" s="28">
        <f t="shared" si="373"/>
        <v>4.840482307163918E-2</v>
      </c>
      <c r="G570" s="28">
        <f t="shared" si="373"/>
        <v>3.2974133087623869E-2</v>
      </c>
      <c r="H570" s="28">
        <f t="shared" si="373"/>
        <v>2.9743432842344486E-2</v>
      </c>
      <c r="I570" s="28">
        <f t="shared" si="373"/>
        <v>4.4929559291018162E-2</v>
      </c>
      <c r="J570" s="28">
        <f t="shared" si="373"/>
        <v>9.8924734202382236E-2</v>
      </c>
      <c r="K570" s="28">
        <f t="shared" si="373"/>
        <v>0.14547845684290395</v>
      </c>
      <c r="L570" s="28">
        <f t="shared" si="373"/>
        <v>0.15597203367026924</v>
      </c>
      <c r="M570" s="28">
        <f t="shared" si="373"/>
        <v>0.13594317038636561</v>
      </c>
      <c r="N570" s="28"/>
      <c r="O570" s="28">
        <f t="shared" si="368"/>
        <v>0.11581860487863627</v>
      </c>
      <c r="P570" s="28">
        <f t="shared" si="368"/>
        <v>3.79430552676705E-2</v>
      </c>
      <c r="Q570" s="28">
        <f t="shared" si="368"/>
        <v>5.5793713599041839E-2</v>
      </c>
      <c r="R570" s="28">
        <f t="shared" si="368"/>
        <v>0.145424482721773</v>
      </c>
      <c r="S570" s="28">
        <f t="shared" si="368"/>
        <v>8.760719699452868E-2</v>
      </c>
    </row>
    <row r="571" spans="1:19" s="520" customFormat="1" ht="13" customHeight="1">
      <c r="A571" s="532"/>
      <c r="B571" s="337"/>
      <c r="C571" s="337"/>
      <c r="D571" s="337"/>
      <c r="E571" s="337"/>
      <c r="F571" s="337"/>
      <c r="G571" s="538"/>
      <c r="H571" s="337"/>
      <c r="I571" s="538"/>
      <c r="J571" s="538"/>
      <c r="K571" s="337"/>
      <c r="L571" s="337"/>
      <c r="M571" s="337"/>
      <c r="N571" s="42"/>
      <c r="O571" s="43"/>
      <c r="P571" s="43"/>
      <c r="Q571" s="43"/>
      <c r="R571" s="43"/>
      <c r="S571" s="44"/>
    </row>
    <row r="572" spans="1:19" s="520" customFormat="1" ht="13" customHeight="1">
      <c r="A572" s="532" t="s">
        <v>148</v>
      </c>
      <c r="B572" s="337"/>
      <c r="C572" s="337"/>
      <c r="D572" s="337"/>
      <c r="E572" s="337"/>
      <c r="F572" s="337"/>
      <c r="G572" s="538"/>
      <c r="H572" s="337"/>
      <c r="I572" s="538"/>
      <c r="J572" s="538"/>
      <c r="K572" s="337"/>
      <c r="L572" s="337"/>
      <c r="M572" s="337"/>
      <c r="N572" s="42"/>
      <c r="O572" s="43"/>
      <c r="P572" s="43"/>
      <c r="Q572" s="43"/>
      <c r="R572" s="43"/>
      <c r="S572" s="44"/>
    </row>
    <row r="573" spans="1:19" s="520" customFormat="1" ht="13" customHeight="1">
      <c r="A573" s="533" t="s">
        <v>162</v>
      </c>
      <c r="B573" s="472" t="s">
        <v>51</v>
      </c>
      <c r="C573" s="472" t="s">
        <v>52</v>
      </c>
      <c r="D573" s="472" t="s">
        <v>53</v>
      </c>
      <c r="E573" s="472" t="s">
        <v>54</v>
      </c>
      <c r="F573" s="472" t="s">
        <v>55</v>
      </c>
      <c r="G573" s="472" t="s">
        <v>77</v>
      </c>
      <c r="H573" s="472" t="s">
        <v>78</v>
      </c>
      <c r="I573" s="472" t="s">
        <v>79</v>
      </c>
      <c r="J573" s="472" t="s">
        <v>80</v>
      </c>
      <c r="K573" s="472" t="s">
        <v>81</v>
      </c>
      <c r="L573" s="472" t="s">
        <v>82</v>
      </c>
      <c r="M573" s="472" t="s">
        <v>44</v>
      </c>
      <c r="N573" s="473" t="s">
        <v>133</v>
      </c>
      <c r="O573" s="473" t="s">
        <v>129</v>
      </c>
      <c r="P573" s="473" t="s">
        <v>130</v>
      </c>
      <c r="Q573" s="473" t="s">
        <v>131</v>
      </c>
      <c r="R573" s="473" t="s">
        <v>132</v>
      </c>
      <c r="S573" s="445" t="s">
        <v>171</v>
      </c>
    </row>
    <row r="574" spans="1:19" s="520" customFormat="1" ht="13" customHeight="1">
      <c r="A574" s="526" t="s">
        <v>22</v>
      </c>
      <c r="B574" s="15">
        <v>199.06</v>
      </c>
      <c r="C574" s="15">
        <v>182.7</v>
      </c>
      <c r="D574" s="15">
        <v>176.47</v>
      </c>
      <c r="E574" s="34">
        <v>184.72</v>
      </c>
      <c r="F574" s="15">
        <v>190.24</v>
      </c>
      <c r="G574" s="15">
        <v>188.99</v>
      </c>
      <c r="H574" s="15">
        <v>205.26</v>
      </c>
      <c r="I574" s="15">
        <v>212.6</v>
      </c>
      <c r="J574" s="15">
        <v>182.31</v>
      </c>
      <c r="K574" s="15">
        <v>207.47</v>
      </c>
      <c r="L574" s="15">
        <v>197.3</v>
      </c>
      <c r="M574" s="15">
        <v>202.64</v>
      </c>
      <c r="N574" s="15"/>
      <c r="O574" s="15">
        <f t="shared" ref="O574:O579" si="374">SUM(B574:D574)</f>
        <v>558.23</v>
      </c>
      <c r="P574" s="15">
        <f t="shared" ref="P574:P579" si="375">SUM(E574:G574)</f>
        <v>563.95000000000005</v>
      </c>
      <c r="Q574" s="15">
        <f t="shared" ref="Q574:Q579" si="376">SUM(H574:J574)</f>
        <v>600.17000000000007</v>
      </c>
      <c r="R574" s="15">
        <f t="shared" ref="R574:R579" si="377">SUM(K574:M574)</f>
        <v>607.41</v>
      </c>
      <c r="S574" s="1">
        <f t="shared" ref="S574:S579" si="378">SUM(O574:R574)</f>
        <v>2329.7600000000002</v>
      </c>
    </row>
    <row r="575" spans="1:19" s="520" customFormat="1" ht="13" customHeight="1">
      <c r="A575" s="526" t="s">
        <v>25</v>
      </c>
      <c r="B575" s="15">
        <v>296.22199999999998</v>
      </c>
      <c r="C575" s="15">
        <v>269.45400000000001</v>
      </c>
      <c r="D575" s="15">
        <v>269.90699999999998</v>
      </c>
      <c r="E575" s="15">
        <v>289.27699999999999</v>
      </c>
      <c r="F575" s="15">
        <v>294.27499999999998</v>
      </c>
      <c r="G575" s="15">
        <v>279.99</v>
      </c>
      <c r="H575" s="15">
        <v>314.35000000000002</v>
      </c>
      <c r="I575" s="15">
        <v>310.14999999999998</v>
      </c>
      <c r="J575" s="15">
        <v>282.62400000000002</v>
      </c>
      <c r="K575" s="15">
        <v>306.13600000000002</v>
      </c>
      <c r="L575" s="15">
        <v>295.01</v>
      </c>
      <c r="M575" s="15">
        <v>303.63400000000001</v>
      </c>
      <c r="N575" s="15"/>
      <c r="O575" s="15">
        <f t="shared" si="374"/>
        <v>835.58299999999986</v>
      </c>
      <c r="P575" s="15">
        <f t="shared" si="375"/>
        <v>863.54199999999992</v>
      </c>
      <c r="Q575" s="15">
        <f t="shared" si="376"/>
        <v>907.12400000000002</v>
      </c>
      <c r="R575" s="15">
        <f t="shared" si="377"/>
        <v>904.78</v>
      </c>
      <c r="S575" s="1">
        <f t="shared" si="378"/>
        <v>3511.0289999999995</v>
      </c>
    </row>
    <row r="576" spans="1:19" s="520" customFormat="1" ht="13" customHeight="1">
      <c r="A576" s="526" t="s">
        <v>172</v>
      </c>
      <c r="B576" s="15">
        <v>381</v>
      </c>
      <c r="C576" s="15">
        <v>350.5</v>
      </c>
      <c r="D576" s="15">
        <v>333.4</v>
      </c>
      <c r="E576" s="470">
        <v>357.6</v>
      </c>
      <c r="F576" s="15">
        <v>351.2</v>
      </c>
      <c r="G576" s="15">
        <v>356.1</v>
      </c>
      <c r="H576" s="15">
        <v>415.7</v>
      </c>
      <c r="I576" s="15">
        <v>430.2</v>
      </c>
      <c r="J576" s="15">
        <v>366.4</v>
      </c>
      <c r="K576" s="15">
        <v>394.8</v>
      </c>
      <c r="L576" s="15">
        <v>400.9</v>
      </c>
      <c r="M576" s="15">
        <v>412.1</v>
      </c>
      <c r="N576" s="15"/>
      <c r="O576" s="15">
        <f t="shared" si="374"/>
        <v>1064.9000000000001</v>
      </c>
      <c r="P576" s="15">
        <f t="shared" si="375"/>
        <v>1064.9000000000001</v>
      </c>
      <c r="Q576" s="15">
        <f t="shared" si="376"/>
        <v>1212.3</v>
      </c>
      <c r="R576" s="15">
        <f t="shared" si="377"/>
        <v>1207.8000000000002</v>
      </c>
      <c r="S576" s="1">
        <f t="shared" si="378"/>
        <v>4549.9000000000005</v>
      </c>
    </row>
    <row r="577" spans="1:19" s="520" customFormat="1" ht="13" customHeight="1">
      <c r="A577" s="535" t="s">
        <v>196</v>
      </c>
      <c r="B577" s="45">
        <f t="shared" ref="B577:M577" si="379">SUM(B574:B576)</f>
        <v>876.28199999999993</v>
      </c>
      <c r="C577" s="45">
        <f t="shared" si="379"/>
        <v>802.654</v>
      </c>
      <c r="D577" s="45">
        <f t="shared" si="379"/>
        <v>779.77699999999993</v>
      </c>
      <c r="E577" s="45">
        <f t="shared" si="379"/>
        <v>831.59699999999998</v>
      </c>
      <c r="F577" s="45">
        <f t="shared" si="379"/>
        <v>835.71499999999992</v>
      </c>
      <c r="G577" s="45">
        <f t="shared" si="379"/>
        <v>825.08</v>
      </c>
      <c r="H577" s="45">
        <f t="shared" si="379"/>
        <v>935.31</v>
      </c>
      <c r="I577" s="45">
        <f t="shared" si="379"/>
        <v>952.95</v>
      </c>
      <c r="J577" s="45">
        <f t="shared" si="379"/>
        <v>831.33400000000006</v>
      </c>
      <c r="K577" s="45">
        <f t="shared" si="379"/>
        <v>908.40599999999995</v>
      </c>
      <c r="L577" s="45">
        <f t="shared" si="379"/>
        <v>893.21</v>
      </c>
      <c r="M577" s="45">
        <f t="shared" si="379"/>
        <v>918.37400000000002</v>
      </c>
      <c r="N577" s="45"/>
      <c r="O577" s="21">
        <f t="shared" si="374"/>
        <v>2458.7129999999997</v>
      </c>
      <c r="P577" s="21">
        <f t="shared" si="375"/>
        <v>2492.3919999999998</v>
      </c>
      <c r="Q577" s="21">
        <f t="shared" si="376"/>
        <v>2719.5940000000001</v>
      </c>
      <c r="R577" s="21">
        <f t="shared" si="377"/>
        <v>2719.99</v>
      </c>
      <c r="S577" s="44">
        <f t="shared" si="378"/>
        <v>10390.688999999998</v>
      </c>
    </row>
    <row r="578" spans="1:19" s="520" customFormat="1" ht="13" customHeight="1">
      <c r="A578" s="526" t="s">
        <v>181</v>
      </c>
      <c r="B578" s="39">
        <v>24.33</v>
      </c>
      <c r="C578" s="39">
        <v>23.76</v>
      </c>
      <c r="D578" s="39">
        <v>23.19</v>
      </c>
      <c r="E578" s="39">
        <v>25.42</v>
      </c>
      <c r="F578" s="39">
        <v>22.8</v>
      </c>
      <c r="G578" s="40">
        <v>23.56</v>
      </c>
      <c r="H578" s="39">
        <v>26.38</v>
      </c>
      <c r="I578" s="40">
        <v>25.9</v>
      </c>
      <c r="J578" s="40">
        <v>22.85</v>
      </c>
      <c r="K578" s="39">
        <v>24.48</v>
      </c>
      <c r="L578" s="39">
        <v>22.88</v>
      </c>
      <c r="M578" s="39">
        <v>24.14</v>
      </c>
      <c r="N578" s="42"/>
      <c r="O578" s="15">
        <f t="shared" si="374"/>
        <v>71.28</v>
      </c>
      <c r="P578" s="15">
        <f t="shared" si="375"/>
        <v>71.78</v>
      </c>
      <c r="Q578" s="15">
        <f t="shared" si="376"/>
        <v>75.13</v>
      </c>
      <c r="R578" s="15">
        <f t="shared" si="377"/>
        <v>71.5</v>
      </c>
      <c r="S578" s="1">
        <f t="shared" si="378"/>
        <v>289.69</v>
      </c>
    </row>
    <row r="579" spans="1:19" s="520" customFormat="1" ht="13" customHeight="1">
      <c r="A579" s="535" t="s">
        <v>197</v>
      </c>
      <c r="B579" s="42">
        <f t="shared" ref="B579:M579" si="380">B577+B578</f>
        <v>900.61199999999997</v>
      </c>
      <c r="C579" s="42">
        <f t="shared" si="380"/>
        <v>826.41399999999999</v>
      </c>
      <c r="D579" s="42">
        <f t="shared" si="380"/>
        <v>802.96699999999998</v>
      </c>
      <c r="E579" s="42">
        <f t="shared" si="380"/>
        <v>857.01699999999994</v>
      </c>
      <c r="F579" s="42">
        <f t="shared" si="380"/>
        <v>858.51499999999987</v>
      </c>
      <c r="G579" s="42">
        <f t="shared" si="380"/>
        <v>848.64</v>
      </c>
      <c r="H579" s="42">
        <f t="shared" si="380"/>
        <v>961.68999999999994</v>
      </c>
      <c r="I579" s="42">
        <f t="shared" si="380"/>
        <v>978.85</v>
      </c>
      <c r="J579" s="42">
        <f t="shared" si="380"/>
        <v>854.18400000000008</v>
      </c>
      <c r="K579" s="42">
        <f t="shared" si="380"/>
        <v>932.88599999999997</v>
      </c>
      <c r="L579" s="42">
        <f t="shared" si="380"/>
        <v>916.09</v>
      </c>
      <c r="M579" s="42">
        <f t="shared" si="380"/>
        <v>942.51400000000001</v>
      </c>
      <c r="N579" s="42"/>
      <c r="O579" s="21">
        <f t="shared" si="374"/>
        <v>2529.9929999999999</v>
      </c>
      <c r="P579" s="21">
        <f t="shared" si="375"/>
        <v>2564.1719999999996</v>
      </c>
      <c r="Q579" s="21">
        <f t="shared" si="376"/>
        <v>2794.7240000000002</v>
      </c>
      <c r="R579" s="21">
        <f t="shared" si="377"/>
        <v>2791.4900000000002</v>
      </c>
      <c r="S579" s="44">
        <f t="shared" si="378"/>
        <v>10680.378999999999</v>
      </c>
    </row>
    <row r="580" spans="1:19" s="520" customFormat="1" ht="13" customHeight="1">
      <c r="A580" s="532"/>
      <c r="B580" s="337"/>
      <c r="C580" s="337"/>
      <c r="D580" s="337"/>
      <c r="E580" s="337"/>
      <c r="F580" s="337"/>
      <c r="G580" s="538"/>
      <c r="H580" s="337"/>
      <c r="I580" s="538"/>
      <c r="J580" s="538"/>
      <c r="K580" s="337"/>
      <c r="L580" s="337"/>
      <c r="M580" s="337"/>
      <c r="N580" s="42"/>
      <c r="O580" s="43"/>
      <c r="P580" s="43"/>
      <c r="Q580" s="43"/>
      <c r="R580" s="43"/>
      <c r="S580" s="44"/>
    </row>
    <row r="581" spans="1:19" s="520" customFormat="1" ht="13" customHeight="1">
      <c r="A581" s="528" t="s">
        <v>184</v>
      </c>
      <c r="B581" s="337"/>
      <c r="C581" s="337"/>
      <c r="D581" s="337"/>
      <c r="E581" s="337"/>
      <c r="F581" s="337"/>
      <c r="G581" s="538"/>
      <c r="H581" s="337"/>
      <c r="I581" s="538"/>
      <c r="J581" s="538"/>
      <c r="K581" s="337"/>
      <c r="L581" s="337"/>
      <c r="M581" s="337"/>
      <c r="N581" s="42"/>
      <c r="O581" s="43"/>
      <c r="P581" s="43"/>
      <c r="Q581" s="43"/>
      <c r="R581" s="43"/>
      <c r="S581" s="44"/>
    </row>
    <row r="582" spans="1:19" s="520" customFormat="1" ht="13" customHeight="1">
      <c r="A582" s="526" t="s">
        <v>22</v>
      </c>
      <c r="B582" s="337">
        <f t="shared" ref="B582:M582" si="381">B574/B638-1</f>
        <v>-5.6229850180163021E-2</v>
      </c>
      <c r="C582" s="337">
        <f t="shared" si="381"/>
        <v>-0.27626366661384882</v>
      </c>
      <c r="D582" s="337">
        <f t="shared" si="381"/>
        <v>-0.13933866562621922</v>
      </c>
      <c r="E582" s="337">
        <f t="shared" si="381"/>
        <v>-9.8178977688815228E-2</v>
      </c>
      <c r="F582" s="337">
        <f t="shared" si="381"/>
        <v>2.4668749326726358E-2</v>
      </c>
      <c r="G582" s="337">
        <f t="shared" si="381"/>
        <v>2.2839205498728088E-2</v>
      </c>
      <c r="H582" s="337">
        <f t="shared" si="381"/>
        <v>2.7481603844420999E-2</v>
      </c>
      <c r="I582" s="337">
        <f t="shared" si="381"/>
        <v>5.5558313887095867E-2</v>
      </c>
      <c r="J582" s="337">
        <f t="shared" si="381"/>
        <v>5.7543941063866955E-2</v>
      </c>
      <c r="K582" s="337">
        <f t="shared" si="381"/>
        <v>0.16569277446904151</v>
      </c>
      <c r="L582" s="337">
        <f t="shared" si="381"/>
        <v>0.17064198409873033</v>
      </c>
      <c r="M582" s="337">
        <f t="shared" si="381"/>
        <v>0.14363113042496756</v>
      </c>
      <c r="N582" s="42"/>
      <c r="O582" s="337">
        <f t="shared" ref="O582:S585" si="382">O574/O638-1</f>
        <v>-0.16482645122681028</v>
      </c>
      <c r="P582" s="337">
        <f t="shared" si="382"/>
        <v>-1.9660675172965214E-2</v>
      </c>
      <c r="Q582" s="337">
        <f t="shared" si="382"/>
        <v>4.6376205171121399E-2</v>
      </c>
      <c r="R582" s="337">
        <f t="shared" si="382"/>
        <v>0.15982127513318423</v>
      </c>
      <c r="S582" s="337">
        <f t="shared" si="382"/>
        <v>-4.7758592702074054E-3</v>
      </c>
    </row>
    <row r="583" spans="1:19" s="520" customFormat="1" ht="13" customHeight="1">
      <c r="A583" s="526" t="s">
        <v>25</v>
      </c>
      <c r="B583" s="337">
        <f t="shared" ref="B583:M583" si="383">B575/B639-1</f>
        <v>8.4307624730041386E-2</v>
      </c>
      <c r="C583" s="337">
        <f t="shared" si="383"/>
        <v>-9.4759121144930458E-2</v>
      </c>
      <c r="D583" s="337">
        <f t="shared" si="383"/>
        <v>4.7385291195827461E-2</v>
      </c>
      <c r="E583" s="337">
        <f t="shared" si="383"/>
        <v>6.2822858570494189E-2</v>
      </c>
      <c r="F583" s="337">
        <f t="shared" si="383"/>
        <v>0.13813041460396036</v>
      </c>
      <c r="G583" s="337">
        <f t="shared" si="383"/>
        <v>7.2265625E-2</v>
      </c>
      <c r="H583" s="337">
        <f t="shared" si="383"/>
        <v>0.10089654689360517</v>
      </c>
      <c r="I583" s="337">
        <f t="shared" si="383"/>
        <v>0.13028425655976683</v>
      </c>
      <c r="J583" s="337">
        <f t="shared" si="383"/>
        <v>0.1622964303339367</v>
      </c>
      <c r="K583" s="337">
        <f t="shared" si="383"/>
        <v>0.19266176567984639</v>
      </c>
      <c r="L583" s="337">
        <f t="shared" si="383"/>
        <v>0.17135324433997456</v>
      </c>
      <c r="M583" s="337">
        <f t="shared" si="383"/>
        <v>9.9219120505960934E-2</v>
      </c>
      <c r="N583" s="42"/>
      <c r="O583" s="337">
        <f t="shared" si="382"/>
        <v>8.4931916876067604E-3</v>
      </c>
      <c r="P583" s="337">
        <f t="shared" si="382"/>
        <v>9.0526331741296762E-2</v>
      </c>
      <c r="Q583" s="337">
        <f t="shared" si="382"/>
        <v>0.12952807869505656</v>
      </c>
      <c r="R583" s="337">
        <f t="shared" si="382"/>
        <v>0.15293260139353992</v>
      </c>
      <c r="S583" s="337">
        <f t="shared" si="382"/>
        <v>9.4368986630792628E-2</v>
      </c>
    </row>
    <row r="584" spans="1:19" s="520" customFormat="1" ht="13" customHeight="1">
      <c r="A584" s="526" t="s">
        <v>172</v>
      </c>
      <c r="B584" s="337">
        <f t="shared" ref="B584:M584" si="384">B576/B640-1</f>
        <v>-9.6178840655055664E-3</v>
      </c>
      <c r="C584" s="337">
        <f t="shared" si="384"/>
        <v>-0.19849073862337074</v>
      </c>
      <c r="D584" s="337">
        <f t="shared" si="384"/>
        <v>-8.3310420676381614E-2</v>
      </c>
      <c r="E584" s="337">
        <f t="shared" si="384"/>
        <v>-6.7778936392075106E-2</v>
      </c>
      <c r="F584" s="337">
        <f t="shared" si="384"/>
        <v>-3.7544532748698289E-2</v>
      </c>
      <c r="G584" s="337">
        <f t="shared" si="384"/>
        <v>-2.224052718286651E-2</v>
      </c>
      <c r="H584" s="337">
        <f t="shared" si="384"/>
        <v>7.3328169377743224E-2</v>
      </c>
      <c r="I584" s="337">
        <f t="shared" si="384"/>
        <v>0.10222905457340503</v>
      </c>
      <c r="J584" s="337">
        <f t="shared" si="384"/>
        <v>0.106280193236715</v>
      </c>
      <c r="K584" s="545">
        <f t="shared" si="384"/>
        <v>0.13350559862187761</v>
      </c>
      <c r="L584" s="337">
        <f t="shared" si="384"/>
        <v>0.20065887990416287</v>
      </c>
      <c r="M584" s="337">
        <f t="shared" si="384"/>
        <v>0.12873185428649681</v>
      </c>
      <c r="N584" s="42"/>
      <c r="O584" s="337">
        <f t="shared" si="382"/>
        <v>-0.10188074555115123</v>
      </c>
      <c r="P584" s="337">
        <f t="shared" si="382"/>
        <v>-4.2958569245978184E-2</v>
      </c>
      <c r="Q584" s="337">
        <f t="shared" si="382"/>
        <v>9.3344155844155896E-2</v>
      </c>
      <c r="R584" s="337">
        <f t="shared" si="382"/>
        <v>0.15325121741621306</v>
      </c>
      <c r="S584" s="337">
        <f t="shared" si="382"/>
        <v>2.1416545066786474E-2</v>
      </c>
    </row>
    <row r="585" spans="1:19" s="520" customFormat="1" ht="13" customHeight="1">
      <c r="A585" s="536" t="s">
        <v>196</v>
      </c>
      <c r="B585" s="522">
        <f t="shared" ref="B585:M585" si="385">B577/B641-1</f>
        <v>8.6002693339164438E-3</v>
      </c>
      <c r="C585" s="522">
        <f t="shared" si="385"/>
        <v>-0.18710350415231936</v>
      </c>
      <c r="D585" s="522">
        <f t="shared" si="385"/>
        <v>-5.6458092338668719E-2</v>
      </c>
      <c r="E585" s="522">
        <f t="shared" si="385"/>
        <v>-3.3709888822785805E-2</v>
      </c>
      <c r="F585" s="522">
        <f t="shared" si="385"/>
        <v>3.2869042910816493E-2</v>
      </c>
      <c r="G585" s="522">
        <f t="shared" si="385"/>
        <v>1.8504116826525641E-2</v>
      </c>
      <c r="H585" s="522">
        <f t="shared" si="385"/>
        <v>7.1853405301337103E-2</v>
      </c>
      <c r="I585" s="522">
        <f t="shared" si="385"/>
        <v>0.10026440059576736</v>
      </c>
      <c r="J585" s="522">
        <f t="shared" si="385"/>
        <v>0.11326950117174439</v>
      </c>
      <c r="K585" s="522">
        <f t="shared" si="385"/>
        <v>0.1602157445498702</v>
      </c>
      <c r="L585" s="522">
        <f t="shared" si="385"/>
        <v>0.18416691634826754</v>
      </c>
      <c r="M585" s="522">
        <f t="shared" si="385"/>
        <v>0.1219974661491452</v>
      </c>
      <c r="N585" s="42"/>
      <c r="O585" s="522">
        <f t="shared" si="382"/>
        <v>-8.3474673885410189E-2</v>
      </c>
      <c r="P585" s="522">
        <f t="shared" si="382"/>
        <v>5.0705334020479942E-3</v>
      </c>
      <c r="Q585" s="522">
        <f t="shared" si="382"/>
        <v>9.4197073390545727E-2</v>
      </c>
      <c r="R585" s="522">
        <f t="shared" si="382"/>
        <v>0.15460566251261776</v>
      </c>
      <c r="S585" s="522">
        <f t="shared" si="382"/>
        <v>3.8683756063251584E-2</v>
      </c>
    </row>
    <row r="586" spans="1:19" s="520" customFormat="1" ht="13" customHeight="1">
      <c r="A586" s="532"/>
      <c r="B586" s="337"/>
      <c r="C586" s="337"/>
      <c r="D586" s="337"/>
      <c r="E586" s="337"/>
      <c r="F586" s="337"/>
      <c r="G586" s="538"/>
      <c r="H586" s="337"/>
      <c r="I586" s="538"/>
      <c r="J586" s="538"/>
      <c r="K586" s="337"/>
      <c r="L586" s="337"/>
      <c r="M586" s="337"/>
      <c r="N586" s="42"/>
      <c r="O586" s="43"/>
      <c r="P586" s="43"/>
      <c r="Q586" s="43"/>
      <c r="R586" s="43"/>
      <c r="S586" s="44"/>
    </row>
    <row r="587" spans="1:19" s="445" customFormat="1" ht="13" customHeight="1">
      <c r="A587" s="533" t="s">
        <v>163</v>
      </c>
      <c r="B587" s="472" t="s">
        <v>51</v>
      </c>
      <c r="C587" s="472" t="s">
        <v>52</v>
      </c>
      <c r="D587" s="472" t="s">
        <v>53</v>
      </c>
      <c r="E587" s="472" t="s">
        <v>54</v>
      </c>
      <c r="F587" s="472" t="s">
        <v>55</v>
      </c>
      <c r="G587" s="472" t="s">
        <v>77</v>
      </c>
      <c r="H587" s="472" t="s">
        <v>78</v>
      </c>
      <c r="I587" s="472" t="s">
        <v>79</v>
      </c>
      <c r="J587" s="472" t="s">
        <v>80</v>
      </c>
      <c r="K587" s="472" t="s">
        <v>81</v>
      </c>
      <c r="L587" s="472" t="s">
        <v>82</v>
      </c>
      <c r="M587" s="472" t="s">
        <v>44</v>
      </c>
      <c r="N587" s="473" t="s">
        <v>133</v>
      </c>
      <c r="O587" s="473" t="s">
        <v>129</v>
      </c>
      <c r="P587" s="473" t="s">
        <v>130</v>
      </c>
      <c r="Q587" s="473" t="s">
        <v>131</v>
      </c>
      <c r="R587" s="473" t="s">
        <v>132</v>
      </c>
      <c r="S587" s="445" t="s">
        <v>171</v>
      </c>
    </row>
    <row r="588" spans="1:19">
      <c r="A588" s="526" t="s">
        <v>22</v>
      </c>
      <c r="B588" s="15">
        <f>210.92+1138.53</f>
        <v>1349.45</v>
      </c>
      <c r="C588" s="15">
        <f>252.44+1227.09</f>
        <v>1479.53</v>
      </c>
      <c r="D588" s="15">
        <f>205.04+1141.47</f>
        <v>1346.51</v>
      </c>
      <c r="E588" s="15">
        <f>1174.75+204.83</f>
        <v>1379.58</v>
      </c>
      <c r="F588" s="15">
        <f>185.66+1120.19</f>
        <v>1305.8500000000001</v>
      </c>
      <c r="G588" s="15">
        <f>184.77+1103.38</f>
        <v>1288.1500000000001</v>
      </c>
      <c r="H588" s="15">
        <f>199.77+1243.01</f>
        <v>1442.78</v>
      </c>
      <c r="I588" s="15">
        <f>201.41+1273.72</f>
        <v>1475.13</v>
      </c>
      <c r="J588" s="15">
        <f>172.39+1068.17</f>
        <v>1240.56</v>
      </c>
      <c r="K588" s="15">
        <f>1096.65+177.98</f>
        <v>1274.6300000000001</v>
      </c>
      <c r="L588" s="15">
        <f>168.54+1057.43</f>
        <v>1225.97</v>
      </c>
      <c r="M588" s="15">
        <f>M613+M638</f>
        <v>1361.53</v>
      </c>
      <c r="N588" s="15"/>
      <c r="O588" s="15">
        <f>SUM(B588:D588)</f>
        <v>4175.49</v>
      </c>
      <c r="P588" s="15">
        <f>SUM(E588:G588)</f>
        <v>3973.5800000000004</v>
      </c>
      <c r="Q588" s="15">
        <f>SUM(H588:J588)</f>
        <v>4158.4699999999993</v>
      </c>
      <c r="R588" s="15">
        <f>SUM(K588:M588)</f>
        <v>3862.13</v>
      </c>
      <c r="S588" s="1">
        <f>SUM(O588:R588)</f>
        <v>16169.669999999998</v>
      </c>
    </row>
    <row r="589" spans="1:19">
      <c r="A589" s="526" t="s">
        <v>25</v>
      </c>
      <c r="B589" s="15">
        <f>1142.98+273.19</f>
        <v>1416.17</v>
      </c>
      <c r="C589" s="15">
        <f>1244.7+297.66</f>
        <v>1542.3600000000001</v>
      </c>
      <c r="D589" s="15">
        <f>1141.3+256.33</f>
        <v>1397.6299999999999</v>
      </c>
      <c r="E589" s="15">
        <f>1178.13+269.23</f>
        <v>1447.3600000000001</v>
      </c>
      <c r="F589" s="15">
        <f>1148.81+258.56</f>
        <v>1407.37</v>
      </c>
      <c r="G589" s="15">
        <f>1176.09+261.12</f>
        <v>1437.21</v>
      </c>
      <c r="H589" s="15">
        <f>1349.021+282.394</f>
        <v>1631.415</v>
      </c>
      <c r="I589" s="15">
        <f>1388.5+274.4</f>
        <v>1662.9</v>
      </c>
      <c r="J589" s="15">
        <f>1147.8+243.16</f>
        <v>1390.96</v>
      </c>
      <c r="K589" s="15">
        <f>1136.18+256.683</f>
        <v>1392.8630000000001</v>
      </c>
      <c r="L589" s="15">
        <f>1082.205+251.854</f>
        <v>1334.059</v>
      </c>
      <c r="M589" s="15">
        <f>M614+M639</f>
        <v>1471.8939999999998</v>
      </c>
      <c r="N589" s="15"/>
      <c r="O589" s="15">
        <f>SUM(B589:D589)</f>
        <v>4356.16</v>
      </c>
      <c r="P589" s="15">
        <f>SUM(E589:G589)</f>
        <v>4291.9400000000005</v>
      </c>
      <c r="Q589" s="15">
        <f>SUM(H589:J589)</f>
        <v>4685.2749999999996</v>
      </c>
      <c r="R589" s="15">
        <f>SUM(K589:M589)</f>
        <v>4198.8159999999998</v>
      </c>
      <c r="S589" s="1">
        <f>SUM(O589:R589)</f>
        <v>17532.190999999999</v>
      </c>
    </row>
    <row r="590" spans="1:19">
      <c r="A590" s="526" t="s">
        <v>172</v>
      </c>
      <c r="B590" s="15">
        <f>1100.9+384.7</f>
        <v>1485.6000000000001</v>
      </c>
      <c r="C590" s="15">
        <f>1045.6+437.3</f>
        <v>1482.8999999999999</v>
      </c>
      <c r="D590" s="15">
        <f>1023.2+363.7</f>
        <v>1386.9</v>
      </c>
      <c r="E590" s="470">
        <f>1066.4+383.6</f>
        <v>1450</v>
      </c>
      <c r="F590" s="15">
        <f>1032.7+364.9</f>
        <v>1397.6</v>
      </c>
      <c r="G590" s="15">
        <f>1099.7+364.2</f>
        <v>1463.9</v>
      </c>
      <c r="H590" s="15">
        <f>1293.4+387.3</f>
        <v>1680.7</v>
      </c>
      <c r="I590" s="15">
        <f>1343.7+390.3</f>
        <v>1734</v>
      </c>
      <c r="J590" s="15">
        <f>1120.8+331.2</f>
        <v>1452</v>
      </c>
      <c r="K590" s="15">
        <f>1084.4+348.3</f>
        <v>1432.7</v>
      </c>
      <c r="L590" s="15">
        <f>962.8+333.9</f>
        <v>1296.6999999999998</v>
      </c>
      <c r="M590" s="15">
        <f>M615+M640</f>
        <v>1440.3000000000002</v>
      </c>
      <c r="N590" s="15"/>
      <c r="O590" s="15">
        <f>SUM(B590:D590)</f>
        <v>4355.3999999999996</v>
      </c>
      <c r="P590" s="15">
        <f>SUM(E590:G590)</f>
        <v>4311.5</v>
      </c>
      <c r="Q590" s="15">
        <f>SUM(H590:J590)</f>
        <v>4866.7</v>
      </c>
      <c r="R590" s="15">
        <f>SUM(K590:M590)</f>
        <v>4169.7</v>
      </c>
      <c r="S590" s="1">
        <f>SUM(O590:R590)</f>
        <v>17703.3</v>
      </c>
    </row>
    <row r="591" spans="1:19" s="520" customFormat="1" ht="13" customHeight="1">
      <c r="A591" s="535" t="s">
        <v>196</v>
      </c>
      <c r="B591" s="45">
        <f t="shared" ref="B591:M591" si="386">SUM(B588:B590)</f>
        <v>4251.22</v>
      </c>
      <c r="C591" s="45">
        <f t="shared" si="386"/>
        <v>4504.79</v>
      </c>
      <c r="D591" s="45">
        <f t="shared" si="386"/>
        <v>4131.04</v>
      </c>
      <c r="E591" s="45">
        <f t="shared" si="386"/>
        <v>4276.9400000000005</v>
      </c>
      <c r="F591" s="45">
        <f t="shared" si="386"/>
        <v>4110.82</v>
      </c>
      <c r="G591" s="45">
        <f t="shared" si="386"/>
        <v>4189.26</v>
      </c>
      <c r="H591" s="45">
        <f t="shared" si="386"/>
        <v>4754.8949999999995</v>
      </c>
      <c r="I591" s="45">
        <f t="shared" si="386"/>
        <v>4872.0300000000007</v>
      </c>
      <c r="J591" s="45">
        <f t="shared" si="386"/>
        <v>4083.52</v>
      </c>
      <c r="K591" s="45">
        <f t="shared" si="386"/>
        <v>4100.1930000000002</v>
      </c>
      <c r="L591" s="45">
        <f t="shared" si="386"/>
        <v>3856.7289999999998</v>
      </c>
      <c r="M591" s="45">
        <f t="shared" si="386"/>
        <v>4273.7240000000002</v>
      </c>
      <c r="N591" s="45"/>
      <c r="O591" s="21">
        <f>SUM(B591:D591)</f>
        <v>12887.05</v>
      </c>
      <c r="P591" s="21">
        <f>SUM(E591:G591)</f>
        <v>12577.02</v>
      </c>
      <c r="Q591" s="21">
        <f>SUM(H591:J591)</f>
        <v>13710.445</v>
      </c>
      <c r="R591" s="21">
        <f>SUM(K591:M591)</f>
        <v>12230.646000000001</v>
      </c>
      <c r="S591" s="44">
        <f>SUM(O591:R591)</f>
        <v>51405.161</v>
      </c>
    </row>
    <row r="592" spans="1:19" ht="13" customHeight="1">
      <c r="A592" s="526" t="s">
        <v>181</v>
      </c>
      <c r="B592" s="15">
        <f>136.317+24.016</f>
        <v>160.333</v>
      </c>
      <c r="C592" s="15">
        <f>141.375+27.767</f>
        <v>169.142</v>
      </c>
      <c r="D592" s="15">
        <f>149.018+26.339</f>
        <v>175.357</v>
      </c>
      <c r="E592" s="15">
        <f>159.879+27.762</f>
        <v>187.64099999999999</v>
      </c>
      <c r="F592" s="15">
        <f>173.181+25.234</f>
        <v>198.41500000000002</v>
      </c>
      <c r="G592" s="15">
        <f>24.7+180.59</f>
        <v>205.29</v>
      </c>
      <c r="H592" s="15">
        <f>28+232.47</f>
        <v>260.47000000000003</v>
      </c>
      <c r="I592" s="15">
        <f>25.26+256.53</f>
        <v>281.78999999999996</v>
      </c>
      <c r="J592" s="15">
        <f>J617+J642</f>
        <v>243.92000000000002</v>
      </c>
      <c r="K592" s="15">
        <f>K617+K642</f>
        <v>235.84</v>
      </c>
      <c r="L592" s="15">
        <f>L617+L642</f>
        <v>208.38</v>
      </c>
      <c r="M592" s="15">
        <f>M617+M642</f>
        <v>246.34</v>
      </c>
      <c r="N592" s="21"/>
      <c r="O592" s="15">
        <f>SUM(B592:D592)</f>
        <v>504.83199999999999</v>
      </c>
      <c r="P592" s="15">
        <f>SUM(E592:G592)</f>
        <v>591.346</v>
      </c>
      <c r="Q592" s="15">
        <f>SUM(H592:J592)</f>
        <v>786.18000000000006</v>
      </c>
      <c r="R592" s="15">
        <f>SUM(K592:M592)</f>
        <v>690.56000000000006</v>
      </c>
      <c r="S592" s="15">
        <f>SUM(O592:R592)</f>
        <v>2572.9180000000001</v>
      </c>
    </row>
    <row r="593" spans="1:256" s="520" customFormat="1" ht="13" customHeight="1">
      <c r="A593" s="535" t="s">
        <v>197</v>
      </c>
      <c r="B593" s="45">
        <f t="shared" ref="B593:M593" si="387">SUM(B591:B592)</f>
        <v>4411.5529999999999</v>
      </c>
      <c r="C593" s="45">
        <f t="shared" si="387"/>
        <v>4673.9319999999998</v>
      </c>
      <c r="D593" s="45">
        <f t="shared" si="387"/>
        <v>4306.3969999999999</v>
      </c>
      <c r="E593" s="45">
        <f t="shared" si="387"/>
        <v>4464.5810000000001</v>
      </c>
      <c r="F593" s="45">
        <f t="shared" si="387"/>
        <v>4309.2349999999997</v>
      </c>
      <c r="G593" s="45">
        <f t="shared" si="387"/>
        <v>4394.55</v>
      </c>
      <c r="H593" s="45">
        <f t="shared" si="387"/>
        <v>5015.3649999999998</v>
      </c>
      <c r="I593" s="45">
        <f t="shared" si="387"/>
        <v>5153.8200000000006</v>
      </c>
      <c r="J593" s="45">
        <f t="shared" si="387"/>
        <v>4327.4399999999996</v>
      </c>
      <c r="K593" s="45">
        <f t="shared" si="387"/>
        <v>4336.0330000000004</v>
      </c>
      <c r="L593" s="45">
        <f t="shared" si="387"/>
        <v>4065.1089999999999</v>
      </c>
      <c r="M593" s="45">
        <f t="shared" si="387"/>
        <v>4520.0640000000003</v>
      </c>
      <c r="N593" s="45"/>
      <c r="O593" s="21">
        <f>SUM(O591:O592)</f>
        <v>13391.882</v>
      </c>
      <c r="P593" s="21">
        <f>SUM(P591:P592)</f>
        <v>13168.366</v>
      </c>
      <c r="Q593" s="21">
        <f>SUM(Q591:Q592)</f>
        <v>14496.625</v>
      </c>
      <c r="R593" s="21">
        <f>SUM(R591:R592)</f>
        <v>12921.206</v>
      </c>
      <c r="S593" s="44">
        <f>SUM(S591:S592)</f>
        <v>53978.078999999998</v>
      </c>
    </row>
    <row r="594" spans="1:256">
      <c r="A594" s="526"/>
      <c r="B594" s="15"/>
      <c r="C594" s="15"/>
      <c r="D594" s="488"/>
      <c r="E594" s="483"/>
      <c r="F594" s="15"/>
      <c r="G594" s="15"/>
      <c r="H594" s="15"/>
      <c r="I594" s="15"/>
      <c r="J594" s="15"/>
      <c r="K594" s="15"/>
      <c r="L594" s="15"/>
      <c r="M594" s="15"/>
      <c r="N594" s="488"/>
      <c r="O594" s="15"/>
      <c r="P594" s="19"/>
      <c r="Q594" s="15"/>
      <c r="R594" s="15"/>
      <c r="S594" s="36"/>
    </row>
    <row r="595" spans="1:256" ht="13" customHeight="1">
      <c r="A595" s="528" t="s">
        <v>184</v>
      </c>
      <c r="B595" s="488"/>
      <c r="C595" s="488"/>
      <c r="D595" s="488"/>
      <c r="E595" s="488"/>
      <c r="F595" s="488"/>
      <c r="G595" s="488"/>
      <c r="H595" s="488"/>
      <c r="I595" s="488"/>
      <c r="J595" s="488"/>
      <c r="K595" s="488"/>
      <c r="L595" s="488"/>
      <c r="M595" s="488"/>
      <c r="N595" s="514"/>
      <c r="O595" s="488"/>
      <c r="P595" s="19"/>
      <c r="Q595" s="488"/>
      <c r="R595" s="488"/>
    </row>
    <row r="596" spans="1:256">
      <c r="A596" s="526" t="s">
        <v>22</v>
      </c>
      <c r="B596" s="24">
        <f t="shared" ref="B596:M596" si="388">B588/B662-1</f>
        <v>0.24515575404148526</v>
      </c>
      <c r="C596" s="24">
        <f t="shared" si="388"/>
        <v>0.20973491848048265</v>
      </c>
      <c r="D596" s="24">
        <f t="shared" si="388"/>
        <v>0.18862494813873232</v>
      </c>
      <c r="E596" s="24">
        <f t="shared" si="388"/>
        <v>0.17034561156449879</v>
      </c>
      <c r="F596" s="24">
        <f t="shared" si="388"/>
        <v>0.11104020964146555</v>
      </c>
      <c r="G596" s="24">
        <f t="shared" si="388"/>
        <v>0.21369011165025698</v>
      </c>
      <c r="H596" s="24">
        <f t="shared" si="388"/>
        <v>0.16790247377282741</v>
      </c>
      <c r="I596" s="24">
        <f t="shared" si="388"/>
        <v>7.5246009184342988E-2</v>
      </c>
      <c r="J596" s="24">
        <f t="shared" si="388"/>
        <v>6.4556820814704929E-2</v>
      </c>
      <c r="K596" s="24">
        <f t="shared" si="388"/>
        <v>1.5754745549304561E-2</v>
      </c>
      <c r="L596" s="24">
        <f t="shared" si="388"/>
        <v>3.7182111977800858E-2</v>
      </c>
      <c r="M596" s="24">
        <f t="shared" si="388"/>
        <v>0.10627838762360553</v>
      </c>
      <c r="N596" s="19"/>
      <c r="O596" s="483">
        <f t="shared" ref="O596:S601" si="389">O588/O662-1</f>
        <v>0.21394285980096583</v>
      </c>
      <c r="P596" s="483">
        <f t="shared" si="389"/>
        <v>0.16340650042307514</v>
      </c>
      <c r="Q596" s="483">
        <f t="shared" si="389"/>
        <v>0.10228516748440697</v>
      </c>
      <c r="R596" s="483">
        <f t="shared" si="389"/>
        <v>5.3037264049339949E-2</v>
      </c>
      <c r="S596" s="483">
        <f t="shared" si="389"/>
        <v>0.13111950238120529</v>
      </c>
    </row>
    <row r="597" spans="1:256">
      <c r="A597" s="526" t="s">
        <v>25</v>
      </c>
      <c r="B597" s="24">
        <f t="shared" ref="B597:M597" si="390">B589/B663-1</f>
        <v>0.2670666633264025</v>
      </c>
      <c r="C597" s="24">
        <f t="shared" si="390"/>
        <v>0.11853159911959787</v>
      </c>
      <c r="D597" s="24">
        <f t="shared" si="390"/>
        <v>0.12489114320162109</v>
      </c>
      <c r="E597" s="24">
        <f t="shared" si="390"/>
        <v>0.12423208880389569</v>
      </c>
      <c r="F597" s="24">
        <f t="shared" si="390"/>
        <v>9.0288908703981985E-2</v>
      </c>
      <c r="G597" s="24">
        <f t="shared" si="390"/>
        <v>0.2369715236883736</v>
      </c>
      <c r="H597" s="24">
        <f t="shared" si="390"/>
        <v>0.22370564726637743</v>
      </c>
      <c r="I597" s="24">
        <f t="shared" si="390"/>
        <v>0.11844906244388076</v>
      </c>
      <c r="J597" s="24">
        <f t="shared" si="390"/>
        <v>0.12704358486331269</v>
      </c>
      <c r="K597" s="24">
        <f t="shared" si="390"/>
        <v>5.50122175311345E-2</v>
      </c>
      <c r="L597" s="24">
        <f t="shared" si="390"/>
        <v>9.5769645566230688E-2</v>
      </c>
      <c r="M597" s="24">
        <f t="shared" si="390"/>
        <v>0.15358974861375074</v>
      </c>
      <c r="N597" s="19"/>
      <c r="O597" s="483">
        <f t="shared" si="389"/>
        <v>0.16504490847806474</v>
      </c>
      <c r="P597" s="483">
        <f t="shared" si="389"/>
        <v>0.14754010698046782</v>
      </c>
      <c r="Q597" s="483">
        <f t="shared" si="389"/>
        <v>0.15567837668907836</v>
      </c>
      <c r="R597" s="483">
        <f t="shared" si="389"/>
        <v>0.1010047665972138</v>
      </c>
      <c r="S597" s="483">
        <f t="shared" si="389"/>
        <v>0.1423909815952078</v>
      </c>
    </row>
    <row r="598" spans="1:256">
      <c r="A598" s="526" t="s">
        <v>172</v>
      </c>
      <c r="B598" s="24">
        <f t="shared" ref="B598:M598" si="391">B590/B664-1</f>
        <v>0.3590705333455313</v>
      </c>
      <c r="C598" s="24">
        <f t="shared" si="391"/>
        <v>0.17160464565062794</v>
      </c>
      <c r="D598" s="24">
        <f t="shared" si="391"/>
        <v>0.16399496433067573</v>
      </c>
      <c r="E598" s="24">
        <f t="shared" si="391"/>
        <v>0.13431901744504415</v>
      </c>
      <c r="F598" s="24">
        <f t="shared" si="391"/>
        <v>8.0980740969912368E-2</v>
      </c>
      <c r="G598" s="24">
        <f t="shared" si="391"/>
        <v>0.1962899403448557</v>
      </c>
      <c r="H598" s="24">
        <f t="shared" si="391"/>
        <v>0.2731611241572609</v>
      </c>
      <c r="I598" s="24">
        <f t="shared" si="391"/>
        <v>0.16235420297627035</v>
      </c>
      <c r="J598" s="24">
        <f t="shared" si="391"/>
        <v>0.13793103448275867</v>
      </c>
      <c r="K598" s="24">
        <f t="shared" si="391"/>
        <v>3.1461483081353547E-2</v>
      </c>
      <c r="L598" s="24">
        <f t="shared" si="391"/>
        <v>-9.0936879107443858E-3</v>
      </c>
      <c r="M598" s="24">
        <f t="shared" si="391"/>
        <v>6.3344407530454117E-2</v>
      </c>
      <c r="N598" s="19"/>
      <c r="O598" s="483">
        <f t="shared" si="389"/>
        <v>0.22676956876883625</v>
      </c>
      <c r="P598" s="483">
        <f t="shared" si="389"/>
        <v>0.13613006930353899</v>
      </c>
      <c r="Q598" s="483">
        <f t="shared" si="389"/>
        <v>0.19051346657207868</v>
      </c>
      <c r="R598" s="483">
        <f t="shared" si="389"/>
        <v>2.9021988598504356E-2</v>
      </c>
      <c r="S598" s="483">
        <f t="shared" si="389"/>
        <v>0.14323999690026601</v>
      </c>
    </row>
    <row r="599" spans="1:256" s="31" customFormat="1" ht="13" customHeight="1">
      <c r="A599" s="536" t="s">
        <v>196</v>
      </c>
      <c r="B599" s="28">
        <f t="shared" ref="B599:M599" si="392">B591/B665-1</f>
        <v>0.2903850496701208</v>
      </c>
      <c r="C599" s="28">
        <f t="shared" si="392"/>
        <v>0.1647402094561663</v>
      </c>
      <c r="D599" s="28">
        <f t="shared" si="392"/>
        <v>0.15819611370230025</v>
      </c>
      <c r="E599" s="28">
        <f t="shared" si="392"/>
        <v>0.14219224403999364</v>
      </c>
      <c r="F599" s="28">
        <f t="shared" si="392"/>
        <v>9.3575712883769091E-2</v>
      </c>
      <c r="G599" s="28">
        <f t="shared" si="392"/>
        <v>0.21536046009664278</v>
      </c>
      <c r="H599" s="28">
        <f t="shared" si="392"/>
        <v>0.22276680049251185</v>
      </c>
      <c r="I599" s="28">
        <f t="shared" si="392"/>
        <v>0.11988049165025294</v>
      </c>
      <c r="J599" s="28">
        <f t="shared" si="392"/>
        <v>0.11101165366207622</v>
      </c>
      <c r="K599" s="28">
        <f t="shared" si="392"/>
        <v>3.4332939632612192E-2</v>
      </c>
      <c r="L599" s="28">
        <f t="shared" si="392"/>
        <v>4.0087020705847021E-2</v>
      </c>
      <c r="M599" s="28">
        <f t="shared" si="392"/>
        <v>0.10685118831023366</v>
      </c>
      <c r="N599" s="28"/>
      <c r="O599" s="484">
        <f t="shared" si="389"/>
        <v>0.20114635539198145</v>
      </c>
      <c r="P599" s="484">
        <f t="shared" si="389"/>
        <v>0.14853469597530422</v>
      </c>
      <c r="Q599" s="29">
        <f t="shared" si="389"/>
        <v>0.15072410174253092</v>
      </c>
      <c r="R599" s="29">
        <f t="shared" si="389"/>
        <v>6.0460758434770057E-2</v>
      </c>
      <c r="S599" s="30">
        <f t="shared" si="389"/>
        <v>0.1391117818934291</v>
      </c>
    </row>
    <row r="600" spans="1:256">
      <c r="A600" s="526" t="s">
        <v>181</v>
      </c>
      <c r="B600" s="19">
        <f t="shared" ref="B600:M600" si="393">B592/B666-1</f>
        <v>0.70100150650342652</v>
      </c>
      <c r="C600" s="19">
        <f t="shared" si="393"/>
        <v>0.84586338982680909</v>
      </c>
      <c r="D600" s="19">
        <f t="shared" si="393"/>
        <v>0.66576740032867576</v>
      </c>
      <c r="E600" s="19">
        <f t="shared" si="393"/>
        <v>0.5658280135185878</v>
      </c>
      <c r="F600" s="19">
        <f t="shared" si="393"/>
        <v>0.39021040757271086</v>
      </c>
      <c r="G600" s="19">
        <f t="shared" si="393"/>
        <v>0.37410558303603092</v>
      </c>
      <c r="H600" s="19">
        <f t="shared" si="393"/>
        <v>0.36526123783965136</v>
      </c>
      <c r="I600" s="19">
        <f t="shared" si="393"/>
        <v>0.41897505879035357</v>
      </c>
      <c r="J600" s="19">
        <f t="shared" si="393"/>
        <v>0.47432681555804024</v>
      </c>
      <c r="K600" s="19">
        <f t="shared" si="393"/>
        <v>0.48171417442057707</v>
      </c>
      <c r="L600" s="19">
        <f t="shared" si="393"/>
        <v>0.89424309362131482</v>
      </c>
      <c r="M600" s="19">
        <f t="shared" si="393"/>
        <v>0.89233203767149605</v>
      </c>
      <c r="N600" s="19"/>
      <c r="O600" s="19">
        <f t="shared" si="389"/>
        <v>0.73385263186816929</v>
      </c>
      <c r="P600" s="19">
        <f t="shared" si="389"/>
        <v>0.43545564221508548</v>
      </c>
      <c r="Q600" s="19">
        <f t="shared" si="389"/>
        <v>0.41701032414349992</v>
      </c>
      <c r="R600" s="19">
        <f t="shared" si="389"/>
        <v>0.72920130611590794</v>
      </c>
      <c r="S600" s="19">
        <f t="shared" si="389"/>
        <v>0.55248789135496779</v>
      </c>
    </row>
    <row r="601" spans="1:256" s="31" customFormat="1" ht="13" customHeight="1">
      <c r="A601" s="536" t="s">
        <v>197</v>
      </c>
      <c r="B601" s="28">
        <f t="shared" ref="B601:M601" si="394">B593/B667-1</f>
        <v>0.30180618827818995</v>
      </c>
      <c r="C601" s="28">
        <f t="shared" si="394"/>
        <v>0.18050407297510551</v>
      </c>
      <c r="D601" s="28">
        <f t="shared" si="394"/>
        <v>0.17274722437738599</v>
      </c>
      <c r="E601" s="28">
        <f t="shared" si="394"/>
        <v>0.15532940199816991</v>
      </c>
      <c r="F601" s="28">
        <f t="shared" si="394"/>
        <v>0.10442628068274384</v>
      </c>
      <c r="G601" s="28">
        <f t="shared" si="394"/>
        <v>0.22195506693356881</v>
      </c>
      <c r="H601" s="28">
        <f t="shared" si="394"/>
        <v>0.22943089949061379</v>
      </c>
      <c r="I601" s="28">
        <f t="shared" si="394"/>
        <v>0.13293726772765835</v>
      </c>
      <c r="J601" s="28">
        <f t="shared" si="394"/>
        <v>0.12666111594499463</v>
      </c>
      <c r="K601" s="28">
        <f t="shared" si="394"/>
        <v>5.160284541774085E-2</v>
      </c>
      <c r="L601" s="28">
        <f t="shared" si="394"/>
        <v>6.4697008189958716E-2</v>
      </c>
      <c r="M601" s="28">
        <f t="shared" si="394"/>
        <v>0.13246977889341749</v>
      </c>
      <c r="N601" s="28"/>
      <c r="O601" s="28">
        <f t="shared" si="389"/>
        <v>0.2152209581001876</v>
      </c>
      <c r="P601" s="28">
        <f t="shared" si="389"/>
        <v>0.15893730304092002</v>
      </c>
      <c r="Q601" s="28">
        <f t="shared" si="389"/>
        <v>0.16257225665306541</v>
      </c>
      <c r="R601" s="28">
        <f t="shared" si="389"/>
        <v>8.284154679701583E-2</v>
      </c>
      <c r="S601" s="28">
        <f t="shared" si="389"/>
        <v>0.15375509349275673</v>
      </c>
    </row>
    <row r="602" spans="1:256">
      <c r="A602" s="526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508"/>
      <c r="O602" s="19"/>
      <c r="P602" s="19"/>
      <c r="Q602" s="19"/>
      <c r="R602" s="19"/>
    </row>
    <row r="603" spans="1:256" ht="13" customHeight="1">
      <c r="A603" s="528" t="s">
        <v>185</v>
      </c>
      <c r="B603" s="488"/>
      <c r="C603" s="488"/>
      <c r="D603" s="488"/>
      <c r="E603" s="488"/>
      <c r="F603" s="488"/>
      <c r="G603" s="488"/>
      <c r="H603" s="488"/>
      <c r="I603" s="488"/>
      <c r="J603" s="488"/>
      <c r="K603" s="488"/>
      <c r="L603" s="488"/>
      <c r="M603" s="488"/>
      <c r="N603" s="488"/>
      <c r="O603" s="488"/>
      <c r="P603" s="488"/>
      <c r="Q603" s="488"/>
      <c r="R603" s="488"/>
    </row>
    <row r="604" spans="1:256">
      <c r="A604" s="526" t="s">
        <v>22</v>
      </c>
      <c r="B604" s="483">
        <f t="shared" ref="B604:B609" si="395">B588/M662-1</f>
        <v>9.6463074760507972E-2</v>
      </c>
      <c r="C604" s="483">
        <f t="shared" ref="C604:M604" si="396">C588/B588-1</f>
        <v>9.6394827522323867E-2</v>
      </c>
      <c r="D604" s="483">
        <f t="shared" si="396"/>
        <v>-8.9906929903415311E-2</v>
      </c>
      <c r="E604" s="483">
        <f t="shared" si="396"/>
        <v>2.4559787896116569E-2</v>
      </c>
      <c r="F604" s="483">
        <f t="shared" si="396"/>
        <v>-5.3443801736760332E-2</v>
      </c>
      <c r="G604" s="483">
        <f t="shared" si="396"/>
        <v>-1.3554389861010097E-2</v>
      </c>
      <c r="H604" s="483">
        <f t="shared" si="396"/>
        <v>0.12004036796956874</v>
      </c>
      <c r="I604" s="483">
        <f t="shared" si="396"/>
        <v>2.2421990878720433E-2</v>
      </c>
      <c r="J604" s="483">
        <f t="shared" si="396"/>
        <v>-0.1590164934615933</v>
      </c>
      <c r="K604" s="483">
        <f t="shared" si="396"/>
        <v>2.746340362416988E-2</v>
      </c>
      <c r="L604" s="483">
        <f t="shared" si="396"/>
        <v>-3.8175784345261032E-2</v>
      </c>
      <c r="M604" s="483">
        <f t="shared" si="396"/>
        <v>0.1105736681974272</v>
      </c>
      <c r="N604" s="488"/>
      <c r="O604" s="19"/>
      <c r="P604" s="19"/>
      <c r="Q604" s="19"/>
      <c r="R604" s="19"/>
    </row>
    <row r="605" spans="1:256">
      <c r="A605" s="526" t="s">
        <v>25</v>
      </c>
      <c r="B605" s="483">
        <f t="shared" si="395"/>
        <v>0.10991633520779054</v>
      </c>
      <c r="C605" s="483">
        <f t="shared" ref="C605:M605" si="397">C589/B589-1</f>
        <v>8.910653382009226E-2</v>
      </c>
      <c r="D605" s="483">
        <f t="shared" si="397"/>
        <v>-9.3836717757203369E-2</v>
      </c>
      <c r="E605" s="483">
        <f t="shared" si="397"/>
        <v>3.5581663244206529E-2</v>
      </c>
      <c r="F605" s="483">
        <f t="shared" si="397"/>
        <v>-2.7629615299580079E-2</v>
      </c>
      <c r="G605" s="483">
        <f t="shared" si="397"/>
        <v>2.1202668807776215E-2</v>
      </c>
      <c r="H605" s="483">
        <f t="shared" si="397"/>
        <v>0.13512639071534416</v>
      </c>
      <c r="I605" s="483">
        <f t="shared" si="397"/>
        <v>1.9299197322569794E-2</v>
      </c>
      <c r="J605" s="483">
        <f t="shared" si="397"/>
        <v>-0.16353358590414335</v>
      </c>
      <c r="K605" s="483">
        <f t="shared" si="397"/>
        <v>1.3681198596653399E-3</v>
      </c>
      <c r="L605" s="483">
        <f t="shared" si="397"/>
        <v>-4.2218078877822252E-2</v>
      </c>
      <c r="M605" s="483">
        <f t="shared" si="397"/>
        <v>0.10332001808015967</v>
      </c>
      <c r="N605" s="488"/>
      <c r="O605" s="19"/>
      <c r="P605" s="19"/>
      <c r="Q605" s="19"/>
      <c r="R605" s="19"/>
    </row>
    <row r="606" spans="1:256">
      <c r="A606" s="526" t="s">
        <v>172</v>
      </c>
      <c r="B606" s="483">
        <f t="shared" si="395"/>
        <v>9.6788482834994527E-2</v>
      </c>
      <c r="C606" s="483">
        <f t="shared" ref="C606:M606" si="398">C590/B590-1</f>
        <v>-1.8174474959614662E-3</v>
      </c>
      <c r="D606" s="483">
        <f t="shared" si="398"/>
        <v>-6.4738013352215074E-2</v>
      </c>
      <c r="E606" s="483">
        <f t="shared" si="398"/>
        <v>4.5497151921551682E-2</v>
      </c>
      <c r="F606" s="483">
        <f t="shared" si="398"/>
        <v>-3.6137931034482818E-2</v>
      </c>
      <c r="G606" s="483">
        <f t="shared" si="398"/>
        <v>4.7438465941614272E-2</v>
      </c>
      <c r="H606" s="483">
        <f t="shared" si="398"/>
        <v>0.14809754764669725</v>
      </c>
      <c r="I606" s="483">
        <f t="shared" si="398"/>
        <v>3.1712976735883913E-2</v>
      </c>
      <c r="J606" s="483">
        <f t="shared" si="398"/>
        <v>-0.16262975778546718</v>
      </c>
      <c r="K606" s="483">
        <f t="shared" si="398"/>
        <v>-1.3292011019283678E-2</v>
      </c>
      <c r="L606" s="483">
        <f t="shared" si="398"/>
        <v>-9.4925664828645395E-2</v>
      </c>
      <c r="M606" s="483">
        <f t="shared" si="398"/>
        <v>0.1107426544304777</v>
      </c>
      <c r="N606" s="488"/>
      <c r="O606" s="19"/>
      <c r="P606" s="19"/>
      <c r="Q606" s="19"/>
      <c r="R606" s="19"/>
    </row>
    <row r="607" spans="1:256" s="520" customFormat="1" ht="13" customHeight="1">
      <c r="A607" s="535" t="s">
        <v>196</v>
      </c>
      <c r="B607" s="28">
        <f t="shared" si="395"/>
        <v>0.10102288045934449</v>
      </c>
      <c r="C607" s="28">
        <f t="shared" ref="C607:M607" si="399">C591/B591-1</f>
        <v>5.9646407384233102E-2</v>
      </c>
      <c r="D607" s="28">
        <f t="shared" si="399"/>
        <v>-8.2967241536231473E-2</v>
      </c>
      <c r="E607" s="28">
        <f t="shared" si="399"/>
        <v>3.5317982880824328E-2</v>
      </c>
      <c r="F607" s="28">
        <f t="shared" si="399"/>
        <v>-3.8840853507414397E-2</v>
      </c>
      <c r="G607" s="28">
        <f t="shared" si="399"/>
        <v>1.9081351165947558E-2</v>
      </c>
      <c r="H607" s="28">
        <f t="shared" si="399"/>
        <v>0.13502026610905005</v>
      </c>
      <c r="I607" s="28">
        <f t="shared" si="399"/>
        <v>2.4634613382630066E-2</v>
      </c>
      <c r="J607" s="28">
        <f t="shared" si="399"/>
        <v>-0.1618442415173964</v>
      </c>
      <c r="K607" s="28">
        <f t="shared" si="399"/>
        <v>4.0829970221769596E-3</v>
      </c>
      <c r="L607" s="28">
        <f t="shared" si="399"/>
        <v>-5.9378668272444868E-2</v>
      </c>
      <c r="M607" s="28">
        <f t="shared" si="399"/>
        <v>0.10812141584228518</v>
      </c>
      <c r="N607" s="45"/>
      <c r="O607" s="21"/>
      <c r="P607" s="21"/>
      <c r="Q607" s="21"/>
      <c r="R607" s="21"/>
      <c r="S607" s="44"/>
    </row>
    <row r="608" spans="1:256">
      <c r="A608" s="526" t="s">
        <v>181</v>
      </c>
      <c r="B608" s="19">
        <f t="shared" si="395"/>
        <v>0.23164436387100751</v>
      </c>
      <c r="C608" s="19">
        <f t="shared" ref="C608:M608" si="400">C592/B592-1</f>
        <v>5.4941902166116829E-2</v>
      </c>
      <c r="D608" s="19">
        <f t="shared" si="400"/>
        <v>3.6744274041929259E-2</v>
      </c>
      <c r="E608" s="19">
        <f t="shared" si="400"/>
        <v>7.0051380897255378E-2</v>
      </c>
      <c r="F608" s="19">
        <f t="shared" si="400"/>
        <v>5.7418154880862993E-2</v>
      </c>
      <c r="G608" s="19">
        <f t="shared" si="400"/>
        <v>3.464959806466239E-2</v>
      </c>
      <c r="H608" s="19">
        <f t="shared" si="400"/>
        <v>0.26879049149982959</v>
      </c>
      <c r="I608" s="19">
        <f t="shared" si="400"/>
        <v>8.1852036702882991E-2</v>
      </c>
      <c r="J608" s="19">
        <f t="shared" si="400"/>
        <v>-0.13439085844068266</v>
      </c>
      <c r="K608" s="19">
        <f t="shared" si="400"/>
        <v>-3.3125614955723193E-2</v>
      </c>
      <c r="L608" s="19">
        <f t="shared" si="400"/>
        <v>-0.11643487109905026</v>
      </c>
      <c r="M608" s="19">
        <f t="shared" si="400"/>
        <v>0.18216719454842112</v>
      </c>
      <c r="N608" s="470"/>
      <c r="O608" s="151"/>
      <c r="P608" s="151"/>
      <c r="Q608" s="151"/>
      <c r="R608" s="151"/>
      <c r="IV608" s="483"/>
    </row>
    <row r="609" spans="1:256" s="520" customFormat="1" ht="13" customHeight="1">
      <c r="A609" s="535" t="s">
        <v>197</v>
      </c>
      <c r="B609" s="28">
        <f t="shared" si="395"/>
        <v>0.10528312220503788</v>
      </c>
      <c r="C609" s="28">
        <f t="shared" ref="C609:M609" si="401">C593/B593-1</f>
        <v>5.9475427360840882E-2</v>
      </c>
      <c r="D609" s="28">
        <f t="shared" si="401"/>
        <v>-7.8635076419596994E-2</v>
      </c>
      <c r="E609" s="28">
        <f t="shared" si="401"/>
        <v>3.673233099502915E-2</v>
      </c>
      <c r="F609" s="28">
        <f t="shared" si="401"/>
        <v>-3.4795202506125555E-2</v>
      </c>
      <c r="G609" s="28">
        <f t="shared" si="401"/>
        <v>1.9798177634777536E-2</v>
      </c>
      <c r="H609" s="28">
        <f t="shared" si="401"/>
        <v>0.14126929947321099</v>
      </c>
      <c r="I609" s="28">
        <f t="shared" si="401"/>
        <v>2.7606166251110453E-2</v>
      </c>
      <c r="J609" s="28">
        <f t="shared" si="401"/>
        <v>-0.16034320174162098</v>
      </c>
      <c r="K609" s="28">
        <f t="shared" si="401"/>
        <v>1.9857005527519345E-3</v>
      </c>
      <c r="L609" s="28">
        <f t="shared" si="401"/>
        <v>-6.2481996792921213E-2</v>
      </c>
      <c r="M609" s="28">
        <f t="shared" si="401"/>
        <v>0.1119170482267513</v>
      </c>
      <c r="N609" s="45"/>
      <c r="O609" s="21"/>
      <c r="P609" s="21"/>
      <c r="Q609" s="21"/>
      <c r="R609" s="21"/>
      <c r="S609" s="44"/>
    </row>
    <row r="610" spans="1:256" s="520" customFormat="1" ht="13" customHeight="1">
      <c r="A610" s="532"/>
      <c r="B610" s="337"/>
      <c r="C610" s="337"/>
      <c r="D610" s="337"/>
      <c r="E610" s="337"/>
      <c r="F610" s="337"/>
      <c r="G610" s="538"/>
      <c r="H610" s="337"/>
      <c r="I610" s="538"/>
      <c r="J610" s="538"/>
      <c r="K610" s="337"/>
      <c r="L610" s="337"/>
      <c r="M610" s="337"/>
      <c r="N610" s="42"/>
      <c r="O610" s="43"/>
      <c r="P610" s="43"/>
      <c r="Q610" s="43"/>
      <c r="R610" s="43"/>
      <c r="S610" s="44"/>
    </row>
    <row r="611" spans="1:256" s="520" customFormat="1" ht="13" customHeight="1">
      <c r="A611" s="532" t="s">
        <v>201</v>
      </c>
      <c r="B611" s="337"/>
      <c r="C611" s="337"/>
      <c r="D611" s="337"/>
      <c r="E611" s="337"/>
      <c r="F611" s="337"/>
      <c r="G611" s="538"/>
      <c r="H611" s="337"/>
      <c r="I611" s="538"/>
      <c r="J611" s="538"/>
      <c r="K611" s="337"/>
      <c r="L611" s="337"/>
      <c r="M611" s="337"/>
      <c r="N611" s="42"/>
      <c r="O611" s="43"/>
      <c r="P611" s="43"/>
      <c r="Q611" s="43"/>
      <c r="R611" s="43"/>
      <c r="S611" s="44"/>
    </row>
    <row r="612" spans="1:256" s="520" customFormat="1" ht="13" customHeight="1">
      <c r="A612" s="525">
        <v>2016</v>
      </c>
      <c r="B612" s="472" t="s">
        <v>51</v>
      </c>
      <c r="C612" s="472" t="s">
        <v>52</v>
      </c>
      <c r="D612" s="472" t="s">
        <v>53</v>
      </c>
      <c r="E612" s="472" t="s">
        <v>54</v>
      </c>
      <c r="F612" s="472" t="s">
        <v>55</v>
      </c>
      <c r="G612" s="472" t="s">
        <v>77</v>
      </c>
      <c r="H612" s="472" t="s">
        <v>78</v>
      </c>
      <c r="I612" s="472" t="s">
        <v>79</v>
      </c>
      <c r="J612" s="472" t="s">
        <v>80</v>
      </c>
      <c r="K612" s="472" t="s">
        <v>81</v>
      </c>
      <c r="L612" s="472" t="s">
        <v>82</v>
      </c>
      <c r="M612" s="472" t="s">
        <v>44</v>
      </c>
      <c r="N612" s="473" t="s">
        <v>133</v>
      </c>
      <c r="O612" s="473" t="s">
        <v>129</v>
      </c>
      <c r="P612" s="473" t="s">
        <v>130</v>
      </c>
      <c r="Q612" s="473" t="s">
        <v>131</v>
      </c>
      <c r="R612" s="473" t="s">
        <v>132</v>
      </c>
      <c r="S612" s="445" t="s">
        <v>171</v>
      </c>
    </row>
    <row r="613" spans="1:256" s="520" customFormat="1" ht="13" customHeight="1">
      <c r="A613" s="526" t="s">
        <v>22</v>
      </c>
      <c r="B613" s="15">
        <f>1138.53</f>
        <v>1138.53</v>
      </c>
      <c r="C613" s="15">
        <f>1227.09</f>
        <v>1227.0899999999999</v>
      </c>
      <c r="D613" s="15">
        <f>1141.47</f>
        <v>1141.47</v>
      </c>
      <c r="E613" s="15">
        <f>1174.75</f>
        <v>1174.75</v>
      </c>
      <c r="F613" s="15">
        <f>1120.19</f>
        <v>1120.19</v>
      </c>
      <c r="G613" s="15">
        <f>1103.38</f>
        <v>1103.3800000000001</v>
      </c>
      <c r="H613" s="15">
        <f>1243.01</f>
        <v>1243.01</v>
      </c>
      <c r="I613" s="15">
        <f>1273.72</f>
        <v>1273.72</v>
      </c>
      <c r="J613" s="15">
        <f>1068.17</f>
        <v>1068.17</v>
      </c>
      <c r="K613" s="15">
        <f>1096.65</f>
        <v>1096.6500000000001</v>
      </c>
      <c r="L613" s="15">
        <f>1057.43</f>
        <v>1057.43</v>
      </c>
      <c r="M613" s="15">
        <v>1184.3399999999999</v>
      </c>
      <c r="N613" s="15"/>
      <c r="O613" s="15">
        <f>SUM(B613:D613)</f>
        <v>3507.09</v>
      </c>
      <c r="P613" s="15">
        <f>SUM(E613:G613)</f>
        <v>3398.32</v>
      </c>
      <c r="Q613" s="15">
        <f>SUM(H613:J613)</f>
        <v>3584.9</v>
      </c>
      <c r="R613" s="15">
        <f>SUM(K613:M613)</f>
        <v>3338.42</v>
      </c>
      <c r="S613" s="1">
        <f>SUM(O613:R613)</f>
        <v>13828.73</v>
      </c>
    </row>
    <row r="614" spans="1:256" s="520" customFormat="1" ht="13" customHeight="1">
      <c r="A614" s="526" t="s">
        <v>25</v>
      </c>
      <c r="B614" s="15">
        <f>1142.98</f>
        <v>1142.98</v>
      </c>
      <c r="C614" s="15">
        <f>1244.7</f>
        <v>1244.7</v>
      </c>
      <c r="D614" s="15">
        <f>1141.3</f>
        <v>1141.3</v>
      </c>
      <c r="E614" s="15">
        <f>1178.13</f>
        <v>1178.1300000000001</v>
      </c>
      <c r="F614" s="15">
        <f>1148.81</f>
        <v>1148.81</v>
      </c>
      <c r="G614" s="15">
        <f>1176.09</f>
        <v>1176.0899999999999</v>
      </c>
      <c r="H614" s="15">
        <f>1349.34</f>
        <v>1349.34</v>
      </c>
      <c r="I614" s="15">
        <f>1388.5</f>
        <v>1388.5</v>
      </c>
      <c r="J614" s="15">
        <f>1147.8</f>
        <v>1147.8</v>
      </c>
      <c r="K614" s="15">
        <f>1136.18</f>
        <v>1136.18</v>
      </c>
      <c r="L614" s="15">
        <f>1082.205</f>
        <v>1082.2049999999999</v>
      </c>
      <c r="M614" s="15">
        <v>1195.6669999999999</v>
      </c>
      <c r="N614" s="15"/>
      <c r="O614" s="15">
        <f>SUM(B614:D614)</f>
        <v>3528.9800000000005</v>
      </c>
      <c r="P614" s="15">
        <f>SUM(E614:G614)</f>
        <v>3503.0299999999997</v>
      </c>
      <c r="Q614" s="15">
        <f>SUM(H614:J614)</f>
        <v>3885.6400000000003</v>
      </c>
      <c r="R614" s="15">
        <f>SUM(K614:M614)</f>
        <v>3414.0520000000001</v>
      </c>
      <c r="S614" s="1">
        <f>SUM(O614:R614)</f>
        <v>14331.702000000001</v>
      </c>
    </row>
    <row r="615" spans="1:256" s="520" customFormat="1" ht="13" customHeight="1">
      <c r="A615" s="526" t="s">
        <v>172</v>
      </c>
      <c r="B615" s="15">
        <f>1100.9</f>
        <v>1100.9000000000001</v>
      </c>
      <c r="C615" s="15">
        <f>1045.6</f>
        <v>1045.5999999999999</v>
      </c>
      <c r="D615" s="15">
        <f>1023.2</f>
        <v>1023.2</v>
      </c>
      <c r="E615" s="470">
        <f>1066.4</f>
        <v>1066.4000000000001</v>
      </c>
      <c r="F615" s="15">
        <f>1032.7</f>
        <v>1032.7</v>
      </c>
      <c r="G615" s="15">
        <f>1099.7</f>
        <v>1099.7</v>
      </c>
      <c r="H615" s="15">
        <f>1293.4</f>
        <v>1293.4000000000001</v>
      </c>
      <c r="I615" s="15">
        <f>1343.7</f>
        <v>1343.7</v>
      </c>
      <c r="J615" s="15">
        <f>1120.8</f>
        <v>1120.8</v>
      </c>
      <c r="K615" s="15">
        <f>1084.4</f>
        <v>1084.4000000000001</v>
      </c>
      <c r="L615" s="15">
        <f>962.8</f>
        <v>962.8</v>
      </c>
      <c r="M615" s="15">
        <v>1075.2</v>
      </c>
      <c r="N615" s="15"/>
      <c r="O615" s="15">
        <f>SUM(B615:D615)</f>
        <v>3169.7</v>
      </c>
      <c r="P615" s="15">
        <f>SUM(E615:G615)</f>
        <v>3198.8</v>
      </c>
      <c r="Q615" s="15">
        <f>SUM(H615:J615)</f>
        <v>3757.9000000000005</v>
      </c>
      <c r="R615" s="15">
        <f>SUM(K615:M615)</f>
        <v>3122.4</v>
      </c>
      <c r="S615" s="1">
        <f>SUM(O615:R615)</f>
        <v>13248.800000000001</v>
      </c>
    </row>
    <row r="616" spans="1:256" s="520" customFormat="1" ht="13" customHeight="1">
      <c r="A616" s="535" t="s">
        <v>196</v>
      </c>
      <c r="B616" s="45">
        <f t="shared" ref="B616:M616" si="402">SUM(B613:B615)</f>
        <v>3382.4100000000003</v>
      </c>
      <c r="C616" s="45">
        <f t="shared" si="402"/>
        <v>3517.39</v>
      </c>
      <c r="D616" s="45">
        <f t="shared" si="402"/>
        <v>3305.9700000000003</v>
      </c>
      <c r="E616" s="45">
        <f t="shared" si="402"/>
        <v>3419.28</v>
      </c>
      <c r="F616" s="45">
        <f t="shared" si="402"/>
        <v>3301.7</v>
      </c>
      <c r="G616" s="45">
        <f t="shared" si="402"/>
        <v>3379.17</v>
      </c>
      <c r="H616" s="45">
        <f t="shared" si="402"/>
        <v>3885.75</v>
      </c>
      <c r="I616" s="45">
        <f t="shared" si="402"/>
        <v>4005.92</v>
      </c>
      <c r="J616" s="45">
        <f t="shared" si="402"/>
        <v>3336.7700000000004</v>
      </c>
      <c r="K616" s="45">
        <f t="shared" si="402"/>
        <v>3317.23</v>
      </c>
      <c r="L616" s="45">
        <f t="shared" si="402"/>
        <v>3102.4350000000004</v>
      </c>
      <c r="M616" s="45">
        <f t="shared" si="402"/>
        <v>3455.2069999999994</v>
      </c>
      <c r="N616" s="45"/>
      <c r="O616" s="21">
        <f>SUM(B616:D616)</f>
        <v>10205.77</v>
      </c>
      <c r="P616" s="21">
        <f>SUM(E616:G616)</f>
        <v>10100.15</v>
      </c>
      <c r="Q616" s="21">
        <f>SUM(H616:J616)</f>
        <v>11228.44</v>
      </c>
      <c r="R616" s="21">
        <f>SUM(K616:M616)</f>
        <v>9874.8719999999994</v>
      </c>
      <c r="S616" s="44">
        <f>SUM(O616:R616)</f>
        <v>41409.232000000004</v>
      </c>
    </row>
    <row r="617" spans="1:256" s="546" customFormat="1">
      <c r="A617" s="526" t="s">
        <v>181</v>
      </c>
      <c r="B617" s="547">
        <v>136.31700000000001</v>
      </c>
      <c r="C617" s="547">
        <v>141.375</v>
      </c>
      <c r="D617" s="547">
        <v>149.018</v>
      </c>
      <c r="E617" s="547">
        <v>159.87899999999999</v>
      </c>
      <c r="F617" s="547">
        <v>173.18100000000001</v>
      </c>
      <c r="G617" s="547">
        <v>180.59</v>
      </c>
      <c r="H617" s="547">
        <v>232.47</v>
      </c>
      <c r="I617" s="547">
        <v>256.52999999999997</v>
      </c>
      <c r="J617" s="547">
        <v>224.21</v>
      </c>
      <c r="K617" s="547">
        <v>214.75</v>
      </c>
      <c r="L617" s="547">
        <v>186.52</v>
      </c>
      <c r="M617" s="547">
        <v>223.72</v>
      </c>
      <c r="N617" s="548"/>
      <c r="O617" s="15">
        <f>SUM(B617:D617)</f>
        <v>426.71000000000004</v>
      </c>
      <c r="P617" s="15">
        <f>SUM(E617:G617)</f>
        <v>513.65</v>
      </c>
      <c r="Q617" s="15">
        <f>SUM(H617:J617)</f>
        <v>713.21</v>
      </c>
      <c r="R617" s="15">
        <f>SUM(K617:M617)</f>
        <v>624.99</v>
      </c>
      <c r="S617" s="15">
        <f>SUM(O617:R617)</f>
        <v>2278.5600000000004</v>
      </c>
      <c r="IV617" s="547"/>
    </row>
    <row r="618" spans="1:256" s="520" customFormat="1" ht="13" customHeight="1">
      <c r="A618" s="535" t="s">
        <v>197</v>
      </c>
      <c r="B618" s="45">
        <f t="shared" ref="B618:M618" si="403">SUM(B616:B617)</f>
        <v>3518.7270000000003</v>
      </c>
      <c r="C618" s="45">
        <f t="shared" si="403"/>
        <v>3658.7649999999999</v>
      </c>
      <c r="D618" s="45">
        <f t="shared" si="403"/>
        <v>3454.9880000000003</v>
      </c>
      <c r="E618" s="45">
        <f t="shared" si="403"/>
        <v>3579.1590000000001</v>
      </c>
      <c r="F618" s="45">
        <f t="shared" si="403"/>
        <v>3474.8809999999999</v>
      </c>
      <c r="G618" s="45">
        <f t="shared" si="403"/>
        <v>3559.76</v>
      </c>
      <c r="H618" s="45">
        <f t="shared" si="403"/>
        <v>4118.22</v>
      </c>
      <c r="I618" s="45">
        <f t="shared" si="403"/>
        <v>4262.45</v>
      </c>
      <c r="J618" s="45">
        <f t="shared" si="403"/>
        <v>3560.9800000000005</v>
      </c>
      <c r="K618" s="45">
        <f t="shared" si="403"/>
        <v>3531.98</v>
      </c>
      <c r="L618" s="45">
        <f t="shared" si="403"/>
        <v>3288.9550000000004</v>
      </c>
      <c r="M618" s="45">
        <f t="shared" si="403"/>
        <v>3678.9269999999992</v>
      </c>
      <c r="N618" s="45"/>
      <c r="O618" s="21">
        <f>SUM(O616:O617)</f>
        <v>10632.48</v>
      </c>
      <c r="P618" s="21">
        <f>SUM(P616:P617)</f>
        <v>10613.8</v>
      </c>
      <c r="Q618" s="21">
        <f>SUM(Q616:Q617)</f>
        <v>11941.650000000001</v>
      </c>
      <c r="R618" s="21">
        <f>SUM(R616:R617)</f>
        <v>10499.861999999999</v>
      </c>
      <c r="S618" s="44">
        <f>SUM(S616:S617)</f>
        <v>43687.792000000001</v>
      </c>
    </row>
    <row r="619" spans="1:256" s="520" customFormat="1" ht="13" customHeight="1">
      <c r="A619" s="532"/>
      <c r="B619" s="337"/>
      <c r="C619" s="337"/>
      <c r="D619" s="337"/>
      <c r="E619" s="337"/>
      <c r="F619" s="337"/>
      <c r="G619" s="538"/>
      <c r="H619" s="337"/>
      <c r="I619" s="538"/>
      <c r="J619" s="538"/>
      <c r="K619" s="337"/>
      <c r="L619" s="337"/>
      <c r="M619" s="337"/>
      <c r="N619" s="42"/>
      <c r="O619" s="43"/>
      <c r="P619" s="43"/>
      <c r="Q619" s="43"/>
      <c r="R619" s="43"/>
      <c r="S619" s="44"/>
    </row>
    <row r="620" spans="1:256" s="520" customFormat="1" ht="13" customHeight="1">
      <c r="A620" s="528" t="s">
        <v>184</v>
      </c>
      <c r="B620" s="337"/>
      <c r="C620" s="337"/>
      <c r="D620" s="337"/>
      <c r="E620" s="337"/>
      <c r="F620" s="337"/>
      <c r="G620" s="538"/>
      <c r="H620" s="337"/>
      <c r="I620" s="538"/>
      <c r="J620" s="538"/>
      <c r="K620" s="337"/>
      <c r="L620" s="337"/>
      <c r="M620" s="337"/>
      <c r="N620" s="42"/>
      <c r="O620" s="43"/>
      <c r="P620" s="43"/>
      <c r="Q620" s="43"/>
      <c r="R620" s="43"/>
      <c r="S620" s="44"/>
    </row>
    <row r="621" spans="1:256" s="520" customFormat="1" ht="13" customHeight="1">
      <c r="A621" s="526" t="s">
        <v>22</v>
      </c>
      <c r="B621" s="337">
        <f t="shared" ref="B621:M621" si="404">B613/B679-1</f>
        <v>0.29064547577482025</v>
      </c>
      <c r="C621" s="337">
        <f t="shared" si="404"/>
        <v>0.23295888428921652</v>
      </c>
      <c r="D621" s="337">
        <f t="shared" si="404"/>
        <v>0.2163872934005393</v>
      </c>
      <c r="E621" s="337">
        <f t="shared" si="404"/>
        <v>0.22832974340743228</v>
      </c>
      <c r="F621" s="337">
        <f t="shared" si="404"/>
        <v>0.17617597648047045</v>
      </c>
      <c r="G621" s="337">
        <f t="shared" si="404"/>
        <v>0.28711577719451742</v>
      </c>
      <c r="H621" s="337">
        <f t="shared" si="404"/>
        <v>0.23158092897907423</v>
      </c>
      <c r="I621" s="337">
        <f t="shared" si="404"/>
        <v>0.12023640953025927</v>
      </c>
      <c r="J621" s="337">
        <f t="shared" si="404"/>
        <v>0.10776139215564284</v>
      </c>
      <c r="K621" s="337">
        <f t="shared" si="404"/>
        <v>6.357288332848432E-2</v>
      </c>
      <c r="L621" s="337">
        <f t="shared" si="404"/>
        <v>9.2341225569191554E-2</v>
      </c>
      <c r="M621" s="337">
        <f t="shared" si="404"/>
        <v>0.14783872843574342</v>
      </c>
      <c r="N621" s="42"/>
      <c r="O621" s="337">
        <f t="shared" ref="O621:S626" si="405">O613/O679-1</f>
        <v>0.24550836532553921</v>
      </c>
      <c r="P621" s="337">
        <f t="shared" si="405"/>
        <v>0.22859115772424765</v>
      </c>
      <c r="Q621" s="337">
        <f t="shared" si="405"/>
        <v>0.15249714680683479</v>
      </c>
      <c r="R621" s="337">
        <f t="shared" si="405"/>
        <v>0.10144707582466173</v>
      </c>
      <c r="S621" s="337">
        <f t="shared" si="405"/>
        <v>0.17959262358497741</v>
      </c>
    </row>
    <row r="622" spans="1:256" s="520" customFormat="1" ht="13" customHeight="1">
      <c r="A622" s="526" t="s">
        <v>25</v>
      </c>
      <c r="B622" s="337">
        <f t="shared" ref="B622:M622" si="406">B614/B680-1</f>
        <v>0.29585161502443236</v>
      </c>
      <c r="C622" s="337">
        <f t="shared" si="406"/>
        <v>0.14505712866368614</v>
      </c>
      <c r="D622" s="337">
        <f t="shared" si="406"/>
        <v>0.13788634097706876</v>
      </c>
      <c r="E622" s="337">
        <f t="shared" si="406"/>
        <v>0.1309686090045119</v>
      </c>
      <c r="F622" s="337">
        <f t="shared" si="406"/>
        <v>0.10860104026942774</v>
      </c>
      <c r="G622" s="337">
        <f t="shared" si="406"/>
        <v>0.2884845032154868</v>
      </c>
      <c r="H622" s="337">
        <f t="shared" si="406"/>
        <v>0.26964441977097575</v>
      </c>
      <c r="I622" s="337">
        <f t="shared" si="406"/>
        <v>0.15997650807388752</v>
      </c>
      <c r="J622" s="337">
        <f t="shared" si="406"/>
        <v>0.14921813517881066</v>
      </c>
      <c r="K622" s="337">
        <f t="shared" si="406"/>
        <v>7.7138791425589215E-2</v>
      </c>
      <c r="L622" s="337">
        <f t="shared" si="406"/>
        <v>0.12124681406577009</v>
      </c>
      <c r="M622" s="337">
        <f t="shared" si="406"/>
        <v>0.17570355365887225</v>
      </c>
      <c r="N622" s="42"/>
      <c r="O622" s="337">
        <f t="shared" si="405"/>
        <v>0.1873891758214028</v>
      </c>
      <c r="P622" s="337">
        <f t="shared" si="405"/>
        <v>0.17129205480917742</v>
      </c>
      <c r="Q622" s="337">
        <f t="shared" si="405"/>
        <v>0.19244705379060534</v>
      </c>
      <c r="R622" s="337">
        <f t="shared" si="405"/>
        <v>0.12416277655415442</v>
      </c>
      <c r="S622" s="337">
        <f t="shared" si="405"/>
        <v>0.16914213105791287</v>
      </c>
    </row>
    <row r="623" spans="1:256" s="520" customFormat="1" ht="13" customHeight="1">
      <c r="A623" s="526" t="s">
        <v>172</v>
      </c>
      <c r="B623" s="337">
        <f t="shared" ref="B623:M623" si="407">B615/B681-1</f>
        <v>0.41722451081359435</v>
      </c>
      <c r="C623" s="337">
        <f t="shared" si="407"/>
        <v>0.22766232241399531</v>
      </c>
      <c r="D623" s="337">
        <f t="shared" si="407"/>
        <v>0.1886617100371748</v>
      </c>
      <c r="E623" s="337">
        <f t="shared" si="407"/>
        <v>0.16381097893702945</v>
      </c>
      <c r="F623" s="337">
        <f t="shared" si="407"/>
        <v>0.11703623580313693</v>
      </c>
      <c r="G623" s="337">
        <f t="shared" si="407"/>
        <v>0.25507874914403095</v>
      </c>
      <c r="H623" s="337">
        <f t="shared" si="407"/>
        <v>0.36824288585634202</v>
      </c>
      <c r="I623" s="337">
        <f t="shared" si="407"/>
        <v>0.25802827450613264</v>
      </c>
      <c r="J623" s="337">
        <f t="shared" si="407"/>
        <v>0.21141374837872884</v>
      </c>
      <c r="K623" s="337">
        <f t="shared" si="407"/>
        <v>8.592028840376531E-2</v>
      </c>
      <c r="L623" s="337">
        <f t="shared" si="407"/>
        <v>1.959123160012699E-2</v>
      </c>
      <c r="M623" s="337">
        <f t="shared" si="407"/>
        <v>9.1684434968017037E-2</v>
      </c>
      <c r="N623" s="42"/>
      <c r="O623" s="337">
        <f t="shared" si="405"/>
        <v>0.27332985176555646</v>
      </c>
      <c r="P623" s="337">
        <f t="shared" si="405"/>
        <v>0.17732793522267221</v>
      </c>
      <c r="Q623" s="337">
        <f t="shared" si="405"/>
        <v>0.27880623426121298</v>
      </c>
      <c r="R623" s="337">
        <f t="shared" si="405"/>
        <v>6.646628868092086E-2</v>
      </c>
      <c r="S623" s="337">
        <f t="shared" si="405"/>
        <v>0.19652839867421679</v>
      </c>
    </row>
    <row r="624" spans="1:256" s="520" customFormat="1" ht="13" customHeight="1">
      <c r="A624" s="536" t="s">
        <v>196</v>
      </c>
      <c r="B624" s="28">
        <f t="shared" ref="B624:M624" si="408">B616/B682-1</f>
        <v>0.33114912808887942</v>
      </c>
      <c r="C624" s="28">
        <f t="shared" si="408"/>
        <v>0.19885410844046958</v>
      </c>
      <c r="D624" s="28">
        <f t="shared" si="408"/>
        <v>0.17977239393193245</v>
      </c>
      <c r="E624" s="28">
        <f t="shared" si="408"/>
        <v>0.17324439503427835</v>
      </c>
      <c r="F624" s="28">
        <f t="shared" si="408"/>
        <v>0.13337017750423064</v>
      </c>
      <c r="G624" s="28">
        <f t="shared" si="408"/>
        <v>0.27697999410479834</v>
      </c>
      <c r="H624" s="28">
        <f t="shared" si="408"/>
        <v>0.28780221054899147</v>
      </c>
      <c r="I624" s="28">
        <f t="shared" si="408"/>
        <v>0.17747861111184604</v>
      </c>
      <c r="J624" s="28">
        <f t="shared" si="408"/>
        <v>0.15530086634494689</v>
      </c>
      <c r="K624" s="28">
        <f t="shared" si="408"/>
        <v>7.5446918200701374E-2</v>
      </c>
      <c r="L624" s="28">
        <f t="shared" si="408"/>
        <v>7.8162792960605243E-2</v>
      </c>
      <c r="M624" s="28">
        <f t="shared" si="408"/>
        <v>0.13894906516178351</v>
      </c>
      <c r="N624" s="42"/>
      <c r="O624" s="337">
        <f t="shared" si="405"/>
        <v>0.23300681153151959</v>
      </c>
      <c r="P624" s="337">
        <f t="shared" si="405"/>
        <v>0.1919311003248847</v>
      </c>
      <c r="Q624" s="337">
        <f t="shared" si="405"/>
        <v>0.20636123258470196</v>
      </c>
      <c r="R624" s="337">
        <f t="shared" si="405"/>
        <v>9.773088581194167E-2</v>
      </c>
      <c r="S624" s="337">
        <f t="shared" si="405"/>
        <v>0.18128769079390983</v>
      </c>
    </row>
    <row r="625" spans="1:256">
      <c r="A625" s="526" t="s">
        <v>181</v>
      </c>
      <c r="B625" s="19">
        <f t="shared" ref="B625:M625" si="409">B617/B683-1</f>
        <v>0.85012214983713341</v>
      </c>
      <c r="C625" s="19">
        <f t="shared" si="409"/>
        <v>1.0748029762690972</v>
      </c>
      <c r="D625" s="19">
        <f t="shared" si="409"/>
        <v>0.7588433166125701</v>
      </c>
      <c r="E625" s="19">
        <f t="shared" si="409"/>
        <v>0.6520692327563935</v>
      </c>
      <c r="F625" s="19">
        <f t="shared" si="409"/>
        <v>0.45646524536394617</v>
      </c>
      <c r="G625" s="19">
        <f t="shared" si="409"/>
        <v>0.409021042858146</v>
      </c>
      <c r="H625" s="19">
        <f t="shared" si="409"/>
        <v>0.39480884152926765</v>
      </c>
      <c r="I625" s="19">
        <f t="shared" si="409"/>
        <v>0.47077709869394191</v>
      </c>
      <c r="J625" s="19">
        <f t="shared" si="409"/>
        <v>0.56539527609632123</v>
      </c>
      <c r="K625" s="19">
        <f t="shared" si="409"/>
        <v>0.61135413774733061</v>
      </c>
      <c r="L625" s="19">
        <f t="shared" si="409"/>
        <v>1.2069193998769463</v>
      </c>
      <c r="M625" s="19">
        <f t="shared" si="409"/>
        <v>1.1019204028712086</v>
      </c>
      <c r="N625" s="19"/>
      <c r="O625" s="19">
        <f t="shared" si="405"/>
        <v>0.88356345787131874</v>
      </c>
      <c r="P625" s="19">
        <f t="shared" si="405"/>
        <v>0.49383301293889437</v>
      </c>
      <c r="Q625" s="19">
        <f t="shared" si="405"/>
        <v>0.47261596275151496</v>
      </c>
      <c r="R625" s="19">
        <f t="shared" si="405"/>
        <v>0.92764284061993973</v>
      </c>
      <c r="S625" s="19">
        <f t="shared" si="405"/>
        <v>0.65241045418516252</v>
      </c>
      <c r="IV625" s="483"/>
    </row>
    <row r="626" spans="1:256" s="520" customFormat="1" ht="13" customHeight="1">
      <c r="A626" s="535" t="s">
        <v>197</v>
      </c>
      <c r="B626" s="28">
        <f t="shared" ref="B626:M626" si="410">B618/B684-1</f>
        <v>0.34577362170845061</v>
      </c>
      <c r="C626" s="28">
        <f t="shared" si="410"/>
        <v>0.21873562464129259</v>
      </c>
      <c r="D626" s="28">
        <f t="shared" si="410"/>
        <v>0.19676681324657475</v>
      </c>
      <c r="E626" s="28">
        <f t="shared" si="410"/>
        <v>0.18863326530849456</v>
      </c>
      <c r="F626" s="28">
        <f t="shared" si="410"/>
        <v>0.14604058276922549</v>
      </c>
      <c r="G626" s="28">
        <f t="shared" si="410"/>
        <v>0.28307982988674607</v>
      </c>
      <c r="H626" s="28">
        <f t="shared" si="410"/>
        <v>0.29340349206568539</v>
      </c>
      <c r="I626" s="28">
        <f t="shared" si="410"/>
        <v>0.19178199011053998</v>
      </c>
      <c r="J626" s="28">
        <f t="shared" si="410"/>
        <v>0.17467684659676652</v>
      </c>
      <c r="K626" s="28">
        <f t="shared" si="410"/>
        <v>9.7642913481505555E-2</v>
      </c>
      <c r="L626" s="28">
        <f t="shared" si="410"/>
        <v>0.11036969165803545</v>
      </c>
      <c r="M626" s="28">
        <f t="shared" si="410"/>
        <v>0.17158952089668</v>
      </c>
      <c r="N626" s="483"/>
      <c r="O626" s="483">
        <f t="shared" si="405"/>
        <v>0.25033808876247043</v>
      </c>
      <c r="P626" s="483">
        <f t="shared" si="405"/>
        <v>0.20370390322011023</v>
      </c>
      <c r="Q626" s="483">
        <f t="shared" si="405"/>
        <v>0.21953025365175383</v>
      </c>
      <c r="R626" s="483">
        <f t="shared" si="405"/>
        <v>0.12660212975665708</v>
      </c>
      <c r="S626" s="483">
        <f t="shared" si="405"/>
        <v>0.19911881584422075</v>
      </c>
    </row>
    <row r="627" spans="1:256" s="520" customFormat="1" ht="13" customHeight="1">
      <c r="A627" s="535"/>
      <c r="B627" s="483"/>
      <c r="C627" s="483"/>
      <c r="D627" s="483"/>
      <c r="E627" s="483"/>
      <c r="F627" s="483"/>
      <c r="G627" s="483"/>
      <c r="H627" s="483"/>
      <c r="I627" s="483"/>
      <c r="J627" s="483"/>
      <c r="K627" s="483"/>
      <c r="L627" s="483"/>
      <c r="M627" s="483"/>
      <c r="N627" s="483"/>
      <c r="O627" s="483"/>
      <c r="P627" s="483"/>
      <c r="Q627" s="483"/>
      <c r="R627" s="483"/>
      <c r="S627" s="337"/>
    </row>
    <row r="628" spans="1:256" ht="13" customHeight="1">
      <c r="A628" s="528" t="s">
        <v>185</v>
      </c>
      <c r="B628" s="488"/>
      <c r="C628" s="488"/>
      <c r="D628" s="488"/>
      <c r="E628" s="488"/>
      <c r="F628" s="488"/>
      <c r="G628" s="488"/>
      <c r="H628" s="488"/>
      <c r="I628" s="488"/>
      <c r="J628" s="488"/>
      <c r="K628" s="488"/>
      <c r="L628" s="488"/>
      <c r="M628" s="488"/>
      <c r="N628" s="488"/>
      <c r="O628" s="488"/>
      <c r="P628" s="488"/>
      <c r="Q628" s="488"/>
      <c r="R628" s="488"/>
    </row>
    <row r="629" spans="1:256">
      <c r="A629" s="526" t="s">
        <v>22</v>
      </c>
      <c r="B629" s="483">
        <f t="shared" ref="B629:B634" si="411">B613/M679-1</f>
        <v>0.10344058926148492</v>
      </c>
      <c r="C629" s="483">
        <f t="shared" ref="C629:M629" si="412">C613/B613-1</f>
        <v>7.7784511607072337E-2</v>
      </c>
      <c r="D629" s="483">
        <f t="shared" si="412"/>
        <v>-6.97748331418232E-2</v>
      </c>
      <c r="E629" s="483">
        <f t="shared" si="412"/>
        <v>2.9155387351397666E-2</v>
      </c>
      <c r="F629" s="483">
        <f t="shared" si="412"/>
        <v>-4.6443924239199741E-2</v>
      </c>
      <c r="G629" s="483">
        <f t="shared" si="412"/>
        <v>-1.5006382845767163E-2</v>
      </c>
      <c r="H629" s="483">
        <f t="shared" si="412"/>
        <v>0.12654751762765315</v>
      </c>
      <c r="I629" s="483">
        <f t="shared" si="412"/>
        <v>2.4706156828987691E-2</v>
      </c>
      <c r="J629" s="483">
        <f t="shared" si="412"/>
        <v>-0.16137769682504788</v>
      </c>
      <c r="K629" s="483">
        <f t="shared" si="412"/>
        <v>2.6662422648080275E-2</v>
      </c>
      <c r="L629" s="483">
        <f t="shared" si="412"/>
        <v>-3.5763461450781908E-2</v>
      </c>
      <c r="M629" s="483">
        <f t="shared" si="412"/>
        <v>0.12001740067900468</v>
      </c>
      <c r="N629" s="488"/>
      <c r="O629" s="19"/>
      <c r="P629" s="19"/>
      <c r="Q629" s="19"/>
      <c r="R629" s="19"/>
    </row>
    <row r="630" spans="1:256">
      <c r="A630" s="526" t="s">
        <v>25</v>
      </c>
      <c r="B630" s="483">
        <f t="shared" si="411"/>
        <v>0.12389624181399839</v>
      </c>
      <c r="C630" s="483">
        <f t="shared" ref="C630:M630" si="413">C614/B614-1</f>
        <v>8.8995432990953471E-2</v>
      </c>
      <c r="D630" s="483">
        <f t="shared" si="413"/>
        <v>-8.3072226239254476E-2</v>
      </c>
      <c r="E630" s="483">
        <f t="shared" si="413"/>
        <v>3.2270218172259835E-2</v>
      </c>
      <c r="F630" s="483">
        <f t="shared" si="413"/>
        <v>-2.4886897031736854E-2</v>
      </c>
      <c r="G630" s="483">
        <f t="shared" si="413"/>
        <v>2.374631140049277E-2</v>
      </c>
      <c r="H630" s="483">
        <f t="shared" si="413"/>
        <v>0.14731015483508925</v>
      </c>
      <c r="I630" s="483">
        <f t="shared" si="413"/>
        <v>2.9021595743104145E-2</v>
      </c>
      <c r="J630" s="483">
        <f t="shared" si="413"/>
        <v>-0.17335253871083911</v>
      </c>
      <c r="K630" s="483">
        <f t="shared" si="413"/>
        <v>-1.0123714932915084E-2</v>
      </c>
      <c r="L630" s="483">
        <f t="shared" si="413"/>
        <v>-4.7505676917389938E-2</v>
      </c>
      <c r="M630" s="483">
        <f t="shared" si="413"/>
        <v>0.1048433522299379</v>
      </c>
      <c r="N630" s="488"/>
      <c r="O630" s="19"/>
      <c r="P630" s="19"/>
      <c r="Q630" s="19"/>
      <c r="R630" s="19"/>
    </row>
    <row r="631" spans="1:256">
      <c r="A631" s="526" t="s">
        <v>172</v>
      </c>
      <c r="B631" s="483">
        <f t="shared" si="411"/>
        <v>0.11777845466544834</v>
      </c>
      <c r="C631" s="483">
        <f t="shared" ref="C631:M631" si="414">C615/B615-1</f>
        <v>-5.0231628667454009E-2</v>
      </c>
      <c r="D631" s="483">
        <f t="shared" si="414"/>
        <v>-2.1423106350420662E-2</v>
      </c>
      <c r="E631" s="483">
        <f t="shared" si="414"/>
        <v>4.2220484753713983E-2</v>
      </c>
      <c r="F631" s="483">
        <f t="shared" si="414"/>
        <v>-3.1601650412603211E-2</v>
      </c>
      <c r="G631" s="483">
        <f t="shared" si="414"/>
        <v>6.4878473903360101E-2</v>
      </c>
      <c r="H631" s="483">
        <f t="shared" si="414"/>
        <v>0.17613894698554144</v>
      </c>
      <c r="I631" s="483">
        <f t="shared" si="414"/>
        <v>3.8889747951136533E-2</v>
      </c>
      <c r="J631" s="483">
        <f t="shared" si="414"/>
        <v>-0.16588524224157186</v>
      </c>
      <c r="K631" s="483">
        <f t="shared" si="414"/>
        <v>-3.2476802284082673E-2</v>
      </c>
      <c r="L631" s="483">
        <f t="shared" si="414"/>
        <v>-0.11213574326816689</v>
      </c>
      <c r="M631" s="483">
        <f t="shared" si="414"/>
        <v>0.11674283340257596</v>
      </c>
      <c r="N631" s="488"/>
      <c r="O631" s="19"/>
      <c r="P631" s="19"/>
      <c r="Q631" s="19"/>
      <c r="R631" s="19"/>
    </row>
    <row r="632" spans="1:256" s="520" customFormat="1" ht="13" customHeight="1">
      <c r="A632" s="535" t="s">
        <v>196</v>
      </c>
      <c r="B632" s="28">
        <f t="shared" si="411"/>
        <v>0.11495279660346536</v>
      </c>
      <c r="C632" s="28">
        <f t="shared" ref="C632:M632" si="415">C616/B616-1</f>
        <v>3.9906457230199699E-2</v>
      </c>
      <c r="D632" s="28">
        <f t="shared" si="415"/>
        <v>-6.0107068024870647E-2</v>
      </c>
      <c r="E632" s="28">
        <f t="shared" si="415"/>
        <v>3.4274358206517253E-2</v>
      </c>
      <c r="F632" s="28">
        <f t="shared" si="415"/>
        <v>-3.4387356402517555E-2</v>
      </c>
      <c r="G632" s="28">
        <f t="shared" si="415"/>
        <v>2.3463670230487343E-2</v>
      </c>
      <c r="H632" s="28">
        <f t="shared" si="415"/>
        <v>0.14991255249070035</v>
      </c>
      <c r="I632" s="28">
        <f t="shared" si="415"/>
        <v>3.0925818696519336E-2</v>
      </c>
      <c r="J632" s="28">
        <f t="shared" si="415"/>
        <v>-0.16704028038503005</v>
      </c>
      <c r="K632" s="28">
        <f t="shared" si="415"/>
        <v>-5.8559625026598505E-3</v>
      </c>
      <c r="L632" s="28">
        <f t="shared" si="415"/>
        <v>-6.4751313595982074E-2</v>
      </c>
      <c r="M632" s="28">
        <f t="shared" si="415"/>
        <v>0.11370810347356164</v>
      </c>
      <c r="N632" s="45"/>
      <c r="O632" s="21"/>
      <c r="P632" s="21"/>
      <c r="Q632" s="21"/>
      <c r="R632" s="21"/>
      <c r="S632" s="44"/>
    </row>
    <row r="633" spans="1:256">
      <c r="A633" s="526" t="s">
        <v>181</v>
      </c>
      <c r="B633" s="483">
        <f t="shared" si="411"/>
        <v>0.28074147844714203</v>
      </c>
      <c r="C633" s="483">
        <f t="shared" ref="C633:M633" si="416">C617/B617-1</f>
        <v>3.7104689803912905E-2</v>
      </c>
      <c r="D633" s="483">
        <f t="shared" si="416"/>
        <v>5.4061892130857547E-2</v>
      </c>
      <c r="E633" s="483">
        <f t="shared" si="416"/>
        <v>7.2883812693768535E-2</v>
      </c>
      <c r="F633" s="483">
        <f t="shared" si="416"/>
        <v>8.3200420317865564E-2</v>
      </c>
      <c r="G633" s="483">
        <f t="shared" si="416"/>
        <v>4.2781829415466932E-2</v>
      </c>
      <c r="H633" s="483">
        <f t="shared" si="416"/>
        <v>0.28728058032006198</v>
      </c>
      <c r="I633" s="483">
        <f t="shared" si="416"/>
        <v>0.10349722544844475</v>
      </c>
      <c r="J633" s="483">
        <f t="shared" si="416"/>
        <v>-0.12598916306085051</v>
      </c>
      <c r="K633" s="483">
        <f t="shared" si="416"/>
        <v>-4.2192587306542961E-2</v>
      </c>
      <c r="L633" s="483">
        <f t="shared" si="416"/>
        <v>-0.13145518044237481</v>
      </c>
      <c r="M633" s="483">
        <f t="shared" si="416"/>
        <v>0.19944241904353421</v>
      </c>
      <c r="N633" s="470"/>
      <c r="O633" s="151"/>
      <c r="P633" s="151"/>
      <c r="Q633" s="151"/>
      <c r="R633" s="151"/>
      <c r="IV633" s="483"/>
    </row>
    <row r="634" spans="1:256" s="520" customFormat="1" ht="13" customHeight="1">
      <c r="A634" s="535" t="s">
        <v>197</v>
      </c>
      <c r="B634" s="28">
        <f t="shared" si="411"/>
        <v>0.12057229732914343</v>
      </c>
      <c r="C634" s="28">
        <f t="shared" ref="C634:M634" si="417">C618/B618-1</f>
        <v>3.9797915552982621E-2</v>
      </c>
      <c r="D634" s="28">
        <f t="shared" si="417"/>
        <v>-5.5695569406616574E-2</v>
      </c>
      <c r="E634" s="28">
        <f t="shared" si="417"/>
        <v>3.5939632785989328E-2</v>
      </c>
      <c r="F634" s="28">
        <f t="shared" si="417"/>
        <v>-2.9134777192072248E-2</v>
      </c>
      <c r="G634" s="28">
        <f t="shared" si="417"/>
        <v>2.4426447984837507E-2</v>
      </c>
      <c r="H634" s="28">
        <f t="shared" si="417"/>
        <v>0.15688136278850262</v>
      </c>
      <c r="I634" s="28">
        <f t="shared" si="417"/>
        <v>3.5022412595733021E-2</v>
      </c>
      <c r="J634" s="28">
        <f t="shared" si="417"/>
        <v>-0.16456967237152331</v>
      </c>
      <c r="K634" s="28">
        <f t="shared" si="417"/>
        <v>-8.1438255761056011E-3</v>
      </c>
      <c r="L634" s="28">
        <f t="shared" si="417"/>
        <v>-6.8807014762257923E-2</v>
      </c>
      <c r="M634" s="28">
        <f t="shared" si="417"/>
        <v>0.11857018414663578</v>
      </c>
      <c r="N634" s="45"/>
      <c r="O634" s="21"/>
      <c r="P634" s="21"/>
      <c r="Q634" s="21"/>
      <c r="R634" s="21"/>
      <c r="S634" s="44"/>
    </row>
    <row r="635" spans="1:256" s="520" customFormat="1" ht="13" customHeight="1">
      <c r="A635" s="532"/>
      <c r="B635" s="337"/>
      <c r="C635" s="337"/>
      <c r="D635" s="337"/>
      <c r="E635" s="337"/>
      <c r="F635" s="337"/>
      <c r="G635" s="538"/>
      <c r="H635" s="337"/>
      <c r="I635" s="538"/>
      <c r="J635" s="538"/>
      <c r="K635" s="337"/>
      <c r="L635" s="337"/>
      <c r="M635" s="337"/>
      <c r="N635" s="42"/>
      <c r="O635" s="43"/>
      <c r="P635" s="43"/>
      <c r="Q635" s="43"/>
      <c r="R635" s="43"/>
      <c r="S635" s="44"/>
    </row>
    <row r="636" spans="1:256" s="520" customFormat="1" ht="13" customHeight="1">
      <c r="A636" s="532" t="s">
        <v>148</v>
      </c>
      <c r="B636" s="337"/>
      <c r="C636" s="337"/>
      <c r="D636" s="337"/>
      <c r="E636" s="337"/>
      <c r="F636" s="337"/>
      <c r="G636" s="538"/>
      <c r="H636" s="337"/>
      <c r="I636" s="538"/>
      <c r="J636" s="538"/>
      <c r="K636" s="337"/>
      <c r="L636" s="337"/>
      <c r="M636" s="337"/>
      <c r="N636" s="42"/>
      <c r="O636" s="43"/>
      <c r="P636" s="43"/>
      <c r="Q636" s="43"/>
      <c r="R636" s="43"/>
      <c r="S636" s="44"/>
    </row>
    <row r="637" spans="1:256" s="520" customFormat="1" ht="13" customHeight="1">
      <c r="A637" s="525">
        <v>2016</v>
      </c>
      <c r="B637" s="472" t="s">
        <v>51</v>
      </c>
      <c r="C637" s="472" t="s">
        <v>52</v>
      </c>
      <c r="D637" s="472" t="s">
        <v>53</v>
      </c>
      <c r="E637" s="472" t="s">
        <v>54</v>
      </c>
      <c r="F637" s="472" t="s">
        <v>55</v>
      </c>
      <c r="G637" s="472" t="s">
        <v>77</v>
      </c>
      <c r="H637" s="472" t="s">
        <v>78</v>
      </c>
      <c r="I637" s="472" t="s">
        <v>79</v>
      </c>
      <c r="J637" s="472" t="s">
        <v>80</v>
      </c>
      <c r="K637" s="472" t="s">
        <v>81</v>
      </c>
      <c r="L637" s="472" t="s">
        <v>82</v>
      </c>
      <c r="M637" s="472" t="s">
        <v>44</v>
      </c>
      <c r="N637" s="473" t="s">
        <v>133</v>
      </c>
      <c r="O637" s="473" t="s">
        <v>129</v>
      </c>
      <c r="P637" s="473" t="s">
        <v>130</v>
      </c>
      <c r="Q637" s="473" t="s">
        <v>131</v>
      </c>
      <c r="R637" s="473" t="s">
        <v>132</v>
      </c>
      <c r="S637" s="445" t="s">
        <v>171</v>
      </c>
    </row>
    <row r="638" spans="1:256" s="520" customFormat="1" ht="13" customHeight="1">
      <c r="A638" s="526" t="s">
        <v>22</v>
      </c>
      <c r="B638" s="15">
        <f>210.92</f>
        <v>210.92</v>
      </c>
      <c r="C638" s="15">
        <f>252.44</f>
        <v>252.44</v>
      </c>
      <c r="D638" s="15">
        <f>205.04</f>
        <v>205.04</v>
      </c>
      <c r="E638" s="15">
        <f>204.83</f>
        <v>204.83</v>
      </c>
      <c r="F638" s="15">
        <f>185.66</f>
        <v>185.66</v>
      </c>
      <c r="G638" s="15">
        <f>184.77</f>
        <v>184.77</v>
      </c>
      <c r="H638" s="15">
        <f>199.77</f>
        <v>199.77</v>
      </c>
      <c r="I638" s="15">
        <f>201.41</f>
        <v>201.41</v>
      </c>
      <c r="J638" s="15">
        <f>172.39</f>
        <v>172.39</v>
      </c>
      <c r="K638" s="15">
        <f>177.98</f>
        <v>177.98</v>
      </c>
      <c r="L638" s="15">
        <f>168.54</f>
        <v>168.54</v>
      </c>
      <c r="M638" s="15">
        <v>177.19</v>
      </c>
      <c r="N638" s="15"/>
      <c r="O638" s="15">
        <f>SUM(B638:D638)</f>
        <v>668.4</v>
      </c>
      <c r="P638" s="15">
        <f>SUM(E638:G638)</f>
        <v>575.26</v>
      </c>
      <c r="Q638" s="15">
        <f>SUM(H638:J638)</f>
        <v>573.56999999999994</v>
      </c>
      <c r="R638" s="15">
        <f>SUM(K638:M638)</f>
        <v>523.71</v>
      </c>
      <c r="S638" s="1">
        <f>SUM(O638:R638)</f>
        <v>2340.9399999999996</v>
      </c>
    </row>
    <row r="639" spans="1:256" s="520" customFormat="1" ht="13" customHeight="1">
      <c r="A639" s="526" t="s">
        <v>25</v>
      </c>
      <c r="B639" s="15">
        <f>273.19</f>
        <v>273.19</v>
      </c>
      <c r="C639" s="15">
        <f>297.66</f>
        <v>297.66000000000003</v>
      </c>
      <c r="D639" s="15">
        <v>257.69600000000003</v>
      </c>
      <c r="E639" s="15">
        <v>272.178</v>
      </c>
      <c r="F639" s="15">
        <f>258.56</f>
        <v>258.56</v>
      </c>
      <c r="G639" s="15">
        <f>261.12</f>
        <v>261.12</v>
      </c>
      <c r="H639" s="15">
        <f>285.54</f>
        <v>285.54000000000002</v>
      </c>
      <c r="I639" s="15">
        <f>274.4</f>
        <v>274.39999999999998</v>
      </c>
      <c r="J639" s="15">
        <f>243.16</f>
        <v>243.16</v>
      </c>
      <c r="K639" s="15">
        <f>256.683</f>
        <v>256.68299999999999</v>
      </c>
      <c r="L639" s="15">
        <f>251.854</f>
        <v>251.85400000000001</v>
      </c>
      <c r="M639" s="15">
        <v>276.22699999999998</v>
      </c>
      <c r="N639" s="15"/>
      <c r="O639" s="15">
        <f>SUM(B639:D639)</f>
        <v>828.54600000000005</v>
      </c>
      <c r="P639" s="15">
        <f>SUM(E639:G639)</f>
        <v>791.85800000000006</v>
      </c>
      <c r="Q639" s="15">
        <f>SUM(H639:J639)</f>
        <v>803.1</v>
      </c>
      <c r="R639" s="15">
        <f>SUM(K639:M639)</f>
        <v>784.76400000000001</v>
      </c>
      <c r="S639" s="1">
        <f>SUM(O639:R639)</f>
        <v>3208.268</v>
      </c>
    </row>
    <row r="640" spans="1:256" s="520" customFormat="1" ht="13" customHeight="1">
      <c r="A640" s="526" t="s">
        <v>172</v>
      </c>
      <c r="B640" s="15">
        <f>384.7</f>
        <v>384.7</v>
      </c>
      <c r="C640" s="15">
        <f>437.3</f>
        <v>437.3</v>
      </c>
      <c r="D640" s="15">
        <f>363.7</f>
        <v>363.7</v>
      </c>
      <c r="E640" s="470">
        <f>383.6</f>
        <v>383.6</v>
      </c>
      <c r="F640" s="15">
        <f>364.9</f>
        <v>364.9</v>
      </c>
      <c r="G640" s="15">
        <f>364.2</f>
        <v>364.2</v>
      </c>
      <c r="H640" s="15">
        <f>387.3</f>
        <v>387.3</v>
      </c>
      <c r="I640" s="15">
        <f>390.3</f>
        <v>390.3</v>
      </c>
      <c r="J640" s="15">
        <f>331.2</f>
        <v>331.2</v>
      </c>
      <c r="K640" s="15">
        <f>348.3</f>
        <v>348.3</v>
      </c>
      <c r="L640" s="15">
        <f>333.9</f>
        <v>333.9</v>
      </c>
      <c r="M640" s="15">
        <v>365.1</v>
      </c>
      <c r="N640" s="15"/>
      <c r="O640" s="15">
        <f>SUM(B640:D640)</f>
        <v>1185.7</v>
      </c>
      <c r="P640" s="15">
        <f>SUM(E640:G640)</f>
        <v>1112.7</v>
      </c>
      <c r="Q640" s="15">
        <f>SUM(H640:J640)</f>
        <v>1108.8</v>
      </c>
      <c r="R640" s="15">
        <f>SUM(K640:M640)</f>
        <v>1047.3000000000002</v>
      </c>
      <c r="S640" s="1">
        <f>SUM(O640:R640)</f>
        <v>4454.5</v>
      </c>
    </row>
    <row r="641" spans="1:256" s="520" customFormat="1" ht="13.5" customHeight="1">
      <c r="A641" s="535" t="s">
        <v>196</v>
      </c>
      <c r="B641" s="45">
        <f t="shared" ref="B641:M641" si="418">SUM(B638:B640)</f>
        <v>868.81</v>
      </c>
      <c r="C641" s="45">
        <f t="shared" si="418"/>
        <v>987.40000000000009</v>
      </c>
      <c r="D641" s="45">
        <f t="shared" si="418"/>
        <v>826.43599999999992</v>
      </c>
      <c r="E641" s="45">
        <f t="shared" si="418"/>
        <v>860.60800000000006</v>
      </c>
      <c r="F641" s="45">
        <f t="shared" si="418"/>
        <v>809.12</v>
      </c>
      <c r="G641" s="45">
        <f t="shared" si="418"/>
        <v>810.08999999999992</v>
      </c>
      <c r="H641" s="45">
        <f t="shared" si="418"/>
        <v>872.61000000000013</v>
      </c>
      <c r="I641" s="45">
        <f t="shared" si="418"/>
        <v>866.1099999999999</v>
      </c>
      <c r="J641" s="45">
        <f t="shared" si="418"/>
        <v>746.75</v>
      </c>
      <c r="K641" s="45">
        <f t="shared" si="418"/>
        <v>782.96299999999997</v>
      </c>
      <c r="L641" s="45">
        <f t="shared" si="418"/>
        <v>754.29399999999998</v>
      </c>
      <c r="M641" s="45">
        <f t="shared" si="418"/>
        <v>818.51700000000005</v>
      </c>
      <c r="N641" s="45"/>
      <c r="O641" s="21">
        <f>SUM(B641:D641)</f>
        <v>2682.6459999999997</v>
      </c>
      <c r="P641" s="21">
        <f>SUM(E641:G641)</f>
        <v>2479.8180000000002</v>
      </c>
      <c r="Q641" s="21">
        <f>SUM(H641:J641)</f>
        <v>2485.4700000000003</v>
      </c>
      <c r="R641" s="21">
        <f>SUM(K641:M641)</f>
        <v>2355.7740000000003</v>
      </c>
      <c r="S641" s="44">
        <f>SUM(O641:R641)</f>
        <v>10003.708000000001</v>
      </c>
    </row>
    <row r="642" spans="1:256" s="546" customFormat="1">
      <c r="A642" s="526" t="s">
        <v>181</v>
      </c>
      <c r="B642" s="547">
        <v>24.015999999999998</v>
      </c>
      <c r="C642" s="547">
        <v>27.766999999999999</v>
      </c>
      <c r="D642" s="547">
        <v>26.338999999999999</v>
      </c>
      <c r="E642" s="547">
        <v>27.762</v>
      </c>
      <c r="F642" s="547">
        <v>25.234000000000002</v>
      </c>
      <c r="G642" s="547">
        <v>24.7</v>
      </c>
      <c r="H642" s="547">
        <v>28</v>
      </c>
      <c r="I642" s="547">
        <v>25.26</v>
      </c>
      <c r="J642" s="547">
        <v>19.71</v>
      </c>
      <c r="K642" s="547">
        <v>21.09</v>
      </c>
      <c r="L642" s="547">
        <v>21.86</v>
      </c>
      <c r="M642" s="547">
        <v>22.62</v>
      </c>
      <c r="N642" s="548"/>
      <c r="O642" s="15">
        <f>SUM(B642:D642)</f>
        <v>78.122</v>
      </c>
      <c r="P642" s="15">
        <f>SUM(E642:G642)</f>
        <v>77.695999999999998</v>
      </c>
      <c r="Q642" s="15">
        <f>SUM(H642:J642)</f>
        <v>72.97</v>
      </c>
      <c r="R642" s="15">
        <f>SUM(K642:M642)</f>
        <v>65.570000000000007</v>
      </c>
      <c r="S642" s="15">
        <f>SUM(O642:R642)</f>
        <v>294.358</v>
      </c>
      <c r="IV642" s="547"/>
    </row>
    <row r="643" spans="1:256" s="520" customFormat="1" ht="13" customHeight="1">
      <c r="A643" s="535" t="s">
        <v>197</v>
      </c>
      <c r="B643" s="45">
        <f t="shared" ref="B643:M643" si="419">SUM(B641:B642)</f>
        <v>892.82599999999991</v>
      </c>
      <c r="C643" s="45">
        <f t="shared" si="419"/>
        <v>1015.1670000000001</v>
      </c>
      <c r="D643" s="45">
        <f t="shared" si="419"/>
        <v>852.77499999999986</v>
      </c>
      <c r="E643" s="45">
        <f t="shared" si="419"/>
        <v>888.37000000000012</v>
      </c>
      <c r="F643" s="45">
        <f t="shared" si="419"/>
        <v>834.35400000000004</v>
      </c>
      <c r="G643" s="45">
        <f t="shared" si="419"/>
        <v>834.79</v>
      </c>
      <c r="H643" s="45">
        <f t="shared" si="419"/>
        <v>900.61000000000013</v>
      </c>
      <c r="I643" s="45">
        <f t="shared" si="419"/>
        <v>891.36999999999989</v>
      </c>
      <c r="J643" s="45">
        <f t="shared" si="419"/>
        <v>766.46</v>
      </c>
      <c r="K643" s="45">
        <f t="shared" si="419"/>
        <v>804.053</v>
      </c>
      <c r="L643" s="45">
        <f t="shared" si="419"/>
        <v>776.154</v>
      </c>
      <c r="M643" s="45">
        <f t="shared" si="419"/>
        <v>841.13700000000006</v>
      </c>
      <c r="N643" s="45"/>
      <c r="O643" s="21">
        <f>SUM(O641:O642)</f>
        <v>2760.7679999999996</v>
      </c>
      <c r="P643" s="21">
        <f>SUM(P641:P642)</f>
        <v>2557.5140000000001</v>
      </c>
      <c r="Q643" s="21">
        <f>SUM(Q641:Q642)</f>
        <v>2558.44</v>
      </c>
      <c r="R643" s="21">
        <f>SUM(R641:R642)</f>
        <v>2421.3440000000005</v>
      </c>
      <c r="S643" s="44">
        <f>SUM(S641:S642)</f>
        <v>10298.066000000001</v>
      </c>
    </row>
    <row r="644" spans="1:256" s="520" customFormat="1" ht="13" customHeight="1">
      <c r="A644" s="532"/>
      <c r="B644" s="337"/>
      <c r="C644" s="337"/>
      <c r="D644" s="337"/>
      <c r="E644" s="337"/>
      <c r="F644" s="337"/>
      <c r="G644" s="538"/>
      <c r="H644" s="337"/>
      <c r="I644" s="538"/>
      <c r="J644" s="538"/>
      <c r="K644" s="337"/>
      <c r="L644" s="337"/>
      <c r="M644" s="337"/>
      <c r="N644" s="42"/>
      <c r="O644" s="43"/>
      <c r="P644" s="43"/>
      <c r="Q644" s="43"/>
      <c r="R644" s="43"/>
      <c r="S644" s="44"/>
    </row>
    <row r="645" spans="1:256" s="520" customFormat="1" ht="13" customHeight="1">
      <c r="A645" s="528" t="s">
        <v>184</v>
      </c>
      <c r="B645" s="337"/>
      <c r="C645" s="337"/>
      <c r="D645" s="337"/>
      <c r="E645" s="337"/>
      <c r="F645" s="337"/>
      <c r="G645" s="538"/>
      <c r="H645" s="337"/>
      <c r="I645" s="538"/>
      <c r="J645" s="538"/>
      <c r="K645" s="337"/>
      <c r="L645" s="337"/>
      <c r="M645" s="337"/>
      <c r="N645" s="42"/>
      <c r="O645" s="43"/>
      <c r="P645" s="43"/>
      <c r="Q645" s="43"/>
      <c r="R645" s="43"/>
      <c r="S645" s="44"/>
    </row>
    <row r="646" spans="1:256" s="520" customFormat="1" ht="13" customHeight="1">
      <c r="A646" s="526" t="s">
        <v>22</v>
      </c>
      <c r="B646" s="337">
        <f t="shared" ref="B646:M646" si="420">B638/B689-1</f>
        <v>4.6126376351552256E-2</v>
      </c>
      <c r="C646" s="337">
        <f t="shared" si="420"/>
        <v>0.10826235841601539</v>
      </c>
      <c r="D646" s="337">
        <f t="shared" si="420"/>
        <v>5.4624009875527291E-2</v>
      </c>
      <c r="E646" s="337">
        <f t="shared" si="420"/>
        <v>-7.9001798561151082E-2</v>
      </c>
      <c r="F646" s="337">
        <f t="shared" si="420"/>
        <v>-0.1672198797882839</v>
      </c>
      <c r="G646" s="337">
        <f t="shared" si="420"/>
        <v>-9.4708476237138628E-2</v>
      </c>
      <c r="H646" s="337">
        <f t="shared" si="420"/>
        <v>-0.1163747346072187</v>
      </c>
      <c r="I646" s="337">
        <f t="shared" si="420"/>
        <v>-0.14253480352505421</v>
      </c>
      <c r="J646" s="337">
        <f t="shared" si="420"/>
        <v>-0.14263689262445922</v>
      </c>
      <c r="K646" s="337">
        <f t="shared" si="420"/>
        <v>-0.20459420808008577</v>
      </c>
      <c r="L646" s="337">
        <f t="shared" si="420"/>
        <v>-0.2123562949808393</v>
      </c>
      <c r="M646" s="337">
        <f t="shared" si="420"/>
        <v>-0.109284673000553</v>
      </c>
      <c r="N646" s="42"/>
      <c r="O646" s="337">
        <f t="shared" ref="O646:S651" si="421">O638/O689-1</f>
        <v>7.1462921996729989E-2</v>
      </c>
      <c r="P646" s="337">
        <f t="shared" si="421"/>
        <v>-0.11422148312392222</v>
      </c>
      <c r="Q646" s="337">
        <f t="shared" si="421"/>
        <v>-0.13363240891789019</v>
      </c>
      <c r="R646" s="337">
        <f t="shared" si="421"/>
        <v>-0.17742315485259241</v>
      </c>
      <c r="S646" s="337">
        <f t="shared" si="421"/>
        <v>-8.9826086618428946E-2</v>
      </c>
    </row>
    <row r="647" spans="1:256" s="520" customFormat="1" ht="13" customHeight="1">
      <c r="A647" s="526" t="s">
        <v>25</v>
      </c>
      <c r="B647" s="337">
        <f t="shared" ref="B647:M647" si="422">B639/B690-1</f>
        <v>0.15932373135975153</v>
      </c>
      <c r="C647" s="337">
        <f t="shared" si="422"/>
        <v>1.9750252659346934E-2</v>
      </c>
      <c r="D647" s="337">
        <f t="shared" si="422"/>
        <v>7.6163669620559871E-2</v>
      </c>
      <c r="E647" s="337">
        <f t="shared" si="422"/>
        <v>0.10767089503949601</v>
      </c>
      <c r="F647" s="337">
        <f t="shared" si="422"/>
        <v>1.5741319096612472E-2</v>
      </c>
      <c r="G647" s="337">
        <f t="shared" si="422"/>
        <v>4.8220049135314857E-2</v>
      </c>
      <c r="H647" s="337">
        <f t="shared" si="422"/>
        <v>5.596769302456317E-2</v>
      </c>
      <c r="I647" s="337">
        <f t="shared" si="422"/>
        <v>-5.3087817132761006E-2</v>
      </c>
      <c r="J647" s="337">
        <f t="shared" si="422"/>
        <v>3.2960777566790167E-2</v>
      </c>
      <c r="K647" s="337">
        <f t="shared" si="422"/>
        <v>-3.292128354576318E-2</v>
      </c>
      <c r="L647" s="337">
        <f t="shared" si="422"/>
        <v>-1.7004712961237178E-3</v>
      </c>
      <c r="M647" s="337">
        <f t="shared" si="422"/>
        <v>6.6740041321516008E-2</v>
      </c>
      <c r="N647" s="42"/>
      <c r="O647" s="337">
        <f t="shared" si="421"/>
        <v>8.0243911660901945E-2</v>
      </c>
      <c r="P647" s="337">
        <f t="shared" si="421"/>
        <v>5.6681372117291406E-2</v>
      </c>
      <c r="Q647" s="337">
        <f t="shared" si="421"/>
        <v>9.4382666470584908E-3</v>
      </c>
      <c r="R647" s="337">
        <f t="shared" si="421"/>
        <v>1.0448735529177355E-2</v>
      </c>
      <c r="S647" s="337">
        <f t="shared" si="421"/>
        <v>3.8737999903516895E-2</v>
      </c>
    </row>
    <row r="648" spans="1:256" s="520" customFormat="1" ht="13" customHeight="1">
      <c r="A648" s="526" t="s">
        <v>172</v>
      </c>
      <c r="B648" s="337">
        <f t="shared" ref="B648:M648" si="423">B640/B691-1</f>
        <v>0.21625039519443567</v>
      </c>
      <c r="C648" s="337">
        <f t="shared" si="423"/>
        <v>5.6280193236714959E-2</v>
      </c>
      <c r="D648" s="337">
        <f t="shared" si="423"/>
        <v>9.9788327789537279E-2</v>
      </c>
      <c r="E648" s="337">
        <f t="shared" si="423"/>
        <v>5.9668508287292976E-2</v>
      </c>
      <c r="F648" s="337">
        <f t="shared" si="423"/>
        <v>-9.5005428881650422E-3</v>
      </c>
      <c r="G648" s="337">
        <f t="shared" si="423"/>
        <v>4.805755395683442E-2</v>
      </c>
      <c r="H648" s="337">
        <f t="shared" si="423"/>
        <v>3.3351120597651995E-2</v>
      </c>
      <c r="I648" s="337">
        <f t="shared" si="423"/>
        <v>-7.8829360396506898E-2</v>
      </c>
      <c r="J648" s="337">
        <f t="shared" si="423"/>
        <v>-5.587229190421894E-2</v>
      </c>
      <c r="K648" s="337">
        <f t="shared" si="423"/>
        <v>-0.10783811475409832</v>
      </c>
      <c r="L648" s="337">
        <f t="shared" si="423"/>
        <v>-8.3447707933022364E-2</v>
      </c>
      <c r="M648" s="337">
        <f t="shared" si="423"/>
        <v>-1.2175324675324672E-2</v>
      </c>
      <c r="N648" s="42"/>
      <c r="O648" s="337">
        <f t="shared" si="421"/>
        <v>0.11753063147973619</v>
      </c>
      <c r="P648" s="337">
        <f t="shared" si="421"/>
        <v>3.228499860840528E-2</v>
      </c>
      <c r="Q648" s="337">
        <f t="shared" si="421"/>
        <v>-3.5238841033672696E-2</v>
      </c>
      <c r="R648" s="337">
        <f t="shared" si="421"/>
        <v>-6.8487058614248864E-2</v>
      </c>
      <c r="S648" s="337">
        <f t="shared" si="421"/>
        <v>9.5184135977337547E-3</v>
      </c>
    </row>
    <row r="649" spans="1:256" s="520" customFormat="1" ht="13" customHeight="1">
      <c r="A649" s="536" t="s">
        <v>196</v>
      </c>
      <c r="B649" s="28">
        <f t="shared" ref="B649:M649" si="424">B641/B692-1</f>
        <v>0.15293152822712264</v>
      </c>
      <c r="C649" s="28">
        <f t="shared" si="424"/>
        <v>5.7541435724422385E-2</v>
      </c>
      <c r="D649" s="28">
        <f t="shared" si="424"/>
        <v>8.0904760534569409E-2</v>
      </c>
      <c r="E649" s="28">
        <f t="shared" si="424"/>
        <v>3.6725971274067293E-2</v>
      </c>
      <c r="F649" s="28">
        <f t="shared" si="424"/>
        <v>-4.3472401355727053E-2</v>
      </c>
      <c r="G649" s="28">
        <f t="shared" si="424"/>
        <v>1.1717130339649273E-2</v>
      </c>
      <c r="H649" s="28">
        <f t="shared" si="424"/>
        <v>1.5195928776545742E-3</v>
      </c>
      <c r="I649" s="28">
        <f t="shared" si="424"/>
        <v>-8.6742150248741656E-2</v>
      </c>
      <c r="J649" s="28">
        <f t="shared" si="424"/>
        <v>-5.1470205304145589E-2</v>
      </c>
      <c r="K649" s="28">
        <f t="shared" si="424"/>
        <v>-0.10984548324713694</v>
      </c>
      <c r="L649" s="28">
        <f t="shared" si="424"/>
        <v>-9.1828073246701392E-2</v>
      </c>
      <c r="M649" s="28">
        <f t="shared" si="424"/>
        <v>-1.0825704704069627E-2</v>
      </c>
      <c r="N649" s="42"/>
      <c r="O649" s="487">
        <f t="shared" si="421"/>
        <v>9.4145204030150476E-2</v>
      </c>
      <c r="P649" s="487">
        <f t="shared" si="421"/>
        <v>1.2500393665497711E-3</v>
      </c>
      <c r="Q649" s="487">
        <f t="shared" si="421"/>
        <v>-4.6591566865405998E-2</v>
      </c>
      <c r="R649" s="487">
        <f t="shared" si="421"/>
        <v>-7.165969359466462E-2</v>
      </c>
      <c r="S649" s="487">
        <f t="shared" si="421"/>
        <v>-6.8879552463091409E-3</v>
      </c>
    </row>
    <row r="650" spans="1:256">
      <c r="A650" s="526" t="s">
        <v>181</v>
      </c>
      <c r="B650" s="483">
        <f t="shared" ref="B650:M650" si="425">B642/B693-1</f>
        <v>0.16707162989600532</v>
      </c>
      <c r="C650" s="483">
        <f t="shared" si="425"/>
        <v>0.18187622371669354</v>
      </c>
      <c r="D650" s="483">
        <f t="shared" si="425"/>
        <v>0.28195269152146407</v>
      </c>
      <c r="E650" s="483">
        <f t="shared" si="425"/>
        <v>0.20390286209887254</v>
      </c>
      <c r="F650" s="483">
        <f t="shared" si="425"/>
        <v>5.9450835502561139E-2</v>
      </c>
      <c r="G650" s="483">
        <f t="shared" si="425"/>
        <v>0.16333835719668421</v>
      </c>
      <c r="H650" s="483">
        <f t="shared" si="425"/>
        <v>0.16105490131033351</v>
      </c>
      <c r="I650" s="483">
        <f t="shared" si="425"/>
        <v>4.5140469196077726E-2</v>
      </c>
      <c r="J650" s="483">
        <f t="shared" si="425"/>
        <v>-0.11280158444364419</v>
      </c>
      <c r="K650" s="483">
        <f t="shared" si="425"/>
        <v>-0.18552560438711663</v>
      </c>
      <c r="L650" s="483">
        <f t="shared" si="425"/>
        <v>-0.14244243066180218</v>
      </c>
      <c r="M650" s="483">
        <f t="shared" si="425"/>
        <v>-4.7258023755370249E-2</v>
      </c>
      <c r="N650" s="483"/>
      <c r="O650" s="483">
        <f t="shared" si="421"/>
        <v>0.20898201739453404</v>
      </c>
      <c r="P650" s="483">
        <f t="shared" si="421"/>
        <v>0.14074291587138443</v>
      </c>
      <c r="Q650" s="483">
        <f t="shared" si="421"/>
        <v>3.5020779847094285E-2</v>
      </c>
      <c r="R650" s="483">
        <f t="shared" si="421"/>
        <v>-0.12721125560717172</v>
      </c>
      <c r="S650" s="483">
        <f t="shared" si="421"/>
        <v>5.7487533949331038E-2</v>
      </c>
      <c r="IV650" s="483"/>
    </row>
    <row r="651" spans="1:256" s="520" customFormat="1" ht="13" customHeight="1">
      <c r="A651" s="535" t="s">
        <v>197</v>
      </c>
      <c r="B651" s="28">
        <f t="shared" ref="B651:M651" si="426">B643/B694-1</f>
        <v>0.15330739500661372</v>
      </c>
      <c r="C651" s="28">
        <f t="shared" si="426"/>
        <v>6.0593270362914176E-2</v>
      </c>
      <c r="D651" s="28">
        <f t="shared" si="426"/>
        <v>8.6166006898273251E-2</v>
      </c>
      <c r="E651" s="28">
        <f t="shared" si="426"/>
        <v>4.1244472157725198E-2</v>
      </c>
      <c r="F651" s="28">
        <f t="shared" si="426"/>
        <v>-4.065373440142761E-2</v>
      </c>
      <c r="G651" s="28">
        <f t="shared" si="426"/>
        <v>1.5633744555563656E-2</v>
      </c>
      <c r="H651" s="28">
        <f t="shared" si="426"/>
        <v>5.8163819156089591E-3</v>
      </c>
      <c r="I651" s="28">
        <f t="shared" si="426"/>
        <v>-8.3464689993141827E-2</v>
      </c>
      <c r="J651" s="28">
        <f t="shared" si="426"/>
        <v>-5.3153416917133822E-2</v>
      </c>
      <c r="K651" s="28">
        <f t="shared" si="426"/>
        <v>-0.11200971865595399</v>
      </c>
      <c r="L651" s="28">
        <f t="shared" si="426"/>
        <v>-9.3335233524987848E-2</v>
      </c>
      <c r="M651" s="28">
        <f t="shared" si="426"/>
        <v>-1.184186875966986E-2</v>
      </c>
      <c r="N651" s="483"/>
      <c r="O651" s="484">
        <f t="shared" si="421"/>
        <v>9.709402619656271E-2</v>
      </c>
      <c r="P651" s="484">
        <f t="shared" si="421"/>
        <v>4.9834330910645264E-3</v>
      </c>
      <c r="Q651" s="484">
        <f t="shared" si="421"/>
        <v>-4.4442585283211766E-2</v>
      </c>
      <c r="R651" s="484">
        <f t="shared" si="421"/>
        <v>-7.3257025367180373E-2</v>
      </c>
      <c r="S651" s="484">
        <f t="shared" si="421"/>
        <v>-5.1568635766573445E-3</v>
      </c>
    </row>
    <row r="652" spans="1:256" s="520" customFormat="1" ht="13" customHeight="1">
      <c r="A652" s="535"/>
      <c r="B652" s="483"/>
      <c r="C652" s="483"/>
      <c r="D652" s="483"/>
      <c r="E652" s="483"/>
      <c r="F652" s="483"/>
      <c r="G652" s="483"/>
      <c r="H652" s="483"/>
      <c r="I652" s="483"/>
      <c r="J652" s="483"/>
      <c r="K652" s="483"/>
      <c r="L652" s="483"/>
      <c r="M652" s="483"/>
      <c r="N652" s="483"/>
      <c r="O652" s="483"/>
      <c r="P652" s="483"/>
      <c r="Q652" s="483"/>
      <c r="R652" s="483"/>
      <c r="S652" s="337"/>
    </row>
    <row r="653" spans="1:256" ht="13" customHeight="1">
      <c r="A653" s="528" t="s">
        <v>185</v>
      </c>
      <c r="B653" s="488"/>
      <c r="C653" s="488"/>
      <c r="D653" s="488"/>
      <c r="E653" s="488"/>
      <c r="F653" s="488"/>
      <c r="G653" s="488"/>
      <c r="H653" s="488"/>
      <c r="I653" s="488"/>
      <c r="J653" s="488"/>
      <c r="K653" s="488"/>
      <c r="L653" s="488"/>
      <c r="M653" s="488"/>
      <c r="N653" s="488"/>
      <c r="O653" s="488"/>
      <c r="P653" s="488"/>
      <c r="Q653" s="488"/>
      <c r="R653" s="488"/>
    </row>
    <row r="654" spans="1:256">
      <c r="A654" s="526" t="s">
        <v>22</v>
      </c>
      <c r="B654" s="483">
        <f t="shared" ref="B654:B659" si="427">B638/M689-1</f>
        <v>6.0272457648419042E-2</v>
      </c>
      <c r="C654" s="483">
        <f t="shared" ref="C654:M654" si="428">C638/B638-1</f>
        <v>0.19685188697136358</v>
      </c>
      <c r="D654" s="483">
        <f t="shared" si="428"/>
        <v>-0.18776739027095546</v>
      </c>
      <c r="E654" s="483">
        <f t="shared" si="428"/>
        <v>-1.0241904018727377E-3</v>
      </c>
      <c r="F654" s="483">
        <f t="shared" si="428"/>
        <v>-9.3589806180735313E-2</v>
      </c>
      <c r="G654" s="483">
        <f t="shared" si="428"/>
        <v>-4.7937089303026204E-3</v>
      </c>
      <c r="H654" s="483">
        <f t="shared" si="428"/>
        <v>8.1182010066569221E-2</v>
      </c>
      <c r="I654" s="483">
        <f t="shared" si="428"/>
        <v>8.2094408569854949E-3</v>
      </c>
      <c r="J654" s="483">
        <f t="shared" si="428"/>
        <v>-0.14408420634526597</v>
      </c>
      <c r="K654" s="483">
        <f t="shared" si="428"/>
        <v>3.2426474853529896E-2</v>
      </c>
      <c r="L654" s="483">
        <f t="shared" si="428"/>
        <v>-5.303966737835708E-2</v>
      </c>
      <c r="M654" s="483">
        <f t="shared" si="428"/>
        <v>5.1323128040821286E-2</v>
      </c>
      <c r="N654" s="488"/>
      <c r="O654" s="19"/>
      <c r="P654" s="19"/>
      <c r="Q654" s="19"/>
      <c r="R654" s="19"/>
    </row>
    <row r="655" spans="1:256">
      <c r="A655" s="526" t="s">
        <v>25</v>
      </c>
      <c r="B655" s="483">
        <f t="shared" si="427"/>
        <v>5.5011682017416907E-2</v>
      </c>
      <c r="C655" s="483">
        <f t="shared" ref="C655:M655" si="429">C639/B639-1</f>
        <v>8.9571360591529814E-2</v>
      </c>
      <c r="D655" s="483">
        <f t="shared" si="429"/>
        <v>-0.1342605657461533</v>
      </c>
      <c r="E655" s="483">
        <f t="shared" si="429"/>
        <v>5.6198000745063759E-2</v>
      </c>
      <c r="F655" s="483">
        <f t="shared" si="429"/>
        <v>-5.0033434002748178E-2</v>
      </c>
      <c r="G655" s="483">
        <f t="shared" si="429"/>
        <v>9.9009900990099098E-3</v>
      </c>
      <c r="H655" s="483">
        <f t="shared" si="429"/>
        <v>9.3520220588235281E-2</v>
      </c>
      <c r="I655" s="483">
        <f t="shared" si="429"/>
        <v>-3.9013798417034562E-2</v>
      </c>
      <c r="J655" s="483">
        <f t="shared" si="429"/>
        <v>-0.11384839650145762</v>
      </c>
      <c r="K655" s="483">
        <f t="shared" si="429"/>
        <v>5.5613587761145E-2</v>
      </c>
      <c r="L655" s="483">
        <f t="shared" si="429"/>
        <v>-1.8813088517743548E-2</v>
      </c>
      <c r="M655" s="483">
        <f t="shared" si="429"/>
        <v>9.677432163078592E-2</v>
      </c>
      <c r="N655" s="488"/>
      <c r="O655" s="19"/>
      <c r="P655" s="19"/>
      <c r="Q655" s="19"/>
      <c r="R655" s="19"/>
    </row>
    <row r="656" spans="1:256">
      <c r="A656" s="526" t="s">
        <v>172</v>
      </c>
      <c r="B656" s="483">
        <f t="shared" si="427"/>
        <v>4.0854978354978311E-2</v>
      </c>
      <c r="C656" s="483">
        <f t="shared" ref="C656:M656" si="430">C640/B640-1</f>
        <v>0.13672991941772805</v>
      </c>
      <c r="D656" s="483">
        <f t="shared" si="430"/>
        <v>-0.1683055110907844</v>
      </c>
      <c r="E656" s="483">
        <f t="shared" si="430"/>
        <v>5.4715424800660051E-2</v>
      </c>
      <c r="F656" s="483">
        <f t="shared" si="430"/>
        <v>-4.8748696558915672E-2</v>
      </c>
      <c r="G656" s="483">
        <f t="shared" si="430"/>
        <v>-1.9183337900794406E-3</v>
      </c>
      <c r="H656" s="483">
        <f t="shared" si="430"/>
        <v>6.3426688632619577E-2</v>
      </c>
      <c r="I656" s="483">
        <f t="shared" si="430"/>
        <v>7.7459333849729806E-3</v>
      </c>
      <c r="J656" s="483">
        <f t="shared" si="430"/>
        <v>-0.15142198308993082</v>
      </c>
      <c r="K656" s="483">
        <f t="shared" si="430"/>
        <v>5.1630434782608869E-2</v>
      </c>
      <c r="L656" s="483">
        <f t="shared" si="430"/>
        <v>-4.1343669250646142E-2</v>
      </c>
      <c r="M656" s="483">
        <f t="shared" si="430"/>
        <v>9.3441150044923704E-2</v>
      </c>
      <c r="N656" s="488"/>
      <c r="O656" s="19"/>
      <c r="P656" s="19"/>
      <c r="Q656" s="19"/>
      <c r="R656" s="19"/>
    </row>
    <row r="657" spans="1:256" s="520" customFormat="1" ht="13" customHeight="1">
      <c r="A657" s="535" t="s">
        <v>196</v>
      </c>
      <c r="B657" s="28">
        <f t="shared" si="427"/>
        <v>4.9953170790658197E-2</v>
      </c>
      <c r="C657" s="28">
        <f t="shared" ref="C657:M657" si="431">C641/B641-1</f>
        <v>0.13649704768591531</v>
      </c>
      <c r="D657" s="28">
        <f t="shared" si="431"/>
        <v>-0.16301802714198921</v>
      </c>
      <c r="E657" s="28">
        <f t="shared" si="431"/>
        <v>4.134863437701175E-2</v>
      </c>
      <c r="F657" s="28">
        <f t="shared" si="431"/>
        <v>-5.9827470811333439E-2</v>
      </c>
      <c r="G657" s="28">
        <f t="shared" si="431"/>
        <v>1.1988333003756235E-3</v>
      </c>
      <c r="H657" s="28">
        <f t="shared" si="431"/>
        <v>7.7176610006295832E-2</v>
      </c>
      <c r="I657" s="28">
        <f t="shared" si="431"/>
        <v>-7.448917614971462E-3</v>
      </c>
      <c r="J657" s="28">
        <f t="shared" si="431"/>
        <v>-0.13781159437023005</v>
      </c>
      <c r="K657" s="28">
        <f t="shared" si="431"/>
        <v>4.849414127887508E-2</v>
      </c>
      <c r="L657" s="28">
        <f t="shared" si="431"/>
        <v>-3.6616034218730609E-2</v>
      </c>
      <c r="M657" s="28">
        <f t="shared" si="431"/>
        <v>8.5143193502798642E-2</v>
      </c>
      <c r="N657" s="45"/>
      <c r="O657" s="21"/>
      <c r="P657" s="21"/>
      <c r="Q657" s="21"/>
      <c r="R657" s="21"/>
      <c r="S657" s="44"/>
    </row>
    <row r="658" spans="1:256">
      <c r="A658" s="526" t="s">
        <v>181</v>
      </c>
      <c r="B658" s="483">
        <f t="shared" si="427"/>
        <v>1.1540729508887182E-2</v>
      </c>
      <c r="C658" s="483">
        <f t="shared" ref="C658:M658" si="432">C642/B642-1</f>
        <v>0.15618754163890736</v>
      </c>
      <c r="D658" s="483">
        <f t="shared" si="432"/>
        <v>-5.1427954046169955E-2</v>
      </c>
      <c r="E658" s="483">
        <f t="shared" si="432"/>
        <v>5.4026348760393361E-2</v>
      </c>
      <c r="F658" s="483">
        <f t="shared" si="432"/>
        <v>-9.1059721922051695E-2</v>
      </c>
      <c r="G658" s="483">
        <f t="shared" si="432"/>
        <v>-2.1161924387730902E-2</v>
      </c>
      <c r="H658" s="483">
        <f t="shared" si="432"/>
        <v>0.1336032388663968</v>
      </c>
      <c r="I658" s="483">
        <f t="shared" si="432"/>
        <v>-9.7857142857142754E-2</v>
      </c>
      <c r="J658" s="483">
        <f t="shared" si="432"/>
        <v>-0.21971496437054638</v>
      </c>
      <c r="K658" s="483">
        <f t="shared" si="432"/>
        <v>7.0015220700152092E-2</v>
      </c>
      <c r="L658" s="483">
        <f t="shared" si="432"/>
        <v>3.6510194404931307E-2</v>
      </c>
      <c r="M658" s="483">
        <f t="shared" si="432"/>
        <v>3.4766697163769456E-2</v>
      </c>
      <c r="N658" s="470"/>
      <c r="O658" s="151"/>
      <c r="P658" s="151"/>
      <c r="Q658" s="151"/>
      <c r="R658" s="151"/>
      <c r="IV658" s="483"/>
    </row>
    <row r="659" spans="1:256" s="520" customFormat="1" ht="13" customHeight="1">
      <c r="A659" s="535" t="s">
        <v>197</v>
      </c>
      <c r="B659" s="28">
        <f t="shared" si="427"/>
        <v>4.8881777502093993E-2</v>
      </c>
      <c r="C659" s="28">
        <f t="shared" ref="C659:M659" si="433">C643/B643-1</f>
        <v>0.13702669949127855</v>
      </c>
      <c r="D659" s="28">
        <f t="shared" si="433"/>
        <v>-0.15996579873065242</v>
      </c>
      <c r="E659" s="28">
        <f t="shared" si="433"/>
        <v>4.1740201108147135E-2</v>
      </c>
      <c r="F659" s="28">
        <f t="shared" si="433"/>
        <v>-6.0803494039645689E-2</v>
      </c>
      <c r="G659" s="28">
        <f t="shared" si="433"/>
        <v>5.2255996855032905E-4</v>
      </c>
      <c r="H659" s="28">
        <f t="shared" si="433"/>
        <v>7.8846176882809038E-2</v>
      </c>
      <c r="I659" s="28">
        <f t="shared" si="433"/>
        <v>-1.0259712861283132E-2</v>
      </c>
      <c r="J659" s="28">
        <f t="shared" si="433"/>
        <v>-0.14013260486666579</v>
      </c>
      <c r="K659" s="28">
        <f t="shared" si="433"/>
        <v>4.9047569344779829E-2</v>
      </c>
      <c r="L659" s="28">
        <f t="shared" si="433"/>
        <v>-3.4697961452789805E-2</v>
      </c>
      <c r="M659" s="28">
        <f t="shared" si="433"/>
        <v>8.3724363979313488E-2</v>
      </c>
      <c r="N659" s="45"/>
      <c r="O659" s="21"/>
      <c r="P659" s="21"/>
      <c r="Q659" s="21"/>
      <c r="R659" s="21"/>
      <c r="S659" s="44"/>
    </row>
    <row r="660" spans="1:256" s="520" customFormat="1" ht="13" customHeight="1">
      <c r="A660" s="532"/>
      <c r="B660" s="337"/>
      <c r="C660" s="337"/>
      <c r="D660" s="337"/>
      <c r="E660" s="337"/>
      <c r="F660" s="337"/>
      <c r="G660" s="538"/>
      <c r="H660" s="337"/>
      <c r="I660" s="538"/>
      <c r="J660" s="538"/>
      <c r="K660" s="337"/>
      <c r="L660" s="337"/>
      <c r="M660" s="337"/>
      <c r="N660" s="42"/>
      <c r="O660" s="43"/>
      <c r="P660" s="43"/>
      <c r="Q660" s="43"/>
      <c r="R660" s="43"/>
      <c r="S660" s="44"/>
    </row>
    <row r="661" spans="1:256" s="445" customFormat="1" ht="13" customHeight="1">
      <c r="A661" s="525">
        <v>2015</v>
      </c>
      <c r="B661" s="472" t="s">
        <v>51</v>
      </c>
      <c r="C661" s="472" t="s">
        <v>52</v>
      </c>
      <c r="D661" s="472" t="s">
        <v>53</v>
      </c>
      <c r="E661" s="472" t="s">
        <v>54</v>
      </c>
      <c r="F661" s="472" t="s">
        <v>55</v>
      </c>
      <c r="G661" s="472" t="s">
        <v>77</v>
      </c>
      <c r="H661" s="472" t="s">
        <v>78</v>
      </c>
      <c r="I661" s="472" t="s">
        <v>79</v>
      </c>
      <c r="J661" s="472" t="s">
        <v>80</v>
      </c>
      <c r="K661" s="472" t="s">
        <v>81</v>
      </c>
      <c r="L661" s="472" t="s">
        <v>82</v>
      </c>
      <c r="M661" s="472" t="s">
        <v>44</v>
      </c>
      <c r="N661" s="473" t="s">
        <v>133</v>
      </c>
      <c r="O661" s="473" t="s">
        <v>129</v>
      </c>
      <c r="P661" s="473" t="s">
        <v>130</v>
      </c>
      <c r="Q661" s="473" t="s">
        <v>131</v>
      </c>
      <c r="R661" s="473" t="s">
        <v>132</v>
      </c>
      <c r="S661" s="445" t="s">
        <v>171</v>
      </c>
    </row>
    <row r="662" spans="1:256">
      <c r="A662" s="526" t="s">
        <v>22</v>
      </c>
      <c r="B662" s="15">
        <f>201.62+882.14</f>
        <v>1083.76</v>
      </c>
      <c r="C662" s="15">
        <f>227.78+995.24</f>
        <v>1223.02</v>
      </c>
      <c r="D662" s="15">
        <f>194.42+938.41</f>
        <v>1132.83</v>
      </c>
      <c r="E662" s="15">
        <f>222.4+956.38</f>
        <v>1178.78</v>
      </c>
      <c r="F662" s="15">
        <f>222.94+952.4</f>
        <v>1175.3399999999999</v>
      </c>
      <c r="G662" s="15">
        <f>(204.1+857.25)</f>
        <v>1061.3499999999999</v>
      </c>
      <c r="H662" s="15">
        <f>226.08+1009.28</f>
        <v>1235.3599999999999</v>
      </c>
      <c r="I662" s="15">
        <f>234.89+1137.01</f>
        <v>1371.9</v>
      </c>
      <c r="J662" s="15">
        <f>201.07+964.26</f>
        <v>1165.33</v>
      </c>
      <c r="K662" s="15">
        <f>223.76+1031.1</f>
        <v>1254.8599999999999</v>
      </c>
      <c r="L662" s="15">
        <f>213.98+968.04</f>
        <v>1182.02</v>
      </c>
      <c r="M662" s="15">
        <f>198.93+1031.8</f>
        <v>1230.73</v>
      </c>
      <c r="N662" s="15"/>
      <c r="O662" s="15">
        <f>SUM(B662:D662)</f>
        <v>3439.6099999999997</v>
      </c>
      <c r="P662" s="15">
        <f>SUM(E662:G662)</f>
        <v>3415.47</v>
      </c>
      <c r="Q662" s="15">
        <f>SUM(H662:J662)</f>
        <v>3772.59</v>
      </c>
      <c r="R662" s="15">
        <f>SUM(K662:M662)</f>
        <v>3667.61</v>
      </c>
      <c r="S662" s="1">
        <f>SUM(O662:R662)</f>
        <v>14295.28</v>
      </c>
    </row>
    <row r="663" spans="1:256">
      <c r="A663" s="526" t="s">
        <v>25</v>
      </c>
      <c r="B663" s="15">
        <f>882.03+235.646</f>
        <v>1117.6759999999999</v>
      </c>
      <c r="C663" s="15">
        <f>1087.02+291.895</f>
        <v>1378.915</v>
      </c>
      <c r="D663" s="15">
        <f>1003+239.458</f>
        <v>1242.4580000000001</v>
      </c>
      <c r="E663" s="15">
        <f>1041.7+245.721</f>
        <v>1287.421</v>
      </c>
      <c r="F663" s="15">
        <f>1036.27+254.553</f>
        <v>1290.8229999999999</v>
      </c>
      <c r="G663" s="15">
        <f>912.77+249.108</f>
        <v>1161.8779999999999</v>
      </c>
      <c r="H663" s="15">
        <f>1062.77+270.406</f>
        <v>1333.1759999999999</v>
      </c>
      <c r="I663" s="15">
        <f>1197.007+289.784</f>
        <v>1486.7910000000002</v>
      </c>
      <c r="J663" s="15">
        <f>998.766+235.401</f>
        <v>1234.1669999999999</v>
      </c>
      <c r="K663" s="15">
        <f>1054.813+265.421</f>
        <v>1320.2340000000002</v>
      </c>
      <c r="L663" s="15">
        <f>965.18+252.283</f>
        <v>1217.463</v>
      </c>
      <c r="M663" s="15">
        <f>1016.98+258.945</f>
        <v>1275.925</v>
      </c>
      <c r="N663" s="15"/>
      <c r="O663" s="15">
        <f>SUM(B663:D663)</f>
        <v>3739.049</v>
      </c>
      <c r="P663" s="15">
        <f>SUM(E663:G663)</f>
        <v>3740.1219999999994</v>
      </c>
      <c r="Q663" s="15">
        <f>SUM(H663:J663)</f>
        <v>4054.134</v>
      </c>
      <c r="R663" s="15">
        <f>SUM(K663:M663)</f>
        <v>3813.6220000000003</v>
      </c>
      <c r="S663" s="1">
        <f>SUM(O663:R663)</f>
        <v>15346.927</v>
      </c>
    </row>
    <row r="664" spans="1:256">
      <c r="A664" s="526" t="s">
        <v>172</v>
      </c>
      <c r="B664" s="15">
        <f>776.8+316.3</f>
        <v>1093.0999999999999</v>
      </c>
      <c r="C664" s="15">
        <f>851.7+414</f>
        <v>1265.7</v>
      </c>
      <c r="D664" s="15">
        <f>860.8+330.7</f>
        <v>1191.5</v>
      </c>
      <c r="E664" s="470">
        <f>916.3+362</f>
        <v>1278.3</v>
      </c>
      <c r="F664" s="15">
        <f>924.5+368.4</f>
        <v>1292.9000000000001</v>
      </c>
      <c r="G664" s="15">
        <f>876.2+347.5</f>
        <v>1223.7</v>
      </c>
      <c r="H664" s="15">
        <f>945.3+374.8</f>
        <v>1320.1</v>
      </c>
      <c r="I664" s="15">
        <f>1068.1+423.7</f>
        <v>1491.8</v>
      </c>
      <c r="J664" s="15">
        <f>925.2+350.8</f>
        <v>1276</v>
      </c>
      <c r="K664" s="15">
        <f>998.6+390.4</f>
        <v>1389</v>
      </c>
      <c r="L664" s="15">
        <f>944.3+364.3</f>
        <v>1308.5999999999999</v>
      </c>
      <c r="M664" s="15">
        <f>984.9+369.6</f>
        <v>1354.5</v>
      </c>
      <c r="N664" s="15"/>
      <c r="O664" s="15">
        <f>SUM(B664:D664)</f>
        <v>3550.3</v>
      </c>
      <c r="P664" s="15">
        <f>SUM(E664:G664)</f>
        <v>3794.8999999999996</v>
      </c>
      <c r="Q664" s="15">
        <f>SUM(H664:J664)</f>
        <v>4087.8999999999996</v>
      </c>
      <c r="R664" s="15">
        <f>SUM(K664:M664)</f>
        <v>4052.1</v>
      </c>
      <c r="S664" s="1">
        <f>SUM(O664:R664)</f>
        <v>15485.199999999999</v>
      </c>
    </row>
    <row r="665" spans="1:256" s="520" customFormat="1" ht="13" customHeight="1">
      <c r="A665" s="535" t="s">
        <v>196</v>
      </c>
      <c r="B665" s="45">
        <f t="shared" ref="B665:M665" si="434">SUM(B662:B664)</f>
        <v>3294.5359999999996</v>
      </c>
      <c r="C665" s="45">
        <f t="shared" si="434"/>
        <v>3867.6350000000002</v>
      </c>
      <c r="D665" s="45">
        <f t="shared" si="434"/>
        <v>3566.788</v>
      </c>
      <c r="E665" s="45">
        <f t="shared" si="434"/>
        <v>3744.5010000000002</v>
      </c>
      <c r="F665" s="45">
        <f t="shared" si="434"/>
        <v>3759.0629999999996</v>
      </c>
      <c r="G665" s="45">
        <f t="shared" si="434"/>
        <v>3446.9279999999999</v>
      </c>
      <c r="H665" s="45">
        <f t="shared" si="434"/>
        <v>3888.636</v>
      </c>
      <c r="I665" s="45">
        <f t="shared" si="434"/>
        <v>4350.491</v>
      </c>
      <c r="J665" s="45">
        <f t="shared" si="434"/>
        <v>3675.4969999999998</v>
      </c>
      <c r="K665" s="45">
        <f t="shared" si="434"/>
        <v>3964.0940000000001</v>
      </c>
      <c r="L665" s="45">
        <f t="shared" si="434"/>
        <v>3708.0830000000001</v>
      </c>
      <c r="M665" s="45">
        <f t="shared" si="434"/>
        <v>3861.1549999999997</v>
      </c>
      <c r="N665" s="45"/>
      <c r="O665" s="21">
        <f>SUM(B665:D665)</f>
        <v>10728.959000000001</v>
      </c>
      <c r="P665" s="21">
        <f>SUM(E665:G665)</f>
        <v>10950.492</v>
      </c>
      <c r="Q665" s="21">
        <f>SUM(H665:J665)</f>
        <v>11914.624</v>
      </c>
      <c r="R665" s="21">
        <f>SUM(K665:M665)</f>
        <v>11533.331999999999</v>
      </c>
      <c r="S665" s="44">
        <f>SUM(O665:R665)</f>
        <v>45127.406999999992</v>
      </c>
    </row>
    <row r="666" spans="1:256">
      <c r="A666" s="526" t="s">
        <v>181</v>
      </c>
      <c r="B666" s="15">
        <f t="shared" ref="B666:M666" si="435">B683+B693</f>
        <v>94.25800000000001</v>
      </c>
      <c r="C666" s="15">
        <f t="shared" si="435"/>
        <v>91.632999999999996</v>
      </c>
      <c r="D666" s="15">
        <f t="shared" si="435"/>
        <v>105.27099999999999</v>
      </c>
      <c r="E666" s="15">
        <f t="shared" si="435"/>
        <v>119.83500000000001</v>
      </c>
      <c r="F666" s="15">
        <f t="shared" si="435"/>
        <v>142.72300000000001</v>
      </c>
      <c r="G666" s="15">
        <f t="shared" si="435"/>
        <v>149.399</v>
      </c>
      <c r="H666" s="15">
        <f t="shared" si="435"/>
        <v>190.78399999999999</v>
      </c>
      <c r="I666" s="15">
        <f t="shared" si="435"/>
        <v>198.58700000000002</v>
      </c>
      <c r="J666" s="15">
        <f t="shared" si="435"/>
        <v>165.44500000000002</v>
      </c>
      <c r="K666" s="15">
        <f t="shared" si="435"/>
        <v>159.167</v>
      </c>
      <c r="L666" s="15">
        <f t="shared" si="435"/>
        <v>110.00700000000001</v>
      </c>
      <c r="M666" s="15">
        <f t="shared" si="435"/>
        <v>130.178</v>
      </c>
      <c r="N666" s="15"/>
      <c r="O666" s="15">
        <f>SUM(B666:D666)</f>
        <v>291.16200000000003</v>
      </c>
      <c r="P666" s="15">
        <f>SUM(E666:G666)</f>
        <v>411.95699999999999</v>
      </c>
      <c r="Q666" s="15">
        <f>SUM(H666:J666)</f>
        <v>554.81600000000003</v>
      </c>
      <c r="R666" s="15">
        <f>SUM(K666:M666)</f>
        <v>399.35199999999998</v>
      </c>
      <c r="S666" s="1">
        <f>SUM(O666:R666)</f>
        <v>1657.2869999999998</v>
      </c>
    </row>
    <row r="667" spans="1:256" s="520" customFormat="1" ht="13" customHeight="1">
      <c r="A667" s="535" t="s">
        <v>197</v>
      </c>
      <c r="B667" s="45">
        <f t="shared" ref="B667:M667" si="436">SUM(B665:B666)</f>
        <v>3388.7939999999994</v>
      </c>
      <c r="C667" s="45">
        <f t="shared" si="436"/>
        <v>3959.268</v>
      </c>
      <c r="D667" s="45">
        <f t="shared" si="436"/>
        <v>3672.0590000000002</v>
      </c>
      <c r="E667" s="45">
        <f t="shared" si="436"/>
        <v>3864.3360000000002</v>
      </c>
      <c r="F667" s="45">
        <f t="shared" si="436"/>
        <v>3901.7859999999996</v>
      </c>
      <c r="G667" s="45">
        <f t="shared" si="436"/>
        <v>3596.3269999999998</v>
      </c>
      <c r="H667" s="45">
        <f t="shared" si="436"/>
        <v>4079.42</v>
      </c>
      <c r="I667" s="45">
        <f t="shared" si="436"/>
        <v>4549.0780000000004</v>
      </c>
      <c r="J667" s="45">
        <f t="shared" si="436"/>
        <v>3840.942</v>
      </c>
      <c r="K667" s="45">
        <f t="shared" si="436"/>
        <v>4123.2610000000004</v>
      </c>
      <c r="L667" s="45">
        <f t="shared" si="436"/>
        <v>3818.09</v>
      </c>
      <c r="M667" s="45">
        <f t="shared" si="436"/>
        <v>3991.3329999999996</v>
      </c>
      <c r="N667" s="45"/>
      <c r="O667" s="21">
        <f>SUM(O665:O666)</f>
        <v>11020.121000000001</v>
      </c>
      <c r="P667" s="21">
        <f>SUM(P665:P666)</f>
        <v>11362.449000000001</v>
      </c>
      <c r="Q667" s="21">
        <f>SUM(Q665:Q666)</f>
        <v>12469.44</v>
      </c>
      <c r="R667" s="21">
        <f>SUM(R665:R666)</f>
        <v>11932.683999999999</v>
      </c>
      <c r="S667" s="21">
        <f>SUM(S665:S666)</f>
        <v>46784.693999999989</v>
      </c>
    </row>
    <row r="668" spans="1:256">
      <c r="A668" s="526"/>
      <c r="B668" s="15"/>
      <c r="C668" s="15"/>
      <c r="D668" s="483"/>
      <c r="E668" s="15"/>
      <c r="F668" s="15"/>
      <c r="G668" s="15"/>
      <c r="H668" s="15"/>
      <c r="I668" s="15"/>
      <c r="J668" s="15"/>
      <c r="K668" s="15"/>
      <c r="L668" s="15"/>
      <c r="M668" s="15"/>
      <c r="N668" s="488"/>
      <c r="O668" s="15"/>
      <c r="P668" s="19"/>
      <c r="Q668" s="15"/>
      <c r="R668" s="15"/>
      <c r="S668" s="36"/>
    </row>
    <row r="669" spans="1:256" ht="13" customHeight="1">
      <c r="A669" s="528" t="s">
        <v>184</v>
      </c>
      <c r="B669" s="488"/>
      <c r="C669" s="488"/>
      <c r="D669" s="483"/>
      <c r="E669" s="488"/>
      <c r="F669" s="488"/>
      <c r="G669" s="488"/>
      <c r="H669" s="488"/>
      <c r="I669" s="488"/>
      <c r="J669" s="488"/>
      <c r="K669" s="488"/>
      <c r="L669" s="488"/>
      <c r="M669" s="488"/>
      <c r="N669" s="514"/>
      <c r="O669" s="488"/>
      <c r="P669" s="19"/>
      <c r="Q669" s="488"/>
      <c r="R669" s="488"/>
    </row>
    <row r="670" spans="1:256">
      <c r="A670" s="526" t="s">
        <v>22</v>
      </c>
      <c r="B670" s="24">
        <f t="shared" ref="B670:M670" si="437">B662/B698-1</f>
        <v>0.16824767161090026</v>
      </c>
      <c r="C670" s="24">
        <f t="shared" si="437"/>
        <v>0.35034392907221945</v>
      </c>
      <c r="D670" s="24">
        <f t="shared" si="437"/>
        <v>0.3036318442311674</v>
      </c>
      <c r="E670" s="24">
        <f t="shared" si="437"/>
        <v>0.28959488879407491</v>
      </c>
      <c r="F670" s="24">
        <f t="shared" si="437"/>
        <v>0.37785749454877937</v>
      </c>
      <c r="G670" s="24">
        <f t="shared" si="437"/>
        <v>0.31441415780152804</v>
      </c>
      <c r="H670" s="24">
        <f t="shared" si="437"/>
        <v>0.19843618125551754</v>
      </c>
      <c r="I670" s="24">
        <f t="shared" si="437"/>
        <v>0.20003149000192444</v>
      </c>
      <c r="J670" s="24">
        <f t="shared" si="437"/>
        <v>0.18176839842205061</v>
      </c>
      <c r="K670" s="24">
        <f t="shared" si="437"/>
        <v>0.1953210580962268</v>
      </c>
      <c r="L670" s="24">
        <f t="shared" si="437"/>
        <v>0.1791664172702061</v>
      </c>
      <c r="M670" s="24">
        <f t="shared" si="437"/>
        <v>0.15150636227544911</v>
      </c>
      <c r="N670" s="19"/>
      <c r="O670" s="483">
        <f t="shared" ref="O670:S673" si="438">O662/O698-1</f>
        <v>0.27281238320437229</v>
      </c>
      <c r="P670" s="483">
        <f t="shared" si="438"/>
        <v>0.32662280156609258</v>
      </c>
      <c r="Q670" s="483">
        <f t="shared" si="438"/>
        <v>0.19381226029391296</v>
      </c>
      <c r="R670" s="483">
        <f t="shared" si="438"/>
        <v>0.17512808271628288</v>
      </c>
      <c r="S670" s="483">
        <f t="shared" si="438"/>
        <v>0.2368213405686761</v>
      </c>
    </row>
    <row r="671" spans="1:256">
      <c r="A671" s="526" t="s">
        <v>25</v>
      </c>
      <c r="B671" s="24">
        <f t="shared" ref="B671:M671" si="439">B663/B699-1</f>
        <v>4.2037615596683509E-2</v>
      </c>
      <c r="C671" s="24">
        <f t="shared" si="439"/>
        <v>0.31608886581269902</v>
      </c>
      <c r="D671" s="24">
        <f t="shared" si="439"/>
        <v>0.24688569108905734</v>
      </c>
      <c r="E671" s="24">
        <f t="shared" si="439"/>
        <v>0.2488999305423516</v>
      </c>
      <c r="F671" s="24">
        <f t="shared" si="439"/>
        <v>0.29041264877768858</v>
      </c>
      <c r="G671" s="24">
        <f t="shared" si="439"/>
        <v>0.18020540980892275</v>
      </c>
      <c r="H671" s="24">
        <f t="shared" si="439"/>
        <v>0.17281882737119147</v>
      </c>
      <c r="I671" s="24">
        <f t="shared" si="439"/>
        <v>0.23126630394275938</v>
      </c>
      <c r="J671" s="24">
        <f t="shared" si="439"/>
        <v>0.19140738881541464</v>
      </c>
      <c r="K671" s="24">
        <f t="shared" si="439"/>
        <v>0.19113089561678387</v>
      </c>
      <c r="L671" s="24">
        <f t="shared" si="439"/>
        <v>0.15021020907536342</v>
      </c>
      <c r="M671" s="24">
        <f t="shared" si="439"/>
        <v>0.15198001431933927</v>
      </c>
      <c r="N671" s="19"/>
      <c r="O671" s="483">
        <f t="shared" si="438"/>
        <v>0.19965393694054701</v>
      </c>
      <c r="P671" s="483">
        <f t="shared" si="438"/>
        <v>0.24024441966247201</v>
      </c>
      <c r="Q671" s="483">
        <f t="shared" si="438"/>
        <v>0.19939541108850856</v>
      </c>
      <c r="R671" s="483">
        <f t="shared" si="438"/>
        <v>0.16466032463467162</v>
      </c>
      <c r="S671" s="483">
        <f t="shared" si="438"/>
        <v>0.20019724714248932</v>
      </c>
    </row>
    <row r="672" spans="1:256">
      <c r="A672" s="526" t="s">
        <v>172</v>
      </c>
      <c r="B672" s="24">
        <f t="shared" ref="B672:M672" si="440">B664/B700-1</f>
        <v>1.9873110654972992E-2</v>
      </c>
      <c r="C672" s="24">
        <f t="shared" si="440"/>
        <v>0.27552151567066407</v>
      </c>
      <c r="D672" s="24">
        <f t="shared" si="440"/>
        <v>0.12416265685442007</v>
      </c>
      <c r="E672" s="24">
        <f t="shared" si="440"/>
        <v>0.14348331693353589</v>
      </c>
      <c r="F672" s="24">
        <f t="shared" si="440"/>
        <v>0.19624352331606221</v>
      </c>
      <c r="G672" s="24">
        <f t="shared" si="440"/>
        <v>0.10762128892107148</v>
      </c>
      <c r="H672" s="24">
        <f t="shared" si="440"/>
        <v>5.9130295250320764E-2</v>
      </c>
      <c r="I672" s="24">
        <f t="shared" si="440"/>
        <v>0.11569815271857009</v>
      </c>
      <c r="J672" s="24">
        <f t="shared" si="440"/>
        <v>8.4849515388539354E-2</v>
      </c>
      <c r="K672" s="24">
        <f t="shared" si="440"/>
        <v>0.16078890188868478</v>
      </c>
      <c r="L672" s="24">
        <f t="shared" si="440"/>
        <v>0.17531884318304281</v>
      </c>
      <c r="M672" s="24">
        <f t="shared" si="440"/>
        <v>0.18722061530370748</v>
      </c>
      <c r="N672" s="19"/>
      <c r="O672" s="483">
        <f t="shared" si="438"/>
        <v>0.13645966709346991</v>
      </c>
      <c r="P672" s="483">
        <f t="shared" si="438"/>
        <v>0.14875132435295879</v>
      </c>
      <c r="Q672" s="483">
        <f t="shared" si="438"/>
        <v>8.7294199005239825E-2</v>
      </c>
      <c r="R672" s="483">
        <f t="shared" si="438"/>
        <v>0.17421542206380947</v>
      </c>
      <c r="S672" s="483">
        <f t="shared" si="438"/>
        <v>0.13543675438660796</v>
      </c>
    </row>
    <row r="673" spans="1:19" s="520" customFormat="1" ht="13" customHeight="1">
      <c r="A673" s="535" t="s">
        <v>133</v>
      </c>
      <c r="B673" s="522">
        <f t="shared" ref="B673:M673" si="441">B665/B701-1</f>
        <v>7.2416714869825372E-2</v>
      </c>
      <c r="C673" s="522">
        <f t="shared" si="441"/>
        <v>0.31295559326717459</v>
      </c>
      <c r="D673" s="522">
        <f t="shared" si="441"/>
        <v>0.21927755818234451</v>
      </c>
      <c r="E673" s="522">
        <f t="shared" si="441"/>
        <v>0.22256885334858723</v>
      </c>
      <c r="F673" s="522">
        <f t="shared" si="441"/>
        <v>0.28114730799982812</v>
      </c>
      <c r="G673" s="522">
        <f t="shared" si="441"/>
        <v>0.18993310068107561</v>
      </c>
      <c r="H673" s="522">
        <f t="shared" si="441"/>
        <v>0.13904704772025722</v>
      </c>
      <c r="I673" s="522">
        <f t="shared" si="441"/>
        <v>0.17968219965562593</v>
      </c>
      <c r="J673" s="522">
        <f t="shared" si="441"/>
        <v>0.14924644641639917</v>
      </c>
      <c r="K673" s="522">
        <f t="shared" si="441"/>
        <v>0.18161963302101447</v>
      </c>
      <c r="L673" s="522">
        <f t="shared" si="441"/>
        <v>0.1681613841205436</v>
      </c>
      <c r="M673" s="522">
        <f t="shared" si="441"/>
        <v>0.1639475319183441</v>
      </c>
      <c r="N673" s="28"/>
      <c r="O673" s="484">
        <f t="shared" si="438"/>
        <v>0.19968550206566094</v>
      </c>
      <c r="P673" s="484">
        <f t="shared" si="438"/>
        <v>0.23126489749533752</v>
      </c>
      <c r="Q673" s="484">
        <f t="shared" si="438"/>
        <v>0.15676320547791978</v>
      </c>
      <c r="R673" s="484">
        <f t="shared" si="438"/>
        <v>0.17132712733004407</v>
      </c>
      <c r="S673" s="484">
        <f t="shared" si="438"/>
        <v>0.18808910279875413</v>
      </c>
    </row>
    <row r="674" spans="1:19">
      <c r="A674" s="526" t="s">
        <v>181</v>
      </c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</row>
    <row r="675" spans="1:19" s="520" customFormat="1" ht="13" customHeight="1">
      <c r="A675" s="535" t="s">
        <v>197</v>
      </c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</row>
    <row r="676" spans="1:19">
      <c r="A676" s="526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508"/>
      <c r="O676" s="19"/>
      <c r="P676" s="19"/>
      <c r="Q676" s="19"/>
      <c r="R676" s="19"/>
    </row>
    <row r="677" spans="1:19" s="520" customFormat="1" ht="13" customHeight="1">
      <c r="A677" s="532" t="s">
        <v>201</v>
      </c>
      <c r="B677" s="337"/>
      <c r="C677" s="337"/>
      <c r="D677" s="337"/>
      <c r="E677" s="337"/>
      <c r="F677" s="337"/>
      <c r="G677" s="538"/>
      <c r="H677" s="337"/>
      <c r="I677" s="538"/>
      <c r="J677" s="538"/>
      <c r="K677" s="337"/>
      <c r="L677" s="337"/>
      <c r="M677" s="337"/>
      <c r="N677" s="42"/>
      <c r="O677" s="43"/>
      <c r="P677" s="43"/>
      <c r="Q677" s="43"/>
      <c r="R677" s="43"/>
      <c r="S677" s="44"/>
    </row>
    <row r="678" spans="1:19" s="520" customFormat="1" ht="13" customHeight="1">
      <c r="A678" s="525">
        <v>2015</v>
      </c>
      <c r="B678" s="472" t="s">
        <v>51</v>
      </c>
      <c r="C678" s="472" t="s">
        <v>52</v>
      </c>
      <c r="D678" s="472" t="s">
        <v>53</v>
      </c>
      <c r="E678" s="472" t="s">
        <v>54</v>
      </c>
      <c r="F678" s="472" t="s">
        <v>55</v>
      </c>
      <c r="G678" s="472" t="s">
        <v>77</v>
      </c>
      <c r="H678" s="472" t="s">
        <v>78</v>
      </c>
      <c r="I678" s="472" t="s">
        <v>79</v>
      </c>
      <c r="J678" s="472" t="s">
        <v>80</v>
      </c>
      <c r="K678" s="472" t="s">
        <v>81</v>
      </c>
      <c r="L678" s="472" t="s">
        <v>82</v>
      </c>
      <c r="M678" s="472" t="s">
        <v>44</v>
      </c>
      <c r="N678" s="473" t="s">
        <v>133</v>
      </c>
      <c r="O678" s="473" t="s">
        <v>129</v>
      </c>
      <c r="P678" s="473" t="s">
        <v>130</v>
      </c>
      <c r="Q678" s="473" t="s">
        <v>131</v>
      </c>
      <c r="R678" s="473" t="s">
        <v>132</v>
      </c>
      <c r="S678" s="445" t="s">
        <v>171</v>
      </c>
    </row>
    <row r="679" spans="1:19" s="520" customFormat="1" ht="13" customHeight="1">
      <c r="A679" s="526" t="s">
        <v>22</v>
      </c>
      <c r="B679" s="15">
        <f>882.14</f>
        <v>882.14</v>
      </c>
      <c r="C679" s="15">
        <f>995.24</f>
        <v>995.24</v>
      </c>
      <c r="D679" s="15">
        <f>938.41</f>
        <v>938.41</v>
      </c>
      <c r="E679" s="15">
        <f>956.38</f>
        <v>956.38</v>
      </c>
      <c r="F679" s="15">
        <f>952.4</f>
        <v>952.4</v>
      </c>
      <c r="G679" s="15">
        <f>857.25</f>
        <v>857.25</v>
      </c>
      <c r="H679" s="15">
        <f>1009.28</f>
        <v>1009.28</v>
      </c>
      <c r="I679" s="15">
        <f>1137.01</f>
        <v>1137.01</v>
      </c>
      <c r="J679" s="15">
        <f>964.26</f>
        <v>964.26</v>
      </c>
      <c r="K679" s="15">
        <f>1031.1</f>
        <v>1031.0999999999999</v>
      </c>
      <c r="L679" s="15">
        <f>968.04</f>
        <v>968.04</v>
      </c>
      <c r="M679" s="15">
        <f>1031.8</f>
        <v>1031.8</v>
      </c>
      <c r="N679" s="15"/>
      <c r="O679" s="15">
        <f>SUM(B679:D679)</f>
        <v>2815.79</v>
      </c>
      <c r="P679" s="15">
        <f>SUM(E679:G679)</f>
        <v>2766.0299999999997</v>
      </c>
      <c r="Q679" s="15">
        <f>SUM(H679:J679)</f>
        <v>3110.55</v>
      </c>
      <c r="R679" s="15">
        <f>SUM(K679:M679)</f>
        <v>3030.9399999999996</v>
      </c>
      <c r="S679" s="1">
        <f>SUM(O679:R679)</f>
        <v>11723.309999999998</v>
      </c>
    </row>
    <row r="680" spans="1:19" s="520" customFormat="1" ht="13" customHeight="1">
      <c r="A680" s="526" t="s">
        <v>25</v>
      </c>
      <c r="B680" s="15">
        <f>882.03</f>
        <v>882.03</v>
      </c>
      <c r="C680" s="15">
        <f>1087.02</f>
        <v>1087.02</v>
      </c>
      <c r="D680" s="15">
        <f>1003</f>
        <v>1003</v>
      </c>
      <c r="E680" s="15">
        <f>1041.7</f>
        <v>1041.7</v>
      </c>
      <c r="F680" s="15">
        <f>1036.27</f>
        <v>1036.27</v>
      </c>
      <c r="G680" s="15">
        <f>912.77</f>
        <v>912.77</v>
      </c>
      <c r="H680" s="15">
        <f>1062.77</f>
        <v>1062.77</v>
      </c>
      <c r="I680" s="15">
        <f>1197.007</f>
        <v>1197.0070000000001</v>
      </c>
      <c r="J680" s="15">
        <f>998.766</f>
        <v>998.76599999999996</v>
      </c>
      <c r="K680" s="15">
        <f>1054.813</f>
        <v>1054.8130000000001</v>
      </c>
      <c r="L680" s="15">
        <f>965.18</f>
        <v>965.18</v>
      </c>
      <c r="M680" s="15">
        <f>1016.98</f>
        <v>1016.98</v>
      </c>
      <c r="N680" s="15"/>
      <c r="O680" s="15">
        <f>SUM(B680:D680)</f>
        <v>2972.05</v>
      </c>
      <c r="P680" s="15">
        <f>SUM(E680:G680)</f>
        <v>2990.7400000000002</v>
      </c>
      <c r="Q680" s="15">
        <f>SUM(H680:J680)</f>
        <v>3258.5430000000001</v>
      </c>
      <c r="R680" s="15">
        <f>SUM(K680:M680)</f>
        <v>3036.973</v>
      </c>
      <c r="S680" s="1">
        <f>SUM(O680:R680)</f>
        <v>12258.306</v>
      </c>
    </row>
    <row r="681" spans="1:19" s="520" customFormat="1" ht="13" customHeight="1">
      <c r="A681" s="526" t="s">
        <v>172</v>
      </c>
      <c r="B681" s="15">
        <f>776.8</f>
        <v>776.8</v>
      </c>
      <c r="C681" s="15">
        <f>851.7</f>
        <v>851.7</v>
      </c>
      <c r="D681" s="15">
        <f>860.8</f>
        <v>860.8</v>
      </c>
      <c r="E681" s="470">
        <f>916.3</f>
        <v>916.3</v>
      </c>
      <c r="F681" s="15">
        <f>924.5</f>
        <v>924.5</v>
      </c>
      <c r="G681" s="15">
        <f>876.2</f>
        <v>876.2</v>
      </c>
      <c r="H681" s="15">
        <f>945.3</f>
        <v>945.3</v>
      </c>
      <c r="I681" s="15">
        <f>1068.1</f>
        <v>1068.0999999999999</v>
      </c>
      <c r="J681" s="15">
        <f>925.2</f>
        <v>925.2</v>
      </c>
      <c r="K681" s="15">
        <f>998.6</f>
        <v>998.6</v>
      </c>
      <c r="L681" s="15">
        <f>944.3</f>
        <v>944.3</v>
      </c>
      <c r="M681" s="15">
        <f>984.9</f>
        <v>984.9</v>
      </c>
      <c r="N681" s="15"/>
      <c r="O681" s="15">
        <f>SUM(B681:D681)</f>
        <v>2489.3000000000002</v>
      </c>
      <c r="P681" s="15">
        <f>SUM(E681:G681)</f>
        <v>2717</v>
      </c>
      <c r="Q681" s="15">
        <f>SUM(H681:J681)</f>
        <v>2938.6</v>
      </c>
      <c r="R681" s="15">
        <f>SUM(K681:M681)</f>
        <v>2927.8</v>
      </c>
      <c r="S681" s="1">
        <f>SUM(O681:R681)</f>
        <v>11072.7</v>
      </c>
    </row>
    <row r="682" spans="1:19" s="520" customFormat="1" ht="13.5" customHeight="1">
      <c r="A682" s="535" t="s">
        <v>196</v>
      </c>
      <c r="B682" s="45">
        <f t="shared" ref="B682:M682" si="442">SUM(B679:B681)</f>
        <v>2540.9700000000003</v>
      </c>
      <c r="C682" s="45">
        <f t="shared" si="442"/>
        <v>2933.96</v>
      </c>
      <c r="D682" s="45">
        <f t="shared" si="442"/>
        <v>2802.21</v>
      </c>
      <c r="E682" s="45">
        <f t="shared" si="442"/>
        <v>2914.38</v>
      </c>
      <c r="F682" s="45">
        <f t="shared" si="442"/>
        <v>2913.17</v>
      </c>
      <c r="G682" s="45">
        <f t="shared" si="442"/>
        <v>2646.2200000000003</v>
      </c>
      <c r="H682" s="45">
        <f t="shared" si="442"/>
        <v>3017.3500000000004</v>
      </c>
      <c r="I682" s="45">
        <f t="shared" si="442"/>
        <v>3402.1169999999997</v>
      </c>
      <c r="J682" s="45">
        <f t="shared" si="442"/>
        <v>2888.2259999999997</v>
      </c>
      <c r="K682" s="45">
        <f t="shared" si="442"/>
        <v>3084.5129999999999</v>
      </c>
      <c r="L682" s="45">
        <f t="shared" si="442"/>
        <v>2877.5199999999995</v>
      </c>
      <c r="M682" s="45">
        <f t="shared" si="442"/>
        <v>3033.68</v>
      </c>
      <c r="N682" s="45"/>
      <c r="O682" s="21">
        <f>SUM(B682:D682)</f>
        <v>8277.14</v>
      </c>
      <c r="P682" s="21">
        <f>SUM(E682:G682)</f>
        <v>8473.77</v>
      </c>
      <c r="Q682" s="21">
        <f>SUM(H682:J682)</f>
        <v>9307.6929999999993</v>
      </c>
      <c r="R682" s="21">
        <f>SUM(K682:M682)</f>
        <v>8995.7129999999997</v>
      </c>
      <c r="S682" s="44">
        <f>SUM(O682:R682)</f>
        <v>35054.315999999999</v>
      </c>
    </row>
    <row r="683" spans="1:19">
      <c r="A683" s="526" t="s">
        <v>181</v>
      </c>
      <c r="B683" s="15">
        <v>73.680000000000007</v>
      </c>
      <c r="C683" s="15">
        <v>68.138999999999996</v>
      </c>
      <c r="D683" s="15">
        <v>84.724999999999994</v>
      </c>
      <c r="E683" s="15">
        <v>96.775000000000006</v>
      </c>
      <c r="F683" s="15">
        <v>118.905</v>
      </c>
      <c r="G683" s="15">
        <v>128.167</v>
      </c>
      <c r="H683" s="15">
        <v>166.66800000000001</v>
      </c>
      <c r="I683" s="15">
        <v>174.41800000000001</v>
      </c>
      <c r="J683" s="15">
        <v>143.22900000000001</v>
      </c>
      <c r="K683" s="15">
        <v>133.273</v>
      </c>
      <c r="L683" s="15">
        <v>84.516000000000005</v>
      </c>
      <c r="M683" s="15">
        <v>106.43600000000001</v>
      </c>
      <c r="N683" s="15"/>
      <c r="O683" s="15">
        <f>SUM(B683:D683)</f>
        <v>226.54400000000001</v>
      </c>
      <c r="P683" s="15">
        <f>SUM(E683:G683)</f>
        <v>343.84699999999998</v>
      </c>
      <c r="Q683" s="15">
        <f>SUM(H683:J683)</f>
        <v>484.31500000000005</v>
      </c>
      <c r="R683" s="15">
        <f>SUM(K683:M683)</f>
        <v>324.22500000000002</v>
      </c>
      <c r="S683" s="1">
        <f>SUM(O683:R683)</f>
        <v>1378.931</v>
      </c>
    </row>
    <row r="684" spans="1:19" s="520" customFormat="1" ht="13" customHeight="1">
      <c r="A684" s="535" t="s">
        <v>197</v>
      </c>
      <c r="B684" s="45">
        <f t="shared" ref="B684:M684" si="443">B682+B683</f>
        <v>2614.65</v>
      </c>
      <c r="C684" s="45">
        <f t="shared" si="443"/>
        <v>3002.0990000000002</v>
      </c>
      <c r="D684" s="45">
        <f t="shared" si="443"/>
        <v>2886.9349999999999</v>
      </c>
      <c r="E684" s="45">
        <f t="shared" si="443"/>
        <v>3011.1550000000002</v>
      </c>
      <c r="F684" s="45">
        <f t="shared" si="443"/>
        <v>3032.0750000000003</v>
      </c>
      <c r="G684" s="45">
        <f t="shared" si="443"/>
        <v>2774.3870000000002</v>
      </c>
      <c r="H684" s="45">
        <f t="shared" si="443"/>
        <v>3184.0180000000005</v>
      </c>
      <c r="I684" s="45">
        <f t="shared" si="443"/>
        <v>3576.5349999999999</v>
      </c>
      <c r="J684" s="45">
        <f t="shared" si="443"/>
        <v>3031.4549999999995</v>
      </c>
      <c r="K684" s="45">
        <f t="shared" si="443"/>
        <v>3217.7860000000001</v>
      </c>
      <c r="L684" s="45">
        <f t="shared" si="443"/>
        <v>2962.0359999999996</v>
      </c>
      <c r="M684" s="45">
        <f t="shared" si="443"/>
        <v>3140.116</v>
      </c>
      <c r="N684" s="45"/>
      <c r="O684" s="21">
        <f>SUM(O682:O683)</f>
        <v>8503.6839999999993</v>
      </c>
      <c r="P684" s="21">
        <f>SUM(P682:P683)</f>
        <v>8817.6170000000002</v>
      </c>
      <c r="Q684" s="21">
        <f>SUM(Q682:Q683)</f>
        <v>9792.0079999999998</v>
      </c>
      <c r="R684" s="21">
        <f>SUM(R682:R683)</f>
        <v>9319.9380000000001</v>
      </c>
      <c r="S684" s="21">
        <f>SUM(S682:S683)</f>
        <v>36433.246999999996</v>
      </c>
    </row>
    <row r="685" spans="1:19" s="520" customFormat="1" ht="13" customHeight="1">
      <c r="A685" s="532"/>
      <c r="B685" s="337"/>
      <c r="C685" s="337"/>
      <c r="D685" s="337"/>
      <c r="E685" s="337"/>
      <c r="F685" s="337"/>
      <c r="G685" s="538"/>
      <c r="H685" s="337"/>
      <c r="I685" s="538"/>
      <c r="J685" s="538"/>
      <c r="K685" s="337"/>
      <c r="L685" s="337"/>
      <c r="M685" s="337"/>
      <c r="N685" s="42"/>
      <c r="O685" s="43"/>
      <c r="P685" s="43"/>
      <c r="Q685" s="43"/>
      <c r="R685" s="43"/>
      <c r="S685" s="44"/>
    </row>
    <row r="686" spans="1:19" s="520" customFormat="1" ht="13" customHeight="1">
      <c r="A686" s="532"/>
      <c r="B686" s="337"/>
      <c r="C686" s="337"/>
      <c r="D686" s="337"/>
      <c r="E686" s="337"/>
      <c r="F686" s="337"/>
      <c r="G686" s="538"/>
      <c r="H686" s="337"/>
      <c r="I686" s="538"/>
      <c r="J686" s="538"/>
      <c r="K686" s="337"/>
      <c r="L686" s="337"/>
      <c r="M686" s="337"/>
      <c r="N686" s="42"/>
      <c r="O686" s="43"/>
      <c r="P686" s="43"/>
      <c r="Q686" s="43"/>
      <c r="R686" s="43"/>
      <c r="S686" s="44"/>
    </row>
    <row r="687" spans="1:19" s="520" customFormat="1" ht="13" customHeight="1">
      <c r="A687" s="532" t="s">
        <v>148</v>
      </c>
      <c r="B687" s="337"/>
      <c r="C687" s="337"/>
      <c r="D687" s="337"/>
      <c r="E687" s="337"/>
      <c r="F687" s="337"/>
      <c r="G687" s="538"/>
      <c r="H687" s="337"/>
      <c r="I687" s="538"/>
      <c r="J687" s="538"/>
      <c r="K687" s="337"/>
      <c r="L687" s="337"/>
      <c r="M687" s="337"/>
      <c r="N687" s="42"/>
      <c r="O687" s="43"/>
      <c r="P687" s="43"/>
      <c r="Q687" s="43"/>
      <c r="R687" s="43"/>
      <c r="S687" s="44"/>
    </row>
    <row r="688" spans="1:19" s="520" customFormat="1" ht="13" customHeight="1">
      <c r="A688" s="525">
        <v>2015</v>
      </c>
      <c r="B688" s="472" t="s">
        <v>51</v>
      </c>
      <c r="C688" s="472" t="s">
        <v>52</v>
      </c>
      <c r="D688" s="472" t="s">
        <v>53</v>
      </c>
      <c r="E688" s="472" t="s">
        <v>54</v>
      </c>
      <c r="F688" s="472" t="s">
        <v>55</v>
      </c>
      <c r="G688" s="472" t="s">
        <v>77</v>
      </c>
      <c r="H688" s="472" t="s">
        <v>78</v>
      </c>
      <c r="I688" s="472" t="s">
        <v>79</v>
      </c>
      <c r="J688" s="472" t="s">
        <v>80</v>
      </c>
      <c r="K688" s="472" t="s">
        <v>81</v>
      </c>
      <c r="L688" s="472" t="s">
        <v>82</v>
      </c>
      <c r="M688" s="472" t="s">
        <v>44</v>
      </c>
      <c r="N688" s="473" t="s">
        <v>133</v>
      </c>
      <c r="O688" s="473" t="s">
        <v>129</v>
      </c>
      <c r="P688" s="473" t="s">
        <v>130</v>
      </c>
      <c r="Q688" s="473" t="s">
        <v>131</v>
      </c>
      <c r="R688" s="473" t="s">
        <v>132</v>
      </c>
      <c r="S688" s="445" t="s">
        <v>171</v>
      </c>
    </row>
    <row r="689" spans="1:19" s="520" customFormat="1" ht="13" customHeight="1">
      <c r="A689" s="526" t="s">
        <v>22</v>
      </c>
      <c r="B689" s="15">
        <f>201.62</f>
        <v>201.62</v>
      </c>
      <c r="C689" s="15">
        <f>227.78</f>
        <v>227.78</v>
      </c>
      <c r="D689" s="15">
        <f>194.42</f>
        <v>194.42</v>
      </c>
      <c r="E689" s="15">
        <f>222.4</f>
        <v>222.4</v>
      </c>
      <c r="F689" s="15">
        <f>222.94</f>
        <v>222.94</v>
      </c>
      <c r="G689" s="15">
        <f>204.1</f>
        <v>204.1</v>
      </c>
      <c r="H689" s="15">
        <f>226.08</f>
        <v>226.08</v>
      </c>
      <c r="I689" s="15">
        <f>234.89</f>
        <v>234.89</v>
      </c>
      <c r="J689" s="15">
        <f>201.07</f>
        <v>201.07</v>
      </c>
      <c r="K689" s="15">
        <f>223.76</f>
        <v>223.76</v>
      </c>
      <c r="L689" s="15">
        <f>213.98</f>
        <v>213.98</v>
      </c>
      <c r="M689" s="15">
        <f>198.93</f>
        <v>198.93</v>
      </c>
      <c r="N689" s="15"/>
      <c r="O689" s="15">
        <f>SUM(B689:D689)</f>
        <v>623.81999999999994</v>
      </c>
      <c r="P689" s="15">
        <f>SUM(E689:G689)</f>
        <v>649.44000000000005</v>
      </c>
      <c r="Q689" s="15">
        <f>SUM(H689:J689)</f>
        <v>662.04</v>
      </c>
      <c r="R689" s="15">
        <f>SUM(K689:M689)</f>
        <v>636.67000000000007</v>
      </c>
      <c r="S689" s="1">
        <f>SUM(O689:R689)</f>
        <v>2571.9700000000003</v>
      </c>
    </row>
    <row r="690" spans="1:19" s="520" customFormat="1" ht="13" customHeight="1">
      <c r="A690" s="526" t="s">
        <v>25</v>
      </c>
      <c r="B690" s="15">
        <f>235.646</f>
        <v>235.64599999999999</v>
      </c>
      <c r="C690" s="15">
        <f>291.895</f>
        <v>291.89499999999998</v>
      </c>
      <c r="D690" s="15">
        <f>239.458</f>
        <v>239.458</v>
      </c>
      <c r="E690" s="15">
        <f>245.721</f>
        <v>245.721</v>
      </c>
      <c r="F690" s="15">
        <f>254.553</f>
        <v>254.553</v>
      </c>
      <c r="G690" s="15">
        <f>249.108</f>
        <v>249.108</v>
      </c>
      <c r="H690" s="15">
        <f>270.406</f>
        <v>270.40600000000001</v>
      </c>
      <c r="I690" s="15">
        <f>289.784</f>
        <v>289.78399999999999</v>
      </c>
      <c r="J690" s="15">
        <f>235.401</f>
        <v>235.40100000000001</v>
      </c>
      <c r="K690" s="15">
        <f>265.421</f>
        <v>265.42099999999999</v>
      </c>
      <c r="L690" s="15">
        <f>252.283</f>
        <v>252.28299999999999</v>
      </c>
      <c r="M690" s="15">
        <f>258.945</f>
        <v>258.94499999999999</v>
      </c>
      <c r="N690" s="15"/>
      <c r="O690" s="15">
        <f>SUM(B690:D690)</f>
        <v>766.99899999999991</v>
      </c>
      <c r="P690" s="15">
        <f>SUM(E690:G690)</f>
        <v>749.38200000000006</v>
      </c>
      <c r="Q690" s="15">
        <f>SUM(H690:J690)</f>
        <v>795.59100000000012</v>
      </c>
      <c r="R690" s="15">
        <f>SUM(K690:M690)</f>
        <v>776.64899999999989</v>
      </c>
      <c r="S690" s="1">
        <f>SUM(O690:R690)</f>
        <v>3088.6209999999996</v>
      </c>
    </row>
    <row r="691" spans="1:19" s="520" customFormat="1" ht="13" customHeight="1">
      <c r="A691" s="526" t="s">
        <v>172</v>
      </c>
      <c r="B691" s="15">
        <f>316.3</f>
        <v>316.3</v>
      </c>
      <c r="C691" s="15">
        <f>414</f>
        <v>414</v>
      </c>
      <c r="D691" s="15">
        <f>330.7</f>
        <v>330.7</v>
      </c>
      <c r="E691" s="470">
        <f>362</f>
        <v>362</v>
      </c>
      <c r="F691" s="15">
        <f>368.4</f>
        <v>368.4</v>
      </c>
      <c r="G691" s="15">
        <f>347.5</f>
        <v>347.5</v>
      </c>
      <c r="H691" s="15">
        <f>374.8</f>
        <v>374.8</v>
      </c>
      <c r="I691" s="15">
        <f>423.7</f>
        <v>423.7</v>
      </c>
      <c r="J691" s="15">
        <f>350.8</f>
        <v>350.8</v>
      </c>
      <c r="K691" s="15">
        <f>390.4</f>
        <v>390.4</v>
      </c>
      <c r="L691" s="15">
        <f>364.3</f>
        <v>364.3</v>
      </c>
      <c r="M691" s="15">
        <f>369.6</f>
        <v>369.6</v>
      </c>
      <c r="N691" s="15"/>
      <c r="O691" s="15">
        <f>SUM(B691:D691)</f>
        <v>1061</v>
      </c>
      <c r="P691" s="15">
        <f>SUM(E691:G691)</f>
        <v>1077.9000000000001</v>
      </c>
      <c r="Q691" s="15">
        <f>SUM(H691:J691)</f>
        <v>1149.3</v>
      </c>
      <c r="R691" s="15">
        <f>SUM(K691:M691)</f>
        <v>1124.3000000000002</v>
      </c>
      <c r="S691" s="1">
        <f>SUM(O691:R691)</f>
        <v>4412.5</v>
      </c>
    </row>
    <row r="692" spans="1:19" s="520" customFormat="1" ht="13" customHeight="1">
      <c r="A692" s="535" t="s">
        <v>196</v>
      </c>
      <c r="B692" s="45">
        <f t="shared" ref="B692:M692" si="444">SUM(B689:B691)</f>
        <v>753.56600000000003</v>
      </c>
      <c r="C692" s="45">
        <f t="shared" si="444"/>
        <v>933.67499999999995</v>
      </c>
      <c r="D692" s="45">
        <f t="shared" si="444"/>
        <v>764.57799999999997</v>
      </c>
      <c r="E692" s="45">
        <f t="shared" si="444"/>
        <v>830.12099999999998</v>
      </c>
      <c r="F692" s="45">
        <f t="shared" si="444"/>
        <v>845.89300000000003</v>
      </c>
      <c r="G692" s="45">
        <f t="shared" si="444"/>
        <v>800.70799999999997</v>
      </c>
      <c r="H692" s="45">
        <f t="shared" si="444"/>
        <v>871.28600000000006</v>
      </c>
      <c r="I692" s="45">
        <f t="shared" si="444"/>
        <v>948.37400000000002</v>
      </c>
      <c r="J692" s="45">
        <f t="shared" si="444"/>
        <v>787.27099999999996</v>
      </c>
      <c r="K692" s="45">
        <f t="shared" si="444"/>
        <v>879.5809999999999</v>
      </c>
      <c r="L692" s="45">
        <f t="shared" si="444"/>
        <v>830.56299999999999</v>
      </c>
      <c r="M692" s="45">
        <f t="shared" si="444"/>
        <v>827.47500000000002</v>
      </c>
      <c r="N692" s="45"/>
      <c r="O692" s="21">
        <f>SUM(B692:D692)</f>
        <v>2451.819</v>
      </c>
      <c r="P692" s="21">
        <f>SUM(E692:G692)</f>
        <v>2476.7220000000002</v>
      </c>
      <c r="Q692" s="21">
        <f>SUM(H692:J692)</f>
        <v>2606.931</v>
      </c>
      <c r="R692" s="21">
        <f>SUM(K692:M692)</f>
        <v>2537.6189999999997</v>
      </c>
      <c r="S692" s="44">
        <f>SUM(O692:R692)</f>
        <v>10073.091</v>
      </c>
    </row>
    <row r="693" spans="1:19">
      <c r="A693" s="526" t="s">
        <v>181</v>
      </c>
      <c r="B693" s="15">
        <v>20.577999999999999</v>
      </c>
      <c r="C693" s="15">
        <v>23.494</v>
      </c>
      <c r="D693" s="15">
        <v>20.545999999999999</v>
      </c>
      <c r="E693" s="15">
        <v>23.06</v>
      </c>
      <c r="F693" s="15">
        <v>23.818000000000001</v>
      </c>
      <c r="G693" s="15">
        <v>21.231999999999999</v>
      </c>
      <c r="H693" s="15">
        <v>24.116</v>
      </c>
      <c r="I693" s="15">
        <v>24.169</v>
      </c>
      <c r="J693" s="15">
        <v>22.216000000000001</v>
      </c>
      <c r="K693" s="15">
        <v>25.893999999999998</v>
      </c>
      <c r="L693" s="15">
        <v>25.491</v>
      </c>
      <c r="M693" s="15">
        <v>23.742000000000001</v>
      </c>
      <c r="N693" s="15"/>
      <c r="O693" s="15">
        <f>SUM(B693:D693)</f>
        <v>64.617999999999995</v>
      </c>
      <c r="P693" s="15">
        <f>SUM(E693:G693)</f>
        <v>68.11</v>
      </c>
      <c r="Q693" s="15">
        <f>SUM(H693:J693)</f>
        <v>70.501000000000005</v>
      </c>
      <c r="R693" s="15">
        <f>SUM(K693:M693)</f>
        <v>75.126999999999995</v>
      </c>
      <c r="S693" s="1">
        <f>SUM(O693:R693)</f>
        <v>278.35599999999999</v>
      </c>
    </row>
    <row r="694" spans="1:19" s="520" customFormat="1" ht="13" customHeight="1">
      <c r="A694" s="535" t="s">
        <v>197</v>
      </c>
      <c r="B694" s="45">
        <f t="shared" ref="B694:M694" si="445">B692+B693</f>
        <v>774.14400000000001</v>
      </c>
      <c r="C694" s="45">
        <f t="shared" si="445"/>
        <v>957.16899999999998</v>
      </c>
      <c r="D694" s="45">
        <f t="shared" si="445"/>
        <v>785.12400000000002</v>
      </c>
      <c r="E694" s="45">
        <f t="shared" si="445"/>
        <v>853.18099999999993</v>
      </c>
      <c r="F694" s="45">
        <f t="shared" si="445"/>
        <v>869.71100000000001</v>
      </c>
      <c r="G694" s="45">
        <f t="shared" si="445"/>
        <v>821.93999999999994</v>
      </c>
      <c r="H694" s="45">
        <f t="shared" si="445"/>
        <v>895.40200000000004</v>
      </c>
      <c r="I694" s="45">
        <f t="shared" si="445"/>
        <v>972.54300000000001</v>
      </c>
      <c r="J694" s="45">
        <f t="shared" si="445"/>
        <v>809.48699999999997</v>
      </c>
      <c r="K694" s="45">
        <f t="shared" si="445"/>
        <v>905.47499999999991</v>
      </c>
      <c r="L694" s="45">
        <f t="shared" si="445"/>
        <v>856.05399999999997</v>
      </c>
      <c r="M694" s="45">
        <f t="shared" si="445"/>
        <v>851.21699999999998</v>
      </c>
      <c r="N694" s="45"/>
      <c r="O694" s="21">
        <f>SUM(O692:O693)</f>
        <v>2516.4369999999999</v>
      </c>
      <c r="P694" s="21">
        <f>SUM(P692:P693)</f>
        <v>2544.8320000000003</v>
      </c>
      <c r="Q694" s="21">
        <f>SUM(Q692:Q693)</f>
        <v>2677.4320000000002</v>
      </c>
      <c r="R694" s="21">
        <f>SUM(R692:R693)</f>
        <v>2612.7459999999996</v>
      </c>
      <c r="S694" s="21">
        <f>SUM(S692:S693)</f>
        <v>10351.447</v>
      </c>
    </row>
    <row r="695" spans="1:19" s="520" customFormat="1" ht="13" customHeight="1">
      <c r="A695" s="532"/>
      <c r="B695" s="337"/>
      <c r="C695" s="337"/>
      <c r="D695" s="337"/>
      <c r="E695" s="337"/>
      <c r="F695" s="337"/>
      <c r="G695" s="538"/>
      <c r="H695" s="337"/>
      <c r="I695" s="538"/>
      <c r="J695" s="538"/>
      <c r="K695" s="337"/>
      <c r="L695" s="337"/>
      <c r="M695" s="337"/>
      <c r="N695" s="42"/>
      <c r="O695" s="43"/>
      <c r="P695" s="43"/>
      <c r="Q695" s="43"/>
      <c r="R695" s="43"/>
      <c r="S695" s="44"/>
    </row>
    <row r="696" spans="1:19">
      <c r="A696" s="255"/>
      <c r="B696" s="470"/>
      <c r="C696" s="470"/>
      <c r="D696" s="470"/>
      <c r="E696" s="470"/>
      <c r="F696" s="470"/>
      <c r="G696" s="2"/>
      <c r="H696" s="470"/>
      <c r="I696" s="2"/>
      <c r="J696" s="2"/>
      <c r="K696" s="470"/>
      <c r="L696" s="470"/>
      <c r="M696" s="470"/>
      <c r="N696" s="470"/>
      <c r="O696" s="151"/>
      <c r="P696" s="151"/>
      <c r="Q696" s="151"/>
      <c r="R696" s="151"/>
    </row>
    <row r="697" spans="1:19" ht="13" customHeight="1">
      <c r="A697" s="525">
        <v>2014</v>
      </c>
      <c r="B697" s="472" t="s">
        <v>51</v>
      </c>
      <c r="C697" s="472" t="s">
        <v>52</v>
      </c>
      <c r="D697" s="472" t="s">
        <v>53</v>
      </c>
      <c r="E697" s="472" t="s">
        <v>54</v>
      </c>
      <c r="F697" s="472" t="s">
        <v>55</v>
      </c>
      <c r="G697" s="472" t="s">
        <v>77</v>
      </c>
      <c r="H697" s="472" t="s">
        <v>78</v>
      </c>
      <c r="I697" s="472" t="s">
        <v>79</v>
      </c>
      <c r="J697" s="472" t="s">
        <v>80</v>
      </c>
      <c r="K697" s="472" t="s">
        <v>81</v>
      </c>
      <c r="L697" s="472" t="s">
        <v>82</v>
      </c>
      <c r="M697" s="472" t="s">
        <v>44</v>
      </c>
      <c r="N697" s="473" t="s">
        <v>133</v>
      </c>
      <c r="O697" s="473" t="s">
        <v>129</v>
      </c>
      <c r="P697" s="473" t="s">
        <v>130</v>
      </c>
      <c r="Q697" s="473" t="s">
        <v>131</v>
      </c>
      <c r="R697" s="473" t="s">
        <v>132</v>
      </c>
      <c r="S697" s="445" t="s">
        <v>171</v>
      </c>
    </row>
    <row r="698" spans="1:19">
      <c r="A698" s="526" t="s">
        <v>22</v>
      </c>
      <c r="B698" s="15">
        <f>190.15+737.53</f>
        <v>927.68</v>
      </c>
      <c r="C698" s="15">
        <f>192.5+713.21</f>
        <v>905.71</v>
      </c>
      <c r="D698" s="15">
        <f>184.72+684.26</f>
        <v>868.98</v>
      </c>
      <c r="E698" s="15">
        <f>211.39+702.68</f>
        <v>914.06999999999994</v>
      </c>
      <c r="F698" s="15">
        <f>201.58+651.44</f>
        <v>853.0200000000001</v>
      </c>
      <c r="G698" s="15">
        <f>190.95+616.52</f>
        <v>807.47</v>
      </c>
      <c r="H698" s="15">
        <f>214.25+816.56</f>
        <v>1030.81</v>
      </c>
      <c r="I698" s="15">
        <f>208.5+934.72</f>
        <v>1143.22</v>
      </c>
      <c r="J698" s="15">
        <f>186.71+799.38</f>
        <v>986.09</v>
      </c>
      <c r="K698" s="15">
        <f>204.14+845.67</f>
        <v>1049.81</v>
      </c>
      <c r="L698" s="15">
        <f>195.13+807.29</f>
        <v>1002.42</v>
      </c>
      <c r="M698" s="15">
        <f>207.77+861.03</f>
        <v>1068.8</v>
      </c>
      <c r="N698" s="15"/>
      <c r="O698" s="15">
        <f>SUM(B698:D698)</f>
        <v>2702.37</v>
      </c>
      <c r="P698" s="15">
        <f>SUM(E698:G698)</f>
        <v>2574.5600000000004</v>
      </c>
      <c r="Q698" s="15">
        <f>SUM(H698:J698)</f>
        <v>3160.12</v>
      </c>
      <c r="R698" s="15">
        <f>SUM(K698:M698)</f>
        <v>3121.0299999999997</v>
      </c>
      <c r="S698" s="1">
        <f>SUM(O698:R698)</f>
        <v>11558.079999999998</v>
      </c>
    </row>
    <row r="699" spans="1:19">
      <c r="A699" s="526" t="s">
        <v>25</v>
      </c>
      <c r="B699" s="15">
        <v>1072.587</v>
      </c>
      <c r="C699" s="15">
        <v>1047.7370000000001</v>
      </c>
      <c r="D699" s="15">
        <v>996.44899999999996</v>
      </c>
      <c r="E699" s="15">
        <v>1030.8440000000001</v>
      </c>
      <c r="F699" s="15">
        <v>1000.318</v>
      </c>
      <c r="G699" s="15">
        <v>984.471</v>
      </c>
      <c r="H699" s="15">
        <v>1136.7280000000001</v>
      </c>
      <c r="I699" s="15">
        <v>1207.53</v>
      </c>
      <c r="J699" s="15">
        <v>1035.8900000000001</v>
      </c>
      <c r="K699" s="15">
        <v>1108.3869999999999</v>
      </c>
      <c r="L699" s="15">
        <v>1058.47</v>
      </c>
      <c r="M699" s="15">
        <v>1107.5930000000001</v>
      </c>
      <c r="N699" s="15"/>
      <c r="O699" s="15">
        <f>SUM(B699:D699)</f>
        <v>3116.7730000000001</v>
      </c>
      <c r="P699" s="15">
        <f>SUM(E699:G699)</f>
        <v>3015.6329999999998</v>
      </c>
      <c r="Q699" s="15">
        <f>SUM(H699:J699)</f>
        <v>3380.1480000000001</v>
      </c>
      <c r="R699" s="15">
        <f>SUM(K699:M699)</f>
        <v>3274.45</v>
      </c>
      <c r="S699" s="1">
        <f>SUM(O699:R699)</f>
        <v>12787.004000000001</v>
      </c>
    </row>
    <row r="700" spans="1:19">
      <c r="A700" s="526" t="s">
        <v>172</v>
      </c>
      <c r="B700" s="15">
        <f>705.9+365.9</f>
        <v>1071.8</v>
      </c>
      <c r="C700" s="15">
        <f>632.2+360.1</f>
        <v>992.30000000000007</v>
      </c>
      <c r="D700" s="15">
        <f>699.6+360.3</f>
        <v>1059.9000000000001</v>
      </c>
      <c r="E700" s="470">
        <f>747.2+370.7</f>
        <v>1117.9000000000001</v>
      </c>
      <c r="F700" s="15">
        <f>727.6+353.2</f>
        <v>1080.8</v>
      </c>
      <c r="G700" s="15">
        <f>751.2+353.6</f>
        <v>1104.8000000000002</v>
      </c>
      <c r="H700" s="15">
        <f>853.4+393</f>
        <v>1246.4000000000001</v>
      </c>
      <c r="I700" s="15">
        <f>929.4+407.7</f>
        <v>1337.1</v>
      </c>
      <c r="J700" s="15">
        <f>823.1+353.1</f>
        <v>1176.2</v>
      </c>
      <c r="K700" s="15">
        <f>827.4+369.2</f>
        <v>1196.5999999999999</v>
      </c>
      <c r="L700" s="15">
        <f>755.6+357.8</f>
        <v>1113.4000000000001</v>
      </c>
      <c r="M700" s="15">
        <f>784.3+356.6</f>
        <v>1140.9000000000001</v>
      </c>
      <c r="N700" s="15"/>
      <c r="O700" s="15">
        <f>SUM(B700:D700)</f>
        <v>3124</v>
      </c>
      <c r="P700" s="15">
        <f>SUM(E700:G700)</f>
        <v>3303.5</v>
      </c>
      <c r="Q700" s="15">
        <f>SUM(H700:J700)</f>
        <v>3759.7</v>
      </c>
      <c r="R700" s="15">
        <f>SUM(K700:M700)</f>
        <v>3450.9</v>
      </c>
      <c r="S700" s="1">
        <f>SUM(O700:R700)</f>
        <v>13638.1</v>
      </c>
    </row>
    <row r="701" spans="1:19" ht="13" customHeight="1">
      <c r="A701" s="535" t="s">
        <v>133</v>
      </c>
      <c r="B701" s="45">
        <f t="shared" ref="B701:M701" si="446">SUM(B698:B700)</f>
        <v>3072.067</v>
      </c>
      <c r="C701" s="45">
        <f t="shared" si="446"/>
        <v>2945.7470000000003</v>
      </c>
      <c r="D701" s="45">
        <f t="shared" si="446"/>
        <v>2925.3290000000002</v>
      </c>
      <c r="E701" s="45">
        <f t="shared" si="446"/>
        <v>3062.8140000000003</v>
      </c>
      <c r="F701" s="45">
        <f t="shared" si="446"/>
        <v>2934.1379999999999</v>
      </c>
      <c r="G701" s="45">
        <f t="shared" si="446"/>
        <v>2896.741</v>
      </c>
      <c r="H701" s="45">
        <f t="shared" si="446"/>
        <v>3413.9380000000001</v>
      </c>
      <c r="I701" s="45">
        <f t="shared" si="446"/>
        <v>3687.85</v>
      </c>
      <c r="J701" s="45">
        <f t="shared" si="446"/>
        <v>3198.1800000000003</v>
      </c>
      <c r="K701" s="45">
        <f t="shared" si="446"/>
        <v>3354.797</v>
      </c>
      <c r="L701" s="45">
        <f t="shared" si="446"/>
        <v>3174.29</v>
      </c>
      <c r="M701" s="45">
        <f t="shared" si="446"/>
        <v>3317.2930000000001</v>
      </c>
      <c r="N701" s="45"/>
      <c r="O701" s="21">
        <f>SUM(B701:D701)</f>
        <v>8943.143</v>
      </c>
      <c r="P701" s="21">
        <f>SUM(E701:G701)</f>
        <v>8893.6929999999993</v>
      </c>
      <c r="Q701" s="21">
        <f>SUM(H701:J701)</f>
        <v>10299.968000000001</v>
      </c>
      <c r="R701" s="21">
        <f>SUM(K701:M701)</f>
        <v>9846.3799999999992</v>
      </c>
      <c r="S701" s="44">
        <f>SUM(O701:R701)</f>
        <v>37983.184000000001</v>
      </c>
    </row>
    <row r="702" spans="1:19" ht="13" customHeight="1">
      <c r="A702" s="526" t="s">
        <v>181</v>
      </c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21"/>
      <c r="N702" s="21"/>
      <c r="O702" s="15"/>
      <c r="P702" s="15"/>
      <c r="Q702" s="21"/>
      <c r="R702" s="21"/>
      <c r="S702" s="445"/>
    </row>
  </sheetData>
  <phoneticPr fontId="3" type="noConversion"/>
  <pageMargins left="0.7" right="0.7" top="0.75" bottom="0.75" header="0.3" footer="0.3"/>
  <pageSetup paperSize="9" orientation="portrait" verticalDpi="599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8"/>
  <sheetViews>
    <sheetView workbookViewId="0"/>
  </sheetViews>
  <sheetFormatPr defaultRowHeight="15.5"/>
  <cols>
    <col min="1" max="1" width="24.1640625" style="549" bestFit="1" customWidth="1"/>
    <col min="2" max="5" width="10.1640625" style="549" bestFit="1" customWidth="1"/>
    <col min="6" max="6" width="10.1640625" style="550" bestFit="1" customWidth="1"/>
    <col min="7" max="8" width="8.6640625" style="550" customWidth="1"/>
    <col min="9" max="9" width="8.6640625" style="549" customWidth="1"/>
    <col min="10" max="16384" width="8.6640625" style="549"/>
  </cols>
  <sheetData>
    <row r="2" spans="1:9" ht="16" customHeight="1">
      <c r="A2" s="444" t="s">
        <v>211</v>
      </c>
      <c r="B2" s="551"/>
      <c r="C2" s="551"/>
      <c r="D2" s="551"/>
      <c r="E2" s="551"/>
    </row>
    <row r="3" spans="1:9" ht="16" customHeight="1">
      <c r="A3" s="552" t="s">
        <v>212</v>
      </c>
      <c r="B3" s="553">
        <v>2019</v>
      </c>
      <c r="C3" s="553">
        <v>2020</v>
      </c>
      <c r="D3" s="553">
        <v>2021</v>
      </c>
      <c r="E3" s="553">
        <v>2022</v>
      </c>
      <c r="F3" s="553">
        <v>2023</v>
      </c>
      <c r="G3" s="553" t="s">
        <v>213</v>
      </c>
      <c r="H3" s="554" t="s">
        <v>214</v>
      </c>
    </row>
    <row r="4" spans="1:9" ht="16" customHeight="1">
      <c r="A4" s="555" t="s">
        <v>215</v>
      </c>
      <c r="B4" s="556">
        <f>585679.9-B5</f>
        <v>574604.30000000005</v>
      </c>
      <c r="C4" s="556">
        <f>408213-C5</f>
        <v>407251.7</v>
      </c>
      <c r="D4" s="556">
        <f>439080.2-D5</f>
        <v>438487.7</v>
      </c>
      <c r="E4" s="556">
        <f>249852.5-E5</f>
        <v>249383.3</v>
      </c>
      <c r="F4" s="557">
        <f>'CAAC Data'!N86</f>
        <v>583548</v>
      </c>
      <c r="G4" s="590">
        <v>630000</v>
      </c>
      <c r="H4" s="592">
        <f>G4/(F4+F5)-1</f>
        <v>6.7375087465458616E-2</v>
      </c>
    </row>
    <row r="5" spans="1:9" ht="16" customHeight="1">
      <c r="A5" s="558" t="s">
        <v>216</v>
      </c>
      <c r="B5" s="556">
        <v>11075.6</v>
      </c>
      <c r="C5" s="556">
        <v>961.3</v>
      </c>
      <c r="D5" s="556">
        <v>592.5</v>
      </c>
      <c r="E5" s="556">
        <v>469.2</v>
      </c>
      <c r="F5" s="557">
        <f>'CAAC Data'!N106</f>
        <v>6685</v>
      </c>
      <c r="G5" s="591"/>
      <c r="H5" s="591"/>
    </row>
    <row r="6" spans="1:9" ht="16" customHeight="1">
      <c r="A6" s="558" t="s">
        <v>217</v>
      </c>
      <c r="B6" s="556">
        <v>74254.3</v>
      </c>
      <c r="C6" s="556">
        <v>9565.1</v>
      </c>
      <c r="D6" s="556">
        <v>1477.2</v>
      </c>
      <c r="E6" s="556">
        <v>1860.8</v>
      </c>
      <c r="F6" s="557">
        <f>'CAAC Data'!N101</f>
        <v>29053</v>
      </c>
      <c r="G6" s="557">
        <f>G7-G4</f>
        <v>60000</v>
      </c>
      <c r="H6" s="204">
        <f>G6/B6</f>
        <v>0.80803401284504728</v>
      </c>
      <c r="I6" s="549" t="s">
        <v>218</v>
      </c>
    </row>
    <row r="7" spans="1:9" ht="16" customHeight="1">
      <c r="A7" s="559" t="s">
        <v>219</v>
      </c>
      <c r="B7" s="560">
        <v>659934.19999999995</v>
      </c>
      <c r="C7" s="560">
        <v>417778.2</v>
      </c>
      <c r="D7" s="560">
        <v>440557.4</v>
      </c>
      <c r="E7" s="560">
        <v>251713</v>
      </c>
      <c r="F7" s="561">
        <f>'CAAC Data'!N81</f>
        <v>619285</v>
      </c>
      <c r="G7" s="561">
        <v>690000</v>
      </c>
      <c r="H7" s="205">
        <f>G7/F7-1</f>
        <v>0.11418813631849623</v>
      </c>
    </row>
    <row r="8" spans="1:9">
      <c r="A8" s="562" t="s">
        <v>220</v>
      </c>
      <c r="B8" s="563"/>
      <c r="C8" s="190"/>
      <c r="D8" s="564"/>
      <c r="E8" s="564"/>
      <c r="F8" s="565"/>
      <c r="G8" s="565"/>
      <c r="H8" s="565"/>
    </row>
  </sheetData>
  <mergeCells count="2">
    <mergeCell ref="G4:G5"/>
    <mergeCell ref="H4:H5"/>
  </mergeCells>
  <phoneticPr fontId="3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6"/>
  <sheetViews>
    <sheetView workbookViewId="0"/>
  </sheetViews>
  <sheetFormatPr defaultRowHeight="15"/>
  <cols>
    <col min="1" max="1" width="27.75" style="245" bestFit="1" customWidth="1"/>
    <col min="2" max="2" width="7.33203125" style="245" bestFit="1" customWidth="1"/>
    <col min="3" max="3" width="7.08203125" style="245" bestFit="1" customWidth="1"/>
    <col min="4" max="5" width="5.83203125" style="245" bestFit="1" customWidth="1"/>
    <col min="6" max="6" width="6.08203125" style="245" bestFit="1" customWidth="1"/>
    <col min="7" max="18" width="6.5" style="245" bestFit="1" customWidth="1"/>
  </cols>
  <sheetData>
    <row r="1" spans="1:19" ht="15.5" customHeight="1" thickBot="1"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  <c r="P1" s="566"/>
      <c r="Q1" s="566"/>
      <c r="R1" s="566"/>
      <c r="S1" s="566"/>
    </row>
    <row r="2" spans="1:19" ht="16.5" customHeight="1" thickBot="1">
      <c r="A2" s="566"/>
      <c r="B2" s="582" t="s">
        <v>221</v>
      </c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4"/>
      <c r="S2" s="566"/>
    </row>
    <row r="3" spans="1:19" ht="15.5" customHeight="1">
      <c r="A3" s="567" t="s">
        <v>31</v>
      </c>
      <c r="B3" s="126" t="s">
        <v>72</v>
      </c>
      <c r="C3" s="100" t="s">
        <v>73</v>
      </c>
      <c r="D3" s="100" t="s">
        <v>74</v>
      </c>
      <c r="E3" s="101" t="s">
        <v>75</v>
      </c>
      <c r="F3" s="143" t="s">
        <v>76</v>
      </c>
      <c r="G3" s="103" t="s">
        <v>51</v>
      </c>
      <c r="H3" s="102" t="s">
        <v>52</v>
      </c>
      <c r="I3" s="102" t="s">
        <v>53</v>
      </c>
      <c r="J3" s="102" t="s">
        <v>54</v>
      </c>
      <c r="K3" s="102" t="s">
        <v>55</v>
      </c>
      <c r="L3" s="102" t="s">
        <v>77</v>
      </c>
      <c r="M3" s="102" t="s">
        <v>78</v>
      </c>
      <c r="N3" s="102" t="s">
        <v>79</v>
      </c>
      <c r="O3" s="102" t="s">
        <v>80</v>
      </c>
      <c r="P3" s="102" t="s">
        <v>81</v>
      </c>
      <c r="Q3" s="102" t="s">
        <v>82</v>
      </c>
      <c r="R3" s="104" t="s">
        <v>44</v>
      </c>
      <c r="S3" s="566"/>
    </row>
    <row r="4" spans="1:19" ht="15.5" customHeight="1">
      <c r="A4" s="318" t="s">
        <v>98</v>
      </c>
      <c r="B4" s="127">
        <v>-0.36574532016946298</v>
      </c>
      <c r="C4" s="108">
        <v>-0.10946901720679821</v>
      </c>
      <c r="D4" s="108">
        <v>-0.38593318577002939</v>
      </c>
      <c r="E4" s="135">
        <v>-0.46265970515970511</v>
      </c>
      <c r="F4" s="140">
        <v>-0.33247458613436459</v>
      </c>
      <c r="G4" s="109">
        <v>-0.43495029299983151</v>
      </c>
      <c r="H4" s="110">
        <v>-0.5550663248244343</v>
      </c>
      <c r="I4" s="110">
        <v>-0.10619766746411489</v>
      </c>
      <c r="J4" s="110">
        <v>-3.8103844271245142E-2</v>
      </c>
      <c r="K4" s="110">
        <v>-6.3622521051569514E-2</v>
      </c>
      <c r="L4" s="110">
        <v>-0.2272250720784813</v>
      </c>
      <c r="M4" s="110">
        <v>-0.1717340348392101</v>
      </c>
      <c r="N4" s="110">
        <v>-0.63409974199026742</v>
      </c>
      <c r="O4" s="110">
        <v>-0.34036491151169801</v>
      </c>
      <c r="P4" s="110">
        <v>-0.31801270576673341</v>
      </c>
      <c r="Q4" s="110">
        <v>-0.59434957970522828</v>
      </c>
      <c r="R4" s="111">
        <v>-0.48644806671721003</v>
      </c>
      <c r="S4" s="566"/>
    </row>
    <row r="5" spans="1:19" ht="15.5" customHeight="1">
      <c r="A5" s="318" t="s">
        <v>99</v>
      </c>
      <c r="B5" s="128">
        <v>-0.27320130358485839</v>
      </c>
      <c r="C5" s="113">
        <v>7.1367620820728117E-3</v>
      </c>
      <c r="D5" s="114">
        <v>-0.29954345067566679</v>
      </c>
      <c r="E5" s="114">
        <v>-0.38868637490605928</v>
      </c>
      <c r="F5" s="141">
        <v>-0.23976423625621879</v>
      </c>
      <c r="G5" s="115">
        <v>-0.35257433861292131</v>
      </c>
      <c r="H5" s="116">
        <v>-0.49120372347239422</v>
      </c>
      <c r="I5" s="116">
        <v>2.5907182082480999E-2</v>
      </c>
      <c r="J5" s="116">
        <v>0.10693629049793429</v>
      </c>
      <c r="K5" s="116">
        <v>4.8496225091794187E-2</v>
      </c>
      <c r="L5" s="116">
        <v>-0.1321910717681111</v>
      </c>
      <c r="M5" s="116">
        <v>-5.2413338758743648E-2</v>
      </c>
      <c r="N5" s="116">
        <v>-0.58276256778818181</v>
      </c>
      <c r="O5" s="116">
        <v>-0.2508023173425582</v>
      </c>
      <c r="P5" s="116">
        <v>-0.22842568792715251</v>
      </c>
      <c r="Q5" s="116">
        <v>-0.53961248654467164</v>
      </c>
      <c r="R5" s="117">
        <v>-0.41125929164844782</v>
      </c>
      <c r="S5" s="566"/>
    </row>
    <row r="6" spans="1:19" ht="15.5" customHeight="1">
      <c r="A6" s="318" t="s">
        <v>102</v>
      </c>
      <c r="B6" s="128">
        <v>-0.96407382992748847</v>
      </c>
      <c r="C6" s="113">
        <v>-0.93288804071246823</v>
      </c>
      <c r="D6" s="114">
        <v>-0.9431900946831755</v>
      </c>
      <c r="E6" s="114">
        <v>-0.94651162790697674</v>
      </c>
      <c r="F6" s="141">
        <v>-0.94663175004515077</v>
      </c>
      <c r="G6" s="115">
        <v>-0.96385542168674698</v>
      </c>
      <c r="H6" s="116">
        <v>-0.97339901477832513</v>
      </c>
      <c r="I6" s="116">
        <v>-0.95503421309872927</v>
      </c>
      <c r="J6" s="116">
        <v>-0.95133587786259544</v>
      </c>
      <c r="K6" s="116">
        <v>-0.92365692742695571</v>
      </c>
      <c r="L6" s="116">
        <v>-0.92367149758454103</v>
      </c>
      <c r="M6" s="116">
        <v>-0.926497277676951</v>
      </c>
      <c r="N6" s="116">
        <v>-0.96474358974358976</v>
      </c>
      <c r="O6" s="116">
        <v>-0.94067796610169496</v>
      </c>
      <c r="P6" s="116">
        <v>-0.96</v>
      </c>
      <c r="Q6" s="116">
        <v>-0.95170454545454541</v>
      </c>
      <c r="R6" s="117">
        <v>-0.92672413793103448</v>
      </c>
      <c r="S6" s="566"/>
    </row>
    <row r="7" spans="1:19" ht="15.5" customHeight="1">
      <c r="A7" s="318" t="s">
        <v>222</v>
      </c>
      <c r="B7" s="128">
        <v>-0.97949596551342988</v>
      </c>
      <c r="C7" s="113">
        <v>-0.97872691292875991</v>
      </c>
      <c r="D7" s="114">
        <v>-0.98001017293997961</v>
      </c>
      <c r="E7" s="114">
        <v>-0.98210376532399302</v>
      </c>
      <c r="F7" s="141">
        <v>-0.98008569349753427</v>
      </c>
      <c r="G7" s="115">
        <v>-0.97662551440329215</v>
      </c>
      <c r="H7" s="116">
        <v>-0.98476477482002345</v>
      </c>
      <c r="I7" s="116">
        <v>-0.9771749917300695</v>
      </c>
      <c r="J7" s="116">
        <v>-0.97763157894736841</v>
      </c>
      <c r="K7" s="116">
        <v>-0.97844470237108272</v>
      </c>
      <c r="L7" s="116">
        <v>-0.98010195691498114</v>
      </c>
      <c r="M7" s="116">
        <v>-0.97996965098634292</v>
      </c>
      <c r="N7" s="116">
        <v>-0.98031664527171591</v>
      </c>
      <c r="O7" s="116">
        <v>-0.97969962039940583</v>
      </c>
      <c r="P7" s="116">
        <v>-0.98213103904698873</v>
      </c>
      <c r="Q7" s="116">
        <v>-0.98238482384823844</v>
      </c>
      <c r="R7" s="117">
        <v>-0.98181530676786843</v>
      </c>
      <c r="S7" s="566"/>
    </row>
    <row r="8" spans="1:19" ht="15.5" customHeight="1">
      <c r="A8" s="307" t="s">
        <v>109</v>
      </c>
      <c r="B8" s="132">
        <v>-0.42648355433258228</v>
      </c>
      <c r="C8" s="108">
        <v>-0.14964709985811089</v>
      </c>
      <c r="D8" s="108">
        <v>-0.43686721513474619</v>
      </c>
      <c r="E8" s="135">
        <v>-0.49549123831332798</v>
      </c>
      <c r="F8" s="140">
        <v>-0.37906436277939631</v>
      </c>
      <c r="G8" s="109">
        <v>-0.51508254044114343</v>
      </c>
      <c r="H8" s="110">
        <v>-0.61442620259807446</v>
      </c>
      <c r="I8" s="110">
        <v>-0.150662580921362</v>
      </c>
      <c r="J8" s="110">
        <v>-6.3922213725636778E-2</v>
      </c>
      <c r="K8" s="110">
        <v>-9.7009608693177318E-2</v>
      </c>
      <c r="L8" s="110">
        <v>-0.28842856015326218</v>
      </c>
      <c r="M8" s="110">
        <v>-0.21359887347749831</v>
      </c>
      <c r="N8" s="110">
        <v>-0.6911081459617554</v>
      </c>
      <c r="O8" s="110">
        <v>-0.3914680485714549</v>
      </c>
      <c r="P8" s="110">
        <v>-0.34735256680606669</v>
      </c>
      <c r="Q8" s="110">
        <v>-0.61837214646024585</v>
      </c>
      <c r="R8" s="111">
        <v>-0.52856053165646477</v>
      </c>
      <c r="S8" s="566"/>
    </row>
    <row r="9" spans="1:19" ht="15.5" customHeight="1">
      <c r="A9" s="318" t="s">
        <v>110</v>
      </c>
      <c r="B9" s="133">
        <v>-0.31198925832525409</v>
      </c>
      <c r="C9" s="112">
        <v>1.9455230487843918E-2</v>
      </c>
      <c r="D9" s="112">
        <v>-0.33298206037487782</v>
      </c>
      <c r="E9" s="114">
        <v>-0.4043682636747109</v>
      </c>
      <c r="F9" s="141">
        <v>-0.26067507601905288</v>
      </c>
      <c r="G9" s="115">
        <v>-0.41923453261190058</v>
      </c>
      <c r="H9" s="116">
        <v>-0.53586066572353708</v>
      </c>
      <c r="I9" s="116">
        <v>1.8505206707056351E-2</v>
      </c>
      <c r="J9" s="116">
        <v>0.12888652873791551</v>
      </c>
      <c r="K9" s="116">
        <v>7.8546823827928991E-2</v>
      </c>
      <c r="L9" s="116">
        <v>-0.1490506388806104</v>
      </c>
      <c r="M9" s="116">
        <v>-6.426500426022308E-2</v>
      </c>
      <c r="N9" s="116">
        <v>-0.63505747874822904</v>
      </c>
      <c r="O9" s="116">
        <v>-0.28222948873000731</v>
      </c>
      <c r="P9" s="116">
        <v>-0.23291854125775041</v>
      </c>
      <c r="Q9" s="116">
        <v>-0.55109768162829131</v>
      </c>
      <c r="R9" s="117">
        <v>-0.43970497318377638</v>
      </c>
      <c r="S9" s="566"/>
    </row>
    <row r="10" spans="1:19" ht="15.5" customHeight="1">
      <c r="A10" s="318" t="s">
        <v>112</v>
      </c>
      <c r="B10" s="128">
        <v>-0.92965537078303084</v>
      </c>
      <c r="C10" s="112">
        <v>-0.86171719072459119</v>
      </c>
      <c r="D10" s="112">
        <v>-0.89410611894407355</v>
      </c>
      <c r="E10" s="114">
        <v>-0.91555018574573477</v>
      </c>
      <c r="F10" s="141">
        <v>-0.89885733210098073</v>
      </c>
      <c r="G10" s="115">
        <v>-0.93151415253532632</v>
      </c>
      <c r="H10" s="116">
        <v>-0.95579789449216968</v>
      </c>
      <c r="I10" s="116">
        <v>-0.90185778470478439</v>
      </c>
      <c r="J10" s="116">
        <v>-0.87359072930913395</v>
      </c>
      <c r="K10" s="116">
        <v>-0.85462838054859636</v>
      </c>
      <c r="L10" s="116">
        <v>-0.8569278797622164</v>
      </c>
      <c r="M10" s="116">
        <v>-0.84217137335851378</v>
      </c>
      <c r="N10" s="116">
        <v>-0.95089740262333045</v>
      </c>
      <c r="O10" s="116">
        <v>-0.89709166276659758</v>
      </c>
      <c r="P10" s="116">
        <v>-0.94618420054131991</v>
      </c>
      <c r="Q10" s="116">
        <v>-0.92950377916529736</v>
      </c>
      <c r="R10" s="117">
        <v>-0.87056240718021571</v>
      </c>
      <c r="S10" s="566"/>
    </row>
    <row r="11" spans="1:19" ht="16" customHeight="1" thickBot="1">
      <c r="A11" s="568" t="s">
        <v>223</v>
      </c>
      <c r="B11" s="134">
        <v>-0.97809894524626106</v>
      </c>
      <c r="C11" s="122">
        <v>-0.97681533371532081</v>
      </c>
      <c r="D11" s="122">
        <v>-0.97743053985091</v>
      </c>
      <c r="E11" s="139">
        <v>-0.98008819765811894</v>
      </c>
      <c r="F11" s="142">
        <v>-0.97810014695731917</v>
      </c>
      <c r="G11" s="123">
        <v>-0.97532997910456798</v>
      </c>
      <c r="H11" s="124">
        <v>-0.98373728282898565</v>
      </c>
      <c r="I11" s="124">
        <v>-0.97538033825005788</v>
      </c>
      <c r="J11" s="124">
        <v>-0.97608125031417403</v>
      </c>
      <c r="K11" s="124">
        <v>-0.97669125357456676</v>
      </c>
      <c r="L11" s="124">
        <v>-0.97768938894831936</v>
      </c>
      <c r="M11" s="124">
        <v>-0.97722637944381097</v>
      </c>
      <c r="N11" s="124">
        <v>-0.97759071242753881</v>
      </c>
      <c r="O11" s="124">
        <v>-0.9774672872495308</v>
      </c>
      <c r="P11" s="124">
        <v>-0.98063359395460137</v>
      </c>
      <c r="Q11" s="124">
        <v>-0.98027410426480122</v>
      </c>
      <c r="R11" s="125">
        <v>-0.9793968931890451</v>
      </c>
      <c r="S11" s="566"/>
    </row>
    <row r="12" spans="1:19" ht="15.5" customHeight="1" thickBot="1">
      <c r="A12" s="566"/>
      <c r="B12" s="566"/>
      <c r="C12" s="566"/>
      <c r="D12" s="566"/>
      <c r="E12" s="566"/>
      <c r="F12" s="566"/>
      <c r="G12" s="566"/>
      <c r="H12" s="566"/>
      <c r="I12" s="566"/>
      <c r="J12" s="566"/>
      <c r="K12" s="566"/>
      <c r="L12" s="566"/>
      <c r="M12" s="566"/>
      <c r="N12" s="566"/>
      <c r="O12" s="566"/>
      <c r="P12" s="566"/>
      <c r="Q12" s="566"/>
      <c r="R12" s="566"/>
      <c r="S12" s="566"/>
    </row>
    <row r="13" spans="1:19" ht="16.5" customHeight="1" thickBot="1">
      <c r="A13" s="566"/>
      <c r="B13" s="582" t="s">
        <v>224</v>
      </c>
      <c r="C13" s="583"/>
      <c r="D13" s="583"/>
      <c r="E13" s="583"/>
      <c r="F13" s="583"/>
      <c r="G13" s="583"/>
      <c r="H13" s="583"/>
      <c r="I13" s="583"/>
      <c r="J13" s="583"/>
      <c r="K13" s="583"/>
      <c r="L13" s="583"/>
      <c r="M13" s="583"/>
      <c r="N13" s="583"/>
      <c r="O13" s="583"/>
      <c r="P13" s="583"/>
      <c r="Q13" s="583"/>
      <c r="R13" s="584"/>
      <c r="S13" s="566"/>
    </row>
    <row r="14" spans="1:19" ht="15.5" customHeight="1">
      <c r="A14" s="567" t="s">
        <v>31</v>
      </c>
      <c r="B14" s="126" t="s">
        <v>83</v>
      </c>
      <c r="C14" s="100" t="s">
        <v>84</v>
      </c>
      <c r="D14" s="100" t="s">
        <v>85</v>
      </c>
      <c r="E14" s="101" t="s">
        <v>86</v>
      </c>
      <c r="F14" s="143" t="s">
        <v>225</v>
      </c>
      <c r="G14" s="103" t="s">
        <v>51</v>
      </c>
      <c r="H14" s="102" t="s">
        <v>52</v>
      </c>
      <c r="I14" s="102" t="s">
        <v>53</v>
      </c>
      <c r="J14" s="102" t="s">
        <v>54</v>
      </c>
      <c r="K14" s="102" t="s">
        <v>55</v>
      </c>
      <c r="L14" s="102" t="s">
        <v>77</v>
      </c>
      <c r="M14" s="102" t="s">
        <v>78</v>
      </c>
      <c r="N14" s="102" t="s">
        <v>79</v>
      </c>
      <c r="O14" s="102" t="s">
        <v>80</v>
      </c>
      <c r="P14" s="102" t="s">
        <v>81</v>
      </c>
      <c r="Q14" s="102" t="s">
        <v>82</v>
      </c>
      <c r="R14" s="104" t="s">
        <v>44</v>
      </c>
      <c r="S14" s="566"/>
    </row>
    <row r="15" spans="1:19" ht="15.5" customHeight="1">
      <c r="A15" s="318" t="s">
        <v>98</v>
      </c>
      <c r="B15" s="127">
        <f>Summary!BQ40</f>
        <v>-0.52609444890290713</v>
      </c>
      <c r="C15" s="108"/>
      <c r="D15" s="108"/>
      <c r="E15" s="135"/>
      <c r="F15" s="140"/>
      <c r="G15" s="109">
        <f>Summary!BV40</f>
        <v>-0.44745661168629358</v>
      </c>
      <c r="H15" s="110">
        <f>Summary!BW40</f>
        <v>-0.41860810760598965</v>
      </c>
      <c r="I15" s="110">
        <f>Summary!BX40</f>
        <v>-0.71273175837320579</v>
      </c>
      <c r="J15" s="110">
        <f>Summary!BY40</f>
        <v>-0.85165104107835388</v>
      </c>
      <c r="K15" s="110">
        <f>Summary!BZ40</f>
        <v>-0.77851363994936618</v>
      </c>
      <c r="L15" s="110"/>
      <c r="M15" s="110"/>
      <c r="N15" s="110"/>
      <c r="O15" s="110"/>
      <c r="P15" s="110"/>
      <c r="Q15" s="110"/>
      <c r="R15" s="111"/>
      <c r="S15" s="566"/>
    </row>
    <row r="16" spans="1:19" ht="15.5" customHeight="1">
      <c r="A16" s="318" t="s">
        <v>99</v>
      </c>
      <c r="B16" s="128">
        <f>Summary!BQ41</f>
        <v>-0.45745800952619708</v>
      </c>
      <c r="C16" s="113"/>
      <c r="D16" s="114"/>
      <c r="E16" s="114"/>
      <c r="F16" s="141"/>
      <c r="G16" s="115">
        <f>Summary!BV41</f>
        <v>-0.36651417720426394</v>
      </c>
      <c r="H16" s="116">
        <f>Summary!BW41</f>
        <v>-0.33509116529313809</v>
      </c>
      <c r="I16" s="116">
        <f>Summary!BX41</f>
        <v>-0.67164854097125015</v>
      </c>
      <c r="J16" s="116">
        <f>Summary!BY41</f>
        <v>-0.83081104587953902</v>
      </c>
      <c r="K16" s="116">
        <f>Summary!BZ41</f>
        <v>-0.74762216082839483</v>
      </c>
      <c r="L16" s="116"/>
      <c r="M16" s="116"/>
      <c r="N16" s="116"/>
      <c r="O16" s="116"/>
      <c r="P16" s="116"/>
      <c r="Q16" s="116"/>
      <c r="R16" s="117"/>
      <c r="S16" s="566"/>
    </row>
    <row r="17" spans="1:19" ht="15.5" customHeight="1">
      <c r="A17" s="318" t="s">
        <v>102</v>
      </c>
      <c r="B17" s="128">
        <f>Summary!BQ43</f>
        <v>-0.94858272907053398</v>
      </c>
      <c r="C17" s="113"/>
      <c r="D17" s="114"/>
      <c r="E17" s="114"/>
      <c r="F17" s="141"/>
      <c r="G17" s="115">
        <f>Summary!BV43</f>
        <v>-0.93574297188755018</v>
      </c>
      <c r="H17" s="116">
        <f>Summary!BW43</f>
        <v>-0.93201970443349758</v>
      </c>
      <c r="I17" s="116">
        <f>Summary!BX43</f>
        <v>-0.97751710654936463</v>
      </c>
      <c r="J17" s="116">
        <f>Summary!BY43</f>
        <v>-0.99427480916030531</v>
      </c>
      <c r="K17" s="116">
        <f>Summary!BZ43</f>
        <v>-0.99434495758718189</v>
      </c>
      <c r="L17" s="116"/>
      <c r="M17" s="116"/>
      <c r="N17" s="116"/>
      <c r="O17" s="116"/>
      <c r="P17" s="116"/>
      <c r="Q17" s="116"/>
      <c r="R17" s="117"/>
      <c r="S17" s="566"/>
    </row>
    <row r="18" spans="1:19" ht="15.5" customHeight="1">
      <c r="A18" s="318" t="s">
        <v>222</v>
      </c>
      <c r="B18" s="128">
        <f>Summary!BQ44</f>
        <v>-0.98485685862716921</v>
      </c>
      <c r="C18" s="113"/>
      <c r="D18" s="114"/>
      <c r="E18" s="114"/>
      <c r="F18" s="141"/>
      <c r="G18" s="115">
        <f>Summary!BV44</f>
        <v>-0.98485596707818934</v>
      </c>
      <c r="H18" s="116">
        <f>Summary!BW44</f>
        <v>-0.9862715553323288</v>
      </c>
      <c r="I18" s="116">
        <f>Summary!BX44</f>
        <v>-0.98346013893483297</v>
      </c>
      <c r="J18" s="116">
        <f>Summary!BY44</f>
        <v>-0.98470394736842104</v>
      </c>
      <c r="K18" s="116">
        <f>Summary!BZ44</f>
        <v>-0.98341900182390984</v>
      </c>
      <c r="L18" s="116"/>
      <c r="M18" s="116"/>
      <c r="N18" s="116"/>
      <c r="O18" s="116"/>
      <c r="P18" s="116"/>
      <c r="Q18" s="116"/>
      <c r="R18" s="117"/>
      <c r="S18" s="566"/>
    </row>
    <row r="19" spans="1:19" ht="15.5" customHeight="1">
      <c r="A19" s="307" t="s">
        <v>109</v>
      </c>
      <c r="B19" s="132">
        <f>Summary!BQ50</f>
        <v>-0.56244144310050426</v>
      </c>
      <c r="C19" s="108"/>
      <c r="D19" s="108"/>
      <c r="E19" s="135"/>
      <c r="F19" s="140"/>
      <c r="G19" s="109">
        <f>Summary!BV50</f>
        <v>-0.50098141038574873</v>
      </c>
      <c r="H19" s="110">
        <f>Summary!BW50</f>
        <v>-0.46008469981371258</v>
      </c>
      <c r="I19" s="110">
        <f>Summary!BX50</f>
        <v>-0.72585896372331504</v>
      </c>
      <c r="J19" s="110">
        <f>Summary!BY50</f>
        <v>-0.86045677978295798</v>
      </c>
      <c r="K19" s="110">
        <f>Summary!BZ50</f>
        <v>-0.79372402197776637</v>
      </c>
      <c r="L19" s="110"/>
      <c r="M19" s="110"/>
      <c r="N19" s="110"/>
      <c r="O19" s="110"/>
      <c r="P19" s="110"/>
      <c r="Q19" s="110"/>
      <c r="R19" s="111"/>
      <c r="S19" s="566"/>
    </row>
    <row r="20" spans="1:19" ht="15.5" customHeight="1">
      <c r="A20" s="318" t="s">
        <v>110</v>
      </c>
      <c r="B20" s="133">
        <f>Summary!BQ51</f>
        <v>-0.47773280971460141</v>
      </c>
      <c r="C20" s="112"/>
      <c r="D20" s="112"/>
      <c r="E20" s="114"/>
      <c r="F20" s="141"/>
      <c r="G20" s="115">
        <f>Summary!BV51</f>
        <v>-0.40283289417588963</v>
      </c>
      <c r="H20" s="116">
        <f>Summary!BW51</f>
        <v>-0.35637703292032052</v>
      </c>
      <c r="I20" s="116">
        <f>Summary!BX51</f>
        <v>-0.67359671251504127</v>
      </c>
      <c r="J20" s="116">
        <f>Summary!BY51</f>
        <v>-0.83398846624782474</v>
      </c>
      <c r="K20" s="116">
        <f>Summary!BZ51</f>
        <v>-0.75516257044227419</v>
      </c>
      <c r="L20" s="116"/>
      <c r="M20" s="116"/>
      <c r="N20" s="116"/>
      <c r="O20" s="116"/>
      <c r="P20" s="116"/>
      <c r="Q20" s="116"/>
      <c r="R20" s="117"/>
      <c r="S20" s="566"/>
    </row>
    <row r="21" spans="1:19" ht="15.5" customHeight="1">
      <c r="A21" s="318" t="s">
        <v>112</v>
      </c>
      <c r="B21" s="128">
        <f>Summary!BQ53</f>
        <v>-0.90163839059917039</v>
      </c>
      <c r="C21" s="112"/>
      <c r="D21" s="112"/>
      <c r="E21" s="114"/>
      <c r="F21" s="141"/>
      <c r="G21" s="115">
        <f>Summary!BV53</f>
        <v>-0.87629309712351611</v>
      </c>
      <c r="H21" s="116">
        <f>Summary!BW53</f>
        <v>-0.87597454795502305</v>
      </c>
      <c r="I21" s="116">
        <f>Summary!BX53</f>
        <v>-0.95205934135711612</v>
      </c>
      <c r="J21" s="116">
        <f>Summary!BY53</f>
        <v>-0.98368942446309093</v>
      </c>
      <c r="K21" s="116">
        <f>Summary!BZ53</f>
        <v>-0.98499573273132723</v>
      </c>
      <c r="L21" s="116"/>
      <c r="M21" s="116"/>
      <c r="N21" s="116"/>
      <c r="O21" s="116"/>
      <c r="P21" s="116"/>
      <c r="Q21" s="116"/>
      <c r="R21" s="117"/>
      <c r="S21" s="566"/>
    </row>
    <row r="22" spans="1:19" ht="16" customHeight="1" thickBot="1">
      <c r="A22" s="568" t="s">
        <v>223</v>
      </c>
      <c r="B22" s="134">
        <f>Summary!BQ54</f>
        <v>-0.98338373463348117</v>
      </c>
      <c r="C22" s="122"/>
      <c r="D22" s="122"/>
      <c r="E22" s="139"/>
      <c r="F22" s="142"/>
      <c r="G22" s="123">
        <f>Summary!BV54</f>
        <v>-0.98357567131442214</v>
      </c>
      <c r="H22" s="124">
        <f>Summary!BW54</f>
        <v>-0.9846305427564026</v>
      </c>
      <c r="I22" s="124">
        <f>Summary!BX54</f>
        <v>-0.98196220336926188</v>
      </c>
      <c r="J22" s="124">
        <f>Summary!BY54</f>
        <v>-0.98280402754677643</v>
      </c>
      <c r="K22" s="124">
        <f>Summary!BZ54</f>
        <v>-0.98089688926053697</v>
      </c>
      <c r="L22" s="124"/>
      <c r="M22" s="124"/>
      <c r="N22" s="124"/>
      <c r="O22" s="124"/>
      <c r="P22" s="124"/>
      <c r="Q22" s="124"/>
      <c r="R22" s="125"/>
      <c r="S22" s="566"/>
    </row>
    <row r="23" spans="1:19" s="566" customFormat="1"/>
    <row r="24" spans="1:19" s="569" customFormat="1" ht="15.5" customHeight="1" thickBot="1"/>
    <row r="25" spans="1:19" s="566" customFormat="1" ht="16" customHeight="1" thickTop="1" thickBot="1"/>
    <row r="26" spans="1:19" ht="16.5" customHeight="1" thickBot="1">
      <c r="A26" s="566"/>
      <c r="B26" s="582" t="s">
        <v>226</v>
      </c>
      <c r="C26" s="583"/>
      <c r="D26" s="583"/>
      <c r="E26" s="583"/>
      <c r="F26" s="583"/>
      <c r="G26" s="583"/>
      <c r="H26" s="583"/>
      <c r="I26" s="583"/>
      <c r="J26" s="583"/>
      <c r="K26" s="583"/>
      <c r="L26" s="583"/>
      <c r="M26" s="583"/>
      <c r="N26" s="583"/>
      <c r="O26" s="583"/>
      <c r="P26" s="583"/>
      <c r="Q26" s="583"/>
      <c r="R26" s="584"/>
      <c r="S26" s="566"/>
    </row>
    <row r="27" spans="1:19" ht="15.5" customHeight="1">
      <c r="A27" s="567" t="s">
        <v>31</v>
      </c>
      <c r="B27" s="126" t="s">
        <v>72</v>
      </c>
      <c r="C27" s="100" t="s">
        <v>73</v>
      </c>
      <c r="D27" s="100" t="s">
        <v>74</v>
      </c>
      <c r="E27" s="101" t="s">
        <v>75</v>
      </c>
      <c r="F27" s="143" t="s">
        <v>76</v>
      </c>
      <c r="G27" s="103" t="s">
        <v>51</v>
      </c>
      <c r="H27" s="102" t="s">
        <v>52</v>
      </c>
      <c r="I27" s="102" t="s">
        <v>53</v>
      </c>
      <c r="J27" s="102" t="s">
        <v>54</v>
      </c>
      <c r="K27" s="102" t="s">
        <v>55</v>
      </c>
      <c r="L27" s="102" t="s">
        <v>77</v>
      </c>
      <c r="M27" s="102" t="s">
        <v>78</v>
      </c>
      <c r="N27" s="102" t="s">
        <v>79</v>
      </c>
      <c r="O27" s="102" t="s">
        <v>80</v>
      </c>
      <c r="P27" s="102" t="s">
        <v>81</v>
      </c>
      <c r="Q27" s="102" t="s">
        <v>82</v>
      </c>
      <c r="R27" s="104" t="s">
        <v>44</v>
      </c>
      <c r="S27" s="566"/>
    </row>
    <row r="28" spans="1:19" ht="15.5" customHeight="1">
      <c r="A28" s="318" t="s">
        <v>98</v>
      </c>
      <c r="B28" s="127">
        <f>'CAAC Data'!O145</f>
        <v>0.37609329446064144</v>
      </c>
      <c r="C28" s="108">
        <f>'CAAC Data'!P145</f>
        <v>0.95690796206590711</v>
      </c>
      <c r="D28" s="108">
        <f>'CAAC Data'!Q145</f>
        <v>-0.19191471791599413</v>
      </c>
      <c r="E28" s="135">
        <f>'CAAC Data'!R145</f>
        <v>-0.36173736666228895</v>
      </c>
      <c r="F28" s="140">
        <f>'CAAC Data'!N145</f>
        <v>5.4707927477516405E-2</v>
      </c>
      <c r="G28" s="109">
        <f>'CAAC Data'!B145</f>
        <v>-0.40356112406624245</v>
      </c>
      <c r="H28" s="110">
        <f>'CAAC Data'!C145</f>
        <v>1.8715827338129496</v>
      </c>
      <c r="I28" s="110">
        <f>'CAAC Data'!D145</f>
        <v>2.1574012940710419</v>
      </c>
      <c r="J28" s="110">
        <f>'CAAC Data'!E145</f>
        <v>2.0567753514807059</v>
      </c>
      <c r="K28" s="110">
        <f>'CAAC Data'!F145</f>
        <v>0.97595911888815756</v>
      </c>
      <c r="L28" s="110">
        <f>'CAAC Data'!G145</f>
        <v>0.34282182244054793</v>
      </c>
      <c r="M28" s="110">
        <f>'CAAC Data'!H145</f>
        <v>0.25618925831202044</v>
      </c>
      <c r="N28" s="110">
        <f>'CAAC Data'!I145</f>
        <v>-0.5146322971948446</v>
      </c>
      <c r="O28" s="110">
        <f>'CAAC Data'!J145</f>
        <v>-0.24662077596996246</v>
      </c>
      <c r="P28" s="110">
        <f>'CAAC Data'!K145</f>
        <v>-0.22776861474872323</v>
      </c>
      <c r="Q28" s="110">
        <f>'CAAC Data'!L145</f>
        <v>-0.51537872647032335</v>
      </c>
      <c r="R28" s="111">
        <f>'CAAC Data'!M145</f>
        <v>-0.35980436169458685</v>
      </c>
      <c r="S28" s="566"/>
    </row>
    <row r="29" spans="1:19" ht="15.5" customHeight="1">
      <c r="A29" s="318" t="s">
        <v>99</v>
      </c>
      <c r="B29" s="128">
        <f>'CAAC Data'!O150</f>
        <v>0.5583745431090088</v>
      </c>
      <c r="C29" s="113">
        <f>'CAAC Data'!P150</f>
        <v>0.95811281432528039</v>
      </c>
      <c r="D29" s="114">
        <f>'CAAC Data'!Q150</f>
        <v>-0.19240137855101314</v>
      </c>
      <c r="E29" s="114">
        <f>'CAAC Data'!R150</f>
        <v>-0.36215134770691959</v>
      </c>
      <c r="F29" s="141">
        <f>'CAAC Data'!N150</f>
        <v>7.6901536458653164E-2</v>
      </c>
      <c r="G29" s="115">
        <f>'CAAC Data'!B150</f>
        <v>-0.30764970578054696</v>
      </c>
      <c r="H29" s="116">
        <f>'CAAC Data'!C150</f>
        <v>2.3034377599112834</v>
      </c>
      <c r="I29" s="116">
        <f>'CAAC Data'!D150</f>
        <v>2.2707174733951252</v>
      </c>
      <c r="J29" s="116">
        <f>'CAAC Data'!E150</f>
        <v>2.0608465608465609</v>
      </c>
      <c r="K29" s="116">
        <f>'CAAC Data'!F150</f>
        <v>0.97647470544775827</v>
      </c>
      <c r="L29" s="116">
        <f>'CAAC Data'!G150</f>
        <v>0.34301128003923487</v>
      </c>
      <c r="M29" s="116">
        <f>'CAAC Data'!H150</f>
        <v>0.25649392358880818</v>
      </c>
      <c r="N29" s="116">
        <f>'CAAC Data'!I150</f>
        <v>-0.51616763861084514</v>
      </c>
      <c r="O29" s="116">
        <f>'CAAC Data'!J150</f>
        <v>-0.24672086493735068</v>
      </c>
      <c r="P29" s="116">
        <f>'CAAC Data'!K150</f>
        <v>-0.22714753313108738</v>
      </c>
      <c r="Q29" s="116">
        <f>'CAAC Data'!L150</f>
        <v>-0.51641716792546699</v>
      </c>
      <c r="R29" s="117">
        <f>'CAAC Data'!M150</f>
        <v>-0.36078142802886437</v>
      </c>
      <c r="S29" s="566"/>
    </row>
    <row r="30" spans="1:19" ht="15.5" customHeight="1">
      <c r="A30" s="318" t="s">
        <v>102</v>
      </c>
      <c r="B30" s="128">
        <f>'CAAC Data'!O170</f>
        <v>-0.86007702182284984</v>
      </c>
      <c r="C30" s="113">
        <f>'CAAC Data'!P170</f>
        <v>6.2758620689655169</v>
      </c>
      <c r="D30" s="114">
        <f>'CAAC Data'!Q170</f>
        <v>1.4375</v>
      </c>
      <c r="E30" s="114">
        <f>'CAAC Data'!R170</f>
        <v>0.2921348314606742</v>
      </c>
      <c r="F30" s="141">
        <f>'CAAC Data'!N170</f>
        <v>-0.38501560874089491</v>
      </c>
      <c r="G30" s="115">
        <f>'CAAC Data'!B170</f>
        <v>-0.94674556213017746</v>
      </c>
      <c r="H30" s="116">
        <f>'CAAC Data'!C170</f>
        <v>-0.63513513513513509</v>
      </c>
      <c r="I30" s="116">
        <f>'CAAC Data'!D170</f>
        <v>0.5862068965517242</v>
      </c>
      <c r="J30" s="116">
        <f>'CAAC Data'!E170</f>
        <v>7.5</v>
      </c>
      <c r="K30" s="116">
        <f>'CAAC Data'!F170</f>
        <v>8</v>
      </c>
      <c r="L30" s="116">
        <f>'CAAC Data'!G170</f>
        <v>4.6428571428571432</v>
      </c>
      <c r="M30" s="116">
        <f>'CAAC Data'!H170</f>
        <v>3.05</v>
      </c>
      <c r="N30" s="116">
        <f>'CAAC Data'!I170</f>
        <v>0.64999999999999991</v>
      </c>
      <c r="O30" s="116">
        <f>'CAAC Data'!J170</f>
        <v>0.75</v>
      </c>
      <c r="P30" s="116">
        <f>'CAAC Data'!K170</f>
        <v>-3.2258064516129004E-2</v>
      </c>
      <c r="Q30" s="116">
        <f>'CAAC Data'!L170</f>
        <v>0.30769230769230771</v>
      </c>
      <c r="R30" s="117">
        <f>'CAAC Data'!M170</f>
        <v>0.59375</v>
      </c>
      <c r="S30" s="566"/>
    </row>
    <row r="31" spans="1:19" ht="15.5" customHeight="1">
      <c r="A31" s="318" t="s">
        <v>222</v>
      </c>
      <c r="B31" s="128">
        <f>'CAAC Data'!O165</f>
        <v>-0.95473401659346024</v>
      </c>
      <c r="C31" s="113">
        <f>'CAAC Data'!P165</f>
        <v>0.19814241486068118</v>
      </c>
      <c r="D31" s="114">
        <f>'CAAC Data'!Q165</f>
        <v>-0.24856596558317401</v>
      </c>
      <c r="E31" s="114">
        <f>'CAAC Data'!R165</f>
        <v>-0.36381322957198448</v>
      </c>
      <c r="F31" s="141">
        <f>'CAAC Data'!N165</f>
        <v>-0.84533277521975725</v>
      </c>
      <c r="G31" s="115">
        <f>'CAAC Data'!B165</f>
        <v>-0.97845873786407767</v>
      </c>
      <c r="H31" s="116">
        <f>'CAAC Data'!C165</f>
        <v>-0.91349809885931554</v>
      </c>
      <c r="I31" s="116">
        <f>'CAAC Data'!D165</f>
        <v>-0.75</v>
      </c>
      <c r="J31" s="116">
        <f>'CAAC Data'!E165</f>
        <v>0.76623376623376616</v>
      </c>
      <c r="K31" s="116">
        <f>'CAAC Data'!F165</f>
        <v>0.23809523809523814</v>
      </c>
      <c r="L31" s="116">
        <f>'CAAC Data'!G165</f>
        <v>-0.14184397163120566</v>
      </c>
      <c r="M31" s="116">
        <f>'CAAC Data'!H165</f>
        <v>-0.16981132075471694</v>
      </c>
      <c r="N31" s="116">
        <f>'CAAC Data'!I165</f>
        <v>-0.21142857142857141</v>
      </c>
      <c r="O31" s="116">
        <f>'CAAC Data'!J165</f>
        <v>-0.34920634920634919</v>
      </c>
      <c r="P31" s="116">
        <f>'CAAC Data'!K165</f>
        <v>-0.42553191489361697</v>
      </c>
      <c r="Q31" s="116">
        <f>'CAAC Data'!L165</f>
        <v>-0.3619631901840491</v>
      </c>
      <c r="R31" s="117">
        <f>'CAAC Data'!M165</f>
        <v>-0.29447852760736193</v>
      </c>
      <c r="S31" s="566"/>
    </row>
    <row r="32" spans="1:19" ht="15.5" customHeight="1">
      <c r="A32" s="307" t="s">
        <v>109</v>
      </c>
      <c r="B32" s="132">
        <f>'Top 4 Total'!O85</f>
        <v>0.25273298897589425</v>
      </c>
      <c r="C32" s="108">
        <f>'Top 4 Total'!P85</f>
        <v>1.0474303264146605</v>
      </c>
      <c r="D32" s="108">
        <f>'Top 4 Total'!Q85</f>
        <v>-0.22740451839515863</v>
      </c>
      <c r="E32" s="135">
        <f>'Top 4 Total'!R85</f>
        <v>-0.37130823589292616</v>
      </c>
      <c r="F32" s="140">
        <f>'Top 4 Total'!S85</f>
        <v>2.6549123789685547E-2</v>
      </c>
      <c r="G32" s="109">
        <f>'Top 4 Total'!B85</f>
        <v>-0.4912515449496202</v>
      </c>
      <c r="H32" s="110">
        <f>'Top 4 Total'!C85</f>
        <v>1.7071417033741811</v>
      </c>
      <c r="I32" s="110">
        <f>'Top 4 Total'!D85</f>
        <v>2.0665159752645401</v>
      </c>
      <c r="J32" s="110">
        <f>'Top 4 Total'!E85</f>
        <v>2.2398780824628828</v>
      </c>
      <c r="K32" s="110">
        <f>'Top 4 Total'!F85</f>
        <v>1.0916345845079856</v>
      </c>
      <c r="L32" s="110">
        <f>'Top 4 Total'!G85</f>
        <v>0.35760770710524081</v>
      </c>
      <c r="M32" s="110">
        <f>'Top 4 Total'!H85</f>
        <v>0.25561611029363207</v>
      </c>
      <c r="N32" s="110">
        <f>'Top 4 Total'!I85</f>
        <v>-0.56581541266527924</v>
      </c>
      <c r="O32" s="110">
        <f>'Top 4 Total'!J85</f>
        <v>-0.2923087530226598</v>
      </c>
      <c r="P32" s="110">
        <f>'Top 4 Total'!K85</f>
        <v>-0.24525350617077257</v>
      </c>
      <c r="Q32" s="110">
        <f>'Top 4 Total'!L85</f>
        <v>-0.52359975989998653</v>
      </c>
      <c r="R32" s="111">
        <f>'Top 4 Total'!M85</f>
        <v>-0.3614229435588151</v>
      </c>
      <c r="S32" s="566"/>
    </row>
    <row r="33" spans="1:19" ht="15.5" customHeight="1">
      <c r="A33" s="318" t="s">
        <v>110</v>
      </c>
      <c r="B33" s="133">
        <f>'Top4 Domestic'!O86</f>
        <v>0.47627969145107718</v>
      </c>
      <c r="C33" s="112">
        <f>'Top4 Domestic'!P86</f>
        <v>1.0430045579236022</v>
      </c>
      <c r="D33" s="112">
        <f>'Top4 Domestic'!Q86</f>
        <v>-0.23077481101189268</v>
      </c>
      <c r="E33" s="114">
        <f>'Top4 Domestic'!R86</f>
        <v>-0.37207556516685869</v>
      </c>
      <c r="F33" s="141">
        <f>'Top4 Domestic'!S86</f>
        <v>5.3967412524954073E-2</v>
      </c>
      <c r="G33" s="115">
        <f>'Top4 Domestic'!B86</f>
        <v>-0.3843694717264956</v>
      </c>
      <c r="H33" s="116">
        <f>'Top4 Domestic'!C86</f>
        <v>2.3687505441406924</v>
      </c>
      <c r="I33" s="116">
        <f>'Top4 Domestic'!D86</f>
        <v>2.201470809757383</v>
      </c>
      <c r="J33" s="116">
        <f>'Top4 Domestic'!E86</f>
        <v>2.2368631489007438</v>
      </c>
      <c r="K33" s="116">
        <f>'Top4 Domestic'!F86</f>
        <v>1.0868704240227212</v>
      </c>
      <c r="L33" s="116">
        <f>'Top4 Domestic'!G86</f>
        <v>0.35260283024921035</v>
      </c>
      <c r="M33" s="116">
        <f>'Top4 Domestic'!H86</f>
        <v>0.25073182100188607</v>
      </c>
      <c r="N33" s="116">
        <f>'Top4 Domestic'!I86</f>
        <v>-0.56933194414350452</v>
      </c>
      <c r="O33" s="116">
        <f>'Top4 Domestic'!J86</f>
        <v>-0.29425149928769689</v>
      </c>
      <c r="P33" s="116">
        <f>'Top4 Domestic'!K86</f>
        <v>-0.24401994421847117</v>
      </c>
      <c r="Q33" s="116">
        <f>'Top4 Domestic'!L86</f>
        <v>-0.52523360568571165</v>
      </c>
      <c r="R33" s="117">
        <f>'Top4 Domestic'!M86</f>
        <v>-0.36379613802156918</v>
      </c>
      <c r="S33" s="566"/>
    </row>
    <row r="34" spans="1:19" ht="15.5" customHeight="1">
      <c r="A34" s="318" t="s">
        <v>112</v>
      </c>
      <c r="B34" s="128">
        <f>'Top4 Intl.+Reg'!O343</f>
        <v>-0.74673322395596986</v>
      </c>
      <c r="C34" s="112">
        <f>'Top4 Intl.+Reg'!P343</f>
        <v>16.083460365853661</v>
      </c>
      <c r="D34" s="112">
        <f>'Top4 Intl.+Reg'!Q343</f>
        <v>4.4544319600499387</v>
      </c>
      <c r="E34" s="114">
        <f>'Top4 Intl.+Reg'!R343</f>
        <v>-0.17304534545913852</v>
      </c>
      <c r="F34" s="141">
        <f>'Top4 Intl.+Reg'!S343</f>
        <v>-9.3790015518601111E-3</v>
      </c>
      <c r="G34" s="115">
        <f>'Top4 Intl.+Reg'!B343</f>
        <v>-0.9080183411506576</v>
      </c>
      <c r="H34" s="116">
        <f>'Top4 Intl.+Reg'!C343</f>
        <v>-0.36681465038845729</v>
      </c>
      <c r="I34" s="116">
        <f>'Top4 Intl.+Reg'!D343</f>
        <v>2.8935114503816792</v>
      </c>
      <c r="J34" s="116">
        <f>'Top4 Intl.+Reg'!E343</f>
        <v>26.746450304259636</v>
      </c>
      <c r="K34" s="116">
        <f>'Top4 Intl.+Reg'!F343</f>
        <v>21.279887482419134</v>
      </c>
      <c r="L34" s="116">
        <f>'Top4 Intl.+Reg'!G343</f>
        <v>9.7795774647887317</v>
      </c>
      <c r="M34" s="116">
        <f>'Top4 Intl.+Reg'!H343</f>
        <v>11.434602076124568</v>
      </c>
      <c r="N34" s="116">
        <f>'Top4 Intl.+Reg'!I343</f>
        <v>2.0762976860537834</v>
      </c>
      <c r="O34" s="116">
        <f>'Top4 Intl.+Reg'!J343</f>
        <v>2.0027311744049943</v>
      </c>
      <c r="P34" s="116">
        <f>'Top4 Intl.+Reg'!K343</f>
        <v>-0.41776135741652987</v>
      </c>
      <c r="Q34" s="116">
        <f>'Top4 Intl.+Reg'!L343</f>
        <v>-0.26984343090537777</v>
      </c>
      <c r="R34" s="117">
        <f>'Top4 Intl.+Reg'!M343</f>
        <v>0.1016706968564518</v>
      </c>
      <c r="S34" s="566"/>
    </row>
    <row r="35" spans="1:19" ht="16" customHeight="1" thickBot="1">
      <c r="A35" s="568" t="s">
        <v>223</v>
      </c>
      <c r="B35" s="134">
        <f>'Top4 Intl.+Reg'!O318</f>
        <v>-0.95125122243990834</v>
      </c>
      <c r="C35" s="122">
        <f>'Top4 Intl.+Reg'!P318</f>
        <v>0.18286748896684402</v>
      </c>
      <c r="D35" s="122">
        <f>'Top4 Intl.+Reg'!Q318</f>
        <v>-0.24413320593787124</v>
      </c>
      <c r="E35" s="139">
        <f>'Top4 Intl.+Reg'!R318</f>
        <v>-0.33867735470941884</v>
      </c>
      <c r="F35" s="142">
        <f>'Top4 Intl.+Reg'!S318</f>
        <v>-0.83283551900607078</v>
      </c>
      <c r="G35" s="123">
        <f>'Top4 Intl.+Reg'!B318</f>
        <v>-0.97655082231465284</v>
      </c>
      <c r="H35" s="124">
        <f>'Top4 Intl.+Reg'!C318</f>
        <v>-0.91308311442177359</v>
      </c>
      <c r="I35" s="124">
        <f>'Top4 Intl.+Reg'!D318</f>
        <v>-0.73270410118819473</v>
      </c>
      <c r="J35" s="124">
        <f>'Top4 Intl.+Reg'!E318</f>
        <v>0.74964028776978431</v>
      </c>
      <c r="K35" s="124">
        <f>'Top4 Intl.+Reg'!F318</f>
        <v>0.20520231213872808</v>
      </c>
      <c r="L35" s="124">
        <f>'Top4 Intl.+Reg'!G318</f>
        <v>-0.13923832500430811</v>
      </c>
      <c r="M35" s="124">
        <f>'Top4 Intl.+Reg'!H318</f>
        <v>-0.16112218304461112</v>
      </c>
      <c r="N35" s="124">
        <f>'Top4 Intl.+Reg'!I318</f>
        <v>-0.23609997326917931</v>
      </c>
      <c r="O35" s="124">
        <f>'Top4 Intl.+Reg'!J318</f>
        <v>-0.32487752499832223</v>
      </c>
      <c r="P35" s="124">
        <f>'Top4 Intl.+Reg'!K318</f>
        <v>-0.40642151481888034</v>
      </c>
      <c r="Q35" s="124">
        <f>'Top4 Intl.+Reg'!L318</f>
        <v>-0.34782282844937429</v>
      </c>
      <c r="R35" s="125">
        <f>'Top4 Intl.+Reg'!M318</f>
        <v>-0.25332717901377033</v>
      </c>
      <c r="S35" s="566"/>
    </row>
    <row r="36" spans="1:19" ht="15.5" customHeight="1" thickBot="1">
      <c r="A36" s="566"/>
      <c r="B36" s="566"/>
      <c r="C36" s="566"/>
      <c r="D36" s="566"/>
      <c r="E36" s="566"/>
      <c r="F36" s="566"/>
      <c r="G36" s="566"/>
      <c r="H36" s="566"/>
      <c r="I36" s="566"/>
      <c r="J36" s="566"/>
      <c r="K36" s="566"/>
      <c r="L36" s="566"/>
      <c r="M36" s="566"/>
      <c r="N36" s="566"/>
      <c r="O36" s="566"/>
      <c r="P36" s="566"/>
      <c r="Q36" s="566"/>
      <c r="R36" s="566"/>
      <c r="S36" s="566"/>
    </row>
    <row r="37" spans="1:19" ht="16.5" customHeight="1" thickBot="1">
      <c r="A37" s="566"/>
      <c r="B37" s="582" t="s">
        <v>227</v>
      </c>
      <c r="C37" s="583"/>
      <c r="D37" s="583"/>
      <c r="E37" s="583"/>
      <c r="F37" s="583"/>
      <c r="G37" s="583"/>
      <c r="H37" s="583"/>
      <c r="I37" s="583"/>
      <c r="J37" s="583"/>
      <c r="K37" s="583"/>
      <c r="L37" s="583"/>
      <c r="M37" s="583"/>
      <c r="N37" s="583"/>
      <c r="O37" s="583"/>
      <c r="P37" s="583"/>
      <c r="Q37" s="583"/>
      <c r="R37" s="584"/>
      <c r="S37" s="566"/>
    </row>
    <row r="38" spans="1:19" ht="15.5" customHeight="1">
      <c r="A38" s="567" t="s">
        <v>31</v>
      </c>
      <c r="B38" s="126" t="s">
        <v>83</v>
      </c>
      <c r="C38" s="100" t="s">
        <v>84</v>
      </c>
      <c r="D38" s="100" t="s">
        <v>85</v>
      </c>
      <c r="E38" s="101" t="s">
        <v>86</v>
      </c>
      <c r="F38" s="143" t="s">
        <v>225</v>
      </c>
      <c r="G38" s="103" t="s">
        <v>51</v>
      </c>
      <c r="H38" s="102" t="s">
        <v>52</v>
      </c>
      <c r="I38" s="102" t="s">
        <v>53</v>
      </c>
      <c r="J38" s="102" t="s">
        <v>54</v>
      </c>
      <c r="K38" s="102" t="s">
        <v>55</v>
      </c>
      <c r="L38" s="102" t="s">
        <v>77</v>
      </c>
      <c r="M38" s="102" t="s">
        <v>78</v>
      </c>
      <c r="N38" s="102" t="s">
        <v>79</v>
      </c>
      <c r="O38" s="102" t="s">
        <v>80</v>
      </c>
      <c r="P38" s="102" t="s">
        <v>81</v>
      </c>
      <c r="Q38" s="102" t="s">
        <v>82</v>
      </c>
      <c r="R38" s="104" t="s">
        <v>44</v>
      </c>
      <c r="S38" s="566"/>
    </row>
    <row r="39" spans="1:19" ht="15.5" customHeight="1">
      <c r="A39" s="318" t="s">
        <v>98</v>
      </c>
      <c r="B39" s="127">
        <f>'CAAC Data'!O114</f>
        <v>-0.25281505021971129</v>
      </c>
      <c r="C39" s="108"/>
      <c r="D39" s="108"/>
      <c r="E39" s="135"/>
      <c r="F39" s="140"/>
      <c r="G39" s="109">
        <f>'CAAC Data'!B114</f>
        <v>-2.2133130114972976E-2</v>
      </c>
      <c r="H39" s="110">
        <f>'CAAC Data'!C114</f>
        <v>0.3066933901206732</v>
      </c>
      <c r="I39" s="110">
        <f>'CAAC Data'!D114</f>
        <v>-0.67859980761992389</v>
      </c>
      <c r="J39" s="110">
        <f>'CAAC Data'!E114</f>
        <v>-0.84577445492621439</v>
      </c>
      <c r="K39" s="110">
        <f>'CAAC Data'!F114</f>
        <v>-0.76346466566093918</v>
      </c>
      <c r="L39" s="110"/>
      <c r="M39" s="110"/>
      <c r="N39" s="110"/>
      <c r="O39" s="110"/>
      <c r="P39" s="110"/>
      <c r="Q39" s="110"/>
      <c r="R39" s="111"/>
      <c r="S39" s="566"/>
    </row>
    <row r="40" spans="1:19" ht="15.5" customHeight="1">
      <c r="A40" s="318" t="s">
        <v>99</v>
      </c>
      <c r="B40" s="128">
        <f>'CAAC Data'!O119</f>
        <v>-0.25351821192052981</v>
      </c>
      <c r="C40" s="113"/>
      <c r="D40" s="114"/>
      <c r="E40" s="114"/>
      <c r="F40" s="141"/>
      <c r="G40" s="115">
        <f>'CAAC Data'!B119</f>
        <v>-2.1531180215311752E-2</v>
      </c>
      <c r="H40" s="116">
        <f>'CAAC Data'!C119</f>
        <v>0.30682724182787124</v>
      </c>
      <c r="I40" s="116">
        <f>'CAAC Data'!D119</f>
        <v>-0.67994038372727661</v>
      </c>
      <c r="J40" s="116">
        <f>'CAAC Data'!E119</f>
        <v>-0.84715565333542864</v>
      </c>
      <c r="K40" s="116">
        <f>'CAAC Data'!F119</f>
        <v>-0.76456353656377263</v>
      </c>
      <c r="L40" s="116"/>
      <c r="M40" s="116"/>
      <c r="N40" s="116"/>
      <c r="O40" s="116"/>
      <c r="P40" s="116"/>
      <c r="Q40" s="116"/>
      <c r="R40" s="117"/>
      <c r="S40" s="566"/>
    </row>
    <row r="41" spans="1:19" ht="15.5" customHeight="1">
      <c r="A41" s="318" t="s">
        <v>102</v>
      </c>
      <c r="B41" s="128">
        <f>'CAAC Data'!O139</f>
        <v>0.4311926605504588</v>
      </c>
      <c r="C41" s="113"/>
      <c r="D41" s="114"/>
      <c r="E41" s="114"/>
      <c r="F41" s="141"/>
      <c r="G41" s="115">
        <f>'CAAC Data'!B139</f>
        <v>0.77777777777777768</v>
      </c>
      <c r="H41" s="116">
        <f>'CAAC Data'!C139</f>
        <v>1.5555555555555554</v>
      </c>
      <c r="I41" s="116">
        <f>'CAAC Data'!D139</f>
        <v>-0.5</v>
      </c>
      <c r="J41" s="116">
        <f>'CAAC Data'!E139</f>
        <v>-0.88235294117647056</v>
      </c>
      <c r="K41" s="116">
        <f>'CAAC Data'!F139</f>
        <v>-0.92592592592592593</v>
      </c>
      <c r="L41" s="116"/>
      <c r="M41" s="116"/>
      <c r="N41" s="116"/>
      <c r="O41" s="116"/>
      <c r="P41" s="116"/>
      <c r="Q41" s="116"/>
      <c r="R41" s="117"/>
      <c r="S41" s="566"/>
    </row>
    <row r="42" spans="1:19" ht="15.5" customHeight="1">
      <c r="A42" s="318" t="s">
        <v>222</v>
      </c>
      <c r="B42" s="128">
        <f>'CAAC Data'!O134</f>
        <v>-0.26145552560646901</v>
      </c>
      <c r="C42" s="113"/>
      <c r="D42" s="114"/>
      <c r="E42" s="114"/>
      <c r="F42" s="141"/>
      <c r="G42" s="115">
        <f>'CAAC Data'!B134</f>
        <v>-0.352112676056338</v>
      </c>
      <c r="H42" s="116">
        <f>'CAAC Data'!C134</f>
        <v>-9.8901098901098883E-2</v>
      </c>
      <c r="I42" s="116">
        <f>'CAAC Data'!D134</f>
        <v>-0.27536231884057971</v>
      </c>
      <c r="J42" s="116">
        <f>'CAAC Data'!E134</f>
        <v>-0.31617647058823528</v>
      </c>
      <c r="K42" s="116">
        <f>'CAAC Data'!F134</f>
        <v>-0.23076923076923073</v>
      </c>
      <c r="L42" s="116"/>
      <c r="M42" s="116"/>
      <c r="N42" s="116"/>
      <c r="O42" s="116"/>
      <c r="P42" s="116"/>
      <c r="Q42" s="116"/>
      <c r="R42" s="117"/>
      <c r="S42" s="566"/>
    </row>
    <row r="43" spans="1:19" ht="15.5" customHeight="1">
      <c r="A43" s="307" t="s">
        <v>109</v>
      </c>
      <c r="B43" s="132">
        <f>'Top 4 Total'!O65</f>
        <v>-0.23706013976583329</v>
      </c>
      <c r="C43" s="108"/>
      <c r="D43" s="108"/>
      <c r="E43" s="135"/>
      <c r="F43" s="140"/>
      <c r="G43" s="109">
        <f>'Top 4 Total'!B65</f>
        <v>2.907944388767314E-2</v>
      </c>
      <c r="H43" s="110">
        <f>'Top 4 Total'!C65</f>
        <v>0.40029043421608557</v>
      </c>
      <c r="I43" s="110">
        <f>'Top 4 Total'!D65</f>
        <v>-0.67722953196378266</v>
      </c>
      <c r="J43" s="110">
        <f>'Top 4 Total'!E65</f>
        <v>-0.85092775166428092</v>
      </c>
      <c r="K43" s="110">
        <f>'Top 4 Total'!F65</f>
        <v>-0.77156348505136629</v>
      </c>
      <c r="L43" s="110"/>
      <c r="M43" s="110"/>
      <c r="N43" s="110"/>
      <c r="O43" s="110"/>
      <c r="P43" s="110"/>
      <c r="Q43" s="110"/>
      <c r="R43" s="111"/>
      <c r="S43" s="566"/>
    </row>
    <row r="44" spans="1:19" ht="15.5" customHeight="1">
      <c r="A44" s="318" t="s">
        <v>110</v>
      </c>
      <c r="B44" s="133">
        <f>'Top4 Domestic'!O65</f>
        <v>-0.24090256350634398</v>
      </c>
      <c r="C44" s="112"/>
      <c r="D44" s="112"/>
      <c r="E44" s="114"/>
      <c r="F44" s="141"/>
      <c r="G44" s="115">
        <f>'Top4 Domestic'!B65</f>
        <v>2.8241414748322979E-2</v>
      </c>
      <c r="H44" s="116">
        <f>'Top4 Domestic'!C65</f>
        <v>0.38670205162208426</v>
      </c>
      <c r="I44" s="116">
        <f>'Top4 Domestic'!D65</f>
        <v>-0.67952712923259595</v>
      </c>
      <c r="J44" s="116">
        <f>'Top4 Domestic'!E65</f>
        <v>-0.85294223154759896</v>
      </c>
      <c r="K44" s="116">
        <f>'Top4 Domestic'!F65</f>
        <v>-0.77299323112485752</v>
      </c>
      <c r="L44" s="116"/>
      <c r="M44" s="116"/>
      <c r="N44" s="116"/>
      <c r="O44" s="116"/>
      <c r="P44" s="116"/>
      <c r="Q44" s="116"/>
      <c r="R44" s="117"/>
      <c r="S44" s="566"/>
    </row>
    <row r="45" spans="1:19" ht="15.5" customHeight="1">
      <c r="A45" s="318" t="s">
        <v>112</v>
      </c>
      <c r="B45" s="128">
        <f>'Top4 Intl.+Reg'!O274</f>
        <v>0.39828172378939652</v>
      </c>
      <c r="C45" s="112"/>
      <c r="D45" s="112"/>
      <c r="E45" s="114"/>
      <c r="F45" s="141"/>
      <c r="G45" s="115">
        <f>'Top4 Intl.+Reg'!B274</f>
        <v>0.80631338380231421</v>
      </c>
      <c r="H45" s="116">
        <f>'Top4 Intl.+Reg'!C274</f>
        <v>1.8058720420683612</v>
      </c>
      <c r="I45" s="116">
        <f>'Top4 Intl.+Reg'!D274</f>
        <v>-0.51151847858053134</v>
      </c>
      <c r="J45" s="116">
        <f>'Top4 Intl.+Reg'!E274</f>
        <v>-0.87097010015351994</v>
      </c>
      <c r="K45" s="116">
        <f>'Top4 Intl.+Reg'!F274</f>
        <v>-0.89678681901395119</v>
      </c>
      <c r="L45" s="116"/>
      <c r="M45" s="116"/>
      <c r="N45" s="116"/>
      <c r="O45" s="116"/>
      <c r="P45" s="116"/>
      <c r="Q45" s="116"/>
      <c r="R45" s="117"/>
      <c r="S45" s="566"/>
    </row>
    <row r="46" spans="1:19" ht="16" customHeight="1" thickBot="1">
      <c r="A46" s="568" t="s">
        <v>223</v>
      </c>
      <c r="B46" s="134">
        <f>'Top4 Intl.+Reg'!O255</f>
        <v>-0.24130296219262637</v>
      </c>
      <c r="C46" s="122"/>
      <c r="D46" s="122"/>
      <c r="E46" s="139"/>
      <c r="F46" s="142"/>
      <c r="G46" s="123">
        <f>'Top4 Intl.+Reg'!B255</f>
        <v>-0.33423936869793947</v>
      </c>
      <c r="H46" s="124">
        <f>'Top4 Intl.+Reg'!C255</f>
        <v>-5.4926856196522489E-2</v>
      </c>
      <c r="I46" s="124">
        <f>'Top4 Intl.+Reg'!D255</f>
        <v>-0.26734181753002328</v>
      </c>
      <c r="J46" s="124">
        <f>'Top4 Intl.+Reg'!E255</f>
        <v>-0.28106725146198819</v>
      </c>
      <c r="K46" s="124">
        <f>'Top4 Intl.+Reg'!F255</f>
        <v>-0.18043165467625888</v>
      </c>
      <c r="L46" s="124"/>
      <c r="M46" s="124"/>
      <c r="N46" s="124"/>
      <c r="O46" s="124"/>
      <c r="P46" s="124"/>
      <c r="Q46" s="124"/>
      <c r="R46" s="125"/>
      <c r="S46" s="566"/>
    </row>
  </sheetData>
  <mergeCells count="4">
    <mergeCell ref="B2:R2"/>
    <mergeCell ref="B26:R26"/>
    <mergeCell ref="B37:R37"/>
    <mergeCell ref="B13:R13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2"/>
  <sheetViews>
    <sheetView workbookViewId="0"/>
  </sheetViews>
  <sheetFormatPr defaultRowHeight="15"/>
  <cols>
    <col min="1" max="1" width="18" style="245" customWidth="1"/>
    <col min="2" max="2" width="9.58203125" style="245" bestFit="1" customWidth="1"/>
    <col min="10" max="10" width="10.5" style="245" bestFit="1" customWidth="1"/>
  </cols>
  <sheetData>
    <row r="1" spans="1:18">
      <c r="A1" s="385" t="s">
        <v>127</v>
      </c>
    </row>
    <row r="2" spans="1:18" ht="15.5" customHeight="1">
      <c r="A2" s="422" t="s">
        <v>162</v>
      </c>
      <c r="B2" s="187" t="s">
        <v>51</v>
      </c>
      <c r="C2" s="187" t="s">
        <v>52</v>
      </c>
      <c r="D2" s="187" t="s">
        <v>53</v>
      </c>
      <c r="E2" s="187" t="s">
        <v>54</v>
      </c>
      <c r="F2" s="187" t="s">
        <v>55</v>
      </c>
      <c r="G2" s="187" t="s">
        <v>77</v>
      </c>
      <c r="H2" s="187" t="s">
        <v>78</v>
      </c>
      <c r="I2" s="187" t="s">
        <v>79</v>
      </c>
      <c r="J2" s="187" t="s">
        <v>80</v>
      </c>
      <c r="K2" s="187" t="s">
        <v>81</v>
      </c>
      <c r="L2" s="187" t="s">
        <v>82</v>
      </c>
      <c r="M2" s="187" t="s">
        <v>44</v>
      </c>
      <c r="N2" s="389" t="s">
        <v>128</v>
      </c>
      <c r="O2" s="5" t="s">
        <v>129</v>
      </c>
      <c r="P2" s="5" t="s">
        <v>130</v>
      </c>
      <c r="Q2" s="5" t="s">
        <v>131</v>
      </c>
      <c r="R2" s="5" t="s">
        <v>132</v>
      </c>
    </row>
    <row r="3" spans="1:18" ht="15.5" customHeight="1">
      <c r="A3" s="445" t="s">
        <v>228</v>
      </c>
      <c r="B3" s="186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6"/>
      <c r="O3" s="437"/>
      <c r="P3" s="438"/>
      <c r="Q3" s="438"/>
      <c r="R3" s="438"/>
    </row>
    <row r="4" spans="1:18">
      <c r="A4" s="570" t="s">
        <v>229</v>
      </c>
      <c r="B4" s="391">
        <v>38127.076000000001</v>
      </c>
      <c r="C4" s="391">
        <v>37182.059000000001</v>
      </c>
      <c r="D4" s="391">
        <v>38925.411</v>
      </c>
      <c r="E4" s="391">
        <v>38720.161999999997</v>
      </c>
      <c r="F4" s="391">
        <v>39717.103000000003</v>
      </c>
      <c r="G4" s="391">
        <v>38901.53</v>
      </c>
      <c r="H4" s="391"/>
      <c r="I4" s="391"/>
      <c r="J4" s="391"/>
      <c r="K4" s="391"/>
      <c r="L4" s="391"/>
      <c r="M4" s="391"/>
      <c r="N4" s="393"/>
      <c r="O4" s="394">
        <f>SUM(B4:G4)</f>
        <v>231573.34099999999</v>
      </c>
      <c r="P4" s="394">
        <f>SUM(E4:G4)</f>
        <v>117338.795</v>
      </c>
      <c r="Q4" s="394">
        <f>SUM(H4:J4)</f>
        <v>0</v>
      </c>
      <c r="R4" s="395">
        <f>SUM(K4:M4)</f>
        <v>0</v>
      </c>
    </row>
    <row r="5" spans="1:18">
      <c r="A5" s="390" t="s">
        <v>134</v>
      </c>
      <c r="B5" s="396">
        <f t="shared" ref="B5:M5" si="0">B4/B17-1</f>
        <v>0.16759679891635781</v>
      </c>
      <c r="C5" s="396">
        <f t="shared" si="0"/>
        <v>0.10627599533961685</v>
      </c>
      <c r="D5" s="396">
        <f t="shared" si="0"/>
        <v>0.1345411057754804</v>
      </c>
      <c r="E5" s="396">
        <f t="shared" si="0"/>
        <v>0.10753543419226186</v>
      </c>
      <c r="F5" s="396">
        <f t="shared" si="0"/>
        <v>0.15258634196417087</v>
      </c>
      <c r="G5" s="396">
        <f t="shared" si="0"/>
        <v>0.15030639970711812</v>
      </c>
      <c r="H5" s="396">
        <f t="shared" si="0"/>
        <v>-1</v>
      </c>
      <c r="I5" s="396">
        <f t="shared" si="0"/>
        <v>-1</v>
      </c>
      <c r="J5" s="396">
        <f t="shared" si="0"/>
        <v>-1</v>
      </c>
      <c r="K5" s="396">
        <f t="shared" si="0"/>
        <v>-1</v>
      </c>
      <c r="L5" s="396">
        <f t="shared" si="0"/>
        <v>-1</v>
      </c>
      <c r="M5" s="396">
        <f t="shared" si="0"/>
        <v>-1</v>
      </c>
      <c r="N5" s="397"/>
      <c r="O5" s="396">
        <f>O4/O17-1</f>
        <v>1.302521175093923</v>
      </c>
      <c r="P5" s="396">
        <f>P4/P17-1</f>
        <v>0.13658341280409902</v>
      </c>
      <c r="Q5" s="396">
        <f>Q4/Q17-1</f>
        <v>-1</v>
      </c>
      <c r="R5" s="396">
        <f>R4/R17-1</f>
        <v>-1</v>
      </c>
    </row>
    <row r="6" spans="1:18" ht="15.5" customHeight="1">
      <c r="A6" s="390" t="s">
        <v>135</v>
      </c>
      <c r="B6" s="185">
        <f>B4/M17-1</f>
        <v>7.4791249552911276E-2</v>
      </c>
      <c r="C6" s="399">
        <f t="shared" ref="C6:M6" si="1">C4/B4-1</f>
        <v>-2.4785981489899744E-2</v>
      </c>
      <c r="D6" s="399">
        <f t="shared" si="1"/>
        <v>4.6886913928031682E-2</v>
      </c>
      <c r="E6" s="399">
        <f t="shared" si="1"/>
        <v>-5.2728794565586323E-3</v>
      </c>
      <c r="F6" s="399">
        <f t="shared" si="1"/>
        <v>2.574733545794583E-2</v>
      </c>
      <c r="G6" s="399">
        <f t="shared" si="1"/>
        <v>-2.0534554093736501E-2</v>
      </c>
      <c r="H6" s="399">
        <f t="shared" si="1"/>
        <v>-1</v>
      </c>
      <c r="I6" s="399" t="e">
        <f t="shared" si="1"/>
        <v>#DIV/0!</v>
      </c>
      <c r="J6" s="399" t="e">
        <f t="shared" si="1"/>
        <v>#DIV/0!</v>
      </c>
      <c r="K6" s="399" t="e">
        <f t="shared" si="1"/>
        <v>#DIV/0!</v>
      </c>
      <c r="L6" s="399" t="e">
        <f t="shared" si="1"/>
        <v>#DIV/0!</v>
      </c>
      <c r="M6" s="399" t="e">
        <f t="shared" si="1"/>
        <v>#DIV/0!</v>
      </c>
      <c r="N6" s="400"/>
      <c r="O6" s="398">
        <f>O4/R17-1</f>
        <v>1.1129191210281077</v>
      </c>
      <c r="P6" s="398">
        <f>P4/O4-1</f>
        <v>-0.49329748194115308</v>
      </c>
      <c r="Q6" s="398">
        <f>Q4/P4-1</f>
        <v>-1</v>
      </c>
      <c r="R6" s="398" t="e">
        <f>R4/Q4-1</f>
        <v>#DIV/0!</v>
      </c>
    </row>
    <row r="7" spans="1:18">
      <c r="A7" s="571" t="s">
        <v>230</v>
      </c>
      <c r="B7" s="391">
        <v>6900.2129999999997</v>
      </c>
      <c r="C7" s="391">
        <v>6298.6559999999999</v>
      </c>
      <c r="D7" s="391">
        <v>6152.6989999999996</v>
      </c>
      <c r="E7" s="391">
        <v>6152.2669999999998</v>
      </c>
      <c r="F7" s="391">
        <v>6137.88</v>
      </c>
      <c r="G7" s="391">
        <v>6242.97</v>
      </c>
      <c r="H7" s="391"/>
      <c r="I7" s="391"/>
      <c r="J7" s="391"/>
      <c r="K7" s="391"/>
      <c r="L7" s="391"/>
      <c r="M7" s="391"/>
      <c r="N7" s="393"/>
      <c r="O7" s="394">
        <f>SUM(B7:M7)</f>
        <v>37884.684999999998</v>
      </c>
      <c r="P7" s="394">
        <f>SUM(E7:G7)</f>
        <v>18533.117000000002</v>
      </c>
      <c r="Q7" s="394">
        <f>SUM(H7:J7)</f>
        <v>0</v>
      </c>
      <c r="R7" s="395">
        <f>SUM(K7:M7)</f>
        <v>0</v>
      </c>
    </row>
    <row r="8" spans="1:18">
      <c r="A8" s="390" t="s">
        <v>134</v>
      </c>
      <c r="B8" s="396">
        <f t="shared" ref="B8:M8" si="2">B7/B20-1</f>
        <v>0.1574623572150704</v>
      </c>
      <c r="C8" s="396">
        <f t="shared" si="2"/>
        <v>1.5739196833461921E-3</v>
      </c>
      <c r="D8" s="396">
        <f t="shared" si="2"/>
        <v>4.35192385481602E-2</v>
      </c>
      <c r="E8" s="396">
        <f t="shared" si="2"/>
        <v>1.0270086087631025E-2</v>
      </c>
      <c r="F8" s="396">
        <f t="shared" si="2"/>
        <v>3.119986599851865E-2</v>
      </c>
      <c r="G8" s="396">
        <f t="shared" si="2"/>
        <v>2.8483173601644207E-2</v>
      </c>
      <c r="H8" s="396">
        <f t="shared" si="2"/>
        <v>-1</v>
      </c>
      <c r="I8" s="396">
        <f t="shared" si="2"/>
        <v>-1</v>
      </c>
      <c r="J8" s="396">
        <f t="shared" si="2"/>
        <v>-1</v>
      </c>
      <c r="K8" s="396">
        <f t="shared" si="2"/>
        <v>-1</v>
      </c>
      <c r="L8" s="396">
        <f t="shared" si="2"/>
        <v>-1</v>
      </c>
      <c r="M8" s="396">
        <f t="shared" si="2"/>
        <v>-1</v>
      </c>
      <c r="N8" s="397"/>
      <c r="O8" s="396">
        <f>O7/O20-1</f>
        <v>-0.48483318471538961</v>
      </c>
      <c r="P8" s="396">
        <f>P7/P20-1</f>
        <v>2.3252243143251139E-2</v>
      </c>
      <c r="Q8" s="396">
        <f>Q7/Q20-1</f>
        <v>-1</v>
      </c>
      <c r="R8" s="396">
        <f>R7/R20-1</f>
        <v>-1</v>
      </c>
    </row>
    <row r="9" spans="1:18" ht="15.5" customHeight="1">
      <c r="A9" s="390" t="s">
        <v>135</v>
      </c>
      <c r="B9" s="185">
        <f>B7/M20-1</f>
        <v>0.11608457913102721</v>
      </c>
      <c r="C9" s="399">
        <f t="shared" ref="C9:M9" si="3">C7/B7-1</f>
        <v>-8.7179482720315948E-2</v>
      </c>
      <c r="D9" s="399">
        <f t="shared" si="3"/>
        <v>-2.3172721291653375E-2</v>
      </c>
      <c r="E9" s="399">
        <f t="shared" si="3"/>
        <v>-7.0213088597337325E-5</v>
      </c>
      <c r="F9" s="399">
        <f t="shared" si="3"/>
        <v>-2.3384875851454323E-3</v>
      </c>
      <c r="G9" s="399">
        <f t="shared" si="3"/>
        <v>1.712154685331102E-2</v>
      </c>
      <c r="H9" s="399">
        <f t="shared" si="3"/>
        <v>-1</v>
      </c>
      <c r="I9" s="399" t="e">
        <f t="shared" si="3"/>
        <v>#DIV/0!</v>
      </c>
      <c r="J9" s="399" t="e">
        <f t="shared" si="3"/>
        <v>#DIV/0!</v>
      </c>
      <c r="K9" s="399" t="e">
        <f t="shared" si="3"/>
        <v>#DIV/0!</v>
      </c>
      <c r="L9" s="399" t="e">
        <f t="shared" si="3"/>
        <v>#DIV/0!</v>
      </c>
      <c r="M9" s="399" t="e">
        <f t="shared" si="3"/>
        <v>#DIV/0!</v>
      </c>
      <c r="N9" s="400"/>
      <c r="O9" s="398">
        <f>O7/R20-1</f>
        <v>1.1625374615566311</v>
      </c>
      <c r="P9" s="398">
        <f>P7/O7-1</f>
        <v>-0.51080187152143397</v>
      </c>
      <c r="Q9" s="398">
        <f>Q7/P7-1</f>
        <v>-1</v>
      </c>
      <c r="R9" s="398" t="e">
        <f>R7/Q7-1</f>
        <v>#DIV/0!</v>
      </c>
    </row>
    <row r="10" spans="1:18" ht="15.5" customHeight="1">
      <c r="A10" s="572" t="s">
        <v>231</v>
      </c>
      <c r="B10" s="186"/>
      <c r="C10" s="434"/>
      <c r="D10" s="434"/>
      <c r="E10" s="434"/>
      <c r="F10" s="434"/>
      <c r="G10" s="434"/>
      <c r="H10" s="434"/>
      <c r="I10" s="434"/>
      <c r="J10" s="434"/>
      <c r="K10" s="434"/>
      <c r="L10" s="434"/>
      <c r="M10" s="434"/>
      <c r="N10" s="436"/>
      <c r="O10" s="437"/>
      <c r="P10" s="438"/>
      <c r="Q10" s="438"/>
      <c r="R10" s="438"/>
    </row>
    <row r="11" spans="1:18">
      <c r="A11" s="429" t="s">
        <v>133</v>
      </c>
      <c r="B11" s="391">
        <v>1291.886</v>
      </c>
      <c r="C11" s="391">
        <v>1849.6569999999999</v>
      </c>
      <c r="D11" s="391">
        <v>2164.3989999999999</v>
      </c>
      <c r="E11" s="391">
        <v>1881.9860000000001</v>
      </c>
      <c r="F11" s="391">
        <v>2130.4540000000002</v>
      </c>
      <c r="G11" s="391">
        <v>2168.2199999999998</v>
      </c>
      <c r="H11" s="391"/>
      <c r="I11" s="391"/>
      <c r="J11" s="391"/>
      <c r="K11" s="391"/>
      <c r="L11" s="391"/>
      <c r="M11" s="391"/>
      <c r="N11" s="393"/>
      <c r="O11" s="394">
        <f>SUM(B11:M11)</f>
        <v>11486.601999999999</v>
      </c>
      <c r="P11" s="394">
        <f>SUM(E11:G11)</f>
        <v>6180.66</v>
      </c>
      <c r="Q11" s="394">
        <f>SUM(H11:J11)</f>
        <v>0</v>
      </c>
      <c r="R11" s="395">
        <f>SUM(K11:M11)</f>
        <v>0</v>
      </c>
    </row>
    <row r="12" spans="1:18">
      <c r="A12" s="390" t="s">
        <v>134</v>
      </c>
      <c r="B12" s="396">
        <f t="shared" ref="B12:M12" si="4">B11/B24-1</f>
        <v>-9.9142785219338392E-2</v>
      </c>
      <c r="C12" s="396">
        <f t="shared" si="4"/>
        <v>0.37728737254936995</v>
      </c>
      <c r="D12" s="396">
        <f t="shared" si="4"/>
        <v>3.0346292484428661E-2</v>
      </c>
      <c r="E12" s="396">
        <f t="shared" si="4"/>
        <v>-1.2366501867438817E-2</v>
      </c>
      <c r="F12" s="396">
        <f t="shared" si="4"/>
        <v>-1.1612241148623581E-2</v>
      </c>
      <c r="G12" s="396">
        <f t="shared" si="4"/>
        <v>0.10495666491868838</v>
      </c>
      <c r="H12" s="396">
        <f t="shared" si="4"/>
        <v>-1</v>
      </c>
      <c r="I12" s="396">
        <f t="shared" si="4"/>
        <v>-1</v>
      </c>
      <c r="J12" s="396">
        <f t="shared" si="4"/>
        <v>-1</v>
      </c>
      <c r="K12" s="396">
        <f t="shared" si="4"/>
        <v>-1</v>
      </c>
      <c r="L12" s="396">
        <f t="shared" si="4"/>
        <v>-1</v>
      </c>
      <c r="M12" s="396">
        <f t="shared" si="4"/>
        <v>-1</v>
      </c>
      <c r="N12" s="397"/>
      <c r="O12" s="396">
        <f>O11/O24-1</f>
        <v>-0.47979339197420245</v>
      </c>
      <c r="P12" s="396">
        <f>P11/P24-1</f>
        <v>2.6124873034757412E-2</v>
      </c>
      <c r="Q12" s="396">
        <f>Q11/Q24-1</f>
        <v>-1</v>
      </c>
      <c r="R12" s="396">
        <f>R11/R24-1</f>
        <v>-1</v>
      </c>
    </row>
    <row r="13" spans="1:18" ht="15.5" customHeight="1">
      <c r="A13" s="390" t="s">
        <v>135</v>
      </c>
      <c r="B13" s="185">
        <f>B11/M24-1</f>
        <v>-0.33618613503432659</v>
      </c>
      <c r="C13" s="399">
        <f t="shared" ref="C13:M13" si="5">C11/B11-1</f>
        <v>0.43174939584452487</v>
      </c>
      <c r="D13" s="399">
        <f t="shared" si="5"/>
        <v>0.17016235983212025</v>
      </c>
      <c r="E13" s="399">
        <f t="shared" si="5"/>
        <v>-0.13048102498661285</v>
      </c>
      <c r="F13" s="399">
        <f t="shared" si="5"/>
        <v>0.13202436149896979</v>
      </c>
      <c r="G13" s="399">
        <f t="shared" si="5"/>
        <v>1.7726738056770719E-2</v>
      </c>
      <c r="H13" s="399">
        <f t="shared" si="5"/>
        <v>-1</v>
      </c>
      <c r="I13" s="399" t="e">
        <f t="shared" si="5"/>
        <v>#DIV/0!</v>
      </c>
      <c r="J13" s="399" t="e">
        <f t="shared" si="5"/>
        <v>#DIV/0!</v>
      </c>
      <c r="K13" s="399" t="e">
        <f t="shared" si="5"/>
        <v>#DIV/0!</v>
      </c>
      <c r="L13" s="399" t="e">
        <f t="shared" si="5"/>
        <v>#DIV/0!</v>
      </c>
      <c r="M13" s="399" t="e">
        <f t="shared" si="5"/>
        <v>#DIV/0!</v>
      </c>
      <c r="N13" s="400"/>
      <c r="O13" s="398">
        <f>O11/R24-1</f>
        <v>1.0721860850417686</v>
      </c>
      <c r="P13" s="398">
        <f>P11/O11-1</f>
        <v>-0.46192442290592117</v>
      </c>
      <c r="Q13" s="398">
        <f>Q11/P11-1</f>
        <v>-1</v>
      </c>
      <c r="R13" s="398" t="e">
        <f>R11/Q11-1</f>
        <v>#DIV/0!</v>
      </c>
    </row>
    <row r="15" spans="1:18" ht="15.5" customHeight="1">
      <c r="A15" s="422" t="s">
        <v>163</v>
      </c>
      <c r="B15" s="187" t="s">
        <v>51</v>
      </c>
      <c r="C15" s="187" t="s">
        <v>52</v>
      </c>
      <c r="D15" s="187" t="s">
        <v>53</v>
      </c>
      <c r="E15" s="187" t="s">
        <v>54</v>
      </c>
      <c r="F15" s="187" t="s">
        <v>55</v>
      </c>
      <c r="G15" s="187" t="s">
        <v>77</v>
      </c>
      <c r="H15" s="187" t="s">
        <v>78</v>
      </c>
      <c r="I15" s="187" t="s">
        <v>79</v>
      </c>
      <c r="J15" s="187" t="s">
        <v>80</v>
      </c>
      <c r="K15" s="187" t="s">
        <v>81</v>
      </c>
      <c r="L15" s="187" t="s">
        <v>82</v>
      </c>
      <c r="M15" s="187" t="s">
        <v>44</v>
      </c>
      <c r="N15" s="389" t="s">
        <v>128</v>
      </c>
      <c r="O15" s="5" t="s">
        <v>129</v>
      </c>
      <c r="P15" s="5" t="s">
        <v>130</v>
      </c>
      <c r="Q15" s="5" t="s">
        <v>131</v>
      </c>
      <c r="R15" s="5" t="s">
        <v>132</v>
      </c>
    </row>
    <row r="16" spans="1:18" ht="15.5" customHeight="1">
      <c r="A16" s="445" t="s">
        <v>228</v>
      </c>
      <c r="B16" s="186"/>
      <c r="C16" s="434"/>
      <c r="D16" s="434"/>
      <c r="E16" s="434"/>
      <c r="F16" s="434"/>
      <c r="G16" s="434"/>
      <c r="H16" s="434"/>
      <c r="I16" s="434"/>
      <c r="J16" s="434"/>
      <c r="K16" s="434"/>
      <c r="L16" s="434"/>
      <c r="M16" s="434"/>
      <c r="N16" s="436"/>
      <c r="O16" s="437"/>
      <c r="P16" s="438"/>
      <c r="Q16" s="438"/>
      <c r="R16" s="438"/>
    </row>
    <row r="17" spans="1:18">
      <c r="A17" s="570" t="s">
        <v>229</v>
      </c>
      <c r="B17" s="391">
        <v>32654.316999999999</v>
      </c>
      <c r="C17" s="391">
        <v>33610.110999999997</v>
      </c>
      <c r="D17" s="391">
        <v>34309.387999999999</v>
      </c>
      <c r="E17" s="391">
        <v>34960.652999999998</v>
      </c>
      <c r="F17" s="391">
        <v>34459.112999999998</v>
      </c>
      <c r="G17" s="391">
        <v>33818.406999999999</v>
      </c>
      <c r="H17" s="391">
        <v>37994.692999999999</v>
      </c>
      <c r="I17" s="391">
        <v>40394.197</v>
      </c>
      <c r="J17" s="391">
        <v>36751.175000000003</v>
      </c>
      <c r="K17" s="391">
        <v>38818.828999999998</v>
      </c>
      <c r="L17" s="391">
        <v>35306.006999999998</v>
      </c>
      <c r="M17" s="391">
        <v>35473.936000000002</v>
      </c>
      <c r="N17" s="393"/>
      <c r="O17" s="394">
        <f>SUM(B17:D17)</f>
        <v>100573.81599999999</v>
      </c>
      <c r="P17" s="394">
        <f>SUM(E17:G17)</f>
        <v>103238.17300000001</v>
      </c>
      <c r="Q17" s="394">
        <f>SUM(H17:J17)</f>
        <v>115140.065</v>
      </c>
      <c r="R17" s="395">
        <f>SUM(K17:M17)</f>
        <v>109598.772</v>
      </c>
    </row>
    <row r="18" spans="1:18">
      <c r="A18" s="390" t="s">
        <v>134</v>
      </c>
      <c r="B18" s="396">
        <f t="shared" ref="B18:M18" si="6">B17/B30-1</f>
        <v>0.12521633429965084</v>
      </c>
      <c r="C18" s="396">
        <f t="shared" si="6"/>
        <v>9.4230267546393076E-2</v>
      </c>
      <c r="D18" s="396">
        <f t="shared" si="6"/>
        <v>4.8731038789527004E-2</v>
      </c>
      <c r="E18" s="396">
        <f t="shared" si="6"/>
        <v>9.5048976998731494E-2</v>
      </c>
      <c r="F18" s="396">
        <f t="shared" si="6"/>
        <v>8.9014981768168466E-2</v>
      </c>
      <c r="G18" s="396">
        <f t="shared" si="6"/>
        <v>0.10182847306454712</v>
      </c>
      <c r="H18" s="396">
        <f t="shared" si="6"/>
        <v>7.7518580716620322E-2</v>
      </c>
      <c r="I18" s="396">
        <f t="shared" si="6"/>
        <v>9.3748349157190658E-2</v>
      </c>
      <c r="J18" s="396">
        <f t="shared" si="6"/>
        <v>0.13007862236043222</v>
      </c>
      <c r="K18" s="396">
        <f t="shared" si="6"/>
        <v>0.13467969878694319</v>
      </c>
      <c r="L18" s="396">
        <f t="shared" si="6"/>
        <v>0.13654208378926769</v>
      </c>
      <c r="M18" s="396">
        <f t="shared" si="6"/>
        <v>0.13558511917919147</v>
      </c>
      <c r="N18" s="397"/>
      <c r="O18" s="396">
        <f>O17/O30-1</f>
        <v>8.7856286321996491E-2</v>
      </c>
      <c r="P18" s="396">
        <f>P17/P30-1</f>
        <v>9.5230944415982233E-2</v>
      </c>
      <c r="Q18" s="396">
        <f>Q17/Q30-1</f>
        <v>9.9566197791811861E-2</v>
      </c>
      <c r="R18" s="396">
        <f>R17/R30-1</f>
        <v>0.13557218802936233</v>
      </c>
    </row>
    <row r="19" spans="1:18" ht="15.5" customHeight="1">
      <c r="A19" s="390" t="s">
        <v>135</v>
      </c>
      <c r="B19" s="185">
        <f>B17/M30-1</f>
        <v>4.5323993992662626E-2</v>
      </c>
      <c r="C19" s="399">
        <f t="shared" ref="C19:M19" si="7">C17/B17-1</f>
        <v>2.9270065578159254E-2</v>
      </c>
      <c r="D19" s="399">
        <f t="shared" si="7"/>
        <v>2.0805554614205191E-2</v>
      </c>
      <c r="E19" s="399">
        <f t="shared" si="7"/>
        <v>1.8982122327568129E-2</v>
      </c>
      <c r="F19" s="399">
        <f t="shared" si="7"/>
        <v>-1.4345841881157062E-2</v>
      </c>
      <c r="G19" s="399">
        <f t="shared" si="7"/>
        <v>-1.8593223801204539E-2</v>
      </c>
      <c r="H19" s="399">
        <f t="shared" si="7"/>
        <v>0.12349150567618405</v>
      </c>
      <c r="I19" s="399">
        <f t="shared" si="7"/>
        <v>6.315366201274486E-2</v>
      </c>
      <c r="J19" s="399">
        <f t="shared" si="7"/>
        <v>-9.0186766183271261E-2</v>
      </c>
      <c r="K19" s="399">
        <f t="shared" si="7"/>
        <v>5.6260895059817573E-2</v>
      </c>
      <c r="L19" s="399">
        <f t="shared" si="7"/>
        <v>-9.0492734852975598E-2</v>
      </c>
      <c r="M19" s="399">
        <f t="shared" si="7"/>
        <v>4.7563860733388363E-3</v>
      </c>
      <c r="N19" s="400"/>
      <c r="O19" s="398">
        <f>O17/R30-1</f>
        <v>4.2063028713337003E-2</v>
      </c>
      <c r="P19" s="398">
        <f>P17/O17-1</f>
        <v>2.6491557206102412E-2</v>
      </c>
      <c r="Q19" s="398">
        <f>Q17/P17-1</f>
        <v>0.11528576740698426</v>
      </c>
      <c r="R19" s="398">
        <f>R17/Q17-1</f>
        <v>-4.8126540487883229E-2</v>
      </c>
    </row>
    <row r="20" spans="1:18">
      <c r="A20" s="571" t="s">
        <v>230</v>
      </c>
      <c r="B20" s="391">
        <v>5961.5010000000002</v>
      </c>
      <c r="C20" s="391">
        <v>6288.7579999999998</v>
      </c>
      <c r="D20" s="391">
        <v>5896.1049999999996</v>
      </c>
      <c r="E20" s="391">
        <v>6089.7250000000004</v>
      </c>
      <c r="F20" s="391">
        <v>5952.1729999999998</v>
      </c>
      <c r="G20" s="391">
        <v>6070.0749999999998</v>
      </c>
      <c r="H20" s="391">
        <v>6875.2240000000002</v>
      </c>
      <c r="I20" s="391">
        <v>6995.7849999999999</v>
      </c>
      <c r="J20" s="391">
        <v>5890.7030000000004</v>
      </c>
      <c r="K20" s="391">
        <v>5887.2030000000004</v>
      </c>
      <c r="L20" s="391">
        <v>5448.9049999999997</v>
      </c>
      <c r="M20" s="391">
        <v>6182.518</v>
      </c>
      <c r="N20" s="393"/>
      <c r="O20" s="394">
        <f>SUM(B20:M20)</f>
        <v>73538.675000000003</v>
      </c>
      <c r="P20" s="394">
        <f>SUM(E20:G20)</f>
        <v>18111.973000000002</v>
      </c>
      <c r="Q20" s="394">
        <f>SUM(H20:J20)</f>
        <v>19761.712</v>
      </c>
      <c r="R20" s="395">
        <f>SUM(K20:M20)</f>
        <v>17518.626</v>
      </c>
    </row>
    <row r="21" spans="1:18">
      <c r="A21" s="390" t="s">
        <v>134</v>
      </c>
      <c r="B21" s="396">
        <f t="shared" ref="B21:M21" si="8">B20/B33-1</f>
        <v>0.36276460922734244</v>
      </c>
      <c r="C21" s="396">
        <f t="shared" si="8"/>
        <v>0.24380678461496785</v>
      </c>
      <c r="D21" s="396">
        <f t="shared" si="8"/>
        <v>0.23500105777548752</v>
      </c>
      <c r="E21" s="396">
        <f t="shared" si="8"/>
        <v>0.22149760363039883</v>
      </c>
      <c r="F21" s="396">
        <f t="shared" si="8"/>
        <v>0.17251574537291292</v>
      </c>
      <c r="G21" s="396">
        <f t="shared" si="8"/>
        <v>0.2844539403047357</v>
      </c>
      <c r="H21" s="396">
        <f t="shared" si="8"/>
        <v>0.27413083479629674</v>
      </c>
      <c r="I21" s="396">
        <f t="shared" si="8"/>
        <v>0.17021830026088169</v>
      </c>
      <c r="J21" s="396">
        <f t="shared" si="8"/>
        <v>0.16438387032565061</v>
      </c>
      <c r="K21" s="396">
        <f t="shared" si="8"/>
        <v>8.7855483373126431E-2</v>
      </c>
      <c r="L21" s="396">
        <f t="shared" si="8"/>
        <v>8.0903539232285215E-2</v>
      </c>
      <c r="M21" s="396">
        <f t="shared" si="8"/>
        <v>0.15551408031626512</v>
      </c>
      <c r="N21" s="397"/>
      <c r="O21" s="396">
        <f>O20/O33-1</f>
        <v>0.20104323443210292</v>
      </c>
      <c r="P21" s="396">
        <f>P20/P33-1</f>
        <v>0.22480218657811757</v>
      </c>
      <c r="Q21" s="396">
        <f>Q20/Q33-1</f>
        <v>0.20254274377007797</v>
      </c>
      <c r="R21" s="396">
        <f>R20/R33-1</f>
        <v>0.10854479175947462</v>
      </c>
    </row>
    <row r="22" spans="1:18" ht="15.5" customHeight="1">
      <c r="A22" s="390" t="s">
        <v>135</v>
      </c>
      <c r="B22" s="185">
        <f>B20/M33-1</f>
        <v>0.11420595060451011</v>
      </c>
      <c r="C22" s="399">
        <f t="shared" ref="C22:M22" si="9">C20/B20-1</f>
        <v>5.4895067534166175E-2</v>
      </c>
      <c r="D22" s="399">
        <f t="shared" si="9"/>
        <v>-6.243728888915745E-2</v>
      </c>
      <c r="E22" s="399">
        <f t="shared" si="9"/>
        <v>3.2838628213032406E-2</v>
      </c>
      <c r="F22" s="399">
        <f t="shared" si="9"/>
        <v>-2.2587555267274073E-2</v>
      </c>
      <c r="G22" s="399">
        <f t="shared" si="9"/>
        <v>1.9808228020254059E-2</v>
      </c>
      <c r="H22" s="399">
        <f t="shared" si="9"/>
        <v>0.13264234791168161</v>
      </c>
      <c r="I22" s="399">
        <f t="shared" si="9"/>
        <v>1.7535574113658026E-2</v>
      </c>
      <c r="J22" s="399">
        <f t="shared" si="9"/>
        <v>-0.15796397402149998</v>
      </c>
      <c r="K22" s="399">
        <f t="shared" si="9"/>
        <v>-5.9415658878070321E-4</v>
      </c>
      <c r="L22" s="399">
        <f t="shared" si="9"/>
        <v>-7.4449275827587535E-2</v>
      </c>
      <c r="M22" s="399">
        <f t="shared" si="9"/>
        <v>0.13463494041463386</v>
      </c>
      <c r="N22" s="400"/>
      <c r="O22" s="398">
        <f>O20/R33-1</f>
        <v>3.6533852120675832</v>
      </c>
      <c r="P22" s="398">
        <f>P20/O20-1</f>
        <v>-0.7537081950415887</v>
      </c>
      <c r="Q22" s="398">
        <f>Q20/P20-1</f>
        <v>9.1085548769313851E-2</v>
      </c>
      <c r="R22" s="398">
        <f>R20/Q20-1</f>
        <v>-0.11350666379512053</v>
      </c>
    </row>
    <row r="23" spans="1:18" ht="15.5" customHeight="1">
      <c r="A23" s="572" t="s">
        <v>231</v>
      </c>
      <c r="B23" s="186"/>
      <c r="C23" s="434"/>
      <c r="D23" s="434"/>
      <c r="E23" s="434"/>
      <c r="F23" s="434"/>
      <c r="G23" s="434"/>
      <c r="H23" s="434"/>
      <c r="I23" s="434"/>
      <c r="J23" s="434"/>
      <c r="K23" s="434"/>
      <c r="L23" s="434"/>
      <c r="M23" s="434"/>
      <c r="N23" s="436"/>
      <c r="O23" s="437"/>
      <c r="P23" s="438"/>
      <c r="Q23" s="438"/>
      <c r="R23" s="438"/>
    </row>
    <row r="24" spans="1:18">
      <c r="A24" s="429" t="s">
        <v>133</v>
      </c>
      <c r="B24" s="391">
        <v>1434.0630000000001</v>
      </c>
      <c r="C24" s="391">
        <v>1342.971</v>
      </c>
      <c r="D24" s="391">
        <v>2100.652</v>
      </c>
      <c r="E24" s="391">
        <v>1905.5509999999999</v>
      </c>
      <c r="F24" s="391">
        <v>2155.4839999999999</v>
      </c>
      <c r="G24" s="391">
        <v>1962.2670000000001</v>
      </c>
      <c r="H24" s="391">
        <v>1956.6</v>
      </c>
      <c r="I24" s="391">
        <v>2036.7560000000001</v>
      </c>
      <c r="J24" s="391">
        <v>1643.2729999999999</v>
      </c>
      <c r="K24" s="391">
        <v>1621.5250000000001</v>
      </c>
      <c r="L24" s="391">
        <v>1975.547</v>
      </c>
      <c r="M24" s="391">
        <v>1946.1569999999999</v>
      </c>
      <c r="N24" s="393"/>
      <c r="O24" s="394">
        <f>SUM(B24:M24)</f>
        <v>22080.845999999998</v>
      </c>
      <c r="P24" s="394">
        <f>SUM(E24:G24)</f>
        <v>6023.3019999999997</v>
      </c>
      <c r="Q24" s="394">
        <f>SUM(H24:J24)</f>
        <v>5636.6289999999999</v>
      </c>
      <c r="R24" s="395">
        <f>SUM(K24:M24)</f>
        <v>5543.2290000000003</v>
      </c>
    </row>
    <row r="25" spans="1:18">
      <c r="A25" s="390" t="s">
        <v>134</v>
      </c>
      <c r="B25" s="396">
        <f t="shared" ref="B25:M25" si="10">B24/B37-1</f>
        <v>-3.6201348452344462E-2</v>
      </c>
      <c r="C25" s="396">
        <f t="shared" si="10"/>
        <v>0.25252025013639989</v>
      </c>
      <c r="D25" s="396">
        <f t="shared" si="10"/>
        <v>1.1326226719033716E-2</v>
      </c>
      <c r="E25" s="396">
        <f t="shared" si="10"/>
        <v>-6.6295873633107072E-2</v>
      </c>
      <c r="F25" s="396">
        <f t="shared" si="10"/>
        <v>3.5131336114514022E-2</v>
      </c>
      <c r="G25" s="396">
        <f t="shared" si="10"/>
        <v>9.7674763261814679E-3</v>
      </c>
      <c r="H25" s="396">
        <f t="shared" si="10"/>
        <v>-7.7613675416749794E-2</v>
      </c>
      <c r="I25" s="396">
        <f t="shared" si="10"/>
        <v>5.6406521978170199E-2</v>
      </c>
      <c r="J25" s="396">
        <f t="shared" si="10"/>
        <v>7.5872061239227406E-2</v>
      </c>
      <c r="K25" s="396">
        <f t="shared" si="10"/>
        <v>5.2552682871185308E-3</v>
      </c>
      <c r="L25" s="396">
        <f t="shared" si="10"/>
        <v>0.10206293686788404</v>
      </c>
      <c r="M25" s="396">
        <f t="shared" si="10"/>
        <v>2.882105349966535E-2</v>
      </c>
      <c r="N25" s="397"/>
      <c r="O25" s="396">
        <f>O24/O37-1</f>
        <v>2.3320762758149538E-2</v>
      </c>
      <c r="P25" s="396">
        <f>P24/P37-1</f>
        <v>-7.1151804032200117E-3</v>
      </c>
      <c r="Q25" s="396">
        <f>Q24/Q37-1</f>
        <v>1.0759369281938769E-2</v>
      </c>
      <c r="R25" s="396">
        <f>R24/R37-1</f>
        <v>4.6430089729136315E-2</v>
      </c>
    </row>
    <row r="26" spans="1:18" ht="15.5" customHeight="1">
      <c r="A26" s="390" t="s">
        <v>135</v>
      </c>
      <c r="B26" s="185">
        <f>B24/M37-1</f>
        <v>-0.24189353354077248</v>
      </c>
      <c r="C26" s="399">
        <f t="shared" ref="C26:M26" si="11">C24/B24-1</f>
        <v>-6.3520221914936892E-2</v>
      </c>
      <c r="D26" s="399">
        <f t="shared" si="11"/>
        <v>0.56418269642456909</v>
      </c>
      <c r="E26" s="399">
        <f t="shared" si="11"/>
        <v>-9.2876402183702966E-2</v>
      </c>
      <c r="F26" s="399">
        <f t="shared" si="11"/>
        <v>0.13116048848863127</v>
      </c>
      <c r="G26" s="399">
        <f t="shared" si="11"/>
        <v>-8.9639728246649009E-2</v>
      </c>
      <c r="H26" s="399">
        <f t="shared" si="11"/>
        <v>-2.8879861914816729E-3</v>
      </c>
      <c r="I26" s="399">
        <f t="shared" si="11"/>
        <v>4.0966983542880531E-2</v>
      </c>
      <c r="J26" s="399">
        <f t="shared" si="11"/>
        <v>-0.19319103515590486</v>
      </c>
      <c r="K26" s="399">
        <f t="shared" si="11"/>
        <v>-1.323456297279868E-2</v>
      </c>
      <c r="L26" s="399">
        <f t="shared" si="11"/>
        <v>0.21832657529177779</v>
      </c>
      <c r="M26" s="399">
        <f t="shared" si="11"/>
        <v>-1.4876892323999469E-2</v>
      </c>
      <c r="N26" s="400"/>
      <c r="O26" s="398">
        <f>O24/R37-1</f>
        <v>3.168339727814824</v>
      </c>
      <c r="P26" s="398">
        <f>P24/O24-1</f>
        <v>-0.72721597714145547</v>
      </c>
      <c r="Q26" s="398">
        <f>Q24/P24-1</f>
        <v>-6.4196183422315478E-2</v>
      </c>
      <c r="R26" s="398">
        <f>R24/Q24-1</f>
        <v>-1.6570187606812392E-2</v>
      </c>
    </row>
    <row r="28" spans="1:18" ht="15.5" customHeight="1">
      <c r="A28" s="422" t="s">
        <v>164</v>
      </c>
      <c r="B28" s="187" t="s">
        <v>51</v>
      </c>
      <c r="C28" s="187" t="s">
        <v>52</v>
      </c>
      <c r="D28" s="187" t="s">
        <v>53</v>
      </c>
      <c r="E28" s="187" t="s">
        <v>54</v>
      </c>
      <c r="F28" s="187" t="s">
        <v>55</v>
      </c>
      <c r="G28" s="187" t="s">
        <v>77</v>
      </c>
      <c r="H28" s="187" t="s">
        <v>78</v>
      </c>
      <c r="I28" s="187" t="s">
        <v>79</v>
      </c>
      <c r="J28" s="187" t="s">
        <v>80</v>
      </c>
      <c r="K28" s="187" t="s">
        <v>81</v>
      </c>
      <c r="L28" s="187" t="s">
        <v>82</v>
      </c>
      <c r="M28" s="187" t="s">
        <v>44</v>
      </c>
      <c r="N28" s="389" t="s">
        <v>128</v>
      </c>
      <c r="O28" s="5" t="s">
        <v>129</v>
      </c>
      <c r="P28" s="5" t="s">
        <v>130</v>
      </c>
      <c r="Q28" s="5" t="s">
        <v>131</v>
      </c>
      <c r="R28" s="5" t="s">
        <v>132</v>
      </c>
    </row>
    <row r="29" spans="1:18" ht="15.5" customHeight="1">
      <c r="A29" s="445" t="s">
        <v>228</v>
      </c>
      <c r="B29" s="186"/>
      <c r="C29" s="434"/>
      <c r="D29" s="434"/>
      <c r="E29" s="434"/>
      <c r="F29" s="434"/>
      <c r="G29" s="434"/>
      <c r="H29" s="434"/>
      <c r="I29" s="434"/>
      <c r="J29" s="434"/>
      <c r="K29" s="434"/>
      <c r="L29" s="434"/>
      <c r="M29" s="434"/>
      <c r="N29" s="436"/>
      <c r="O29" s="437"/>
      <c r="P29" s="438"/>
      <c r="Q29" s="438"/>
      <c r="R29" s="438"/>
    </row>
    <row r="30" spans="1:18">
      <c r="A30" s="570" t="s">
        <v>229</v>
      </c>
      <c r="B30" s="391">
        <v>29020.478999999999</v>
      </c>
      <c r="C30" s="391">
        <v>30715.757000000001</v>
      </c>
      <c r="D30" s="391">
        <v>32715.145</v>
      </c>
      <c r="E30" s="391">
        <v>31926.109</v>
      </c>
      <c r="F30" s="391">
        <v>31642.46</v>
      </c>
      <c r="G30" s="391">
        <v>30692.987000000001</v>
      </c>
      <c r="H30" s="391">
        <v>35261.288</v>
      </c>
      <c r="I30" s="391">
        <v>36931.892999999996</v>
      </c>
      <c r="J30" s="391">
        <v>32520.901000000002</v>
      </c>
      <c r="K30" s="391">
        <v>34211.266000000003</v>
      </c>
      <c r="L30" s="391">
        <v>31064.407999999999</v>
      </c>
      <c r="M30" s="391">
        <v>31238.465</v>
      </c>
      <c r="N30" s="393"/>
      <c r="O30" s="394">
        <f>SUM(B30:D30)</f>
        <v>92451.381000000008</v>
      </c>
      <c r="P30" s="394">
        <f>SUM(E30:G30)</f>
        <v>94261.556000000011</v>
      </c>
      <c r="Q30" s="394">
        <f>SUM(H30:J30)</f>
        <v>104714.08199999999</v>
      </c>
      <c r="R30" s="395">
        <f>SUM(K30:M30)</f>
        <v>96514.138999999996</v>
      </c>
    </row>
    <row r="31" spans="1:18">
      <c r="A31" s="390" t="s">
        <v>134</v>
      </c>
      <c r="B31" s="396">
        <f t="shared" ref="B31:M31" si="12">B30/B43-1</f>
        <v>2.5202900802941075E-2</v>
      </c>
      <c r="C31" s="396">
        <f t="shared" si="12"/>
        <v>9.1877784792939954E-2</v>
      </c>
      <c r="D31" s="396">
        <f t="shared" si="12"/>
        <v>0.20006359960406694</v>
      </c>
      <c r="E31" s="396">
        <f t="shared" si="12"/>
        <v>0.13521835259848403</v>
      </c>
      <c r="F31" s="396">
        <f t="shared" si="12"/>
        <v>0.11333988524905547</v>
      </c>
      <c r="G31" s="396">
        <f t="shared" si="12"/>
        <v>0.10419189814995522</v>
      </c>
      <c r="H31" s="396">
        <f t="shared" si="12"/>
        <v>7.8095702477979367E-2</v>
      </c>
      <c r="I31" s="396">
        <f t="shared" si="12"/>
        <v>0.10153742643222619</v>
      </c>
      <c r="J31" s="396">
        <f t="shared" si="12"/>
        <v>8.4302446251246499E-2</v>
      </c>
      <c r="K31" s="396">
        <f t="shared" si="12"/>
        <v>8.9748505800171907E-2</v>
      </c>
      <c r="L31" s="396">
        <f t="shared" si="12"/>
        <v>6.2563087144421159E-2</v>
      </c>
      <c r="M31" s="396">
        <f t="shared" si="12"/>
        <v>9.5801851890893186E-2</v>
      </c>
      <c r="N31" s="397"/>
      <c r="O31" s="396">
        <f>O30/O43-1</f>
        <v>-0.73839763295187799</v>
      </c>
      <c r="P31" s="396">
        <f>P30/P43-1</f>
        <v>0.11762023713385261</v>
      </c>
      <c r="Q31" s="396">
        <f>Q30/Q43-1</f>
        <v>8.8197850205589567E-2</v>
      </c>
      <c r="R31" s="396">
        <f>R30/R43-1</f>
        <v>8.276808498266619E-2</v>
      </c>
    </row>
    <row r="32" spans="1:18" ht="15.5" customHeight="1">
      <c r="A32" s="390" t="s">
        <v>135</v>
      </c>
      <c r="B32" s="185">
        <f>B30/M43-1</f>
        <v>1.7997991609407515E-2</v>
      </c>
      <c r="C32" s="399">
        <f t="shared" ref="C32:M32" si="13">C30/B30-1</f>
        <v>5.8416609870567626E-2</v>
      </c>
      <c r="D32" s="399">
        <f t="shared" si="13"/>
        <v>6.5093235371018077E-2</v>
      </c>
      <c r="E32" s="399">
        <f t="shared" si="13"/>
        <v>-2.4118370864625538E-2</v>
      </c>
      <c r="F32" s="399">
        <f t="shared" si="13"/>
        <v>-8.8845465007966196E-3</v>
      </c>
      <c r="G32" s="399">
        <f t="shared" si="13"/>
        <v>-3.0006295338605105E-2</v>
      </c>
      <c r="H32" s="399">
        <f t="shared" si="13"/>
        <v>0.14883859299845925</v>
      </c>
      <c r="I32" s="399">
        <f t="shared" si="13"/>
        <v>4.737787797201265E-2</v>
      </c>
      <c r="J32" s="399">
        <f t="shared" si="13"/>
        <v>-0.11943584911826732</v>
      </c>
      <c r="K32" s="399">
        <f t="shared" si="13"/>
        <v>5.197780344400682E-2</v>
      </c>
      <c r="L32" s="399">
        <f t="shared" si="13"/>
        <v>-9.1983091184056232E-2</v>
      </c>
      <c r="M32" s="399">
        <f t="shared" si="13"/>
        <v>5.6031005000964917E-3</v>
      </c>
      <c r="N32" s="400"/>
      <c r="O32" s="398">
        <f>O30/R43-1</f>
        <v>3.7189014962593969E-2</v>
      </c>
      <c r="P32" s="398">
        <f>P30/O30-1</f>
        <v>1.9579750788146777E-2</v>
      </c>
      <c r="Q32" s="398">
        <f>Q30/P30-1</f>
        <v>0.11088853657370112</v>
      </c>
      <c r="R32" s="398">
        <f>R30/Q30-1</f>
        <v>-7.8307929968769674E-2</v>
      </c>
    </row>
    <row r="33" spans="1:18">
      <c r="A33" s="571" t="s">
        <v>230</v>
      </c>
      <c r="B33" s="391">
        <v>4374.5640000000003</v>
      </c>
      <c r="C33" s="391">
        <v>5056.0569999999998</v>
      </c>
      <c r="D33" s="391">
        <v>4774.17</v>
      </c>
      <c r="E33" s="391">
        <v>4985.4579999999996</v>
      </c>
      <c r="F33" s="391">
        <v>5076.4120000000003</v>
      </c>
      <c r="G33" s="391">
        <v>4725.8019999999997</v>
      </c>
      <c r="H33" s="391">
        <v>5396.0110000000004</v>
      </c>
      <c r="I33" s="391">
        <v>5978.1880000000001</v>
      </c>
      <c r="J33" s="391">
        <v>5059.0730000000003</v>
      </c>
      <c r="K33" s="391">
        <v>5411.7510000000002</v>
      </c>
      <c r="L33" s="391">
        <v>5041.0649999999996</v>
      </c>
      <c r="M33" s="391">
        <v>5350.4480000000003</v>
      </c>
      <c r="N33" s="393"/>
      <c r="O33" s="394">
        <f>SUM(B33:M33)</f>
        <v>61228.999000000011</v>
      </c>
      <c r="P33" s="394">
        <f>SUM(E33:G33)</f>
        <v>14787.671999999999</v>
      </c>
      <c r="Q33" s="394">
        <f>SUM(H33:J33)</f>
        <v>16433.272000000001</v>
      </c>
      <c r="R33" s="395">
        <f>SUM(K33:M33)</f>
        <v>15803.263999999999</v>
      </c>
    </row>
    <row r="34" spans="1:18">
      <c r="A34" s="390" t="s">
        <v>134</v>
      </c>
      <c r="B34" s="396">
        <f t="shared" ref="B34:M34" si="14">B33/B46-1</f>
        <v>7.2614011230836217E-2</v>
      </c>
      <c r="C34" s="396">
        <f t="shared" si="14"/>
        <v>0.28913432138653805</v>
      </c>
      <c r="D34" s="396">
        <f t="shared" si="14"/>
        <v>0.21244081498314227</v>
      </c>
      <c r="E34" s="396">
        <f t="shared" si="14"/>
        <v>0.20783223600690759</v>
      </c>
      <c r="F34" s="396">
        <f t="shared" si="14"/>
        <v>0.24834520386385095</v>
      </c>
      <c r="G34" s="396">
        <f t="shared" si="14"/>
        <v>0.16417644983731394</v>
      </c>
      <c r="H34" s="396">
        <f t="shared" si="14"/>
        <v>0.14913340270143771</v>
      </c>
      <c r="I34" s="396">
        <f t="shared" si="14"/>
        <v>0.1751779862942151</v>
      </c>
      <c r="J34" s="396">
        <f t="shared" si="14"/>
        <v>0.13907912669308642</v>
      </c>
      <c r="K34" s="396">
        <f t="shared" si="14"/>
        <v>0.17253096343493701</v>
      </c>
      <c r="L34" s="396">
        <f t="shared" si="14"/>
        <v>0.17592233834075532</v>
      </c>
      <c r="M34" s="396">
        <f t="shared" si="14"/>
        <v>0.20687840533959512</v>
      </c>
      <c r="N34" s="397"/>
      <c r="O34" s="396">
        <f>O33/O46-1</f>
        <v>0.18313753533021826</v>
      </c>
      <c r="P34" s="396">
        <f>P33/P46-1</f>
        <v>0.20681475366208435</v>
      </c>
      <c r="Q34" s="396">
        <f>Q33/Q46-1</f>
        <v>0.15530848890569304</v>
      </c>
      <c r="R34" s="396">
        <f>R33/R46-1</f>
        <v>0.18503961039146044</v>
      </c>
    </row>
    <row r="35" spans="1:18" ht="15.5" customHeight="1">
      <c r="A35" s="390" t="s">
        <v>135</v>
      </c>
      <c r="B35" s="185">
        <f>B33/M46-1</f>
        <v>-1.3247708532818092E-2</v>
      </c>
      <c r="C35" s="399">
        <f t="shared" ref="C35:M35" si="15">C33/B33-1</f>
        <v>0.15578535369467672</v>
      </c>
      <c r="D35" s="399">
        <f t="shared" si="15"/>
        <v>-5.5752338235110832E-2</v>
      </c>
      <c r="E35" s="399">
        <f t="shared" si="15"/>
        <v>4.4256488562409713E-2</v>
      </c>
      <c r="F35" s="399">
        <f t="shared" si="15"/>
        <v>1.8243860443714732E-2</v>
      </c>
      <c r="G35" s="399">
        <f t="shared" si="15"/>
        <v>-6.9066498148692479E-2</v>
      </c>
      <c r="H35" s="399">
        <f t="shared" si="15"/>
        <v>0.14181910287396748</v>
      </c>
      <c r="I35" s="399">
        <f t="shared" si="15"/>
        <v>0.10789025448613798</v>
      </c>
      <c r="J35" s="399">
        <f t="shared" si="15"/>
        <v>-0.1537447467359675</v>
      </c>
      <c r="K35" s="399">
        <f t="shared" si="15"/>
        <v>6.9711980831270948E-2</v>
      </c>
      <c r="L35" s="399">
        <f t="shared" si="15"/>
        <v>-6.849649956178705E-2</v>
      </c>
      <c r="M35" s="399">
        <f t="shared" si="15"/>
        <v>6.1372547269277655E-2</v>
      </c>
      <c r="N35" s="400"/>
      <c r="O35" s="398">
        <f>O33/R46-1</f>
        <v>3.5913799275655425</v>
      </c>
      <c r="P35" s="398">
        <f>P33/O33-1</f>
        <v>-0.75848581160048045</v>
      </c>
      <c r="Q35" s="398">
        <f>Q33/P33-1</f>
        <v>0.1112818839909353</v>
      </c>
      <c r="R35" s="398">
        <f>R33/Q33-1</f>
        <v>-3.8337343895969211E-2</v>
      </c>
    </row>
    <row r="36" spans="1:18" ht="15.5" customHeight="1">
      <c r="A36" s="572" t="s">
        <v>231</v>
      </c>
      <c r="B36" s="186"/>
      <c r="C36" s="434"/>
      <c r="D36" s="434"/>
      <c r="E36" s="434"/>
      <c r="F36" s="434"/>
      <c r="G36" s="434"/>
      <c r="H36" s="434"/>
      <c r="I36" s="434"/>
      <c r="J36" s="434"/>
      <c r="K36" s="434"/>
      <c r="L36" s="434"/>
      <c r="M36" s="434"/>
      <c r="N36" s="436"/>
      <c r="O36" s="437"/>
      <c r="P36" s="438"/>
      <c r="Q36" s="438"/>
      <c r="R36" s="438"/>
    </row>
    <row r="37" spans="1:18">
      <c r="A37" s="429" t="s">
        <v>133</v>
      </c>
      <c r="B37" s="391">
        <v>1487.9280000000001</v>
      </c>
      <c r="C37" s="391">
        <v>1072.2149999999999</v>
      </c>
      <c r="D37" s="391">
        <v>2077.1260000000002</v>
      </c>
      <c r="E37" s="391">
        <v>2040.8510000000001</v>
      </c>
      <c r="F37" s="391">
        <v>2082.3290000000002</v>
      </c>
      <c r="G37" s="391">
        <v>1943.2860000000001</v>
      </c>
      <c r="H37" s="391">
        <v>2121.2370000000001</v>
      </c>
      <c r="I37" s="391">
        <v>1928.0039999999999</v>
      </c>
      <c r="J37" s="391">
        <v>1527.3869999999999</v>
      </c>
      <c r="K37" s="391">
        <v>1613.048</v>
      </c>
      <c r="L37" s="391">
        <v>1792.59</v>
      </c>
      <c r="M37" s="391">
        <v>1891.6379999999999</v>
      </c>
      <c r="N37" s="393"/>
      <c r="O37" s="394">
        <f>SUM(B37:M37)</f>
        <v>21577.639000000003</v>
      </c>
      <c r="P37" s="394">
        <f>SUM(E37:G37)</f>
        <v>6066.4660000000003</v>
      </c>
      <c r="Q37" s="394">
        <f>SUM(H37:J37)</f>
        <v>5576.6279999999997</v>
      </c>
      <c r="R37" s="395">
        <f>SUM(K37:M37)</f>
        <v>5297.2759999999998</v>
      </c>
    </row>
    <row r="38" spans="1:18">
      <c r="A38" s="390" t="s">
        <v>134</v>
      </c>
      <c r="B38" s="396">
        <f t="shared" ref="B38:M38" si="16">B37/B50-1</f>
        <v>0.36377409748706979</v>
      </c>
      <c r="C38" s="396">
        <f t="shared" si="16"/>
        <v>-0.27285470725385452</v>
      </c>
      <c r="D38" s="396">
        <f t="shared" si="16"/>
        <v>0.20138002834090063</v>
      </c>
      <c r="E38" s="396">
        <f t="shared" si="16"/>
        <v>0.19456081027689964</v>
      </c>
      <c r="F38" s="396">
        <f t="shared" si="16"/>
        <v>0.14002395752466668</v>
      </c>
      <c r="G38" s="396">
        <f t="shared" si="16"/>
        <v>8.9900470781169251E-2</v>
      </c>
      <c r="H38" s="396">
        <f t="shared" si="16"/>
        <v>0.14222105673528218</v>
      </c>
      <c r="I38" s="396">
        <f t="shared" si="16"/>
        <v>0.1423171333587312</v>
      </c>
      <c r="J38" s="396">
        <f t="shared" si="16"/>
        <v>-5.3581475468751916E-2</v>
      </c>
      <c r="K38" s="396">
        <f t="shared" si="16"/>
        <v>5.1924253273389231E-2</v>
      </c>
      <c r="L38" s="396">
        <f t="shared" si="16"/>
        <v>0.16370512900411316</v>
      </c>
      <c r="M38" s="396">
        <f t="shared" si="16"/>
        <v>-1.2539288046567898E-2</v>
      </c>
      <c r="N38" s="397"/>
      <c r="O38" s="396">
        <f>O37/O50-1</f>
        <v>0.32339531340454841</v>
      </c>
      <c r="P38" s="396">
        <f>P37/P50-1</f>
        <v>0.14073921970480341</v>
      </c>
      <c r="Q38" s="396">
        <f>Q37/Q50-1</f>
        <v>8.0998073768259404E-2</v>
      </c>
      <c r="R38" s="396">
        <f>R37/R50-1</f>
        <v>6.1684525165943471E-2</v>
      </c>
    </row>
    <row r="39" spans="1:18" ht="15.5" customHeight="1">
      <c r="A39" s="390" t="s">
        <v>135</v>
      </c>
      <c r="B39" s="185">
        <f>B37/M50-1</f>
        <v>-0.22328138776264461</v>
      </c>
      <c r="C39" s="399">
        <f t="shared" ref="C39:M39" si="17">C37/B37-1</f>
        <v>-0.27939053502588851</v>
      </c>
      <c r="D39" s="399">
        <f t="shared" si="17"/>
        <v>0.93722900724201796</v>
      </c>
      <c r="E39" s="399">
        <f t="shared" si="17"/>
        <v>-1.7464034439894416E-2</v>
      </c>
      <c r="F39" s="399">
        <f t="shared" si="17"/>
        <v>2.0323874697368849E-2</v>
      </c>
      <c r="G39" s="399">
        <f t="shared" si="17"/>
        <v>-6.6772829845812121E-2</v>
      </c>
      <c r="H39" s="399">
        <f t="shared" si="17"/>
        <v>9.1572213251163159E-2</v>
      </c>
      <c r="I39" s="399">
        <f t="shared" si="17"/>
        <v>-9.1094488734639323E-2</v>
      </c>
      <c r="J39" s="399">
        <f t="shared" si="17"/>
        <v>-0.20778846931852835</v>
      </c>
      <c r="K39" s="399">
        <f t="shared" si="17"/>
        <v>5.6083363286449472E-2</v>
      </c>
      <c r="L39" s="399">
        <f t="shared" si="17"/>
        <v>0.11130604916902653</v>
      </c>
      <c r="M39" s="399">
        <f t="shared" si="17"/>
        <v>5.5254129499774152E-2</v>
      </c>
      <c r="N39" s="400"/>
      <c r="O39" s="398">
        <f>O37/R50-1</f>
        <v>3.3246086131659265</v>
      </c>
      <c r="P39" s="398">
        <f>P37/O37-1</f>
        <v>-0.71885404144540566</v>
      </c>
      <c r="Q39" s="398">
        <f>Q37/P37-1</f>
        <v>-8.0745198275239738E-2</v>
      </c>
      <c r="R39" s="398">
        <f>R37/Q37-1</f>
        <v>-5.0093353904904547E-2</v>
      </c>
    </row>
    <row r="41" spans="1:18" ht="15.5" customHeight="1">
      <c r="A41" s="422" t="s">
        <v>165</v>
      </c>
      <c r="B41" s="187" t="s">
        <v>51</v>
      </c>
      <c r="C41" s="187" t="s">
        <v>52</v>
      </c>
      <c r="D41" s="187" t="s">
        <v>53</v>
      </c>
      <c r="E41" s="187" t="s">
        <v>54</v>
      </c>
      <c r="F41" s="187" t="s">
        <v>55</v>
      </c>
      <c r="G41" s="187" t="s">
        <v>77</v>
      </c>
      <c r="H41" s="187" t="s">
        <v>78</v>
      </c>
      <c r="I41" s="187" t="s">
        <v>79</v>
      </c>
      <c r="J41" s="187" t="s">
        <v>80</v>
      </c>
      <c r="K41" s="187" t="s">
        <v>81</v>
      </c>
      <c r="L41" s="187" t="s">
        <v>82</v>
      </c>
      <c r="M41" s="187" t="s">
        <v>44</v>
      </c>
      <c r="N41" s="389" t="s">
        <v>128</v>
      </c>
      <c r="O41" s="5" t="s">
        <v>129</v>
      </c>
      <c r="P41" s="5" t="s">
        <v>130</v>
      </c>
      <c r="Q41" s="5" t="s">
        <v>131</v>
      </c>
      <c r="R41" s="5" t="s">
        <v>132</v>
      </c>
    </row>
    <row r="42" spans="1:18" ht="15.5" customHeight="1">
      <c r="A42" s="445" t="s">
        <v>228</v>
      </c>
      <c r="B42" s="186"/>
      <c r="C42" s="434"/>
      <c r="D42" s="434"/>
      <c r="E42" s="434"/>
      <c r="F42" s="434"/>
      <c r="G42" s="434"/>
      <c r="H42" s="434"/>
      <c r="I42" s="434"/>
      <c r="J42" s="434"/>
      <c r="K42" s="434"/>
      <c r="L42" s="434"/>
      <c r="M42" s="434"/>
      <c r="N42" s="436"/>
      <c r="O42" s="437"/>
      <c r="P42" s="438"/>
      <c r="Q42" s="438"/>
      <c r="R42" s="438"/>
    </row>
    <row r="43" spans="1:18">
      <c r="A43" s="570" t="s">
        <v>229</v>
      </c>
      <c r="B43" s="391">
        <v>28307.059000000001</v>
      </c>
      <c r="C43" s="391">
        <v>28131.131000000001</v>
      </c>
      <c r="D43" s="391">
        <v>27261.175999999999</v>
      </c>
      <c r="E43" s="391">
        <v>28123.32</v>
      </c>
      <c r="F43" s="391">
        <v>28421.204000000002</v>
      </c>
      <c r="G43" s="391">
        <v>27796.787</v>
      </c>
      <c r="H43" s="391">
        <v>32707.010999999999</v>
      </c>
      <c r="I43" s="391">
        <v>33527.588000000003</v>
      </c>
      <c r="J43" s="391">
        <v>29992.463</v>
      </c>
      <c r="K43" s="391">
        <v>31393.725999999999</v>
      </c>
      <c r="L43" s="391">
        <v>29235.353999999999</v>
      </c>
      <c r="M43" s="391">
        <v>28507.402999999998</v>
      </c>
      <c r="N43" s="393"/>
      <c r="O43" s="394">
        <f>SUM(B43:M43)</f>
        <v>353404.22200000001</v>
      </c>
      <c r="P43" s="394">
        <f>SUM(E43:G43)</f>
        <v>84341.311000000002</v>
      </c>
      <c r="Q43" s="394">
        <f>SUM(H43:J43)</f>
        <v>96227.062000000005</v>
      </c>
      <c r="R43" s="395">
        <f>SUM(K43:M43)</f>
        <v>89136.483000000007</v>
      </c>
    </row>
    <row r="44" spans="1:18">
      <c r="A44" s="390" t="s">
        <v>134</v>
      </c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7"/>
      <c r="O44" s="396"/>
      <c r="P44" s="396"/>
      <c r="Q44" s="396"/>
      <c r="R44" s="396"/>
    </row>
    <row r="45" spans="1:18" ht="15.5" customHeight="1">
      <c r="A45" s="390" t="s">
        <v>135</v>
      </c>
      <c r="B45" s="185"/>
      <c r="C45" s="399"/>
      <c r="D45" s="399"/>
      <c r="E45" s="399"/>
      <c r="F45" s="399"/>
      <c r="G45" s="399"/>
      <c r="H45" s="399"/>
      <c r="I45" s="399"/>
      <c r="J45" s="399"/>
      <c r="K45" s="399"/>
      <c r="L45" s="399"/>
      <c r="M45" s="399"/>
      <c r="N45" s="400"/>
      <c r="O45" s="398"/>
      <c r="P45" s="398"/>
      <c r="Q45" s="398"/>
      <c r="R45" s="398"/>
    </row>
    <row r="46" spans="1:18">
      <c r="A46" s="571" t="s">
        <v>230</v>
      </c>
      <c r="B46" s="391">
        <v>4078.4140000000002</v>
      </c>
      <c r="C46" s="391">
        <v>3922.056</v>
      </c>
      <c r="D46" s="391">
        <v>3937.652</v>
      </c>
      <c r="E46" s="391">
        <v>4127.6080000000002</v>
      </c>
      <c r="F46" s="391">
        <v>4066.5129999999999</v>
      </c>
      <c r="G46" s="391">
        <v>4059.3519999999999</v>
      </c>
      <c r="H46" s="391">
        <v>4695.7219999999998</v>
      </c>
      <c r="I46" s="391">
        <v>5087.049</v>
      </c>
      <c r="J46" s="391">
        <v>4441.3710000000001</v>
      </c>
      <c r="K46" s="391">
        <v>4615.4440000000004</v>
      </c>
      <c r="L46" s="391">
        <v>4286.9030000000002</v>
      </c>
      <c r="M46" s="391">
        <v>4433.2950000000001</v>
      </c>
      <c r="N46" s="393"/>
      <c r="O46" s="394">
        <f>SUM(B46:M46)</f>
        <v>51751.378999999994</v>
      </c>
      <c r="P46" s="394">
        <f>SUM(E46:G46)</f>
        <v>12253.472999999998</v>
      </c>
      <c r="Q46" s="394">
        <f>SUM(H46:J46)</f>
        <v>14224.142</v>
      </c>
      <c r="R46" s="395">
        <f>SUM(K46:M46)</f>
        <v>13335.642000000002</v>
      </c>
    </row>
    <row r="47" spans="1:18">
      <c r="A47" s="390" t="s">
        <v>134</v>
      </c>
      <c r="B47" s="396"/>
      <c r="C47" s="396"/>
      <c r="D47" s="396"/>
      <c r="E47" s="396"/>
      <c r="F47" s="396"/>
      <c r="G47" s="396"/>
      <c r="H47" s="396"/>
      <c r="I47" s="396"/>
      <c r="J47" s="396"/>
      <c r="K47" s="396"/>
      <c r="L47" s="396"/>
      <c r="M47" s="396"/>
      <c r="N47" s="397"/>
      <c r="O47" s="396"/>
      <c r="P47" s="396"/>
      <c r="Q47" s="396"/>
      <c r="R47" s="396"/>
    </row>
    <row r="48" spans="1:18" ht="15.5" customHeight="1">
      <c r="A48" s="390" t="s">
        <v>135</v>
      </c>
      <c r="B48" s="185"/>
      <c r="C48" s="399"/>
      <c r="D48" s="399"/>
      <c r="E48" s="399"/>
      <c r="F48" s="399"/>
      <c r="G48" s="399"/>
      <c r="H48" s="399"/>
      <c r="I48" s="399"/>
      <c r="J48" s="399"/>
      <c r="K48" s="399"/>
      <c r="L48" s="399"/>
      <c r="M48" s="399"/>
      <c r="N48" s="400"/>
      <c r="O48" s="401"/>
      <c r="P48" s="398"/>
      <c r="Q48" s="398"/>
      <c r="R48" s="398"/>
    </row>
    <row r="49" spans="1:18" ht="15.5" customHeight="1">
      <c r="A49" s="572" t="s">
        <v>231</v>
      </c>
      <c r="B49" s="186"/>
      <c r="C49" s="434"/>
      <c r="D49" s="434"/>
      <c r="E49" s="434"/>
      <c r="F49" s="434"/>
      <c r="G49" s="434"/>
      <c r="H49" s="434"/>
      <c r="I49" s="434"/>
      <c r="J49" s="434"/>
      <c r="K49" s="434"/>
      <c r="L49" s="434"/>
      <c r="M49" s="434"/>
      <c r="N49" s="436"/>
      <c r="O49" s="437"/>
      <c r="P49" s="438"/>
      <c r="Q49" s="438"/>
      <c r="R49" s="438"/>
    </row>
    <row r="50" spans="1:18">
      <c r="A50" s="429" t="s">
        <v>133</v>
      </c>
      <c r="B50" s="391">
        <v>1091.037</v>
      </c>
      <c r="C50" s="391">
        <v>1474.5540000000001</v>
      </c>
      <c r="D50" s="391">
        <v>1728.95</v>
      </c>
      <c r="E50" s="391">
        <v>1708.453</v>
      </c>
      <c r="F50" s="391">
        <v>1826.566</v>
      </c>
      <c r="G50" s="391">
        <v>1782.9939999999999</v>
      </c>
      <c r="H50" s="391">
        <v>1857.116</v>
      </c>
      <c r="I50" s="391">
        <v>1687.8009999999999</v>
      </c>
      <c r="J50" s="391">
        <v>1613.86</v>
      </c>
      <c r="K50" s="391">
        <v>1533.4259999999999</v>
      </c>
      <c r="L50" s="391">
        <v>1540.4159999999999</v>
      </c>
      <c r="M50" s="391">
        <v>1915.6590000000001</v>
      </c>
      <c r="N50" s="393"/>
      <c r="O50" s="394">
        <f>SUM(B50:K50)</f>
        <v>16304.757</v>
      </c>
      <c r="P50" s="394">
        <f>SUM(E50:G50)</f>
        <v>5318.0129999999999</v>
      </c>
      <c r="Q50" s="394">
        <f>SUM(H50:J50)</f>
        <v>5158.777</v>
      </c>
      <c r="R50" s="395">
        <f>SUM(K50:M50)</f>
        <v>4989.5010000000002</v>
      </c>
    </row>
    <row r="51" spans="1:18">
      <c r="A51" s="390" t="s">
        <v>134</v>
      </c>
      <c r="B51" s="396"/>
      <c r="C51" s="396"/>
      <c r="D51" s="396"/>
      <c r="E51" s="396"/>
      <c r="F51" s="396"/>
      <c r="G51" s="396"/>
      <c r="H51" s="396"/>
      <c r="I51" s="396"/>
      <c r="J51" s="396"/>
      <c r="K51" s="396"/>
      <c r="L51" s="396"/>
      <c r="M51" s="396"/>
      <c r="N51" s="397"/>
      <c r="O51" s="396"/>
      <c r="P51" s="396"/>
      <c r="Q51" s="396"/>
      <c r="R51" s="396"/>
    </row>
    <row r="52" spans="1:18" ht="15.5" customHeight="1">
      <c r="A52" s="390" t="s">
        <v>135</v>
      </c>
      <c r="B52" s="185"/>
      <c r="C52" s="399"/>
      <c r="D52" s="399"/>
      <c r="E52" s="399"/>
      <c r="F52" s="399"/>
      <c r="G52" s="399"/>
      <c r="H52" s="399"/>
      <c r="I52" s="399"/>
      <c r="J52" s="399"/>
      <c r="K52" s="399"/>
      <c r="L52" s="399"/>
      <c r="M52" s="399"/>
      <c r="N52" s="400"/>
      <c r="O52" s="401"/>
      <c r="P52" s="398"/>
      <c r="Q52" s="398"/>
      <c r="R52" s="398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1"/>
  <sheetViews>
    <sheetView workbookViewId="0"/>
  </sheetViews>
  <sheetFormatPr defaultColWidth="9" defaultRowHeight="12.5"/>
  <cols>
    <col min="1" max="1" width="37.5" style="573" customWidth="1"/>
    <col min="2" max="6" width="12.75" style="385" bestFit="1" customWidth="1"/>
    <col min="7" max="7" width="13.75" style="385" customWidth="1"/>
    <col min="8" max="11" width="12.75" style="385" bestFit="1" customWidth="1"/>
    <col min="12" max="12" width="10.08203125" style="385" bestFit="1" customWidth="1"/>
    <col min="13" max="16" width="10.83203125" style="385" customWidth="1"/>
    <col min="17" max="17" width="13.25" style="385" customWidth="1"/>
    <col min="18" max="19" width="10.83203125" style="385" customWidth="1"/>
    <col min="20" max="20" width="9" style="385" customWidth="1"/>
    <col min="21" max="21" width="29.25" style="385" bestFit="1" customWidth="1"/>
    <col min="22" max="22" width="10.08203125" style="385" bestFit="1" customWidth="1"/>
    <col min="23" max="23" width="9" style="385" customWidth="1"/>
    <col min="24" max="16384" width="9" style="385"/>
  </cols>
  <sheetData>
    <row r="1" spans="1:22">
      <c r="B1" s="385" t="s">
        <v>232</v>
      </c>
      <c r="C1" s="385" t="s">
        <v>233</v>
      </c>
      <c r="D1" s="385" t="s">
        <v>234</v>
      </c>
      <c r="E1" s="385" t="s">
        <v>235</v>
      </c>
      <c r="F1" s="385" t="s">
        <v>236</v>
      </c>
      <c r="G1" s="385" t="s">
        <v>237</v>
      </c>
      <c r="H1" s="385" t="s">
        <v>238</v>
      </c>
      <c r="I1" s="385" t="s">
        <v>239</v>
      </c>
      <c r="J1" s="385" t="s">
        <v>240</v>
      </c>
      <c r="K1" s="385" t="s">
        <v>241</v>
      </c>
      <c r="L1" s="385" t="s">
        <v>242</v>
      </c>
      <c r="M1" s="385" t="s">
        <v>243</v>
      </c>
      <c r="N1" s="385" t="s">
        <v>244</v>
      </c>
      <c r="O1" s="385" t="s">
        <v>245</v>
      </c>
      <c r="P1" s="385" t="s">
        <v>246</v>
      </c>
      <c r="Q1" s="385" t="s">
        <v>247</v>
      </c>
      <c r="R1" s="385" t="s">
        <v>248</v>
      </c>
      <c r="S1" s="385" t="s">
        <v>249</v>
      </c>
    </row>
    <row r="2" spans="1:22" s="574" customFormat="1" ht="25" customHeight="1">
      <c r="A2" s="575" t="s">
        <v>250</v>
      </c>
      <c r="B2" s="576">
        <v>57247336</v>
      </c>
      <c r="C2" s="576">
        <v>59311345</v>
      </c>
      <c r="D2" s="577" t="s">
        <v>251</v>
      </c>
      <c r="E2" s="576">
        <v>64297110</v>
      </c>
      <c r="F2" s="576">
        <v>62447662</v>
      </c>
      <c r="G2" s="576">
        <v>64596982</v>
      </c>
      <c r="H2" s="576">
        <v>68194835</v>
      </c>
      <c r="I2" s="576">
        <v>66401986</v>
      </c>
      <c r="J2" s="576">
        <v>68502481</v>
      </c>
      <c r="K2" s="576">
        <v>70351614</v>
      </c>
      <c r="L2" s="576">
        <v>71564703</v>
      </c>
      <c r="M2" s="576">
        <v>80141900</v>
      </c>
      <c r="N2" s="576">
        <v>72066032</v>
      </c>
      <c r="O2" s="576">
        <v>73525199</v>
      </c>
      <c r="P2" s="576">
        <v>76314988</v>
      </c>
      <c r="R2" s="576">
        <v>77863557</v>
      </c>
      <c r="S2" s="576">
        <v>79927655</v>
      </c>
    </row>
    <row r="3" spans="1:22" s="434" customFormat="1">
      <c r="A3" s="578" t="s">
        <v>252</v>
      </c>
      <c r="B3" s="434">
        <v>5.6899999999999999E-2</v>
      </c>
      <c r="C3" s="434">
        <v>7.2999999999999995E-2</v>
      </c>
      <c r="D3" s="434">
        <v>7.7299999999999994E-2</v>
      </c>
      <c r="E3" s="434">
        <v>0.1111</v>
      </c>
      <c r="F3" s="434">
        <v>9.0800000000000006E-2</v>
      </c>
      <c r="G3" s="434">
        <v>8.9099999999999999E-2</v>
      </c>
      <c r="H3" s="434">
        <v>5.7299999999999997E-2</v>
      </c>
      <c r="I3" s="434">
        <v>3.27E-2</v>
      </c>
      <c r="J3" s="434">
        <f>J2/F2-1</f>
        <v>9.6958297654121894E-2</v>
      </c>
      <c r="K3" s="434">
        <v>4.6899999999999997E-2</v>
      </c>
      <c r="L3" s="434">
        <v>4.9399999999999999E-2</v>
      </c>
      <c r="M3" s="434">
        <v>0.2069</v>
      </c>
      <c r="N3" s="434">
        <f>N2/J2-1</f>
        <v>5.2020758197064421E-2</v>
      </c>
      <c r="O3" s="434">
        <v>4.5109999999999997E-2</v>
      </c>
      <c r="P3" s="434">
        <v>2.954E-2</v>
      </c>
      <c r="R3" s="434">
        <v>7.1300000000000002E-2</v>
      </c>
      <c r="S3" s="434">
        <v>8.2879999999999995E-2</v>
      </c>
    </row>
    <row r="4" spans="1:22" s="574" customFormat="1">
      <c r="A4" s="575" t="s">
        <v>253</v>
      </c>
      <c r="B4" s="576">
        <v>4996527</v>
      </c>
      <c r="C4" s="576">
        <v>5613192</v>
      </c>
      <c r="D4" s="576">
        <v>6190514</v>
      </c>
      <c r="E4" s="576">
        <v>5488910</v>
      </c>
      <c r="F4" s="576">
        <v>4855897</v>
      </c>
      <c r="G4" s="576">
        <v>5639529</v>
      </c>
      <c r="H4" s="576">
        <v>6440623</v>
      </c>
      <c r="I4" s="576">
        <v>5707236</v>
      </c>
      <c r="J4" s="576">
        <v>5315791</v>
      </c>
      <c r="K4" s="576">
        <v>6230619</v>
      </c>
      <c r="L4" s="576">
        <v>6880116</v>
      </c>
      <c r="M4" s="576">
        <v>6075879</v>
      </c>
      <c r="N4" s="576">
        <v>5794626</v>
      </c>
      <c r="O4" s="576">
        <v>6011346</v>
      </c>
      <c r="P4" s="576">
        <v>6532143</v>
      </c>
      <c r="R4" s="576">
        <v>5957089</v>
      </c>
      <c r="S4" s="576">
        <v>6353803</v>
      </c>
    </row>
    <row r="5" spans="1:22" s="434" customFormat="1" ht="25" customHeight="1">
      <c r="A5" s="578" t="s">
        <v>254</v>
      </c>
      <c r="B5" s="434">
        <v>3.4799999999999998E-2</v>
      </c>
      <c r="C5" s="434">
        <v>0.1033</v>
      </c>
      <c r="D5" s="434">
        <v>8.6099999999999996E-2</v>
      </c>
      <c r="E5" s="434">
        <v>3.78E-2</v>
      </c>
      <c r="F5" s="434">
        <v>-2.81E-2</v>
      </c>
      <c r="G5" s="434">
        <v>4.7000000000000002E-3</v>
      </c>
      <c r="H5" s="434">
        <v>4.0399999999999998E-2</v>
      </c>
      <c r="I5" s="434">
        <v>3.9800000000000002E-2</v>
      </c>
      <c r="J5" s="434">
        <f>J4/F4-1</f>
        <v>9.4708351515693234E-2</v>
      </c>
      <c r="K5" s="434">
        <v>0.1043</v>
      </c>
      <c r="L5" s="434">
        <v>6.8199999999999997E-2</v>
      </c>
      <c r="M5" s="434">
        <v>6.4600000000000005E-2</v>
      </c>
      <c r="N5" s="434">
        <f>N4/J4-1</f>
        <v>9.007784542319297E-2</v>
      </c>
      <c r="O5" s="434">
        <v>-3.5189999999999999E-2</v>
      </c>
      <c r="P5" s="434">
        <f>SUM(N4:O4)/SUM(J4:K4)-1</f>
        <v>2.247988768803455E-2</v>
      </c>
      <c r="R5" s="434">
        <v>2.6429999999999999E-2</v>
      </c>
      <c r="S5" s="434">
        <v>5.527E-2</v>
      </c>
    </row>
    <row r="6" spans="1:22" s="574" customFormat="1">
      <c r="A6" s="575" t="s">
        <v>255</v>
      </c>
      <c r="B6" s="576">
        <v>85831834</v>
      </c>
      <c r="C6" s="576">
        <v>87510588</v>
      </c>
      <c r="D6" s="576">
        <v>93329683</v>
      </c>
      <c r="E6" s="576">
        <v>97333947</v>
      </c>
      <c r="F6" s="576">
        <v>93141196</v>
      </c>
      <c r="G6" s="579">
        <v>94019714</v>
      </c>
      <c r="H6" s="576">
        <v>96573877</v>
      </c>
      <c r="I6" s="576">
        <v>98557615</v>
      </c>
      <c r="J6" s="576">
        <v>98929129</v>
      </c>
      <c r="K6" s="576">
        <v>100868116</v>
      </c>
      <c r="L6" s="576">
        <v>98069051</v>
      </c>
      <c r="M6" s="576">
        <v>124380171</v>
      </c>
      <c r="N6" s="576">
        <v>103803441</v>
      </c>
      <c r="O6" s="576">
        <v>107649876</v>
      </c>
      <c r="P6" s="576">
        <v>106688216</v>
      </c>
      <c r="R6" s="576">
        <v>111736581</v>
      </c>
      <c r="S6" s="576">
        <v>113518911</v>
      </c>
    </row>
    <row r="7" spans="1:22" s="434" customFormat="1" ht="25" customHeight="1">
      <c r="A7" s="578" t="s">
        <v>256</v>
      </c>
      <c r="B7" s="434">
        <v>3.8800000000000001E-2</v>
      </c>
      <c r="C7" s="434">
        <v>0.06</v>
      </c>
      <c r="D7" s="434">
        <v>7.5300000000000006E-2</v>
      </c>
      <c r="E7" s="434">
        <v>9.8599999999999993E-2</v>
      </c>
      <c r="F7" s="434">
        <v>8.5199999999999998E-2</v>
      </c>
      <c r="G7" s="434">
        <v>7.4399999999999994E-2</v>
      </c>
      <c r="H7" s="434">
        <v>3.4799999999999998E-2</v>
      </c>
      <c r="I7" s="434">
        <v>1.26E-2</v>
      </c>
      <c r="J7" s="434">
        <f>J6/F6-1</f>
        <v>6.2141493222827027E-2</v>
      </c>
      <c r="K7" s="434">
        <v>1.41E-2</v>
      </c>
      <c r="L7" s="434">
        <v>1.55E-2</v>
      </c>
      <c r="M7" s="434">
        <v>0.26200000000000001</v>
      </c>
      <c r="N7" s="434">
        <f>N6/J6-1</f>
        <v>4.9270746131809151E-2</v>
      </c>
      <c r="O7" s="434">
        <v>6.7229999999999998E-2</v>
      </c>
      <c r="P7" s="434">
        <v>3.2969999999999999E-2</v>
      </c>
      <c r="R7" s="434">
        <v>6.3560000000000005E-2</v>
      </c>
      <c r="S7" s="434">
        <v>4.904E-2</v>
      </c>
    </row>
    <row r="8" spans="1:22" s="574" customFormat="1" ht="13" customHeight="1">
      <c r="A8" s="575" t="s">
        <v>257</v>
      </c>
      <c r="B8" s="576">
        <v>23324716</v>
      </c>
      <c r="C8" s="576">
        <v>25467818</v>
      </c>
      <c r="D8" s="576">
        <v>28715442</v>
      </c>
      <c r="E8" s="576">
        <v>26248340</v>
      </c>
      <c r="F8" s="576">
        <v>26772183</v>
      </c>
      <c r="G8" s="576">
        <v>29449976</v>
      </c>
      <c r="H8" s="576">
        <v>32387556</v>
      </c>
      <c r="I8" s="576">
        <v>29389497</v>
      </c>
      <c r="J8" s="576">
        <v>32671569</v>
      </c>
      <c r="K8" s="576">
        <v>33598507</v>
      </c>
      <c r="L8" s="576">
        <v>37384196</v>
      </c>
      <c r="M8" s="576">
        <v>30968998</v>
      </c>
      <c r="N8" s="576">
        <v>34288559</v>
      </c>
      <c r="O8" s="576">
        <v>33505027</v>
      </c>
      <c r="P8" s="576">
        <v>38792025</v>
      </c>
      <c r="R8" s="576">
        <v>38574734</v>
      </c>
      <c r="S8" s="576">
        <v>39488045</v>
      </c>
      <c r="U8" s="574" t="s">
        <v>258</v>
      </c>
      <c r="V8" s="574">
        <v>24547222</v>
      </c>
    </row>
    <row r="9" spans="1:22" ht="25" customHeight="1">
      <c r="A9" s="578" t="s">
        <v>259</v>
      </c>
      <c r="B9" s="434">
        <v>0.1</v>
      </c>
      <c r="C9" s="434">
        <v>0.1298</v>
      </c>
      <c r="D9" s="434">
        <v>9.0500000000000011E-2</v>
      </c>
      <c r="E9" s="434">
        <v>0.1704</v>
      </c>
      <c r="F9" s="434">
        <v>0.14779999999999999</v>
      </c>
      <c r="G9" s="434">
        <v>0.15640000000000001</v>
      </c>
      <c r="H9" s="434">
        <v>0.12790000000000001</v>
      </c>
      <c r="I9" s="434">
        <v>0.1197</v>
      </c>
      <c r="J9" s="434">
        <f>J8/F8-1</f>
        <v>0.22035506032511432</v>
      </c>
      <c r="K9" s="434">
        <v>0.14019999999999999</v>
      </c>
      <c r="L9" s="35">
        <v>0.15429999999999999</v>
      </c>
      <c r="M9" s="35">
        <v>5.3699999999999998E-2</v>
      </c>
      <c r="N9" s="434">
        <f>N8/J8-1</f>
        <v>4.9492266502413784E-2</v>
      </c>
      <c r="O9" s="434">
        <v>-2.7799999999999999E-3</v>
      </c>
      <c r="P9" s="434">
        <v>3.7659999999999999E-2</v>
      </c>
      <c r="R9" s="434">
        <v>0.12484000000000001</v>
      </c>
      <c r="S9" s="434">
        <v>0.17823</v>
      </c>
      <c r="V9" s="186">
        <f>V8/((N8+O8+P8)*50%)</f>
        <v>0.46061042892553294</v>
      </c>
    </row>
    <row r="11" spans="1:22">
      <c r="O11" s="385">
        <f>O8/1000</f>
        <v>33505.027000000002</v>
      </c>
      <c r="S11" s="385">
        <f>S8/1000000</f>
        <v>39.488045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Summary</vt:lpstr>
      <vt:lpstr>CAAC Air Industry + domestic</vt:lpstr>
      <vt:lpstr>CAAC Data</vt:lpstr>
      <vt:lpstr>Top 4 Total</vt:lpstr>
      <vt:lpstr>Top4 Domestic</vt:lpstr>
      <vt:lpstr>Top4 Intl.+Reg</vt:lpstr>
      <vt:lpstr>年度数据</vt:lpstr>
      <vt:lpstr>Sheet2</vt:lpstr>
      <vt:lpstr>Travelsky Data</vt:lpstr>
      <vt:lpstr>出入境管理局数据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jrcui</dc:creator>
  <cp:lastModifiedBy>Zeyi Chen (SME, 121090077)</cp:lastModifiedBy>
  <cp:lastPrinted>2019-08-22T01:24:20Z</cp:lastPrinted>
  <dcterms:created xsi:type="dcterms:W3CDTF">2006-12-27T06:28:13Z</dcterms:created>
  <dcterms:modified xsi:type="dcterms:W3CDTF">2026-08-25T09:07:50Z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0x010100DF16C1720C6ABA4E86BA5B93E98D29BE</vt:lpwstr>
  </property>
</Properties>
</file>