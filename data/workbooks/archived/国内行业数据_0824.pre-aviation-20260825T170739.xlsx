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Users\zeyichen\Desktop\IR_workbench\data\workbooks\"/>
    </mc:Choice>
  </mc:AlternateContent>
  <xr:revisionPtr revIDLastSave="0" documentId="13_ncr:1_{0A3B5A69-96BF-4AF0-A05A-3B07CCA62D01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国内行业数据" sheetId="1" r:id="rId1"/>
    <sheet name="Sheet1" sheetId="2" state="hidden" r:id="rId2"/>
    <sheet name="Sheet2" sheetId="3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__________a1">{"Client Name or Project Name"}</definedName>
    <definedName name="_____________a1_1">{"Client Name or Project Name"}</definedName>
    <definedName name="_____________a2">{"Client Name or Project Name"}</definedName>
    <definedName name="_____________a2_1">{"Client Name or Project Name"}</definedName>
    <definedName name="___________a1">{"Client Name or Project Name"}</definedName>
    <definedName name="___________a1_1">{"Client Name or Project Name"}</definedName>
    <definedName name="___________a2">{"Client Name or Project Name"}</definedName>
    <definedName name="___________a2_1">{"Client Name or Project Name"}</definedName>
    <definedName name="__________a1">{"Client Name or Project Name"}</definedName>
    <definedName name="__________a1_1">{"Client Name or Project Name"}</definedName>
    <definedName name="__________a2">{"Client Name or Project Name"}</definedName>
    <definedName name="__________a2_1">{"Client Name or Project Name"}</definedName>
    <definedName name="_________a1">{"Client Name or Project Name"}</definedName>
    <definedName name="_________a1_1">{"Client Name or Project Name"}</definedName>
    <definedName name="_________a2">{"Client Name or Project Name"}</definedName>
    <definedName name="_________a2_1">{"Client Name or Project Name"}</definedName>
    <definedName name="________a1">{"Client Name or Project Name"}</definedName>
    <definedName name="________a1_1">{"Client Name or Project Name"}</definedName>
    <definedName name="________a2">{"Client Name or Project Name"}</definedName>
    <definedName name="________a2_1">{"Client Name or Project Name"}</definedName>
    <definedName name="_______a1">{"Client Name or Project Name"}</definedName>
    <definedName name="_______a1_1">{"Client Name or Project Name"}</definedName>
    <definedName name="_______a2">{"Client Name or Project Name"}</definedName>
    <definedName name="_______a2_1">{"Client Name or Project Name"}</definedName>
    <definedName name="_____a1">{"Client Name or Project Name"}</definedName>
    <definedName name="_____a1_1">{"Client Name or Project Name"}</definedName>
    <definedName name="_____a2">{"Client Name or Project Name"}</definedName>
    <definedName name="_____a2_1">{"Client Name or Project Name"}</definedName>
    <definedName name="___a1">{"Client Name or Project Name"}</definedName>
    <definedName name="___a1_1">{"Client Name or Project Name"}</definedName>
    <definedName name="___a2">{"Client Name or Project Name"}</definedName>
    <definedName name="___a2_1">{"Client Name or Project Name"}</definedName>
    <definedName name="__a1">{"Client Name or Project Name"}</definedName>
    <definedName name="__a1_1">{"Client Name or Project Name"}</definedName>
    <definedName name="__a1_1_1">{"Client Name or Project Name"}</definedName>
    <definedName name="__a1_2">{"Client Name or Project Name"}</definedName>
    <definedName name="__a2">{"Client Name or Project Name"}</definedName>
    <definedName name="__a2_1">{"Client Name or Project Name"}</definedName>
    <definedName name="__a2_1_1">{"Client Name or Project Name"}</definedName>
    <definedName name="__a2_2">{"Client Name or Project Name"}</definedName>
    <definedName name="__FDS_UNIQUE_RANGE_ID_GENERATOR_COUNTER">28</definedName>
    <definedName name="__FDS_USED_FOR_REUSING_RANGE_IDS_RECYCLE">{16,16,16,16,16,16,16,16,16,16,16}</definedName>
    <definedName name="__FDS_USED_FOR_REUSING_RANGE_IDS_RECYCLE_1">{16,16,16,16,16,16,16,16,16,16,16}</definedName>
    <definedName name="__FDS_USED_FOR_REUSING_RANGE_IDS_RECYCLE_1_1">{16,16,16,16,16,16,16,16,16,16,16}</definedName>
    <definedName name="__FDS_USED_FOR_REUSING_RANGE_IDS_RECYCLE_1_1_1">{16,16,16,16,16,16,16,16,16,16,16}</definedName>
    <definedName name="__FDS_USED_FOR_REUSING_RANGE_IDS_RECYCLE_1_2">{16,16,16,16,16,16,16,16,16,16,16}</definedName>
    <definedName name="__FDS_USED_FOR_REUSING_RANGE_IDS_RECYCLE_2">{16,16,16,16,16,16,16,16,16,16,16}</definedName>
    <definedName name="__FDS_USED_FOR_REUSING_RANGE_IDS_RECYCLE_2_1">{16,16,16,16,16,16,16,16,16,16,16}</definedName>
    <definedName name="__FDS_USED_FOR_REUSING_RANGE_IDS_RECYCLE_3">{16,16,16,16,16,16,16,16,16,16,16}</definedName>
    <definedName name="__FDS_USED_FOR_REUSING_RANGE_IDS_RECYCLE_3_1">{16,16,16,16,16,16,16,16,16,16,16}</definedName>
    <definedName name="__FDS_USED_FOR_REUSING_RANGE_IDS_RECYCLE_4">{16,16,16,16,16,16,16,16,16,16,16}</definedName>
    <definedName name="__FDS_USED_FOR_REUSING_RANGE_IDS_RECYCLE_4_1">{16,16,16,16,16,16,16,16,16,16,16}</definedName>
    <definedName name="__FDS_USED_FOR_REUSING_RANGE_IDS_RECYCLE_5">{16,16,16,16,16,16,16,16,16,16,16}</definedName>
    <definedName name="__FDS_USED_FOR_REUSING_RANGE_IDS_RECYCLE_5_1">{16,16,16,16,16,16,16,16,16,16,16}</definedName>
    <definedName name="_1__FDSAUDITLINK__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1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1_1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1_2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2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2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3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3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4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4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5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5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0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a1_">{"Client Name or Project Name"}</definedName>
    <definedName name="_10a1__1">{"Client Name or Project Name"}</definedName>
    <definedName name="_10a1__1_1">{"Client Name or Project Name"}</definedName>
    <definedName name="_10a1__2">{"Client Name or Project Name"}</definedName>
    <definedName name="_10a1__2_1">{"Client Name or Project Name"}</definedName>
    <definedName name="_10a1__3">{"Client Name or Project Name"}</definedName>
    <definedName name="_10a1__3_1">{"Client Name or Project Name"}</definedName>
    <definedName name="_10a1__4">{"Client Name or Project Name"}</definedName>
    <definedName name="_10a1__4_1">{"Client Name or Project Name"}</definedName>
    <definedName name="_10a1__5">{"Client Name or Project Name"}</definedName>
    <definedName name="_10a1__5_1">{"Client Name or Project Name"}</definedName>
    <definedName name="_11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a1_">{"Client Name or Project Name"}</definedName>
    <definedName name="_11a1__1">{"Client Name or Project Name"}</definedName>
    <definedName name="_11a1__1_1">{"Client Name or Project Name"}</definedName>
    <definedName name="_11a1__2">{"Client Name or Project Name"}</definedName>
    <definedName name="_11a1__2_1">{"Client Name or Project Name"}</definedName>
    <definedName name="_11a1__3">{"Client Name or Project Name"}</definedName>
    <definedName name="_11a1__3_1">{"Client Name or Project Name"}</definedName>
    <definedName name="_11a1__4">{"Client Name or Project Name"}</definedName>
    <definedName name="_11a1__4_1">{"Client Name or Project Name"}</definedName>
    <definedName name="_11a1__5">{"Client Name or Project Name"}</definedName>
    <definedName name="_11a1__5_1">{"Client Name or Project Name"}</definedName>
    <definedName name="_12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a2_">{"Client Name or Project Name"}</definedName>
    <definedName name="_12a2__1">{"Client Name or Project Name"}</definedName>
    <definedName name="_12a2__1_1">{"Client Name or Project Name"}</definedName>
    <definedName name="_12a2__2">{"Client Name or Project Name"}</definedName>
    <definedName name="_13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a2_">{"Client Name or Project Name"}</definedName>
    <definedName name="_14a2__1">{"Client Name or Project Name"}</definedName>
    <definedName name="_14a2__1_1">{"Client Name or Project Name"}</definedName>
    <definedName name="_14a2__2">{"Client Name or Project Name"}</definedName>
    <definedName name="_14a67_">{"Client Name or Project Name"}</definedName>
    <definedName name="_14a67__1">{"Client Name or Project Name"}</definedName>
    <definedName name="_15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a2_">{"Client Name or Project Name"}</definedName>
    <definedName name="_16a2__1">{"Client Name or Project Name"}</definedName>
    <definedName name="_16a2__1_1">{"Client Name or Project Name"}</definedName>
    <definedName name="_16a2__2">{"Client Name or Project Name"}</definedName>
    <definedName name="_16a2__2_1">{"Client Name or Project Name"}</definedName>
    <definedName name="_16a2__3">{"Client Name or Project Name"}</definedName>
    <definedName name="_17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__FDSAUDITLINK__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1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1_1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1_2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2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2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3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3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4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4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5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5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a2_">{"Client Name or Project Name"}</definedName>
    <definedName name="_18a2__1">{"Client Name or Project Name"}</definedName>
    <definedName name="_18a2__1_1">{"Client Name or Project Name"}</definedName>
    <definedName name="_18a2__2">{"Client Name or Project Name"}</definedName>
    <definedName name="_19__FDSAUDITLINK__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1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1_1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1_2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2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2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3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3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4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4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5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5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2__FDSAUDITLINK__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1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1_1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1_2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2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2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3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3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4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4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5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5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0__FDSAUDITLINK__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1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1_1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1_2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2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2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3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3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4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4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5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5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a2_">{"Client Name or Project Name"}</definedName>
    <definedName name="_20a2__1">{"Client Name or Project Name"}</definedName>
    <definedName name="_20a2__1_1">{"Client Name or Project Name"}</definedName>
    <definedName name="_20a2__2">{"Client Name or Project Name"}</definedName>
    <definedName name="_20a2__2_1">{"Client Name or Project Name"}</definedName>
    <definedName name="_20a2__3">{"Client Name or Project Name"}</definedName>
    <definedName name="_20a2__3_1">{"Client Name or Project Name"}</definedName>
    <definedName name="_20a2__4">{"Client Name or Project Name"}</definedName>
    <definedName name="_20a2__4_1">{"Client Name or Project Name"}</definedName>
    <definedName name="_20a2__5">{"Client Name or Project Name"}</definedName>
    <definedName name="_20a2__5_1">{"Client Name or Project Name"}</definedName>
    <definedName name="_21__FDSAUDITLINK__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1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1_1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1_2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2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2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3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3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4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4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5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5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2__FDSAUDITLINK__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1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1_1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1_2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2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2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3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3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4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4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5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5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a2_">{"Client Name or Project Name"}</definedName>
    <definedName name="_22a2__1">{"Client Name or Project Name"}</definedName>
    <definedName name="_22a2__1_1">{"Client Name or Project Name"}</definedName>
    <definedName name="_22a2__2">{"Client Name or Project Name"}</definedName>
    <definedName name="_22a2__2_1">{"Client Name or Project Name"}</definedName>
    <definedName name="_22a2__3">{"Client Name or Project Name"}</definedName>
    <definedName name="_22a2__3_1">{"Client Name or Project Name"}</definedName>
    <definedName name="_22a2__4">{"Client Name or Project Name"}</definedName>
    <definedName name="_22a2__4_1">{"Client Name or Project Name"}</definedName>
    <definedName name="_22a2__5">{"Client Name or Project Name"}</definedName>
    <definedName name="_22a2__5_1">{"Client Name or Project Name"}</definedName>
    <definedName name="_23__FDSAUDITLINK__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1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1_1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1_2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2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2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3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3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4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4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5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5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4__FDSAUDITLINK__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1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1_1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1_2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2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2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3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3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4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4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5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5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5__FDSAUDITLINK__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1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1_1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1_2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2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2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3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3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4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4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5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5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6__FDSAUDITLINK__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1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1_1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1_2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2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2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3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3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4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4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5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5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7__FDSAUDITLINK__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1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1_1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1_2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2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2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3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3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4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4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5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5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a1_">{"Client Name or Project Name"}</definedName>
    <definedName name="_2a1__1">{"Client Name or Project Name"}</definedName>
    <definedName name="_3__FDSAUDITLINK__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1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1_1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1_2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2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2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3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3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4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4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5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5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__FDSAUDITLINK__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1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1_1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1_2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2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2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3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3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4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4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5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5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a1_">{"Client Name or Project Name"}</definedName>
    <definedName name="_4a1__1">{"Client Name or Project Name"}</definedName>
    <definedName name="_4a1__1_1">{"Client Name or Project Name"}</definedName>
    <definedName name="_4a1__2">{"Client Name or Project Name"}</definedName>
    <definedName name="_4a1__2_1">{"Client Name or Project Name"}</definedName>
    <definedName name="_4a1__3">{"Client Name or Project Name"}</definedName>
    <definedName name="_4a2_">{"Client Name or Project Name"}</definedName>
    <definedName name="_4a2__1">{"Client Name or Project Name"}</definedName>
    <definedName name="_5__FDSAUDITLINK__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1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1_1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1_2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2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2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3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3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4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4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5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5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__FDSAUDITLINK__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1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1_1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1_2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2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2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3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3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4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4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5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5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a1_">{"Client Name or Project Name"}</definedName>
    <definedName name="_6a1__1">{"Client Name or Project Name"}</definedName>
    <definedName name="_6a1__1_1">{"Client Name or Project Name"}</definedName>
    <definedName name="_6a1__2">{"Client Name or Project Name"}</definedName>
    <definedName name="_7__FDSAUDITLINK__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1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1_1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1_2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2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2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3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3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4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4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5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5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a1_">{"Client Name or Project Name"}</definedName>
    <definedName name="_7a1__1">{"Client Name or Project Name"}</definedName>
    <definedName name="_7a1__1_1">{"Client Name or Project Name"}</definedName>
    <definedName name="_7a1__2">{"Client Name or Project Name"}</definedName>
    <definedName name="_8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a1_">{"Client Name or Project Name"}</definedName>
    <definedName name="_8a1__1">{"Client Name or Project Name"}</definedName>
    <definedName name="_8a1__1_1">{"Client Name or Project Name"}</definedName>
    <definedName name="_8a1__2">{"Client Name or Project Name"}</definedName>
    <definedName name="_8a1__2_1">{"Client Name or Project Name"}</definedName>
    <definedName name="_8a1__3">{"Client Name or Project Name"}</definedName>
    <definedName name="_8a2_">{"Client Name or Project Name"}</definedName>
    <definedName name="_8a2__1">{"Client Name or Project Name"}</definedName>
    <definedName name="_8a2__1_1">{"Client Name or Project Name"}</definedName>
    <definedName name="_8a2__2">{"Client Name or Project Name"}</definedName>
    <definedName name="_8a2__2_1">{"Client Name or Project Name"}</definedName>
    <definedName name="_8a2__3">{"Client Name or Project Name"}</definedName>
    <definedName name="_9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a1_">{"Client Name or Project Name"}</definedName>
    <definedName name="_9a1__1">{"Client Name or Project Name"}</definedName>
    <definedName name="_9a1__1_1">{"Client Name or Project Name"}</definedName>
    <definedName name="_9a1__2">{"Client Name or Project Name"}</definedName>
    <definedName name="_a1">{"Client Name or Project Name"}</definedName>
    <definedName name="_a1_1">{"Client Name or Project Name"}</definedName>
    <definedName name="_a1_1_1">{"Client Name or Project Name"}</definedName>
    <definedName name="_a1_2">{"Client Name or Project Name"}</definedName>
    <definedName name="_a2">{"Client Name or Project Name"}</definedName>
    <definedName name="_a2_1">{"Client Name or Project Name"}</definedName>
    <definedName name="_a2_1_1">{"Client Name or Project Name"}</definedName>
    <definedName name="_a2_2">{"Client Name or Project Name"}</definedName>
    <definedName name="_map2">{"Client Name or Project Name"}</definedName>
    <definedName name="_map2_1">{"Client Name or Project Name"}</definedName>
    <definedName name="_map2_1_1">{"Client Name or Project Name"}</definedName>
    <definedName name="_map2_2">{"Client Name or Project Name"}</definedName>
    <definedName name="_ProjectName">"Project Mayflower"</definedName>
    <definedName name="aa">{"Client Name or Project Name"}</definedName>
    <definedName name="aa_1">{"Client Name or Project Name"}</definedName>
    <definedName name="aaaa">{"Client Name or Project Name"}</definedName>
    <definedName name="aaaa_1">{"Client Name or Project Name"}</definedName>
    <definedName name="AB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1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1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2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3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3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4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4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5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5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ctual_start_year">1992</definedName>
    <definedName name="adfqwf">{"Client Name or Project Name"}</definedName>
    <definedName name="adfqwf_1">{"Client Name or Project Name"}</definedName>
    <definedName name="admin">1</definedName>
    <definedName name="adsf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1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1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2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3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3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4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4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5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5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llTables">{7}</definedName>
    <definedName name="AllTables_1">{7}</definedName>
    <definedName name="AllTables_1_1">{7}</definedName>
    <definedName name="AllTables_1_1_1">{7}</definedName>
    <definedName name="AllTables_1_2">{7}</definedName>
    <definedName name="AllTables_2">{7}</definedName>
    <definedName name="AllTables_2_1">{7}</definedName>
    <definedName name="AllTables_3">{7}</definedName>
    <definedName name="AllTables_3_1">{7}</definedName>
    <definedName name="AllTables_4">{7}</definedName>
    <definedName name="AllTables_4_1">{7}</definedName>
    <definedName name="AllTables_5">{7}</definedName>
    <definedName name="AllTables_5_1">{7}</definedName>
    <definedName name="anscount">3</definedName>
    <definedName name="as_1">{"Client Name or Project Name"}</definedName>
    <definedName name="as_1_1">{"Client Name or Project Name"}</definedName>
    <definedName name="asdf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1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1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2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3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3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4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4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5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5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234">{"Client Name or Project Name"}</definedName>
    <definedName name="asdf234_1">{"Client Name or Project Name"}</definedName>
    <definedName name="asdf234_1_1">{"Client Name or Project Name"}</definedName>
    <definedName name="asdf234_1_1_1">{"Client Name or Project Name"}</definedName>
    <definedName name="asdf234_1_2">{"Client Name or Project Name"}</definedName>
    <definedName name="asdf234_2">{"Client Name or Project Name"}</definedName>
    <definedName name="asdf234_2_1">{"Client Name or Project Name"}</definedName>
    <definedName name="asdf234_3">{"Client Name or Project Name"}</definedName>
    <definedName name="asdf234_3_1">{"Client Name or Project Name"}</definedName>
    <definedName name="asdf234_4">{"Client Name or Project Name"}</definedName>
    <definedName name="asdf234_4_1">{"Client Name or Project Name"}</definedName>
    <definedName name="asdf234_5">{"Client Name or Project Name"}</definedName>
    <definedName name="asdf234_5_1">{"Client Name or Project Name"}</definedName>
    <definedName name="asdf4">{7}</definedName>
    <definedName name="asdf4_1">{7}</definedName>
    <definedName name="asdf4_1_1">{7}</definedName>
    <definedName name="asdf4_1_1_1">{7}</definedName>
    <definedName name="asdf4_1_2">{7}</definedName>
    <definedName name="asdf4_2">{7}</definedName>
    <definedName name="asdf4_2_1">{7}</definedName>
    <definedName name="asdf4_3">{7}</definedName>
    <definedName name="asdf4_3_1">{7}</definedName>
    <definedName name="asdf4_4">{7}</definedName>
    <definedName name="asdf4_4_1">{7}</definedName>
    <definedName name="asdf4_5">{7}</definedName>
    <definedName name="asdf4_5_1">{7}</definedName>
    <definedName name="AssetsCurrentDeferredIncomeTaxes">0</definedName>
    <definedName name="AssetsCurrentShortTermInvestments">0</definedName>
    <definedName name="AssetsIntangiblesAccumulatedAmortization">0</definedName>
    <definedName name="AssetsIntangiblesGross">0</definedName>
    <definedName name="AssetsOtherAccumulatedAmortization">0</definedName>
    <definedName name="AssetsOtherGross">0</definedName>
    <definedName name="AssetsOtherNet">0</definedName>
    <definedName name="ax">{"Client Name or Project Name"}</definedName>
    <definedName name="ax_1">{"Client Name or Project Name"}</definedName>
    <definedName name="bb">{"Client Name or Project Name"}</definedName>
    <definedName name="bb_1">{"Client Name or Project Name"}</definedName>
    <definedName name="BoxPlot">"BoxPlot"</definedName>
    <definedName name="Bubble">"Bubble"</definedName>
    <definedName name="Candlestick">"Candlestick"</definedName>
    <definedName name="case_num">1</definedName>
    <definedName name="CashFlowCapitalExpenditureCellular">0</definedName>
    <definedName name="CashFlowCapitalExpenditureOther">0</definedName>
    <definedName name="CashFlowCapitalExpenditurePaging">0</definedName>
    <definedName name="CashFlowCapitalExpenditureTelephone">0</definedName>
    <definedName name="CashFlowCapitalExpenditureWireless">0</definedName>
    <definedName name="CashFlowDividendPaidPreferredStock">0</definedName>
    <definedName name="cb_sChart16EBA7BA_opts">"1, 1, 1, False, 2, True, False, , 0, False, True, 1, 2"</definedName>
    <definedName name="cb_sChart1AC0211C_opts">"1, 1, 1, False, 2, False, False, , 0, False, False, 2, 2"</definedName>
    <definedName name="cb_sChart1AC021B3_opts">"1, 1, 1, False, 2, False, False, , 0, False, False, 2, 2"</definedName>
    <definedName name="cb_sChart1AC02226_opts">"1, 1, 1, False, 2, False, False, , 0, False, False, 2, 2"</definedName>
    <definedName name="cb_sChart1AC02446_opts">"1, 1, 1, False, 2, True, False, , 0, False, True, 2, 2"</definedName>
    <definedName name="cb_sChart1AC02765_opts">"1, 1, 1, False, 2, True, False, , 0, False, True, 2, 2"</definedName>
    <definedName name="cb_sChart1AC027D9_opts">"1, 1, 1, False, 2, True, False, , 0, False, True, 2, 2"</definedName>
    <definedName name="Chart">"Chart"</definedName>
    <definedName name="ChartImage">"ChartImage"</definedName>
    <definedName name="Class_B">68.45</definedName>
    <definedName name="cm">1</definedName>
    <definedName name="Co_Name">"Henderson China Holdings Limited"</definedName>
    <definedName name="ColumnRange">"ColumnRange"</definedName>
    <definedName name="dcf">"311A3B95-A1F3-11D5-89A6-009027910F4C"</definedName>
    <definedName name="dee">#N/A</definedName>
    <definedName name="Dis_Rate">16%</definedName>
    <definedName name="drsfewde">{"Client Name or Project Name"}</definedName>
    <definedName name="drsfewde_1">{"Client Name or Project Name"}</definedName>
    <definedName name="drsfewde_1_1">{"Client Name or Project Name"}</definedName>
    <definedName name="drsfewde_1_1_1">{"Client Name or Project Name"}</definedName>
    <definedName name="drsfewde_1_2">{"Client Name or Project Name"}</definedName>
    <definedName name="drsfewde_2">{"Client Name or Project Name"}</definedName>
    <definedName name="drsfewde_2_1">{"Client Name or Project Name"}</definedName>
    <definedName name="drsfewde_3">{"Client Name or Project Name"}</definedName>
    <definedName name="drsfewde_3_1">{"Client Name or Project Name"}</definedName>
    <definedName name="drsfewde_4">{"Client Name or Project Name"}</definedName>
    <definedName name="drsfewde_4_1">{"Client Name or Project Name"}</definedName>
    <definedName name="drsfewde_5">{"Client Name or Project Name"}</definedName>
    <definedName name="drsfewde_5_1">{"Client Name or Project Name"}</definedName>
    <definedName name="Dumbbell">"Dumbbell"</definedName>
    <definedName name="EquityAdjustments">0</definedName>
    <definedName name="EquityEmployeeStockOwnershipPlan">0</definedName>
    <definedName name="EquityPaidInCapital">0</definedName>
    <definedName name="EquityTreasuryStock">0</definedName>
    <definedName name="er">{"Client Name or Project Name"}</definedName>
    <definedName name="er_1">{"Client Name or Project Name"}</definedName>
    <definedName name="Exch">" Sheet2!$F$2"</definedName>
    <definedName name="fq3fe">{7}</definedName>
    <definedName name="fq3fe_1">{7}</definedName>
    <definedName name="fsd2q">{"Client Name or Project Name"}</definedName>
    <definedName name="fsd2q_1">{"Client Name or Project Name"}</definedName>
    <definedName name="fsd2q_1_1">{"Client Name or Project Name"}</definedName>
    <definedName name="fsd2q_1_1_1">{"Client Name or Project Name"}</definedName>
    <definedName name="fsd2q_1_2">{"Client Name or Project Name"}</definedName>
    <definedName name="fsd2q_2">{"Client Name or Project Name"}</definedName>
    <definedName name="fsd2q_2_1">{"Client Name or Project Name"}</definedName>
    <definedName name="fsd2q_3">{"Client Name or Project Name"}</definedName>
    <definedName name="fsd2q_3_1">{"Client Name or Project Name"}</definedName>
    <definedName name="fsd2q_4">{"Client Name or Project Name"}</definedName>
    <definedName name="fsd2q_4_1">{"Client Name or Project Name"}</definedName>
    <definedName name="fsd2q_5">{"Client Name or Project Name"}</definedName>
    <definedName name="fsd2q_5_1">{"Client Name or Project Name"}</definedName>
    <definedName name="Germany">{"Cereva Networks, Inc"}</definedName>
    <definedName name="Germany_1">{"Cereva Networks, Inc"}</definedName>
    <definedName name="Germany_1_1">{"Cereva Networks, Inc"}</definedName>
    <definedName name="Germany_1_1_1">{"Cereva Networks, Inc"}</definedName>
    <definedName name="Germany_1_2">{"Cereva Networks, Inc"}</definedName>
    <definedName name="Germany_2">{"Cereva Networks, Inc"}</definedName>
    <definedName name="Germany_2_1">{"Cereva Networks, Inc"}</definedName>
    <definedName name="Germany_3">{"Cereva Networks, Inc"}</definedName>
    <definedName name="Germany_3_1">{"Cereva Networks, Inc"}</definedName>
    <definedName name="Germany_4">{"Cereva Networks, Inc"}</definedName>
    <definedName name="Germany_4_1">{"Cereva Networks, Inc"}</definedName>
    <definedName name="Germany_5">{"Cereva Networks, Inc"}</definedName>
    <definedName name="Germany_5_1">{"Cereva Networks, Inc"}</definedName>
    <definedName name="gersfed4">{"Client Name or Project Name"}</definedName>
    <definedName name="gersfed4_1">{"Client Name or Project Name"}</definedName>
    <definedName name="gersfed4_1_1">{"Client Name or Project Name"}</definedName>
    <definedName name="gersfed4_1_1_1">{"Client Name or Project Name"}</definedName>
    <definedName name="gersfed4_1_2">{"Client Name or Project Name"}</definedName>
    <definedName name="gersfed4_2">{"Client Name or Project Name"}</definedName>
    <definedName name="gersfed4_2_1">{"Client Name or Project Name"}</definedName>
    <definedName name="gersfed4_3">{"Client Name or Project Name"}</definedName>
    <definedName name="gersfed4_3_1">{"Client Name or Project Name"}</definedName>
    <definedName name="gersfed4_4">{"Client Name or Project Name"}</definedName>
    <definedName name="gersfed4_4_1">{"Client Name or Project Name"}</definedName>
    <definedName name="gersfed4_5">{"Client Name or Project Name"}</definedName>
    <definedName name="gersfed4_5_1">{"Client Name or Project Name"}</definedName>
    <definedName name="ges">#N/A</definedName>
    <definedName name="Goodwill_Amortization">25</definedName>
    <definedName name="grefrg43">{"Client Name or Project Name"}</definedName>
    <definedName name="grefrg43_1">{"Client Name or Project Name"}</definedName>
    <definedName name="grefrg43_1_1">{"Client Name or Project Name"}</definedName>
    <definedName name="grefrg43_1_1_1">{"Client Name or Project Name"}</definedName>
    <definedName name="grefrg43_1_2">{"Client Name or Project Name"}</definedName>
    <definedName name="grefrg43_2">{"Client Name or Project Name"}</definedName>
    <definedName name="grefrg43_2_1">{"Client Name or Project Name"}</definedName>
    <definedName name="grefrg43_3">{"Client Name or Project Name"}</definedName>
    <definedName name="grefrg43_3_1">{"Client Name or Project Name"}</definedName>
    <definedName name="grefrg43_4">{"Client Name or Project Name"}</definedName>
    <definedName name="grefrg43_4_1">{"Client Name or Project Name"}</definedName>
    <definedName name="grefrg43_5">{"Client Name or Project Name"}</definedName>
    <definedName name="grefrg43_5_1">{"Client Name or Project Name"}</definedName>
    <definedName name="grtrfe">{7}</definedName>
    <definedName name="grtrfe_1">{7}</definedName>
    <definedName name="grtrfe_1_1">{7}</definedName>
    <definedName name="grtrfe_1_1_1">{7}</definedName>
    <definedName name="grtrfe_1_2">{7}</definedName>
    <definedName name="grtrfe_2">{7}</definedName>
    <definedName name="grtrfe_2_1">{7}</definedName>
    <definedName name="grtrfe_3">{7}</definedName>
    <definedName name="grtrfe_3_1">{7}</definedName>
    <definedName name="grtrfe_4">{7}</definedName>
    <definedName name="grtrfe_4_1">{7}</definedName>
    <definedName name="grtrfe_5">{7}</definedName>
    <definedName name="grtrfe_5_1">{7}</definedName>
    <definedName name="GWyears">40</definedName>
    <definedName name="HalfReview">{"Client Name or Project Name"}</definedName>
    <definedName name="HalfReview_1">{"Client Name or Project Name"}</definedName>
    <definedName name="HalfReview_1_1">{"Client Name or Project Name"}</definedName>
    <definedName name="HalfReview_2">{"Client Name or Project Name"}</definedName>
    <definedName name="HalfReview_2_1">{"Client Name or Project Name"}</definedName>
    <definedName name="HalfReview_3">{"Client Name or Project Name"}</definedName>
    <definedName name="Heatmap">"Heatmap"</definedName>
    <definedName name="Histogram">"Histogram"</definedName>
    <definedName name="hjhjhj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1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1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2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3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3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4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4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5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5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TML_CodePage">1252</definedName>
    <definedName name="HTML_Control">{"'Segment'!$A$1:$J$45"}</definedName>
    <definedName name="HTML_Control_1">{"'Segment'!$A$1:$J$45"}</definedName>
    <definedName name="HTML_Control_1_1">{"'Segment'!$A$1:$J$45"}</definedName>
    <definedName name="HTML_Control_1_1_1">{"'Segment'!$A$1:$J$45"}</definedName>
    <definedName name="HTML_Control_1_2">{"'Segment'!$A$1:$J$45"}</definedName>
    <definedName name="HTML_Control_2">{"'Segment'!$A$1:$J$45"}</definedName>
    <definedName name="HTML_Control_2_1">{"'Segment'!$A$1:$J$45"}</definedName>
    <definedName name="HTML_Control_3">{"'Segment'!$A$1:$J$45"}</definedName>
    <definedName name="HTML_Control_3_1">{"'Segment'!$A$1:$J$45"}</definedName>
    <definedName name="HTML_Control_4">{"'Segment'!$A$1:$J$45"}</definedName>
    <definedName name="HTML_Control_4_1">{"'Segment'!$A$1:$J$45"}</definedName>
    <definedName name="HTML_Control_5">{"'Segment'!$A$1:$J$45"}</definedName>
    <definedName name="HTML_Control_5_1">{"'Segment'!$A$1:$J$45"}</definedName>
    <definedName name="HTML_Description">""</definedName>
    <definedName name="HTML_Email">""</definedName>
    <definedName name="HTML_Header">""</definedName>
    <definedName name="HTML_LastUpdate">""</definedName>
    <definedName name="HTML_LineAfter">FALSE</definedName>
    <definedName name="HTML_LineBefore">FALSE</definedName>
    <definedName name="HTML_Name">""</definedName>
    <definedName name="HTML_OBDlg2">TRUE</definedName>
    <definedName name="HTML_OBDlg4">TRUE</definedName>
    <definedName name="HTML_OS">0</definedName>
    <definedName name="HTML_PathFile">"J:\carpente\Releases\Q2-00\segment2Q-00.htm"</definedName>
    <definedName name="HTML_Title">"Segment and Supplemental Information"</definedName>
    <definedName name="IncomeEPSFullyDiluted">0</definedName>
    <definedName name="IncomeEPSPrimary">0</definedName>
    <definedName name="IncomeEPSRegular">0</definedName>
    <definedName name="input">{"0.614608629108408";"0.089";"0.07";"0.036";"0.09";"0.39";"0.177761404547907";"0.116071428571429";"0.708";"0.0556964285714285";"0.127160714285714"}</definedName>
    <definedName name="input_1">{"0.614608629108408";"0.089";"0.07";"0.036";"0.09";"0.39";"0.177761404547907";"0.116071428571429";"0.708";"0.0556964285714285";"0.127160714285714"}</definedName>
    <definedName name="input_1_1">{"0.614608629108408";"0.089";"0.07";"0.036";"0.09";"0.39";"0.177761404547907";"0.116071428571429";"0.708";"0.0556964285714285";"0.127160714285714"}</definedName>
    <definedName name="input_1_1_1">{"0.614608629108408";"0.089";"0.07";"0.036";"0.09";"0.39";"0.177761404547907";"0.116071428571429";"0.708";"0.0556964285714285";"0.127160714285714"}</definedName>
    <definedName name="input_1_2">{"0.614608629108408";"0.089";"0.07";"0.036";"0.09";"0.39";"0.177761404547907";"0.116071428571429";"0.708";"0.0556964285714285";"0.127160714285714"}</definedName>
    <definedName name="input_2">{"0.614608629108408";"0.089";"0.07";"0.036";"0.09";"0.39";"0.177761404547907";"0.116071428571429";"0.708";"0.0556964285714285";"0.127160714285714"}</definedName>
    <definedName name="input_2_1">{"0.614608629108408";"0.089";"0.07";"0.036";"0.09";"0.39";"0.177761404547907";"0.116071428571429";"0.708";"0.0556964285714285";"0.127160714285714"}</definedName>
    <definedName name="input_3">{"0.614608629108408";"0.089";"0.07";"0.036";"0.09";"0.39";"0.177761404547907";"0.116071428571429";"0.708";"0.0556964285714285";"0.127160714285714"}</definedName>
    <definedName name="input_3_1">{"0.614608629108408";"0.089";"0.07";"0.036";"0.09";"0.39";"0.177761404547907";"0.116071428571429";"0.708";"0.0556964285714285";"0.127160714285714"}</definedName>
    <definedName name="input_4">{"0.614608629108408";"0.089";"0.07";"0.036";"0.09";"0.39";"0.177761404547907";"0.116071428571429";"0.708";"0.0556964285714285";"0.127160714285714"}</definedName>
    <definedName name="input_4_1">{"0.614608629108408";"0.089";"0.07";"0.036";"0.09";"0.39";"0.177761404547907";"0.116071428571429";"0.708";"0.0556964285714285";"0.127160714285714"}</definedName>
    <definedName name="input_5">{"0.614608629108408";"0.089";"0.07";"0.036";"0.09";"0.39";"0.177761404547907";"0.116071428571429";"0.708";"0.0556964285714285";"0.127160714285714"}</definedName>
    <definedName name="input_5_1">{"0.614608629108408";"0.089";"0.07";"0.036";"0.09";"0.39";"0.177761404547907";"0.116071428571429";"0.708";"0.0556964285714285";"0.127160714285714"}</definedName>
    <definedName name="Int_exp">8%</definedName>
    <definedName name="IQ_CH">110000</definedName>
    <definedName name="IQ_DAILY">500000</definedName>
    <definedName name="IQ_FH">100000</definedName>
    <definedName name="iRepType">1</definedName>
    <definedName name="iujyht">{"Client Name or Project Name"}</definedName>
    <definedName name="iujyht_1">{"Client Name or Project Name"}</definedName>
    <definedName name="iujyht_1_1">{"Client Name or Project Name"}</definedName>
    <definedName name="iujyht_1_1_1">{"Client Name or Project Name"}</definedName>
    <definedName name="iujyht_1_2">{"Client Name or Project Name"}</definedName>
    <definedName name="iujyht_2">{"Client Name or Project Name"}</definedName>
    <definedName name="iujyht_2_1">{"Client Name or Project Name"}</definedName>
    <definedName name="iujyht_3">{"Client Name or Project Name"}</definedName>
    <definedName name="iujyht_3_1">{"Client Name or Project Name"}</definedName>
    <definedName name="iujyht_4">{"Client Name or Project Name"}</definedName>
    <definedName name="iujyht_4_1">{"Client Name or Project Name"}</definedName>
    <definedName name="iujyht_5">{"Client Name or Project Name"}</definedName>
    <definedName name="iujyht_5_1">{"Client Name or Project Name"}</definedName>
    <definedName name="Japan">{"twx1",#N/A,FALSE,"twltm.xls";"twx2",#N/A,FALSE,"twltm.xls";"twx3",#N/A,FALSE,"twltm.xls"}</definedName>
    <definedName name="Japan_1">{"twx1",#N/A,FALSE,"twltm.xls";"twx2",#N/A,FALSE,"twltm.xls";"twx3",#N/A,FALSE,"twltm.xls"}</definedName>
    <definedName name="Japan_1_1">{"twx1",#N/A,FALSE,"twltm.xls";"twx2",#N/A,FALSE,"twltm.xls";"twx3",#N/A,FALSE,"twltm.xls"}</definedName>
    <definedName name="Japan_1_1_1">{"twx1",#N/A,FALSE,"twltm.xls";"twx2",#N/A,FALSE,"twltm.xls";"twx3",#N/A,FALSE,"twltm.xls"}</definedName>
    <definedName name="Japan_1_2">{"twx1",#N/A,FALSE,"twltm.xls";"twx2",#N/A,FALSE,"twltm.xls";"twx3",#N/A,FALSE,"twltm.xls"}</definedName>
    <definedName name="Japan_2">{"twx1",#N/A,FALSE,"twltm.xls";"twx2",#N/A,FALSE,"twltm.xls";"twx3",#N/A,FALSE,"twltm.xls"}</definedName>
    <definedName name="Japan_2_1">{"twx1",#N/A,FALSE,"twltm.xls";"twx2",#N/A,FALSE,"twltm.xls";"twx3",#N/A,FALSE,"twltm.xls"}</definedName>
    <definedName name="Japan_3">{"twx1",#N/A,FALSE,"twltm.xls";"twx2",#N/A,FALSE,"twltm.xls";"twx3",#N/A,FALSE,"twltm.xls"}</definedName>
    <definedName name="Japan_3_1">{"twx1",#N/A,FALSE,"twltm.xls";"twx2",#N/A,FALSE,"twltm.xls";"twx3",#N/A,FALSE,"twltm.xls"}</definedName>
    <definedName name="Japan_4">{"twx1",#N/A,FALSE,"twltm.xls";"twx2",#N/A,FALSE,"twltm.xls";"twx3",#N/A,FALSE,"twltm.xls"}</definedName>
    <definedName name="Japan_4_1">{"twx1",#N/A,FALSE,"twltm.xls";"twx2",#N/A,FALSE,"twltm.xls";"twx3",#N/A,FALSE,"twltm.xls"}</definedName>
    <definedName name="Japan_5">{"twx1",#N/A,FALSE,"twltm.xls";"twx2",#N/A,FALSE,"twltm.xls";"twx3",#N/A,FALSE,"twltm.xls"}</definedName>
    <definedName name="Japan_5_1">{"twx1",#N/A,FALSE,"twltm.xls";"twx2",#N/A,FALSE,"twltm.xls";"twx3",#N/A,FALSE,"twltm.xls"}</definedName>
    <definedName name="jen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2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3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3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4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4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5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5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ust">{7}</definedName>
    <definedName name="just_1">{7}</definedName>
    <definedName name="just_1_1">{7}</definedName>
    <definedName name="just_1_1_1">{7}</definedName>
    <definedName name="just_1_2">{7}</definedName>
    <definedName name="just_2">{7}</definedName>
    <definedName name="just_2_1">{7}</definedName>
    <definedName name="just_3">{7}</definedName>
    <definedName name="just_3_1">{7}</definedName>
    <definedName name="just_4">{7}</definedName>
    <definedName name="just_4_1">{7}</definedName>
    <definedName name="just_5">{7}</definedName>
    <definedName name="just_5_1">{7}</definedName>
    <definedName name="klklklkl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1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1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2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3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3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4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4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5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5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LiabilitiesCurrentAccruedLiabilities">0</definedName>
    <definedName name="LiabilitiesCurrentNotesPayable">0</definedName>
    <definedName name="LiabilitiesDeferredIncomeTaxes">0</definedName>
    <definedName name="LiabilitiesOther">0</definedName>
    <definedName name="LiabilitiesUnamortizedInvestmentTaxCredits">0</definedName>
    <definedName name="limcount">1</definedName>
    <definedName name="Map">"Map"</definedName>
    <definedName name="mil">1000000</definedName>
    <definedName name="misc">1</definedName>
    <definedName name="misc2">1</definedName>
    <definedName name="mmmmm">{#N/A,#N/A,FALSE,"Cover";#N/A,#N/A,FALSE,"LUMI";#N/A,#N/A,FALSE,"COMD";#N/A,#N/A,FALSE,"Valuation";#N/A,#N/A,FALSE,"Assumptions";#N/A,#N/A,FALSE,"Pooling";#N/A,#N/A,FALSE,"BalanceSheet"}</definedName>
    <definedName name="mmmmm_1">{#N/A,#N/A,FALSE,"Cover";#N/A,#N/A,FALSE,"LUMI";#N/A,#N/A,FALSE,"COMD";#N/A,#N/A,FALSE,"Valuation";#N/A,#N/A,FALSE,"Assumptions";#N/A,#N/A,FALSE,"Pooling";#N/A,#N/A,FALSE,"BalanceSheet"}</definedName>
    <definedName name="mmmmm_1_1">{#N/A,#N/A,FALSE,"Cover";#N/A,#N/A,FALSE,"LUMI";#N/A,#N/A,FALSE,"COMD";#N/A,#N/A,FALSE,"Valuation";#N/A,#N/A,FALSE,"Assumptions";#N/A,#N/A,FALSE,"Pooling";#N/A,#N/A,FALSE,"BalanceSheet"}</definedName>
    <definedName name="mmmmm_1_1_1">{#N/A,#N/A,FALSE,"Cover";#N/A,#N/A,FALSE,"LUMI";#N/A,#N/A,FALSE,"COMD";#N/A,#N/A,FALSE,"Valuation";#N/A,#N/A,FALSE,"Assumptions";#N/A,#N/A,FALSE,"Pooling";#N/A,#N/A,FALSE,"BalanceSheet"}</definedName>
    <definedName name="mmmmm_1_2">{#N/A,#N/A,FALSE,"Cover";#N/A,#N/A,FALSE,"LUMI";#N/A,#N/A,FALSE,"COMD";#N/A,#N/A,FALSE,"Valuation";#N/A,#N/A,FALSE,"Assumptions";#N/A,#N/A,FALSE,"Pooling";#N/A,#N/A,FALSE,"BalanceSheet"}</definedName>
    <definedName name="mmmmm_2">{#N/A,#N/A,FALSE,"Cover";#N/A,#N/A,FALSE,"LUMI";#N/A,#N/A,FALSE,"COMD";#N/A,#N/A,FALSE,"Valuation";#N/A,#N/A,FALSE,"Assumptions";#N/A,#N/A,FALSE,"Pooling";#N/A,#N/A,FALSE,"BalanceSheet"}</definedName>
    <definedName name="mmmmm_2_1">{#N/A,#N/A,FALSE,"Cover";#N/A,#N/A,FALSE,"LUMI";#N/A,#N/A,FALSE,"COMD";#N/A,#N/A,FALSE,"Valuation";#N/A,#N/A,FALSE,"Assumptions";#N/A,#N/A,FALSE,"Pooling";#N/A,#N/A,FALSE,"BalanceSheet"}</definedName>
    <definedName name="mmmmm_3">{#N/A,#N/A,FALSE,"Cover";#N/A,#N/A,FALSE,"LUMI";#N/A,#N/A,FALSE,"COMD";#N/A,#N/A,FALSE,"Valuation";#N/A,#N/A,FALSE,"Assumptions";#N/A,#N/A,FALSE,"Pooling";#N/A,#N/A,FALSE,"BalanceSheet"}</definedName>
    <definedName name="mmmmm_3_1">{#N/A,#N/A,FALSE,"Cover";#N/A,#N/A,FALSE,"LUMI";#N/A,#N/A,FALSE,"COMD";#N/A,#N/A,FALSE,"Valuation";#N/A,#N/A,FALSE,"Assumptions";#N/A,#N/A,FALSE,"Pooling";#N/A,#N/A,FALSE,"BalanceSheet"}</definedName>
    <definedName name="mmmmm_4">{#N/A,#N/A,FALSE,"Cover";#N/A,#N/A,FALSE,"LUMI";#N/A,#N/A,FALSE,"COMD";#N/A,#N/A,FALSE,"Valuation";#N/A,#N/A,FALSE,"Assumptions";#N/A,#N/A,FALSE,"Pooling";#N/A,#N/A,FALSE,"BalanceSheet"}</definedName>
    <definedName name="mmmmm_4_1">{#N/A,#N/A,FALSE,"Cover";#N/A,#N/A,FALSE,"LUMI";#N/A,#N/A,FALSE,"COMD";#N/A,#N/A,FALSE,"Valuation";#N/A,#N/A,FALSE,"Assumptions";#N/A,#N/A,FALSE,"Pooling";#N/A,#N/A,FALSE,"BalanceSheet"}</definedName>
    <definedName name="mmmmm_5">{#N/A,#N/A,FALSE,"Cover";#N/A,#N/A,FALSE,"LUMI";#N/A,#N/A,FALSE,"COMD";#N/A,#N/A,FALSE,"Valuation";#N/A,#N/A,FALSE,"Assumptions";#N/A,#N/A,FALSE,"Pooling";#N/A,#N/A,FALSE,"BalanceSheet"}</definedName>
    <definedName name="mmmmm_5_1">{#N/A,#N/A,FALSE,"Cover";#N/A,#N/A,FALSE,"LUMI";#N/A,#N/A,FALSE,"COMD";#N/A,#N/A,FALSE,"Valuation";#N/A,#N/A,FALSE,"Assumptions";#N/A,#N/A,FALSE,"Pooling";#N/A,#N/A,FALSE,"BalanceSheet"}</definedName>
    <definedName name="MonitorCol">1</definedName>
    <definedName name="MonitorRow">1</definedName>
    <definedName name="New">{"twx1",#N/A,FALSE,"twltm.xls";"twx2",#N/A,FALSE,"twltm.xls";"twx3",#N/A,FALSE,"twltm.xls"}</definedName>
    <definedName name="New_1">{"twx1",#N/A,FALSE,"twltm.xls";"twx2",#N/A,FALSE,"twltm.xls";"twx3",#N/A,FALSE,"twltm.xls"}</definedName>
    <definedName name="New_1_1">{"twx1",#N/A,FALSE,"twltm.xls";"twx2",#N/A,FALSE,"twltm.xls";"twx3",#N/A,FALSE,"twltm.xls"}</definedName>
    <definedName name="New_1_1_1">{"twx1",#N/A,FALSE,"twltm.xls";"twx2",#N/A,FALSE,"twltm.xls";"twx3",#N/A,FALSE,"twltm.xls"}</definedName>
    <definedName name="New_1_2">{"twx1",#N/A,FALSE,"twltm.xls";"twx2",#N/A,FALSE,"twltm.xls";"twx3",#N/A,FALSE,"twltm.xls"}</definedName>
    <definedName name="New_2">{"twx1",#N/A,FALSE,"twltm.xls";"twx2",#N/A,FALSE,"twltm.xls";"twx3",#N/A,FALSE,"twltm.xls"}</definedName>
    <definedName name="New_2_1">{"twx1",#N/A,FALSE,"twltm.xls";"twx2",#N/A,FALSE,"twltm.xls";"twx3",#N/A,FALSE,"twltm.xls"}</definedName>
    <definedName name="New_3">{"twx1",#N/A,FALSE,"twltm.xls";"twx2",#N/A,FALSE,"twltm.xls";"twx3",#N/A,FALSE,"twltm.xls"}</definedName>
    <definedName name="New_3_1">{"twx1",#N/A,FALSE,"twltm.xls";"twx2",#N/A,FALSE,"twltm.xls";"twx3",#N/A,FALSE,"twltm.xls"}</definedName>
    <definedName name="New_4">{"twx1",#N/A,FALSE,"twltm.xls";"twx2",#N/A,FALSE,"twltm.xls";"twx3",#N/A,FALSE,"twltm.xls"}</definedName>
    <definedName name="New_4_1">{"twx1",#N/A,FALSE,"twltm.xls";"twx2",#N/A,FALSE,"twltm.xls";"twx3",#N/A,FALSE,"twltm.xls"}</definedName>
    <definedName name="New_5">{"twx1",#N/A,FALSE,"twltm.xls";"twx2",#N/A,FALSE,"twltm.xls";"twx3",#N/A,FALSE,"twltm.xls"}</definedName>
    <definedName name="New_5_1">{"twx1",#N/A,FALSE,"twltm.xls";"twx2",#N/A,FALSE,"twltm.xls";"twx3",#N/A,FALSE,"twltm.xls"}</definedName>
    <definedName name="Newer">{"'Segment'!$A$1:$J$45"}</definedName>
    <definedName name="Newer_1">{"'Segment'!$A$1:$J$45"}</definedName>
    <definedName name="Newer_1_1">{"'Segment'!$A$1:$J$45"}</definedName>
    <definedName name="Newer_1_1_1">{"'Segment'!$A$1:$J$45"}</definedName>
    <definedName name="Newer_1_2">{"'Segment'!$A$1:$J$45"}</definedName>
    <definedName name="Newer_2">{"'Segment'!$A$1:$J$45"}</definedName>
    <definedName name="Newer_2_1">{"'Segment'!$A$1:$J$45"}</definedName>
    <definedName name="Newer_3">{"'Segment'!$A$1:$J$45"}</definedName>
    <definedName name="Newer_3_1">{"'Segment'!$A$1:$J$45"}</definedName>
    <definedName name="Newer_4">{"'Segment'!$A$1:$J$45"}</definedName>
    <definedName name="Newer_4_1">{"'Segment'!$A$1:$J$45"}</definedName>
    <definedName name="Newer_5">{"'Segment'!$A$1:$J$45"}</definedName>
    <definedName name="Newer_5_1">{"'Segment'!$A$1:$J$45"}</definedName>
    <definedName name="nmnmm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1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1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2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3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3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4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4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5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5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ormalized_Income_Statement">"IS_Annual"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NplSpec">"%,X,RZF..,CZF.."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NvsValTbl.PRODUCT">"MI_GL_PRODCT_VW"</definedName>
    <definedName name="OHLC">"OHLC"</definedName>
    <definedName name="OK">{#N/A,#N/A,FALSE,"Cover";#N/A,#N/A,FALSE,"LUMI";#N/A,#N/A,FALSE,"COMD";#N/A,#N/A,FALSE,"Valuation";#N/A,#N/A,FALSE,"Assumptions";#N/A,#N/A,FALSE,"Pooling";#N/A,#N/A,FALSE,"BalanceSheet"}</definedName>
    <definedName name="OK_1">{#N/A,#N/A,FALSE,"Cover";#N/A,#N/A,FALSE,"LUMI";#N/A,#N/A,FALSE,"COMD";#N/A,#N/A,FALSE,"Valuation";#N/A,#N/A,FALSE,"Assumptions";#N/A,#N/A,FALSE,"Pooling";#N/A,#N/A,FALSE,"BalanceSheet"}</definedName>
    <definedName name="OK_1_1">{#N/A,#N/A,FALSE,"Cover";#N/A,#N/A,FALSE,"LUMI";#N/A,#N/A,FALSE,"COMD";#N/A,#N/A,FALSE,"Valuation";#N/A,#N/A,FALSE,"Assumptions";#N/A,#N/A,FALSE,"Pooling";#N/A,#N/A,FALSE,"BalanceSheet"}</definedName>
    <definedName name="OK_1_1_1">{#N/A,#N/A,FALSE,"Cover";#N/A,#N/A,FALSE,"LUMI";#N/A,#N/A,FALSE,"COMD";#N/A,#N/A,FALSE,"Valuation";#N/A,#N/A,FALSE,"Assumptions";#N/A,#N/A,FALSE,"Pooling";#N/A,#N/A,FALSE,"BalanceSheet"}</definedName>
    <definedName name="OK_1_2">{#N/A,#N/A,FALSE,"Cover";#N/A,#N/A,FALSE,"LUMI";#N/A,#N/A,FALSE,"COMD";#N/A,#N/A,FALSE,"Valuation";#N/A,#N/A,FALSE,"Assumptions";#N/A,#N/A,FALSE,"Pooling";#N/A,#N/A,FALSE,"BalanceSheet"}</definedName>
    <definedName name="OK_2">{#N/A,#N/A,FALSE,"Cover";#N/A,#N/A,FALSE,"LUMI";#N/A,#N/A,FALSE,"COMD";#N/A,#N/A,FALSE,"Valuation";#N/A,#N/A,FALSE,"Assumptions";#N/A,#N/A,FALSE,"Pooling";#N/A,#N/A,FALSE,"BalanceSheet"}</definedName>
    <definedName name="OK_2_1">{#N/A,#N/A,FALSE,"Cover";#N/A,#N/A,FALSE,"LUMI";#N/A,#N/A,FALSE,"COMD";#N/A,#N/A,FALSE,"Valuation";#N/A,#N/A,FALSE,"Assumptions";#N/A,#N/A,FALSE,"Pooling";#N/A,#N/A,FALSE,"BalanceSheet"}</definedName>
    <definedName name="OK_3">{#N/A,#N/A,FALSE,"Cover";#N/A,#N/A,FALSE,"LUMI";#N/A,#N/A,FALSE,"COMD";#N/A,#N/A,FALSE,"Valuation";#N/A,#N/A,FALSE,"Assumptions";#N/A,#N/A,FALSE,"Pooling";#N/A,#N/A,FALSE,"BalanceSheet"}</definedName>
    <definedName name="OK_3_1">{#N/A,#N/A,FALSE,"Cover";#N/A,#N/A,FALSE,"LUMI";#N/A,#N/A,FALSE,"COMD";#N/A,#N/A,FALSE,"Valuation";#N/A,#N/A,FALSE,"Assumptions";#N/A,#N/A,FALSE,"Pooling";#N/A,#N/A,FALSE,"BalanceSheet"}</definedName>
    <definedName name="OK_4">{#N/A,#N/A,FALSE,"Cover";#N/A,#N/A,FALSE,"LUMI";#N/A,#N/A,FALSE,"COMD";#N/A,#N/A,FALSE,"Valuation";#N/A,#N/A,FALSE,"Assumptions";#N/A,#N/A,FALSE,"Pooling";#N/A,#N/A,FALSE,"BalanceSheet"}</definedName>
    <definedName name="OK_4_1">{#N/A,#N/A,FALSE,"Cover";#N/A,#N/A,FALSE,"LUMI";#N/A,#N/A,FALSE,"COMD";#N/A,#N/A,FALSE,"Valuation";#N/A,#N/A,FALSE,"Assumptions";#N/A,#N/A,FALSE,"Pooling";#N/A,#N/A,FALSE,"BalanceSheet"}</definedName>
    <definedName name="OK_5">{#N/A,#N/A,FALSE,"Cover";#N/A,#N/A,FALSE,"LUMI";#N/A,#N/A,FALSE,"COMD";#N/A,#N/A,FALSE,"Valuation";#N/A,#N/A,FALSE,"Assumptions";#N/A,#N/A,FALSE,"Pooling";#N/A,#N/A,FALSE,"BalanceSheet"}</definedName>
    <definedName name="OK_5_1">{#N/A,#N/A,FALSE,"Cover";#N/A,#N/A,FALSE,"LUMI";#N/A,#N/A,FALSE,"COMD";#N/A,#N/A,FALSE,"Valuation";#N/A,#N/A,FALSE,"Assumptions";#N/A,#N/A,FALSE,"Pooling";#N/A,#N/A,FALSE,"BalanceSheet"}</definedName>
    <definedName name="OpExAmortization">0</definedName>
    <definedName name="OpExBeforeDepreciationAmortizationExtraordinariesOther">0</definedName>
    <definedName name="OpExBeforeDepreciationAmortizationExtraordinariesTotal">0</definedName>
    <definedName name="OpExCostOfEquipment">0</definedName>
    <definedName name="OpExDepreciation">0</definedName>
    <definedName name="OpExGeneralAdministrative">0</definedName>
    <definedName name="OpExSellingMarketing">0</definedName>
    <definedName name="OpExTotal">0</definedName>
    <definedName name="OtherExEquityIncome">0</definedName>
    <definedName name="OtherExGainOnSale">0</definedName>
    <definedName name="OtherExInterestIncome">0</definedName>
    <definedName name="OtherExMinorityInterest">0</definedName>
    <definedName name="OtherExTotal">0</definedName>
    <definedName name="Pdate">35902</definedName>
    <definedName name="perc">{"0.85","0.875","0.9","0.925","0.95","0.975","1","1.025","1.05","1.075","1.1","1.125","1.15"}</definedName>
    <definedName name="perc_1">{"0.85","0.875","0.9","0.925","0.95","0.975","1","1.025","1.05","1.075","1.1","1.125","1.15"}</definedName>
    <definedName name="perc_1_1">{"0.85","0.875","0.9","0.925","0.95","0.975","1","1.025","1.05","1.075","1.1","1.125","1.15"}</definedName>
    <definedName name="perc_1_1_1">{"0.85","0.875","0.9","0.925","0.95","0.975","1","1.025","1.05","1.075","1.1","1.125","1.15"}</definedName>
    <definedName name="perc_1_2">{"0.85","0.875","0.9","0.925","0.95","0.975","1","1.025","1.05","1.075","1.1","1.125","1.15"}</definedName>
    <definedName name="perc_2">{"0.85","0.875","0.9","0.925","0.95","0.975","1","1.025","1.05","1.075","1.1","1.125","1.15"}</definedName>
    <definedName name="perc_2_1">{"0.85","0.875","0.9","0.925","0.95","0.975","1","1.025","1.05","1.075","1.1","1.125","1.15"}</definedName>
    <definedName name="perc_3">{"0.85","0.875","0.9","0.925","0.95","0.975","1","1.025","1.05","1.075","1.1","1.125","1.15"}</definedName>
    <definedName name="perc_3_1">{"0.85","0.875","0.9","0.925","0.95","0.975","1","1.025","1.05","1.075","1.1","1.125","1.15"}</definedName>
    <definedName name="perc_4">{"0.85","0.875","0.9","0.925","0.95","0.975","1","1.025","1.05","1.075","1.1","1.125","1.15"}</definedName>
    <definedName name="perc_4_1">{"0.85","0.875","0.9","0.925","0.95","0.975","1","1.025","1.05","1.075","1.1","1.125","1.15"}</definedName>
    <definedName name="perc_5">{"0.85","0.875","0.9","0.925","0.95","0.975","1","1.025","1.05","1.075","1.1","1.125","1.15"}</definedName>
    <definedName name="perc_5_1">{"0.85","0.875","0.9","0.925","0.95","0.975","1","1.025","1.05","1.075","1.1","1.125","1.15"}</definedName>
    <definedName name="PieChart">"PieChart"</definedName>
    <definedName name="pooling_Premium">25%</definedName>
    <definedName name="price_date">36098</definedName>
    <definedName name="ProjectName">{"Client Name or Project Name"}</definedName>
    <definedName name="ProjectName_1">{"Client Name or Project Name"}</definedName>
    <definedName name="ProjectName_1_1">{"Client Name or Project Name"}</definedName>
    <definedName name="ProjectName_1_1_1">{"Client Name or Project Name"}</definedName>
    <definedName name="ProjectName_1_2">{"Client Name or Project Name"}</definedName>
    <definedName name="ProjectName_2">{"Client Name or Project Name"}</definedName>
    <definedName name="ProjectName_2_1">{"Client Name or Project Name"}</definedName>
    <definedName name="ProjectName_3">{"Client Name or Project Name"}</definedName>
    <definedName name="ProjectName_3_1">{"Client Name or Project Name"}</definedName>
    <definedName name="ProjectName_4">{"Client Name or Project Name"}</definedName>
    <definedName name="ProjectName_4_1">{"Client Name or Project Name"}</definedName>
    <definedName name="ProjectName_5">{"Client Name or Project Name"}</definedName>
    <definedName name="ProjectName_5_1">{"Client Name or Project Name"}</definedName>
    <definedName name="Purchase_Premium_A">25%</definedName>
    <definedName name="Purchase_Premium_B">0.25</definedName>
    <definedName name="qw">{"Client Name or Project Name"}</definedName>
    <definedName name="qw_1">{"Client Name or Project Name"}</definedName>
    <definedName name="qw_1_1">{"Client Name or Project Name"}</definedName>
    <definedName name="qw_2">{"Client Name or Project Name"}</definedName>
    <definedName name="redux">1</definedName>
    <definedName name="referf">{"Client Name or Project Name"}</definedName>
    <definedName name="referf_1">{"Client Name or Project Name"}</definedName>
    <definedName name="referf_1_1">{"Client Name or Project Name"}</definedName>
    <definedName name="referf_1_1_1">{"Client Name or Project Name"}</definedName>
    <definedName name="referf_1_2">{"Client Name or Project Name"}</definedName>
    <definedName name="referf_2">{"Client Name or Project Name"}</definedName>
    <definedName name="referf_2_1">{"Client Name or Project Name"}</definedName>
    <definedName name="referf_3">{"Client Name or Project Name"}</definedName>
    <definedName name="referf_3_1">{"Client Name or Project Name"}</definedName>
    <definedName name="referf_4">{"Client Name or Project Name"}</definedName>
    <definedName name="referf_4_1">{"Client Name or Project Name"}</definedName>
    <definedName name="referf_5">{"Client Name or Project Name"}</definedName>
    <definedName name="referf_5_1">{"Client Name or Project Name"}</definedName>
    <definedName name="refw2324">{7}</definedName>
    <definedName name="refw2324_1">{7}</definedName>
    <definedName name="refw2324_1_1">{7}</definedName>
    <definedName name="refw2324_1_1_1">{7}</definedName>
    <definedName name="refw2324_1_2">{7}</definedName>
    <definedName name="refw2324_2">{7}</definedName>
    <definedName name="refw2324_2_1">{7}</definedName>
    <definedName name="refw2324_3">{7}</definedName>
    <definedName name="refw2324_3_1">{7}</definedName>
    <definedName name="refw2324_4">{7}</definedName>
    <definedName name="refw2324_4_1">{7}</definedName>
    <definedName name="refw2324_5">{7}</definedName>
    <definedName name="refw2324_5_1">{7}</definedName>
    <definedName name="refww43wed">{7}</definedName>
    <definedName name="refww43wed_1">{7}</definedName>
    <definedName name="refww43wed_1_1">{7}</definedName>
    <definedName name="refww43wed_1_1_1">{7}</definedName>
    <definedName name="refww43wed_1_2">{7}</definedName>
    <definedName name="refww43wed_2">{7}</definedName>
    <definedName name="refww43wed_2_1">{7}</definedName>
    <definedName name="refww43wed_3">{7}</definedName>
    <definedName name="refww43wed_3_1">{7}</definedName>
    <definedName name="refww43wed_4">{7}</definedName>
    <definedName name="refww43wed_4_1">{7}</definedName>
    <definedName name="refww43wed_5">{7}</definedName>
    <definedName name="refww43wed_5_1">{7}</definedName>
    <definedName name="RevenuesCellularEquipment">0</definedName>
    <definedName name="RevenuesCellularOther">0</definedName>
    <definedName name="RevenuesCellularService">0</definedName>
    <definedName name="RevenuesCellularTotal">0</definedName>
    <definedName name="RevenuesPagingEquipment">0</definedName>
    <definedName name="RevenuesPagingOther">0</definedName>
    <definedName name="RevenuesPagingService">0</definedName>
    <definedName name="RevenuesPagingTotal">0</definedName>
    <definedName name="RevenuesWirelessEquipment">0</definedName>
    <definedName name="RevenuesWirelessOther">0</definedName>
    <definedName name="RevenuesWirelessService">0</definedName>
    <definedName name="rsdfg4">{7}</definedName>
    <definedName name="rsdfg4_1">{7}</definedName>
    <definedName name="rsdfg4_1_1">{7}</definedName>
    <definedName name="rsdfg4_1_1_1">{7}</definedName>
    <definedName name="rsdfg4_1_2">{7}</definedName>
    <definedName name="rsdfg4_2">{7}</definedName>
    <definedName name="rsdfg4_2_1">{7}</definedName>
    <definedName name="rsdfg4_3">{7}</definedName>
    <definedName name="rsdfg4_3_1">{7}</definedName>
    <definedName name="rsdfg4_4">{7}</definedName>
    <definedName name="rsdfg4_4_1">{7}</definedName>
    <definedName name="rsdfg4_5">{7}</definedName>
    <definedName name="rsdfg4_5_1">{7}</definedName>
    <definedName name="sadfa">{"Client Name or Project Name"}</definedName>
    <definedName name="sadfa_1">{"Client Name or Project Name"}</definedName>
    <definedName name="sadfa_1_1">{"Client Name or Project Name"}</definedName>
    <definedName name="sadfa_1_1_1">{"Client Name or Project Name"}</definedName>
    <definedName name="sadfa_1_2">{"Client Name or Project Name"}</definedName>
    <definedName name="sadfa_2">{"Client Name or Project Name"}</definedName>
    <definedName name="sadfa_2_1">{"Client Name or Project Name"}</definedName>
    <definedName name="sadfa_3">{"Client Name or Project Name"}</definedName>
    <definedName name="sadfa_3_1">{"Client Name or Project Name"}</definedName>
    <definedName name="sadfa_4">{"Client Name or Project Name"}</definedName>
    <definedName name="sadfa_4_1">{"Client Name or Project Name"}</definedName>
    <definedName name="sadfa_5">{"Client Name or Project Name"}</definedName>
    <definedName name="sadfa_5_1">{"Client Name or Project Name"}</definedName>
    <definedName name="Scatter">"Scatter"</definedName>
    <definedName name="sdaf43">{"Client Name or Project Name"}</definedName>
    <definedName name="sdaf43_1">{"Client Name or Project Name"}</definedName>
    <definedName name="sdaf43_1_1">{"Client Name or Project Name"}</definedName>
    <definedName name="sdaf43_1_1_1">{"Client Name or Project Name"}</definedName>
    <definedName name="sdaf43_1_2">{"Client Name or Project Name"}</definedName>
    <definedName name="sdaf43_2">{"Client Name or Project Name"}</definedName>
    <definedName name="sdaf43_2_1">{"Client Name or Project Name"}</definedName>
    <definedName name="sdaf43_3">{"Client Name or Project Name"}</definedName>
    <definedName name="sdaf43_3_1">{"Client Name or Project Name"}</definedName>
    <definedName name="sdaf43_4">{"Client Name or Project Name"}</definedName>
    <definedName name="sdaf43_4_1">{"Client Name or Project Name"}</definedName>
    <definedName name="sdaf43_5">{"Client Name or Project Name"}</definedName>
    <definedName name="sdaf43_5_1">{"Client Name or Project Name"}</definedName>
    <definedName name="segment">{"Client Name or Project Name"}</definedName>
    <definedName name="segment_1">{"Client Name or Project Name"}</definedName>
    <definedName name="segment_1_1">{"Client Name or Project Name"}</definedName>
    <definedName name="segment_1_1_1">{"Client Name or Project Name"}</definedName>
    <definedName name="segment_1_2">{"Client Name or Project Name"}</definedName>
    <definedName name="segment_2">{"Client Name or Project Name"}</definedName>
    <definedName name="segment_2_1">{"Client Name or Project Name"}</definedName>
    <definedName name="segment_3">{"Client Name or Project Name"}</definedName>
    <definedName name="segment_3_1">{"Client Name or Project Name"}</definedName>
    <definedName name="segment_4">{"Client Name or Project Name"}</definedName>
    <definedName name="segment_4_1">{"Client Name or Project Name"}</definedName>
    <definedName name="segment_5">{"Client Name or Project Name"}</definedName>
    <definedName name="segment_5_1">{"Client Name or Project Name"}</definedName>
    <definedName name="sencount">1</definedName>
    <definedName name="seniorRate">"SrRate"</definedName>
    <definedName name="Series">"Series"</definedName>
    <definedName name="SharesConvertibleSecurities">0</definedName>
    <definedName name="SharesFullyDiluted">0</definedName>
    <definedName name="SharesOptions">0</definedName>
    <definedName name="SharesOutstandingLatestDate">0</definedName>
    <definedName name="SharesOutstandingOther">0</definedName>
    <definedName name="SharesOutstandingSenior">0</definedName>
    <definedName name="SharesOutstandingSubordinate">0</definedName>
    <definedName name="SharesPrimary">0</definedName>
    <definedName name="SharesWarrants">0</definedName>
    <definedName name="springland">{"Client Name or Project Name"}</definedName>
    <definedName name="springland_1">{"Client Name or Project Name"}</definedName>
    <definedName name="springland_1_1">{"Client Name or Project Name"}</definedName>
    <definedName name="springland_2">{"Client Name or Project Name"}</definedName>
    <definedName name="SPWS_WBID">"BBD18B9B-24A7-11D7-89C2-00105AC8DCBF"</definedName>
    <definedName name="SrRate">"SrRating"</definedName>
    <definedName name="StatsAccessLinesDomesticInternationalTotalAverage">0</definedName>
    <definedName name="StatsAccessLinesTotalAverage">0</definedName>
    <definedName name="StatsAverageMonthlyRevenue">0</definedName>
    <definedName name="StatsEmployeesConsolidatedInternational">0</definedName>
    <definedName name="StatsEmployeesTelephoneInternational">0</definedName>
    <definedName name="StatsPagingAverageMonthlyRevenue">0</definedName>
    <definedName name="StatsPagingSubscribers">0</definedName>
    <definedName name="StatsPenetration">0</definedName>
    <definedName name="StatsPOPS">0</definedName>
    <definedName name="StatsProportionatePenetration">0</definedName>
    <definedName name="StatsProportionatePOPS">0</definedName>
    <definedName name="StatsProportionateSubscribersAverage">0</definedName>
    <definedName name="StatsProportionateSubscribersBeginning">0</definedName>
    <definedName name="StatsProportionateSubscribersEnding">0</definedName>
    <definedName name="StatsProportionateSubscribersNetAdds">0</definedName>
    <definedName name="StatsSubscribersAverage">0</definedName>
    <definedName name="StatsSubscribersBeginning">0</definedName>
    <definedName name="StatsSubscribersEnding">0</definedName>
    <definedName name="StatsSubscribersNetAdds">0</definedName>
    <definedName name="Stripe">"Stripe"</definedName>
    <definedName name="swe">#N/A</definedName>
    <definedName name="T_Dis">16%</definedName>
    <definedName name="T_growth">6%</definedName>
    <definedName name="Table">"Table"</definedName>
    <definedName name="Target_Net_Debt">"targ_netdebt"</definedName>
    <definedName name="tax_rate">38%</definedName>
    <definedName name="This_Year">"1998E"</definedName>
    <definedName name="TreeMap">"TreeMap"</definedName>
    <definedName name="tuiytre">{7}</definedName>
    <definedName name="tuiytre_1">{7}</definedName>
    <definedName name="Tx_Rate">16%</definedName>
    <definedName name="ui_1">{7}</definedName>
    <definedName name="ui_1_1">{7}</definedName>
    <definedName name="ui_1_1_1">{7}</definedName>
    <definedName name="ui_1_2">{7}</definedName>
    <definedName name="ui_2">{7}</definedName>
    <definedName name="ui_2_1">{7}</definedName>
    <definedName name="ui_3">{7}</definedName>
    <definedName name="ui_3_1">{7}</definedName>
    <definedName name="ui_4">{7}</definedName>
    <definedName name="ui_4_1">{7}</definedName>
    <definedName name="ui_5">{7}</definedName>
    <definedName name="ui_5_1">{7}</definedName>
    <definedName name="ukryjethrg">{"Client Name or Project Name"}</definedName>
    <definedName name="ukryjethrg_1">{"Client Name or Project Name"}</definedName>
    <definedName name="ValuationAdjustmentsOther">0</definedName>
    <definedName name="ValuationAdjustmentsValue">0</definedName>
    <definedName name="ValuationCellularValue">0</definedName>
    <definedName name="ValuationDebtAdjustment">0</definedName>
    <definedName name="ValuationDebtNet">0</definedName>
    <definedName name="ValuationDebtTotal">0</definedName>
    <definedName name="ValuationFirmValue">0</definedName>
    <definedName name="ValuationInvestments">0</definedName>
    <definedName name="ValuationMarketCapitalization">0</definedName>
    <definedName name="ValuationOtherValue">0</definedName>
    <definedName name="ValuationPagingValue">0</definedName>
    <definedName name="ValuationTelephoneValue">0</definedName>
    <definedName name="ValuationWirelessValue">0</definedName>
    <definedName name="Waterfall">"Waterfall"</definedName>
    <definedName name="wrn.Accounts.">{"turnover",#N/A,FALSE;"profits",#N/A,FALSE;"cash",#N/A,FALSE}</definedName>
    <definedName name="wrn.Accounts._1">{"turnover",#N/A,FALSE;"profits",#N/A,FALSE;"cash",#N/A,FALSE}</definedName>
    <definedName name="wrn.Accounts._1_1">{"turnover",#N/A,FALSE;"profits",#N/A,FALSE;"cash",#N/A,FALSE}</definedName>
    <definedName name="wrn.Accounts._1_1_1">{"turnover",#N/A,FALSE;"profits",#N/A,FALSE;"cash",#N/A,FALSE}</definedName>
    <definedName name="wrn.Accounts._1_2">{"turnover",#N/A,FALSE;"profits",#N/A,FALSE;"cash",#N/A,FALSE}</definedName>
    <definedName name="wrn.Accounts._2">{"turnover",#N/A,FALSE;"profits",#N/A,FALSE;"cash",#N/A,FALSE}</definedName>
    <definedName name="wrn.Accounts._2_1">{"turnover",#N/A,FALSE;"profits",#N/A,FALSE;"cash",#N/A,FALSE}</definedName>
    <definedName name="wrn.Accounts._3">{"turnover",#N/A,FALSE;"profits",#N/A,FALSE;"cash",#N/A,FALSE}</definedName>
    <definedName name="wrn.Accounts._3_1">{"turnover",#N/A,FALSE;"profits",#N/A,FALSE;"cash",#N/A,FALSE}</definedName>
    <definedName name="wrn.Accounts._4">{"turnover",#N/A,FALSE;"profits",#N/A,FALSE;"cash",#N/A,FALSE}</definedName>
    <definedName name="wrn.Accounts._4_1">{"turnover",#N/A,FALSE;"profits",#N/A,FALSE;"cash",#N/A,FALSE}</definedName>
    <definedName name="wrn.Accounts._5">{"turnover",#N/A,FALSE;"profits",#N/A,FALSE;"cash",#N/A,FALSE}</definedName>
    <definedName name="wrn.Accounts._5_1">{"turnover",#N/A,FALSE;"profits",#N/A,FALSE;"cash",#N/A,FALSE}</definedName>
    <definedName name="wrn.allpages.">{#N/A,#N/A,TRUE,"Historicals";#N/A,#N/A,TRUE,"Charts";#N/A,#N/A,TRUE,"Forecasts"}</definedName>
    <definedName name="wrn.allpages._1">{#N/A,#N/A,TRUE,"Historicals";#N/A,#N/A,TRUE,"Charts";#N/A,#N/A,TRUE,"Forecasts"}</definedName>
    <definedName name="wrn.allpages._1_1">{#N/A,#N/A,TRUE,"Historicals";#N/A,#N/A,TRUE,"Charts";#N/A,#N/A,TRUE,"Forecasts"}</definedName>
    <definedName name="wrn.allpages._1_1_1">{#N/A,#N/A,TRUE,"Historicals";#N/A,#N/A,TRUE,"Charts";#N/A,#N/A,TRUE,"Forecasts"}</definedName>
    <definedName name="wrn.allpages._1_2">{#N/A,#N/A,TRUE,"Historicals";#N/A,#N/A,TRUE,"Charts";#N/A,#N/A,TRUE,"Forecasts"}</definedName>
    <definedName name="wrn.allpages._2">{#N/A,#N/A,TRUE,"Historicals";#N/A,#N/A,TRUE,"Charts";#N/A,#N/A,TRUE,"Forecasts"}</definedName>
    <definedName name="wrn.allpages._2_1">{#N/A,#N/A,TRUE,"Historicals";#N/A,#N/A,TRUE,"Charts";#N/A,#N/A,TRUE,"Forecasts"}</definedName>
    <definedName name="wrn.allpages._3">{#N/A,#N/A,TRUE,"Historicals";#N/A,#N/A,TRUE,"Charts";#N/A,#N/A,TRUE,"Forecasts"}</definedName>
    <definedName name="wrn.allpages._3_1">{#N/A,#N/A,TRUE,"Historicals";#N/A,#N/A,TRUE,"Charts";#N/A,#N/A,TRUE,"Forecasts"}</definedName>
    <definedName name="wrn.allpages._4">{#N/A,#N/A,TRUE,"Historicals";#N/A,#N/A,TRUE,"Charts";#N/A,#N/A,TRUE,"Forecasts"}</definedName>
    <definedName name="wrn.allpages._4_1">{#N/A,#N/A,TRUE,"Historicals";#N/A,#N/A,TRUE,"Charts";#N/A,#N/A,TRUE,"Forecasts"}</definedName>
    <definedName name="wrn.allpages._5">{#N/A,#N/A,TRUE,"Historicals";#N/A,#N/A,TRUE,"Charts";#N/A,#N/A,TRUE,"Forecasts"}</definedName>
    <definedName name="wrn.allpages._5_1">{#N/A,#N/A,TRUE,"Historicals";#N/A,#N/A,TRUE,"Charts";#N/A,#N/A,TRUE,"Forecasts"}</definedName>
    <definedName name="wrn.Comcast.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1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1_1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1_2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2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2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3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3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4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4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5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5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nsolidated._.Statements.">{"view1",#N/A,FALSE,"EARN (US$)";"view1",#N/A,FALSE,"DASTBS (US$)";"view1",#N/A,FALSE,"DASTCF (US$)"}</definedName>
    <definedName name="wrn.Consolidated._.Statements._1">{"view1",#N/A,FALSE,"EARN (US$)";"view1",#N/A,FALSE,"DASTBS (US$)";"view1",#N/A,FALSE,"DASTCF (US$)"}</definedName>
    <definedName name="wrn.Consolidated._.Statements._1_1">{"view1",#N/A,FALSE,"EARN (US$)";"view1",#N/A,FALSE,"DASTBS (US$)";"view1",#N/A,FALSE,"DASTCF (US$)"}</definedName>
    <definedName name="wrn.Consolidated._.Statements._1_1_1">{"view1",#N/A,FALSE,"EARN (US$)";"view1",#N/A,FALSE,"DASTBS (US$)";"view1",#N/A,FALSE,"DASTCF (US$)"}</definedName>
    <definedName name="wrn.Consolidated._.Statements._1_2">{"view1",#N/A,FALSE,"EARN (US$)";"view1",#N/A,FALSE,"DASTBS (US$)";"view1",#N/A,FALSE,"DASTCF (US$)"}</definedName>
    <definedName name="wrn.Consolidated._.Statements._2">{"view1",#N/A,FALSE,"EARN (US$)";"view1",#N/A,FALSE,"DASTBS (US$)";"view1",#N/A,FALSE,"DASTCF (US$)"}</definedName>
    <definedName name="wrn.Consolidated._.Statements._2_1">{"view1",#N/A,FALSE,"EARN (US$)";"view1",#N/A,FALSE,"DASTBS (US$)";"view1",#N/A,FALSE,"DASTCF (US$)"}</definedName>
    <definedName name="wrn.Consolidated._.Statements._3">{"view1",#N/A,FALSE,"EARN (US$)";"view1",#N/A,FALSE,"DASTBS (US$)";"view1",#N/A,FALSE,"DASTCF (US$)"}</definedName>
    <definedName name="wrn.Consolidated._.Statements._3_1">{"view1",#N/A,FALSE,"EARN (US$)";"view1",#N/A,FALSE,"DASTBS (US$)";"view1",#N/A,FALSE,"DASTCF (US$)"}</definedName>
    <definedName name="wrn.Consolidated._.Statements._4">{"view1",#N/A,FALSE,"EARN (US$)";"view1",#N/A,FALSE,"DASTBS (US$)";"view1",#N/A,FALSE,"DASTCF (US$)"}</definedName>
    <definedName name="wrn.Consolidated._.Statements._4_1">{"view1",#N/A,FALSE,"EARN (US$)";"view1",#N/A,FALSE,"DASTBS (US$)";"view1",#N/A,FALSE,"DASTCF (US$)"}</definedName>
    <definedName name="wrn.Consolidated._.Statements._5">{"view1",#N/A,FALSE,"EARN (US$)";"view1",#N/A,FALSE,"DASTBS (US$)";"view1",#N/A,FALSE,"DASTCF (US$)"}</definedName>
    <definedName name="wrn.Consolidated._.Statements._5_1">{"view1",#N/A,FALSE,"EARN (US$)";"view1",#N/A,FALSE,"DASTBS (US$)";"view1",#N/A,FALSE,"DASTCF (US$)"}</definedName>
    <definedName name="wrn.Covers.">{"view1",#N/A,FALSE,"MOTEARN";"view1",#N/A,FALSE,"Bal Sht";"view1",#N/A,FALSE,"Cash Flows"}</definedName>
    <definedName name="wrn.Covers._1">{"view1",#N/A,FALSE,"MOTEARN";"view1",#N/A,FALSE,"Bal Sht";"view1",#N/A,FALSE,"Cash Flows"}</definedName>
    <definedName name="wrn.Covers._1_1">{"view1",#N/A,FALSE,"MOTEARN";"view1",#N/A,FALSE,"Bal Sht";"view1",#N/A,FALSE,"Cash Flows"}</definedName>
    <definedName name="wrn.Covers._1_1_1">{"view1",#N/A,FALSE,"MOTEARN";"view1",#N/A,FALSE,"Bal Sht";"view1",#N/A,FALSE,"Cash Flows"}</definedName>
    <definedName name="wrn.Covers._1_2">{"view1",#N/A,FALSE,"MOTEARN";"view1",#N/A,FALSE,"Bal Sht";"view1",#N/A,FALSE,"Cash Flows"}</definedName>
    <definedName name="wrn.Covers._2">{"view1",#N/A,FALSE,"MOTEARN";"view1",#N/A,FALSE,"Bal Sht";"view1",#N/A,FALSE,"Cash Flows"}</definedName>
    <definedName name="wrn.Covers._2_1">{"view1",#N/A,FALSE,"MOTEARN";"view1",#N/A,FALSE,"Bal Sht";"view1",#N/A,FALSE,"Cash Flows"}</definedName>
    <definedName name="wrn.Covers._3">{"view1",#N/A,FALSE,"MOTEARN";"view1",#N/A,FALSE,"Bal Sht";"view1",#N/A,FALSE,"Cash Flows"}</definedName>
    <definedName name="wrn.Covers._3_1">{"view1",#N/A,FALSE,"MOTEARN";"view1",#N/A,FALSE,"Bal Sht";"view1",#N/A,FALSE,"Cash Flows"}</definedName>
    <definedName name="wrn.Covers._4">{"view1",#N/A,FALSE,"MOTEARN";"view1",#N/A,FALSE,"Bal Sht";"view1",#N/A,FALSE,"Cash Flows"}</definedName>
    <definedName name="wrn.Covers._4_1">{"view1",#N/A,FALSE,"MOTEARN";"view1",#N/A,FALSE,"Bal Sht";"view1",#N/A,FALSE,"Cash Flows"}</definedName>
    <definedName name="wrn.Covers._5">{"view1",#N/A,FALSE,"MOTEARN";"view1",#N/A,FALSE,"Bal Sht";"view1",#N/A,FALSE,"Cash Flows"}</definedName>
    <definedName name="wrn.Covers._5_1">{"view1",#N/A,FALSE,"MOTEARN";"view1",#N/A,FALSE,"Bal Sht";"view1",#N/A,FALSE,"Cash Flows"}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1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2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4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4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5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5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Leases.xls.">{#N/A,#N/A,FALSE,"Initial Year";#N/A,#N/A,FALSE,"Historical";#N/A,#N/A,FALSE,"balsheet";#N/A,#N/A,FALSE,"incstate";#N/A,#N/A,FALSE,"Fleet"}</definedName>
    <definedName name="wrn.Leases.xls._1">{#N/A,#N/A,FALSE,"Initial Year";#N/A,#N/A,FALSE,"Historical";#N/A,#N/A,FALSE,"balsheet";#N/A,#N/A,FALSE,"incstate";#N/A,#N/A,FALSE,"Fleet"}</definedName>
    <definedName name="wrn.Leases.xls._1_1">{#N/A,#N/A,FALSE,"Initial Year";#N/A,#N/A,FALSE,"Historical";#N/A,#N/A,FALSE,"balsheet";#N/A,#N/A,FALSE,"incstate";#N/A,#N/A,FALSE,"Fleet"}</definedName>
    <definedName name="wrn.Leases.xls._1_1_1">{#N/A,#N/A,FALSE,"Initial Year";#N/A,#N/A,FALSE,"Historical";#N/A,#N/A,FALSE,"balsheet";#N/A,#N/A,FALSE,"incstate";#N/A,#N/A,FALSE,"Fleet"}</definedName>
    <definedName name="wrn.Leases.xls._1_2">{#N/A,#N/A,FALSE,"Initial Year";#N/A,#N/A,FALSE,"Historical";#N/A,#N/A,FALSE,"balsheet";#N/A,#N/A,FALSE,"incstate";#N/A,#N/A,FALSE,"Fleet"}</definedName>
    <definedName name="wrn.Leases.xls._2">{#N/A,#N/A,FALSE,"Initial Year";#N/A,#N/A,FALSE,"Historical";#N/A,#N/A,FALSE,"balsheet";#N/A,#N/A,FALSE,"incstate";#N/A,#N/A,FALSE,"Fleet"}</definedName>
    <definedName name="wrn.Leases.xls._2_1">{#N/A,#N/A,FALSE,"Initial Year";#N/A,#N/A,FALSE,"Historical";#N/A,#N/A,FALSE,"balsheet";#N/A,#N/A,FALSE,"incstate";#N/A,#N/A,FALSE,"Fleet"}</definedName>
    <definedName name="wrn.Leases.xls._3">{#N/A,#N/A,FALSE,"Initial Year";#N/A,#N/A,FALSE,"Historical";#N/A,#N/A,FALSE,"balsheet";#N/A,#N/A,FALSE,"incstate";#N/A,#N/A,FALSE,"Fleet"}</definedName>
    <definedName name="wrn.Leases.xls._3_1">{#N/A,#N/A,FALSE,"Initial Year";#N/A,#N/A,FALSE,"Historical";#N/A,#N/A,FALSE,"balsheet";#N/A,#N/A,FALSE,"incstate";#N/A,#N/A,FALSE,"Fleet"}</definedName>
    <definedName name="wrn.Leases.xls._4">{#N/A,#N/A,FALSE,"Initial Year";#N/A,#N/A,FALSE,"Historical";#N/A,#N/A,FALSE,"balsheet";#N/A,#N/A,FALSE,"incstate";#N/A,#N/A,FALSE,"Fleet"}</definedName>
    <definedName name="wrn.Leases.xls._4_1">{#N/A,#N/A,FALSE,"Initial Year";#N/A,#N/A,FALSE,"Historical";#N/A,#N/A,FALSE,"balsheet";#N/A,#N/A,FALSE,"incstate";#N/A,#N/A,FALSE,"Fleet"}</definedName>
    <definedName name="wrn.Leases.xls._5">{#N/A,#N/A,FALSE,"Initial Year";#N/A,#N/A,FALSE,"Historical";#N/A,#N/A,FALSE,"balsheet";#N/A,#N/A,FALSE,"incstate";#N/A,#N/A,FALSE,"Fleet"}</definedName>
    <definedName name="wrn.Leases.xls._5_1">{#N/A,#N/A,FALSE,"Initial Year";#N/A,#N/A,FALSE,"Historical";#N/A,#N/A,FALSE,"balsheet";#N/A,#N/A,FALSE,"incstate";#N/A,#N/A,FALSE,"Fleet"}</definedName>
    <definedName name="wrn.Model.">{#N/A,#N/A,FALSE,"Cover";#N/A,#N/A,FALSE,"LUMI";#N/A,#N/A,FALSE,"COMD";#N/A,#N/A,FALSE,"Valuation";#N/A,#N/A,FALSE,"Assumptions";#N/A,#N/A,FALSE,"Pooling";#N/A,#N/A,FALSE,"BalanceSheet"}</definedName>
    <definedName name="wrn.Model._1">{#N/A,#N/A,FALSE,"Cover";#N/A,#N/A,FALSE,"LUMI";#N/A,#N/A,FALSE,"COMD";#N/A,#N/A,FALSE,"Valuation";#N/A,#N/A,FALSE,"Assumptions";#N/A,#N/A,FALSE,"Pooling";#N/A,#N/A,FALSE,"BalanceSheet"}</definedName>
    <definedName name="wrn.Model._1_1">{#N/A,#N/A,FALSE,"Cover";#N/A,#N/A,FALSE,"LUMI";#N/A,#N/A,FALSE,"COMD";#N/A,#N/A,FALSE,"Valuation";#N/A,#N/A,FALSE,"Assumptions";#N/A,#N/A,FALSE,"Pooling";#N/A,#N/A,FALSE,"BalanceSheet"}</definedName>
    <definedName name="wrn.Model._1_1_1">{#N/A,#N/A,FALSE,"Cover";#N/A,#N/A,FALSE,"LUMI";#N/A,#N/A,FALSE,"COMD";#N/A,#N/A,FALSE,"Valuation";#N/A,#N/A,FALSE,"Assumptions";#N/A,#N/A,FALSE,"Pooling";#N/A,#N/A,FALSE,"BalanceSheet"}</definedName>
    <definedName name="wrn.Model._1_2">{#N/A,#N/A,FALSE,"Cover";#N/A,#N/A,FALSE,"LUMI";#N/A,#N/A,FALSE,"COMD";#N/A,#N/A,FALSE,"Valuation";#N/A,#N/A,FALSE,"Assumptions";#N/A,#N/A,FALSE,"Pooling";#N/A,#N/A,FALSE,"BalanceSheet"}</definedName>
    <definedName name="wrn.Model._2">{#N/A,#N/A,FALSE,"Cover";#N/A,#N/A,FALSE,"LUMI";#N/A,#N/A,FALSE,"COMD";#N/A,#N/A,FALSE,"Valuation";#N/A,#N/A,FALSE,"Assumptions";#N/A,#N/A,FALSE,"Pooling";#N/A,#N/A,FALSE,"BalanceSheet"}</definedName>
    <definedName name="wrn.Model._2_1">{#N/A,#N/A,FALSE,"Cover";#N/A,#N/A,FALSE,"LUMI";#N/A,#N/A,FALSE,"COMD";#N/A,#N/A,FALSE,"Valuation";#N/A,#N/A,FALSE,"Assumptions";#N/A,#N/A,FALSE,"Pooling";#N/A,#N/A,FALSE,"BalanceSheet"}</definedName>
    <definedName name="wrn.Model._3">{#N/A,#N/A,FALSE,"Cover";#N/A,#N/A,FALSE,"LUMI";#N/A,#N/A,FALSE,"COMD";#N/A,#N/A,FALSE,"Valuation";#N/A,#N/A,FALSE,"Assumptions";#N/A,#N/A,FALSE,"Pooling";#N/A,#N/A,FALSE,"BalanceSheet"}</definedName>
    <definedName name="wrn.Model._3_1">{#N/A,#N/A,FALSE,"Cover";#N/A,#N/A,FALSE,"LUMI";#N/A,#N/A,FALSE,"COMD";#N/A,#N/A,FALSE,"Valuation";#N/A,#N/A,FALSE,"Assumptions";#N/A,#N/A,FALSE,"Pooling";#N/A,#N/A,FALSE,"BalanceSheet"}</definedName>
    <definedName name="wrn.Model._4">{#N/A,#N/A,FALSE,"Cover";#N/A,#N/A,FALSE,"LUMI";#N/A,#N/A,FALSE,"COMD";#N/A,#N/A,FALSE,"Valuation";#N/A,#N/A,FALSE,"Assumptions";#N/A,#N/A,FALSE,"Pooling";#N/A,#N/A,FALSE,"BalanceSheet"}</definedName>
    <definedName name="wrn.Model._4_1">{#N/A,#N/A,FALSE,"Cover";#N/A,#N/A,FALSE,"LUMI";#N/A,#N/A,FALSE,"COMD";#N/A,#N/A,FALSE,"Valuation";#N/A,#N/A,FALSE,"Assumptions";#N/A,#N/A,FALSE,"Pooling";#N/A,#N/A,FALSE,"BalanceSheet"}</definedName>
    <definedName name="wrn.Model._5">{#N/A,#N/A,FALSE,"Cover";#N/A,#N/A,FALSE,"LUMI";#N/A,#N/A,FALSE,"COMD";#N/A,#N/A,FALSE,"Valuation";#N/A,#N/A,FALSE,"Assumptions";#N/A,#N/A,FALSE,"Pooling";#N/A,#N/A,FALSE,"BalanceSheet"}</definedName>
    <definedName name="wrn.Model._5_1">{#N/A,#N/A,FALSE,"Cover";#N/A,#N/A,FALSE,"LUMI";#N/A,#N/A,FALSE,"COMD";#N/A,#N/A,FALSE,"Valuation";#N/A,#N/A,FALSE,"Assumptions";#N/A,#N/A,FALSE,"Pooling";#N/A,#N/A,FALSE,"BalanceSheet"}</definedName>
    <definedName name="wrn.Models.">{"cable_one",#N/A,FALSE,"cable 96-02";"cable_two",#N/A,FALSE,"cable 96-02";"Newrev_one",#N/A,FALSE,"New rev 97 - 02";"Newrev_two",#N/A,FALSE,"New rev 97 - 02"}</definedName>
    <definedName name="wrn.Models._1">{"cable_one",#N/A,FALSE,"cable 96-02";"cable_two",#N/A,FALSE,"cable 96-02";"Newrev_one",#N/A,FALSE,"New rev 97 - 02";"Newrev_two",#N/A,FALSE,"New rev 97 - 02"}</definedName>
    <definedName name="wrn.Models._1_1">{"cable_one",#N/A,FALSE,"cable 96-02";"cable_two",#N/A,FALSE,"cable 96-02";"Newrev_one",#N/A,FALSE,"New rev 97 - 02";"Newrev_two",#N/A,FALSE,"New rev 97 - 02"}</definedName>
    <definedName name="wrn.Models._1_1_1">{"cable_one",#N/A,FALSE,"cable 96-02";"cable_two",#N/A,FALSE,"cable 96-02";"Newrev_one",#N/A,FALSE,"New rev 97 - 02";"Newrev_two",#N/A,FALSE,"New rev 97 - 02"}</definedName>
    <definedName name="wrn.Models._1_2">{"cable_one",#N/A,FALSE,"cable 96-02";"cable_two",#N/A,FALSE,"cable 96-02";"Newrev_one",#N/A,FALSE,"New rev 97 - 02";"Newrev_two",#N/A,FALSE,"New rev 97 - 02"}</definedName>
    <definedName name="wrn.Models._2">{"cable_one",#N/A,FALSE,"cable 96-02";"cable_two",#N/A,FALSE,"cable 96-02";"Newrev_one",#N/A,FALSE,"New rev 97 - 02";"Newrev_two",#N/A,FALSE,"New rev 97 - 02"}</definedName>
    <definedName name="wrn.Models._2_1">{"cable_one",#N/A,FALSE,"cable 96-02";"cable_two",#N/A,FALSE,"cable 96-02";"Newrev_one",#N/A,FALSE,"New rev 97 - 02";"Newrev_two",#N/A,FALSE,"New rev 97 - 02"}</definedName>
    <definedName name="wrn.Models._3">{"cable_one",#N/A,FALSE,"cable 96-02";"cable_two",#N/A,FALSE,"cable 96-02";"Newrev_one",#N/A,FALSE,"New rev 97 - 02";"Newrev_two",#N/A,FALSE,"New rev 97 - 02"}</definedName>
    <definedName name="wrn.Models._3_1">{"cable_one",#N/A,FALSE,"cable 96-02";"cable_two",#N/A,FALSE,"cable 96-02";"Newrev_one",#N/A,FALSE,"New rev 97 - 02";"Newrev_two",#N/A,FALSE,"New rev 97 - 02"}</definedName>
    <definedName name="wrn.Models._4">{"cable_one",#N/A,FALSE,"cable 96-02";"cable_two",#N/A,FALSE,"cable 96-02";"Newrev_one",#N/A,FALSE,"New rev 97 - 02";"Newrev_two",#N/A,FALSE,"New rev 97 - 02"}</definedName>
    <definedName name="wrn.Models._4_1">{"cable_one",#N/A,FALSE,"cable 96-02";"cable_two",#N/A,FALSE,"cable 96-02";"Newrev_one",#N/A,FALSE,"New rev 97 - 02";"Newrev_two",#N/A,FALSE,"New rev 97 - 02"}</definedName>
    <definedName name="wrn.Models._5">{"cable_one",#N/A,FALSE,"cable 96-02";"cable_two",#N/A,FALSE,"cable 96-02";"Newrev_one",#N/A,FALSE,"New rev 97 - 02";"Newrev_two",#N/A,FALSE,"New rev 97 - 02"}</definedName>
    <definedName name="wrn.Models._5_1">{"cable_one",#N/A,FALSE,"cable 96-02";"cable_two",#N/A,FALSE,"cable 96-02";"Newrev_one",#N/A,FALSE,"New rev 97 - 02";"Newrev_two",#N/A,FALSE,"New rev 97 - 02"}</definedName>
    <definedName name="wrn.Print._.24.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2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3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3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4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4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5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5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ublish.">{"Contents",#N/A,FALSE,"Comparisons";"ShareInfo",#N/A,FALSE,"Comparisons";"Profitability",#N/A,FALSE,"Comparisons";"FirmValue",#N/A,FALSE,"Comparisons";"Labour",#N/A,FALSE,"Comparisons";"Capital",#N/A,FALSE,"Comparisons"}</definedName>
    <definedName name="wrn.Publish._1">{"Contents",#N/A,FALSE,"Comparisons";"ShareInfo",#N/A,FALSE,"Comparisons";"Profitability",#N/A,FALSE,"Comparisons";"FirmValue",#N/A,FALSE,"Comparisons";"Labour",#N/A,FALSE,"Comparisons";"Capital",#N/A,FALSE,"Comparisons"}</definedName>
    <definedName name="wrn.Publish._1_1">{"Contents",#N/A,FALSE,"Comparisons";"ShareInfo",#N/A,FALSE,"Comparisons";"Profitability",#N/A,FALSE,"Comparisons";"FirmValue",#N/A,FALSE,"Comparisons";"Labour",#N/A,FALSE,"Comparisons";"Capital",#N/A,FALSE,"Comparisons"}</definedName>
    <definedName name="wrn.Publish._1_1_1">{"Contents",#N/A,FALSE,"Comparisons";"ShareInfo",#N/A,FALSE,"Comparisons";"Profitability",#N/A,FALSE,"Comparisons";"FirmValue",#N/A,FALSE,"Comparisons";"Labour",#N/A,FALSE,"Comparisons";"Capital",#N/A,FALSE,"Comparisons"}</definedName>
    <definedName name="wrn.Publish._1_2">{"Contents",#N/A,FALSE,"Comparisons";"ShareInfo",#N/A,FALSE,"Comparisons";"Profitability",#N/A,FALSE,"Comparisons";"FirmValue",#N/A,FALSE,"Comparisons";"Labour",#N/A,FALSE,"Comparisons";"Capital",#N/A,FALSE,"Comparisons"}</definedName>
    <definedName name="wrn.Publish._2">{"Contents",#N/A,FALSE,"Comparisons";"ShareInfo",#N/A,FALSE,"Comparisons";"Profitability",#N/A,FALSE,"Comparisons";"FirmValue",#N/A,FALSE,"Comparisons";"Labour",#N/A,FALSE,"Comparisons";"Capital",#N/A,FALSE,"Comparisons"}</definedName>
    <definedName name="wrn.Publish._2_1">{"Contents",#N/A,FALSE,"Comparisons";"ShareInfo",#N/A,FALSE,"Comparisons";"Profitability",#N/A,FALSE,"Comparisons";"FirmValue",#N/A,FALSE,"Comparisons";"Labour",#N/A,FALSE,"Comparisons";"Capital",#N/A,FALSE,"Comparisons"}</definedName>
    <definedName name="wrn.Publish._3">{"Contents",#N/A,FALSE,"Comparisons";"ShareInfo",#N/A,FALSE,"Comparisons";"Profitability",#N/A,FALSE,"Comparisons";"FirmValue",#N/A,FALSE,"Comparisons";"Labour",#N/A,FALSE,"Comparisons";"Capital",#N/A,FALSE,"Comparisons"}</definedName>
    <definedName name="wrn.Publish._3_1">{"Contents",#N/A,FALSE,"Comparisons";"ShareInfo",#N/A,FALSE,"Comparisons";"Profitability",#N/A,FALSE,"Comparisons";"FirmValue",#N/A,FALSE,"Comparisons";"Labour",#N/A,FALSE,"Comparisons";"Capital",#N/A,FALSE,"Comparisons"}</definedName>
    <definedName name="wrn.Publish._4">{"Contents",#N/A,FALSE,"Comparisons";"ShareInfo",#N/A,FALSE,"Comparisons";"Profitability",#N/A,FALSE,"Comparisons";"FirmValue",#N/A,FALSE,"Comparisons";"Labour",#N/A,FALSE,"Comparisons";"Capital",#N/A,FALSE,"Comparisons"}</definedName>
    <definedName name="wrn.Publish._4_1">{"Contents",#N/A,FALSE,"Comparisons";"ShareInfo",#N/A,FALSE,"Comparisons";"Profitability",#N/A,FALSE,"Comparisons";"FirmValue",#N/A,FALSE,"Comparisons";"Labour",#N/A,FALSE,"Comparisons";"Capital",#N/A,FALSE,"Comparisons"}</definedName>
    <definedName name="wrn.Publish._5">{"Contents",#N/A,FALSE,"Comparisons";"ShareInfo",#N/A,FALSE,"Comparisons";"Profitability",#N/A,FALSE,"Comparisons";"FirmValue",#N/A,FALSE,"Comparisons";"Labour",#N/A,FALSE,"Comparisons";"Capital",#N/A,FALSE,"Comparisons"}</definedName>
    <definedName name="wrn.Publish._5_1">{"Contents",#N/A,FALSE,"Comparisons";"ShareInfo",#N/A,FALSE,"Comparisons";"Profitability",#N/A,FALSE,"Comparisons";"FirmValue",#N/A,FALSE,"Comparisons";"Labour",#N/A,FALSE,"Comparisons";"Capital",#N/A,FALSE,"Comparisons"}</definedName>
    <definedName name="wrn.Segments.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1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1_1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1_2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2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2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3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3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4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4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5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5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Tables.">{"view1",#N/A,FALSE,"Tables";"view2",#N/A,FALSE,"Tables";"view3",#N/A,FALSE,"Tables"}</definedName>
    <definedName name="wrn.Tables._1">{"view1",#N/A,FALSE,"Tables";"view2",#N/A,FALSE,"Tables";"view3",#N/A,FALSE,"Tables"}</definedName>
    <definedName name="wrn.Tables._1_1">{"view1",#N/A,FALSE,"Tables";"view2",#N/A,FALSE,"Tables";"view3",#N/A,FALSE,"Tables"}</definedName>
    <definedName name="wrn.Tables._1_1_1">{"view1",#N/A,FALSE,"Tables";"view2",#N/A,FALSE,"Tables";"view3",#N/A,FALSE,"Tables"}</definedName>
    <definedName name="wrn.Tables._1_2">{"view1",#N/A,FALSE,"Tables";"view2",#N/A,FALSE,"Tables";"view3",#N/A,FALSE,"Tables"}</definedName>
    <definedName name="wrn.Tables._2">{"view1",#N/A,FALSE,"Tables";"view2",#N/A,FALSE,"Tables";"view3",#N/A,FALSE,"Tables"}</definedName>
    <definedName name="wrn.Tables._2_1">{"view1",#N/A,FALSE,"Tables";"view2",#N/A,FALSE,"Tables";"view3",#N/A,FALSE,"Tables"}</definedName>
    <definedName name="wrn.Tables._3">{"view1",#N/A,FALSE,"Tables";"view2",#N/A,FALSE,"Tables";"view3",#N/A,FALSE,"Tables"}</definedName>
    <definedName name="wrn.Tables._3_1">{"view1",#N/A,FALSE,"Tables";"view2",#N/A,FALSE,"Tables";"view3",#N/A,FALSE,"Tables"}</definedName>
    <definedName name="wrn.Tables._4">{"view1",#N/A,FALSE,"Tables";"view2",#N/A,FALSE,"Tables";"view3",#N/A,FALSE,"Tables"}</definedName>
    <definedName name="wrn.Tables._4_1">{"view1",#N/A,FALSE,"Tables";"view2",#N/A,FALSE,"Tables";"view3",#N/A,FALSE,"Tables"}</definedName>
    <definedName name="wrn.Tables._5">{"view1",#N/A,FALSE,"Tables";"view2",#N/A,FALSE,"Tables";"view3",#N/A,FALSE,"Tables"}</definedName>
    <definedName name="wrn.Tables._5_1">{"view1",#N/A,FALSE,"Tables";"view2",#N/A,FALSE,"Tables";"view3",#N/A,FALSE,"Tables"}</definedName>
    <definedName name="wrn.twxmodel.">{"twx1",#N/A,FALSE,"twltm.xls";"twx2",#N/A,FALSE,"twltm.xls";"twx3",#N/A,FALSE,"twltm.xls"}</definedName>
    <definedName name="wrn.twxmodel._1">{"twx1",#N/A,FALSE,"twltm.xls";"twx2",#N/A,FALSE,"twltm.xls";"twx3",#N/A,FALSE,"twltm.xls"}</definedName>
    <definedName name="wrn.twxmodel._1_1">{"twx1",#N/A,FALSE,"twltm.xls";"twx2",#N/A,FALSE,"twltm.xls";"twx3",#N/A,FALSE,"twltm.xls"}</definedName>
    <definedName name="wrn.twxmodel._1_1_1">{"twx1",#N/A,FALSE,"twltm.xls";"twx2",#N/A,FALSE,"twltm.xls";"twx3",#N/A,FALSE,"twltm.xls"}</definedName>
    <definedName name="wrn.twxmodel._1_2">{"twx1",#N/A,FALSE,"twltm.xls";"twx2",#N/A,FALSE,"twltm.xls";"twx3",#N/A,FALSE,"twltm.xls"}</definedName>
    <definedName name="wrn.twxmodel._2">{"twx1",#N/A,FALSE,"twltm.xls";"twx2",#N/A,FALSE,"twltm.xls";"twx3",#N/A,FALSE,"twltm.xls"}</definedName>
    <definedName name="wrn.twxmodel._2_1">{"twx1",#N/A,FALSE,"twltm.xls";"twx2",#N/A,FALSE,"twltm.xls";"twx3",#N/A,FALSE,"twltm.xls"}</definedName>
    <definedName name="wrn.twxmodel._3">{"twx1",#N/A,FALSE,"twltm.xls";"twx2",#N/A,FALSE,"twltm.xls";"twx3",#N/A,FALSE,"twltm.xls"}</definedName>
    <definedName name="wrn.twxmodel._3_1">{"twx1",#N/A,FALSE,"twltm.xls";"twx2",#N/A,FALSE,"twltm.xls";"twx3",#N/A,FALSE,"twltm.xls"}</definedName>
    <definedName name="wrn.twxmodel._4">{"twx1",#N/A,FALSE,"twltm.xls";"twx2",#N/A,FALSE,"twltm.xls";"twx3",#N/A,FALSE,"twltm.xls"}</definedName>
    <definedName name="wrn.twxmodel._4_1">{"twx1",#N/A,FALSE,"twltm.xls";"twx2",#N/A,FALSE,"twltm.xls";"twx3",#N/A,FALSE,"twltm.xls"}</definedName>
    <definedName name="wrn.twxmodel._5">{"twx1",#N/A,FALSE,"twltm.xls";"twx2",#N/A,FALSE,"twltm.xls";"twx3",#N/A,FALSE,"twltm.xls"}</definedName>
    <definedName name="wrn.twxmodel._5_1">{"twx1",#N/A,FALSE,"twltm.xls";"twx2",#N/A,FALSE,"twltm.xls";"twx3",#N/A,FALSE,"twltm.xls"}</definedName>
    <definedName name="wvu.cash.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_1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_2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2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2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3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3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4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4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5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5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profits.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2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3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3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4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4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5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5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turnover.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2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3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3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4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4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5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5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xysz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1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1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2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3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3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4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4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5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5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Year_End">1988</definedName>
    <definedName name="YrEnd_FFr_USD">0.1767</definedName>
    <definedName name="yutrg">{7}</definedName>
    <definedName name="yutrg_1">{7}</definedName>
    <definedName name="yutrg_1_1">{7}</definedName>
    <definedName name="yutrg_1_1_1">{7}</definedName>
    <definedName name="yutrg_1_2">{7}</definedName>
    <definedName name="yutrg_2">{7}</definedName>
    <definedName name="yutrg_2_1">{7}</definedName>
    <definedName name="yutrg_3">{7}</definedName>
    <definedName name="yutrg_3_1">{7}</definedName>
    <definedName name="yutrg_4">{7}</definedName>
    <definedName name="yutrg_4_1">{7}</definedName>
    <definedName name="yutrg_5">{7}</definedName>
    <definedName name="yutrg_5_1">{7}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3" l="1"/>
  <c r="L20" i="3"/>
  <c r="I20" i="3"/>
  <c r="H20" i="3"/>
  <c r="E20" i="3"/>
  <c r="D20" i="3"/>
  <c r="C20" i="3"/>
  <c r="M19" i="3"/>
  <c r="L19" i="3"/>
  <c r="K19" i="3"/>
  <c r="I19" i="3"/>
  <c r="H19" i="3"/>
  <c r="G19" i="3"/>
  <c r="E19" i="3"/>
  <c r="D19" i="3"/>
  <c r="C19" i="3"/>
  <c r="M18" i="3"/>
  <c r="L18" i="3"/>
  <c r="K18" i="3"/>
  <c r="H18" i="3"/>
  <c r="G18" i="3"/>
  <c r="E18" i="3"/>
  <c r="D18" i="3"/>
  <c r="C18" i="3"/>
  <c r="M17" i="3"/>
  <c r="L17" i="3"/>
  <c r="K17" i="3"/>
  <c r="H17" i="3"/>
  <c r="G17" i="3"/>
  <c r="E17" i="3"/>
  <c r="D17" i="3"/>
  <c r="C17" i="3"/>
  <c r="M9" i="3"/>
  <c r="L9" i="3"/>
  <c r="K9" i="3"/>
  <c r="H9" i="3"/>
  <c r="G9" i="3"/>
  <c r="M8" i="3"/>
  <c r="L8" i="3"/>
  <c r="H8" i="3"/>
  <c r="M7" i="3"/>
  <c r="L7" i="3"/>
  <c r="K7" i="3"/>
  <c r="H7" i="3"/>
  <c r="G7" i="3"/>
  <c r="M6" i="3"/>
  <c r="L6" i="3"/>
  <c r="K6" i="3"/>
  <c r="H6" i="3"/>
  <c r="G6" i="3"/>
  <c r="M5" i="3"/>
  <c r="K5" i="3"/>
  <c r="G5" i="3"/>
  <c r="M4" i="3"/>
  <c r="L4" i="3"/>
  <c r="K4" i="3"/>
  <c r="H4" i="3"/>
  <c r="G4" i="3"/>
  <c r="H26" i="2"/>
  <c r="D26" i="2"/>
  <c r="H25" i="2"/>
  <c r="D25" i="2"/>
  <c r="H24" i="2"/>
  <c r="D24" i="2"/>
  <c r="H23" i="2"/>
  <c r="D23" i="2"/>
  <c r="H22" i="2"/>
  <c r="D22" i="2"/>
  <c r="H21" i="2"/>
  <c r="D21" i="2"/>
  <c r="H20" i="2"/>
  <c r="D20" i="2"/>
  <c r="H19" i="2"/>
  <c r="D19" i="2"/>
  <c r="H18" i="2"/>
  <c r="D18" i="2"/>
  <c r="H17" i="2"/>
  <c r="D17" i="2"/>
  <c r="H16" i="2"/>
  <c r="D16" i="2"/>
  <c r="H15" i="2"/>
  <c r="D15" i="2"/>
  <c r="H14" i="2"/>
  <c r="D14" i="2"/>
  <c r="H13" i="2"/>
  <c r="D13" i="2"/>
  <c r="H12" i="2"/>
  <c r="D12" i="2"/>
  <c r="H11" i="2"/>
  <c r="D11" i="2"/>
  <c r="H10" i="2"/>
  <c r="D10" i="2"/>
  <c r="H9" i="2"/>
  <c r="D9" i="2"/>
  <c r="H8" i="2"/>
  <c r="D8" i="2"/>
  <c r="H7" i="2"/>
  <c r="D7" i="2"/>
  <c r="H6" i="2"/>
  <c r="D6" i="2"/>
  <c r="H5" i="2"/>
  <c r="D5" i="2"/>
  <c r="H4" i="2"/>
  <c r="D4" i="2"/>
  <c r="H3" i="2"/>
  <c r="D3" i="2"/>
  <c r="H2" i="2"/>
  <c r="D2" i="2"/>
  <c r="N182" i="1"/>
  <c r="M182" i="1"/>
  <c r="E182" i="1"/>
  <c r="D182" i="1"/>
  <c r="C182" i="1"/>
  <c r="N181" i="1"/>
  <c r="M181" i="1"/>
  <c r="L181" i="1"/>
  <c r="K181" i="1"/>
  <c r="I181" i="1"/>
  <c r="H181" i="1"/>
  <c r="M173" i="1"/>
  <c r="M172" i="1"/>
  <c r="M171" i="1"/>
  <c r="L171" i="1"/>
  <c r="K171" i="1"/>
  <c r="H171" i="1"/>
  <c r="G171" i="1"/>
  <c r="M170" i="1"/>
  <c r="K170" i="1"/>
  <c r="M169" i="1"/>
  <c r="K169" i="1"/>
  <c r="E169" i="1"/>
  <c r="D169" i="1"/>
  <c r="C169" i="1"/>
  <c r="M168" i="1"/>
  <c r="E168" i="1"/>
  <c r="D168" i="1"/>
  <c r="C168" i="1"/>
  <c r="N152" i="1"/>
  <c r="N151" i="1"/>
  <c r="M92" i="1"/>
  <c r="L92" i="1"/>
  <c r="K92" i="1"/>
  <c r="I92" i="1"/>
  <c r="H92" i="1"/>
  <c r="G92" i="1"/>
  <c r="E92" i="1"/>
  <c r="D92" i="1"/>
  <c r="C92" i="1"/>
  <c r="M91" i="1"/>
  <c r="L91" i="1"/>
  <c r="K91" i="1"/>
  <c r="I91" i="1"/>
  <c r="H91" i="1"/>
  <c r="G91" i="1"/>
  <c r="E91" i="1"/>
  <c r="D91" i="1"/>
  <c r="C91" i="1"/>
  <c r="N90" i="1"/>
  <c r="M90" i="1"/>
  <c r="L90" i="1"/>
  <c r="K90" i="1"/>
  <c r="I90" i="1"/>
  <c r="H90" i="1"/>
  <c r="G90" i="1"/>
  <c r="E90" i="1"/>
  <c r="D90" i="1"/>
  <c r="C90" i="1"/>
  <c r="N89" i="1"/>
  <c r="M89" i="1"/>
  <c r="L89" i="1"/>
  <c r="K89" i="1"/>
  <c r="I89" i="1"/>
  <c r="H89" i="1"/>
  <c r="G89" i="1"/>
  <c r="E89" i="1"/>
  <c r="D89" i="1"/>
  <c r="C89" i="1"/>
  <c r="M87" i="1"/>
  <c r="E87" i="1"/>
  <c r="D87" i="1"/>
  <c r="C87" i="1"/>
  <c r="M86" i="1"/>
  <c r="E86" i="1"/>
  <c r="D86" i="1"/>
  <c r="C86" i="1"/>
  <c r="M85" i="1"/>
  <c r="E85" i="1"/>
  <c r="D85" i="1"/>
  <c r="C85" i="1"/>
  <c r="M84" i="1"/>
  <c r="E84" i="1"/>
  <c r="D84" i="1"/>
  <c r="C84" i="1"/>
  <c r="M83" i="1"/>
  <c r="E83" i="1"/>
  <c r="D83" i="1"/>
  <c r="C83" i="1"/>
  <c r="M82" i="1"/>
  <c r="E82" i="1"/>
  <c r="D82" i="1"/>
  <c r="C82" i="1"/>
  <c r="M81" i="1"/>
  <c r="E81" i="1"/>
  <c r="D81" i="1"/>
  <c r="C81" i="1"/>
  <c r="M80" i="1"/>
  <c r="M79" i="1"/>
  <c r="M78" i="1"/>
  <c r="M77" i="1"/>
  <c r="M76" i="1"/>
  <c r="L72" i="1"/>
  <c r="K72" i="1"/>
  <c r="L71" i="1"/>
  <c r="K71" i="1"/>
  <c r="M65" i="1"/>
  <c r="L65" i="1"/>
  <c r="K65" i="1"/>
  <c r="J65" i="1"/>
  <c r="I65" i="1"/>
  <c r="H65" i="1"/>
  <c r="G65" i="1"/>
  <c r="F65" i="1"/>
  <c r="E65" i="1"/>
  <c r="M64" i="1"/>
  <c r="L64" i="1"/>
  <c r="I64" i="1"/>
  <c r="H64" i="1"/>
  <c r="E64" i="1"/>
  <c r="D64" i="1"/>
  <c r="C64" i="1"/>
  <c r="M63" i="1"/>
  <c r="L63" i="1"/>
  <c r="K63" i="1"/>
  <c r="I63" i="1"/>
  <c r="H63" i="1"/>
  <c r="G63" i="1"/>
  <c r="E63" i="1"/>
  <c r="D63" i="1"/>
  <c r="C63" i="1"/>
  <c r="M62" i="1"/>
  <c r="L62" i="1"/>
  <c r="K62" i="1"/>
  <c r="H62" i="1"/>
  <c r="G62" i="1"/>
  <c r="E62" i="1"/>
  <c r="D62" i="1"/>
  <c r="C62" i="1"/>
  <c r="M61" i="1"/>
  <c r="L61" i="1"/>
  <c r="K61" i="1"/>
  <c r="H61" i="1"/>
  <c r="G61" i="1"/>
  <c r="E61" i="1"/>
  <c r="D61" i="1"/>
  <c r="C61" i="1"/>
  <c r="M53" i="1"/>
  <c r="L53" i="1"/>
  <c r="K53" i="1"/>
  <c r="H53" i="1"/>
  <c r="G53" i="1"/>
  <c r="M52" i="1"/>
  <c r="L52" i="1"/>
  <c r="H52" i="1"/>
  <c r="M51" i="1"/>
  <c r="L51" i="1"/>
  <c r="K51" i="1"/>
  <c r="H51" i="1"/>
  <c r="G51" i="1"/>
  <c r="M50" i="1"/>
  <c r="L50" i="1"/>
  <c r="K50" i="1"/>
  <c r="H50" i="1"/>
  <c r="G50" i="1"/>
  <c r="M49" i="1"/>
  <c r="K49" i="1"/>
  <c r="G49" i="1"/>
  <c r="M48" i="1"/>
  <c r="L48" i="1"/>
  <c r="K48" i="1"/>
  <c r="H48" i="1"/>
  <c r="G48" i="1"/>
  <c r="L35" i="1"/>
  <c r="AG21" i="1"/>
  <c r="AF21" i="1"/>
  <c r="X21" i="1"/>
  <c r="W21" i="1"/>
  <c r="U21" i="1"/>
  <c r="T21" i="1"/>
  <c r="S21" i="1"/>
  <c r="I21" i="1"/>
  <c r="H21" i="1"/>
  <c r="G21" i="1"/>
  <c r="F21" i="1"/>
  <c r="E21" i="1"/>
  <c r="D21" i="1"/>
  <c r="C21" i="1"/>
  <c r="AG20" i="1"/>
  <c r="AF20" i="1"/>
  <c r="X20" i="1"/>
  <c r="W20" i="1"/>
  <c r="I20" i="1"/>
  <c r="H20" i="1"/>
  <c r="G20" i="1"/>
  <c r="E20" i="1"/>
  <c r="D20" i="1"/>
  <c r="C20" i="1"/>
  <c r="X19" i="1"/>
  <c r="W19" i="1"/>
  <c r="I19" i="1"/>
  <c r="H19" i="1"/>
  <c r="G19" i="1"/>
  <c r="E19" i="1"/>
  <c r="D19" i="1"/>
  <c r="C19" i="1"/>
  <c r="X18" i="1"/>
  <c r="W18" i="1"/>
  <c r="I18" i="1"/>
  <c r="H18" i="1"/>
  <c r="G18" i="1"/>
  <c r="E18" i="1"/>
  <c r="D18" i="1"/>
  <c r="C18" i="1"/>
  <c r="X17" i="1"/>
  <c r="W17" i="1"/>
  <c r="I17" i="1"/>
  <c r="H17" i="1"/>
  <c r="G17" i="1"/>
  <c r="E17" i="1"/>
  <c r="D17" i="1"/>
  <c r="C17" i="1"/>
  <c r="AG15" i="1"/>
  <c r="AF15" i="1"/>
  <c r="X15" i="1"/>
  <c r="W15" i="1"/>
  <c r="H15" i="1"/>
  <c r="G15" i="1"/>
  <c r="AF14" i="1"/>
  <c r="X14" i="1"/>
  <c r="W14" i="1"/>
  <c r="H14" i="1"/>
  <c r="G14" i="1"/>
  <c r="X13" i="1"/>
  <c r="W13" i="1"/>
  <c r="H13" i="1"/>
  <c r="G13" i="1"/>
  <c r="X12" i="1"/>
  <c r="W12" i="1"/>
  <c r="H12" i="1"/>
  <c r="G12" i="1"/>
  <c r="X11" i="1"/>
  <c r="W11" i="1"/>
  <c r="H11" i="1"/>
  <c r="G11" i="1"/>
  <c r="X10" i="1"/>
  <c r="W10" i="1"/>
  <c r="H10" i="1"/>
  <c r="G10" i="1"/>
  <c r="X9" i="1"/>
  <c r="W9" i="1"/>
  <c r="H9" i="1"/>
  <c r="G9" i="1"/>
  <c r="X8" i="1"/>
  <c r="W8" i="1"/>
  <c r="H8" i="1"/>
  <c r="G8" i="1"/>
  <c r="X7" i="1"/>
  <c r="W7" i="1"/>
  <c r="H7" i="1"/>
  <c r="G7" i="1"/>
  <c r="X6" i="1"/>
  <c r="W6" i="1"/>
  <c r="H6" i="1"/>
  <c r="G6" i="1"/>
  <c r="X5" i="1"/>
  <c r="W5" i="1"/>
  <c r="H5" i="1"/>
  <c r="G5" i="1"/>
  <c r="X4" i="1"/>
  <c r="W4" i="1"/>
  <c r="H4" i="1"/>
  <c r="G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Shiyuan Tian （田诗园）</author>
  </authors>
  <commentList>
    <comment ref="I74" authorId="0" shapeId="0" xr:uid="{00000000-0006-0000-0000-000001000000}">
      <text>
        <r>
          <rPr>
            <b/>
            <sz val="9"/>
            <rFont val="宋体"/>
            <charset val="134"/>
          </rPr>
          <t>Shiyuan Tian （田诗园）:</t>
        </r>
        <r>
          <rPr>
            <sz val="9"/>
            <rFont val="宋体"/>
            <charset val="134"/>
          </rPr>
          <t xml:space="preserve">
5月份全国铁路主要指标完成情况，旅客发送量比上年同比增长%
12-14号左右更新</t>
        </r>
      </text>
    </comment>
    <comment ref="S74" authorId="0" shapeId="0" xr:uid="{00000000-0006-0000-0000-000002000000}">
      <text>
        <r>
          <rPr>
            <sz val="9"/>
            <rFont val="宋体"/>
            <charset val="134"/>
          </rPr>
          <t xml:space="preserve">Shiyuan Tian （田诗园）:
STR邮件,看set10
</t>
        </r>
        <r>
          <rPr>
            <b/>
            <sz val="9"/>
            <rFont val="宋体"/>
            <charset val="134"/>
          </rPr>
          <t xml:space="preserve">
Shiyuan Tian (田诗园):</t>
        </r>
        <r>
          <rPr>
            <sz val="9"/>
            <rFont val="宋体"/>
            <charset val="134"/>
          </rPr>
          <t xml:space="preserve">
中金互联网旅游周度数据 - 看“汇总-当周” tab</t>
        </r>
      </text>
    </comment>
    <comment ref="M75" authorId="0" shapeId="0" xr:uid="{00000000-0006-0000-0000-000003000000}">
      <text>
        <r>
          <rPr>
            <b/>
            <sz val="9"/>
            <rFont val="宋体"/>
            <charset val="134"/>
          </rPr>
          <t>Shiyuan Tian （田诗园）:</t>
        </r>
        <r>
          <rPr>
            <sz val="9"/>
            <rFont val="宋体"/>
            <charset val="134"/>
          </rPr>
          <t xml:space="preserve">
国际客运航班量月趋势</t>
        </r>
      </text>
    </comment>
    <comment ref="W75" authorId="0" shapeId="0" xr:uid="{00000000-0006-0000-0000-000004000000}">
      <text>
        <r>
          <rPr>
            <b/>
            <sz val="9"/>
            <rFont val="宋体"/>
            <charset val="134"/>
          </rPr>
          <t>Shiyuan Tian （田诗园）:</t>
        </r>
        <r>
          <rPr>
            <sz val="9"/>
            <rFont val="宋体"/>
            <charset val="134"/>
          </rPr>
          <t xml:space="preserve">
飞常准大数据 周运输旅客量 同比增长%</t>
        </r>
      </text>
    </comment>
    <comment ref="I136" authorId="0" shapeId="0" xr:uid="{00000000-0006-0000-0000-000005000000}">
      <text>
        <r>
          <rPr>
            <b/>
            <sz val="9"/>
            <rFont val="宋体"/>
            <charset val="134"/>
          </rPr>
          <t>Shiyuan Tian （田诗园）:</t>
        </r>
        <r>
          <rPr>
            <sz val="9"/>
            <rFont val="宋体"/>
            <charset val="134"/>
          </rPr>
          <t xml:space="preserve">
5月份全国铁路主要指标完成情况，旅客发送量比上年同比增长%
12-14号左右更新</t>
        </r>
      </text>
    </comment>
    <comment ref="S136" authorId="0" shapeId="0" xr:uid="{00000000-0006-0000-0000-000006000000}">
      <text>
        <r>
          <rPr>
            <sz val="9"/>
            <rFont val="宋体"/>
            <charset val="134"/>
          </rPr>
          <t xml:space="preserve">Shiyuan Tian （田诗园）:
STR邮件,看set10
</t>
        </r>
        <r>
          <rPr>
            <b/>
            <sz val="9"/>
            <rFont val="宋体"/>
            <charset val="134"/>
          </rPr>
          <t xml:space="preserve">
Shiyuan Tian (田诗园):</t>
        </r>
        <r>
          <rPr>
            <sz val="9"/>
            <rFont val="宋体"/>
            <charset val="134"/>
          </rPr>
          <t xml:space="preserve">
中金互联网旅游周度数据 - 看“汇总-当周” tab</t>
        </r>
      </text>
    </comment>
    <comment ref="M137" authorId="0" shapeId="0" xr:uid="{00000000-0006-0000-0000-000007000000}">
      <text>
        <r>
          <rPr>
            <b/>
            <sz val="9"/>
            <rFont val="宋体"/>
            <charset val="134"/>
          </rPr>
          <t>Shiyuan Tian （田诗园）:</t>
        </r>
        <r>
          <rPr>
            <sz val="9"/>
            <rFont val="宋体"/>
            <charset val="134"/>
          </rPr>
          <t xml:space="preserve">
国际客运航班量月趋势</t>
        </r>
      </text>
    </comment>
    <comment ref="W137" authorId="0" shapeId="0" xr:uid="{00000000-0006-0000-0000-000008000000}">
      <text>
        <r>
          <rPr>
            <b/>
            <sz val="9"/>
            <rFont val="宋体"/>
            <charset val="134"/>
          </rPr>
          <t>Shiyuan Tian （田诗园）:</t>
        </r>
        <r>
          <rPr>
            <sz val="9"/>
            <rFont val="宋体"/>
            <charset val="134"/>
          </rPr>
          <t xml:space="preserve">
飞常准大数据 周运输旅客量 同比增长%</t>
        </r>
      </text>
    </comment>
    <comment ref="I166" authorId="0" shapeId="0" xr:uid="{00000000-0006-0000-0000-000009000000}">
      <text>
        <r>
          <rPr>
            <b/>
            <sz val="9"/>
            <rFont val="宋体"/>
            <charset val="134"/>
          </rPr>
          <t>Shiyuan Tian （田诗园）:</t>
        </r>
        <r>
          <rPr>
            <sz val="9"/>
            <rFont val="宋体"/>
            <charset val="134"/>
          </rPr>
          <t xml:space="preserve">
5月份全国铁路主要指标完成情况，旅客发送量比上年同比增长%
12-14号左右更新</t>
        </r>
      </text>
    </comment>
    <comment ref="S166" authorId="0" shapeId="0" xr:uid="{00000000-0006-0000-0000-00000A000000}">
      <text>
        <r>
          <rPr>
            <sz val="9"/>
            <rFont val="宋体"/>
            <charset val="134"/>
          </rPr>
          <t xml:space="preserve">Shiyuan Tian （田诗园）:
STR邮件,看set10
</t>
        </r>
        <r>
          <rPr>
            <b/>
            <sz val="9"/>
            <rFont val="宋体"/>
            <charset val="134"/>
          </rPr>
          <t xml:space="preserve">
Shiyuan Tian (田诗园):</t>
        </r>
        <r>
          <rPr>
            <sz val="9"/>
            <rFont val="宋体"/>
            <charset val="134"/>
          </rPr>
          <t xml:space="preserve">
中金互联网旅游周度数据 - 看“汇总-当周” tab</t>
        </r>
      </text>
    </comment>
    <comment ref="M167" authorId="0" shapeId="0" xr:uid="{00000000-0006-0000-0000-00000B000000}">
      <text>
        <r>
          <rPr>
            <b/>
            <sz val="9"/>
            <rFont val="宋体"/>
            <charset val="134"/>
          </rPr>
          <t>Shiyuan Tian （田诗园）:</t>
        </r>
        <r>
          <rPr>
            <sz val="9"/>
            <rFont val="宋体"/>
            <charset val="134"/>
          </rPr>
          <t xml:space="preserve">
国际客运航班量月趋势</t>
        </r>
      </text>
    </comment>
    <comment ref="W167" authorId="0" shapeId="0" xr:uid="{00000000-0006-0000-0000-00000C000000}">
      <text>
        <r>
          <rPr>
            <b/>
            <sz val="9"/>
            <rFont val="宋体"/>
            <charset val="134"/>
          </rPr>
          <t>Shiyuan Tian （田诗园）:</t>
        </r>
        <r>
          <rPr>
            <sz val="9"/>
            <rFont val="宋体"/>
            <charset val="134"/>
          </rPr>
          <t xml:space="preserve">
飞常准大数据 周运输旅客量 同比增长%</t>
        </r>
      </text>
    </comment>
  </commentList>
</comments>
</file>

<file path=xl/sharedStrings.xml><?xml version="1.0" encoding="utf-8"?>
<sst xmlns="http://schemas.openxmlformats.org/spreadsheetml/2006/main" count="690" uniqueCount="299">
  <si>
    <r>
      <rPr>
        <b/>
        <u/>
        <sz val="11"/>
        <color theme="1"/>
        <rFont val="Times New Roman"/>
        <family val="1"/>
      </rPr>
      <t>2020</t>
    </r>
    <r>
      <rPr>
        <b/>
        <u/>
        <sz val="11"/>
        <color theme="1"/>
        <rFont val="宋体"/>
        <charset val="134"/>
      </rPr>
      <t>年</t>
    </r>
  </si>
  <si>
    <r>
      <rPr>
        <b/>
        <sz val="11"/>
        <color theme="1"/>
        <rFont val="Times New Roman"/>
        <family val="1"/>
      </rPr>
      <t>2021</t>
    </r>
    <r>
      <rPr>
        <b/>
        <sz val="11"/>
        <color theme="1"/>
        <rFont val="宋体"/>
        <charset val="134"/>
      </rPr>
      <t>年</t>
    </r>
  </si>
  <si>
    <r>
      <rPr>
        <b/>
        <sz val="11"/>
        <color theme="1"/>
        <rFont val="Times New Roman"/>
        <family val="1"/>
      </rPr>
      <t>2022</t>
    </r>
    <r>
      <rPr>
        <sz val="11"/>
        <color theme="1"/>
        <rFont val="宋体"/>
        <charset val="134"/>
      </rPr>
      <t>年</t>
    </r>
  </si>
  <si>
    <r>
      <rPr>
        <b/>
        <i/>
        <sz val="11"/>
        <color theme="1"/>
        <rFont val="宋体"/>
        <charset val="134"/>
      </rPr>
      <t>同比</t>
    </r>
    <r>
      <rPr>
        <b/>
        <i/>
        <sz val="11"/>
        <color theme="1"/>
        <rFont val="Times New Roman"/>
        <family val="1"/>
      </rPr>
      <t>2019</t>
    </r>
  </si>
  <si>
    <r>
      <rPr>
        <b/>
        <sz val="11"/>
        <color theme="1"/>
        <rFont val="宋体"/>
        <charset val="134"/>
      </rPr>
      <t>国内酒店</t>
    </r>
  </si>
  <si>
    <r>
      <rPr>
        <b/>
        <sz val="11"/>
        <color theme="1"/>
        <rFont val="宋体"/>
        <charset val="134"/>
      </rPr>
      <t>国内机票</t>
    </r>
  </si>
  <si>
    <r>
      <rPr>
        <b/>
        <sz val="11"/>
        <color theme="1"/>
        <rFont val="宋体"/>
        <charset val="134"/>
      </rPr>
      <t>国内酒店</t>
    </r>
    <r>
      <rPr>
        <b/>
        <sz val="11"/>
        <color theme="1"/>
        <rFont val="Times New Roman"/>
        <family val="1"/>
      </rPr>
      <t>(STR)</t>
    </r>
  </si>
  <si>
    <r>
      <rPr>
        <b/>
        <sz val="11"/>
        <color theme="1"/>
        <rFont val="宋体"/>
        <charset val="134"/>
      </rPr>
      <t>月份</t>
    </r>
  </si>
  <si>
    <r>
      <rPr>
        <b/>
        <sz val="11"/>
        <color theme="1"/>
        <rFont val="宋体"/>
        <charset val="134"/>
      </rPr>
      <t>入住率</t>
    </r>
  </si>
  <si>
    <t>ADR</t>
  </si>
  <si>
    <t>RevPAR</t>
  </si>
  <si>
    <r>
      <rPr>
        <b/>
        <sz val="11"/>
        <color theme="1"/>
        <rFont val="宋体"/>
        <charset val="134"/>
      </rPr>
      <t>民航局</t>
    </r>
  </si>
  <si>
    <r>
      <rPr>
        <b/>
        <sz val="11"/>
        <color theme="1"/>
        <rFont val="宋体"/>
        <charset val="134"/>
      </rPr>
      <t>三大航</t>
    </r>
  </si>
  <si>
    <r>
      <rPr>
        <b/>
        <sz val="11"/>
        <color theme="1"/>
        <rFont val="宋体"/>
        <charset val="134"/>
      </rPr>
      <t>中航信</t>
    </r>
  </si>
  <si>
    <t>市场数据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</si>
  <si>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月</t>
    </r>
  </si>
  <si>
    <t>1月</t>
  </si>
  <si>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月</t>
    </r>
  </si>
  <si>
    <t>2月</t>
  </si>
  <si>
    <r>
      <rPr>
        <sz val="11"/>
        <color theme="1"/>
        <rFont val="Times New Roman"/>
        <family val="1"/>
      </rPr>
      <t>2月</t>
    </r>
  </si>
  <si>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月</t>
    </r>
  </si>
  <si>
    <t>3月</t>
  </si>
  <si>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月</t>
    </r>
  </si>
  <si>
    <t>4月</t>
  </si>
  <si>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月</t>
    </r>
  </si>
  <si>
    <t>5月</t>
  </si>
  <si>
    <r>
      <rPr>
        <sz val="11"/>
        <color theme="1"/>
        <rFont val="Times New Roman"/>
        <family val="1"/>
      </rPr>
      <t>5月</t>
    </r>
  </si>
  <si>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月</t>
    </r>
  </si>
  <si>
    <t>6月</t>
  </si>
  <si>
    <r>
      <rPr>
        <sz val="11"/>
        <color theme="1"/>
        <rFont val="Times New Roman"/>
        <family val="1"/>
      </rPr>
      <t>6月</t>
    </r>
  </si>
  <si>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月</t>
    </r>
  </si>
  <si>
    <t>7月</t>
  </si>
  <si>
    <r>
      <rPr>
        <sz val="11"/>
        <color theme="1"/>
        <rFont val="Times New Roman"/>
        <family val="1"/>
      </rPr>
      <t>7月</t>
    </r>
  </si>
  <si>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月</t>
    </r>
  </si>
  <si>
    <t>8月</t>
  </si>
  <si>
    <r>
      <rPr>
        <sz val="11"/>
        <color theme="1"/>
        <rFont val="Times New Roman"/>
        <family val="1"/>
      </rPr>
      <t>8月</t>
    </r>
  </si>
  <si>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月</t>
    </r>
  </si>
  <si>
    <t>9月</t>
  </si>
  <si>
    <r>
      <rPr>
        <sz val="11"/>
        <color theme="1"/>
        <rFont val="Times New Roman"/>
        <family val="1"/>
      </rPr>
      <t>9月</t>
    </r>
  </si>
  <si>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月</t>
    </r>
  </si>
  <si>
    <t>10月</t>
  </si>
  <si>
    <r>
      <rPr>
        <sz val="11"/>
        <color theme="1"/>
        <rFont val="Times New Roman"/>
        <family val="1"/>
      </rPr>
      <t>10月</t>
    </r>
  </si>
  <si>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charset val="134"/>
      </rPr>
      <t>月</t>
    </r>
  </si>
  <si>
    <t>11月</t>
  </si>
  <si>
    <r>
      <rPr>
        <sz val="11"/>
        <color theme="1"/>
        <rFont val="Times New Roman"/>
        <family val="1"/>
      </rPr>
      <t>11月</t>
    </r>
  </si>
  <si>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月</t>
    </r>
  </si>
  <si>
    <t>12月</t>
  </si>
  <si>
    <r>
      <rPr>
        <sz val="11"/>
        <color theme="1"/>
        <rFont val="Times New Roman"/>
        <family val="1"/>
      </rPr>
      <t>12月</t>
    </r>
  </si>
  <si>
    <r>
      <rPr>
        <b/>
        <sz val="11"/>
        <color theme="1"/>
        <rFont val="宋体"/>
        <charset val="134"/>
      </rPr>
      <t>季度</t>
    </r>
  </si>
  <si>
    <t>季度</t>
  </si>
  <si>
    <t>入住率</t>
  </si>
  <si>
    <t>民航局</t>
  </si>
  <si>
    <t>三大航</t>
  </si>
  <si>
    <t>中航信</t>
  </si>
  <si>
    <t>Q1</t>
  </si>
  <si>
    <t xml:space="preserve">Q2 </t>
  </si>
  <si>
    <t>Q3</t>
  </si>
  <si>
    <t>Q4</t>
  </si>
  <si>
    <t>全年</t>
  </si>
  <si>
    <r>
      <rPr>
        <b/>
        <sz val="11"/>
        <color theme="1"/>
        <rFont val="Times New Roman"/>
        <family val="1"/>
      </rPr>
      <t>2023</t>
    </r>
    <r>
      <rPr>
        <b/>
        <sz val="11"/>
        <color theme="1"/>
        <rFont val="宋体"/>
        <charset val="134"/>
      </rPr>
      <t>年</t>
    </r>
  </si>
  <si>
    <t>国内机票客运量</t>
  </si>
  <si>
    <t>铁路客运量</t>
  </si>
  <si>
    <t>国际机票客运量（含港澳台）</t>
  </si>
  <si>
    <r>
      <rPr>
        <b/>
        <sz val="11"/>
        <color theme="1"/>
        <rFont val="宋体"/>
        <charset val="134"/>
      </rPr>
      <t>国内酒店（</t>
    </r>
    <r>
      <rPr>
        <b/>
        <sz val="11"/>
        <color theme="1"/>
        <rFont val="Times New Roman"/>
        <family val="1"/>
      </rPr>
      <t>STR</t>
    </r>
    <r>
      <rPr>
        <b/>
        <sz val="11"/>
        <color theme="1"/>
        <rFont val="宋体"/>
        <charset val="134"/>
      </rPr>
      <t>）</t>
    </r>
  </si>
  <si>
    <t>火车票</t>
  </si>
  <si>
    <t>国铁</t>
  </si>
  <si>
    <r>
      <rPr>
        <b/>
        <sz val="11"/>
        <color theme="1"/>
        <rFont val="宋体"/>
        <charset val="134"/>
      </rPr>
      <t>周</t>
    </r>
  </si>
  <si>
    <t>客运量</t>
  </si>
  <si>
    <t>10/1-10/7</t>
  </si>
  <si>
    <t>国庆（日均）</t>
  </si>
  <si>
    <t>10/8-10/14</t>
  </si>
  <si>
    <t>10/15-10/21</t>
  </si>
  <si>
    <t>10/22-10/28</t>
  </si>
  <si>
    <t>10/29-11/4</t>
  </si>
  <si>
    <t>11/5-11/11</t>
  </si>
  <si>
    <t>11/12-11/18</t>
  </si>
  <si>
    <t>11/19-11/25</t>
  </si>
  <si>
    <t>11/26-12/2</t>
  </si>
  <si>
    <t>12/3-12/9</t>
  </si>
  <si>
    <t>12/10-12/16</t>
  </si>
  <si>
    <t>12/17-12/23</t>
  </si>
  <si>
    <t>12/24-12/30</t>
  </si>
  <si>
    <t>12/31-1/6</t>
  </si>
  <si>
    <t>STR</t>
  </si>
  <si>
    <t>飞常准</t>
  </si>
  <si>
    <r>
      <rPr>
        <b/>
        <sz val="11"/>
        <color theme="1"/>
        <rFont val="Times New Roman"/>
        <family val="1"/>
      </rPr>
      <t>2024</t>
    </r>
    <r>
      <rPr>
        <b/>
        <sz val="11"/>
        <color theme="1"/>
        <rFont val="宋体"/>
        <charset val="134"/>
      </rPr>
      <t>年</t>
    </r>
  </si>
  <si>
    <t>vs 2019</t>
  </si>
  <si>
    <t xml:space="preserve"> </t>
  </si>
  <si>
    <r>
      <rPr>
        <b/>
        <i/>
        <sz val="11"/>
        <color theme="1"/>
        <rFont val="宋体"/>
        <charset val="134"/>
      </rPr>
      <t>同比</t>
    </r>
    <r>
      <rPr>
        <b/>
        <i/>
        <sz val="11"/>
        <color theme="1"/>
        <rFont val="Times New Roman"/>
        <family val="1"/>
      </rPr>
      <t>2023</t>
    </r>
  </si>
  <si>
    <t>国际航班运力</t>
  </si>
  <si>
    <t>同比2023</t>
  </si>
  <si>
    <t>机票</t>
  </si>
  <si>
    <t>1/7-1/13</t>
  </si>
  <si>
    <r>
      <rPr>
        <b/>
        <sz val="11"/>
        <color theme="1"/>
        <rFont val="宋体"/>
        <charset val="134"/>
      </rPr>
      <t xml:space="preserve">民航局
</t>
    </r>
    <r>
      <rPr>
        <b/>
        <i/>
        <sz val="11"/>
        <rFont val="Times New Roman"/>
        <family val="1"/>
      </rPr>
      <t>(</t>
    </r>
    <r>
      <rPr>
        <b/>
        <i/>
        <sz val="11"/>
        <rFont val="宋体"/>
        <charset val="134"/>
      </rPr>
      <t>仅含国内航司）</t>
    </r>
  </si>
  <si>
    <t>航班管家</t>
  </si>
  <si>
    <t>客运量（含出入境）</t>
  </si>
  <si>
    <t>1/14-1/20</t>
  </si>
  <si>
    <t>10/6-10/12</t>
  </si>
  <si>
    <t>1/21-1/27</t>
  </si>
  <si>
    <r>
      <rPr>
        <sz val="11"/>
        <color theme="1"/>
        <rFont val="宋体"/>
        <charset val="134"/>
      </rPr>
      <t>（农历对齐）
春运</t>
    </r>
    <r>
      <rPr>
        <sz val="11"/>
        <color theme="1"/>
        <rFont val="Times New Roman"/>
        <family val="1"/>
      </rPr>
      <t>40</t>
    </r>
    <r>
      <rPr>
        <sz val="11"/>
        <color theme="1"/>
        <rFont val="宋体"/>
        <charset val="134"/>
      </rPr>
      <t xml:space="preserve">天
</t>
    </r>
    <r>
      <rPr>
        <sz val="11"/>
        <color theme="1"/>
        <rFont val="Times New Roman"/>
        <family val="1"/>
      </rPr>
      <t xml:space="preserve">51% vs 2023
</t>
    </r>
    <r>
      <rPr>
        <i/>
        <sz val="11"/>
        <color theme="1"/>
        <rFont val="Times New Roman"/>
        <family val="1"/>
      </rPr>
      <t>(</t>
    </r>
    <r>
      <rPr>
        <i/>
        <sz val="11"/>
        <color theme="1"/>
        <rFont val="宋体"/>
        <charset val="134"/>
      </rPr>
      <t>含出境）</t>
    </r>
  </si>
  <si>
    <r>
      <rPr>
        <sz val="11"/>
        <color theme="1"/>
        <rFont val="宋体"/>
        <charset val="134"/>
      </rPr>
      <t>（农历对齐）
春运</t>
    </r>
    <r>
      <rPr>
        <sz val="11"/>
        <color theme="1"/>
        <rFont val="Times New Roman"/>
        <family val="1"/>
      </rPr>
      <t>40</t>
    </r>
    <r>
      <rPr>
        <sz val="11"/>
        <color theme="1"/>
        <rFont val="宋体"/>
        <charset val="134"/>
      </rPr>
      <t xml:space="preserve">天
</t>
    </r>
    <r>
      <rPr>
        <sz val="11"/>
        <color theme="1"/>
        <rFont val="Times New Roman"/>
        <family val="1"/>
      </rPr>
      <t>39% vs 2023</t>
    </r>
  </si>
  <si>
    <t>10/13-10/19</t>
  </si>
  <si>
    <t>1/28-2/3</t>
  </si>
  <si>
    <t>10/20-10/26</t>
  </si>
  <si>
    <t>2/4-2/10</t>
  </si>
  <si>
    <t>10/27-11/2</t>
  </si>
  <si>
    <t>2/11-2/17</t>
  </si>
  <si>
    <t>11/3-11/9</t>
  </si>
  <si>
    <t>2/18-2/24</t>
  </si>
  <si>
    <t>11/10-11/16</t>
  </si>
  <si>
    <t>2/25-3/2</t>
  </si>
  <si>
    <t>11/17-11/23</t>
  </si>
  <si>
    <t>3/3-3/9</t>
  </si>
  <si>
    <t>11/24-11/30</t>
  </si>
  <si>
    <t>3/10-3/16</t>
  </si>
  <si>
    <t>12/1-12/7</t>
  </si>
  <si>
    <t>3/17-3/23</t>
  </si>
  <si>
    <t>12/8-12/14</t>
  </si>
  <si>
    <t>3/24-3/30</t>
  </si>
  <si>
    <t>12/15-12/21</t>
  </si>
  <si>
    <t>3/31-4/6</t>
  </si>
  <si>
    <t>12/22-12/28</t>
  </si>
  <si>
    <t>4/7-4/13</t>
  </si>
  <si>
    <t>12/29-1/4</t>
  </si>
  <si>
    <t>4/14-4/21</t>
  </si>
  <si>
    <t>4/21-4/27</t>
  </si>
  <si>
    <t>五一假期</t>
  </si>
  <si>
    <r>
      <rPr>
        <sz val="11"/>
        <color theme="1"/>
        <rFont val="Times New Roman"/>
        <family val="1"/>
      </rPr>
      <t>8.1%</t>
    </r>
    <r>
      <rPr>
        <sz val="11"/>
        <color theme="1"/>
        <rFont val="宋体"/>
        <charset val="134"/>
      </rPr>
      <t>（交通部含出入境）</t>
    </r>
    <r>
      <rPr>
        <sz val="11"/>
        <color theme="1"/>
        <rFont val="宋体"/>
        <charset val="134"/>
      </rPr>
      <t xml:space="preserve">
</t>
    </r>
    <r>
      <rPr>
        <sz val="11"/>
        <color theme="1"/>
        <rFont val="Times New Roman"/>
        <family val="1"/>
      </rPr>
      <t>-0.9%</t>
    </r>
    <r>
      <rPr>
        <sz val="11"/>
        <color theme="1"/>
        <rFont val="宋体"/>
        <charset val="134"/>
      </rPr>
      <t>（国内航班运力）</t>
    </r>
  </si>
  <si>
    <r>
      <rPr>
        <sz val="11"/>
        <color theme="1"/>
        <rFont val="Times New Roman"/>
        <family val="1"/>
      </rPr>
      <t>1.4%</t>
    </r>
    <r>
      <rPr>
        <sz val="11"/>
        <color theme="1"/>
        <rFont val="宋体"/>
        <charset val="134"/>
      </rPr>
      <t>（交通部）</t>
    </r>
  </si>
  <si>
    <t>5/5-5/11</t>
  </si>
  <si>
    <t>5/12-5/18</t>
  </si>
  <si>
    <r>
      <rPr>
        <i/>
        <sz val="11"/>
        <color theme="1"/>
        <rFont val="Times New Roman"/>
        <family val="1"/>
      </rPr>
      <t>Note</t>
    </r>
    <r>
      <rPr>
        <i/>
        <sz val="11"/>
        <color theme="1"/>
        <rFont val="宋体"/>
        <charset val="134"/>
      </rPr>
      <t>：民航局数据不含外航</t>
    </r>
  </si>
  <si>
    <t>5/19-5/25</t>
  </si>
  <si>
    <t>5/26-6/1</t>
  </si>
  <si>
    <t>6/2-6/8</t>
  </si>
  <si>
    <r>
      <rPr>
        <b/>
        <sz val="11"/>
        <color theme="1"/>
        <rFont val="Times New Roman"/>
        <family val="1"/>
      </rPr>
      <t>2025</t>
    </r>
    <r>
      <rPr>
        <b/>
        <sz val="11"/>
        <color theme="1"/>
        <rFont val="宋体"/>
        <charset val="134"/>
      </rPr>
      <t>年</t>
    </r>
  </si>
  <si>
    <t>6/9-6/15</t>
  </si>
  <si>
    <r>
      <rPr>
        <b/>
        <i/>
        <sz val="11"/>
        <color theme="1"/>
        <rFont val="宋体"/>
        <charset val="134"/>
      </rPr>
      <t>同比</t>
    </r>
    <r>
      <rPr>
        <b/>
        <i/>
        <sz val="11"/>
        <color theme="1"/>
        <rFont val="Times New Roman"/>
        <family val="1"/>
      </rPr>
      <t>2024</t>
    </r>
  </si>
  <si>
    <t>同比2024</t>
  </si>
  <si>
    <t>6/16-6/22</t>
  </si>
  <si>
    <r>
      <rPr>
        <b/>
        <sz val="11"/>
        <color theme="1"/>
        <rFont val="宋体"/>
        <charset val="134"/>
      </rPr>
      <t xml:space="preserve">民航局
</t>
    </r>
    <r>
      <rPr>
        <b/>
        <i/>
        <sz val="11"/>
        <rFont val="宋体"/>
        <charset val="134"/>
      </rPr>
      <t>(仅含国内航司
出境+入境）</t>
    </r>
  </si>
  <si>
    <t>三大航
(出境+入境）</t>
  </si>
  <si>
    <t>飞友</t>
  </si>
  <si>
    <t>6/23-6/29</t>
  </si>
  <si>
    <t>6/30-7/6</t>
  </si>
  <si>
    <t>1/5-1/11</t>
  </si>
  <si>
    <t>7/7-7/13</t>
  </si>
  <si>
    <t>1/12-1/18</t>
  </si>
  <si>
    <t>7/14-7/20</t>
  </si>
  <si>
    <t>2/2-2/8</t>
  </si>
  <si>
    <t>7/21-7/27</t>
  </si>
  <si>
    <t>2/9-2/15</t>
  </si>
  <si>
    <t>7/28-8/3</t>
  </si>
  <si>
    <t>春节（7天)</t>
  </si>
  <si>
    <r>
      <rPr>
        <sz val="11"/>
        <color theme="1"/>
        <rFont val="Times New Roman"/>
        <family val="1"/>
      </rPr>
      <t>STR</t>
    </r>
    <r>
      <rPr>
        <sz val="11"/>
        <color theme="1"/>
        <rFont val="宋体"/>
        <charset val="134"/>
      </rPr>
      <t>公众号会有单独数据报告</t>
    </r>
  </si>
  <si>
    <t>8/4-8/10</t>
  </si>
  <si>
    <t>春运（40天)</t>
  </si>
  <si>
    <t>8/11-8/17</t>
  </si>
  <si>
    <r>
      <rPr>
        <i/>
        <sz val="11"/>
        <color theme="1"/>
        <rFont val="Times New Roman"/>
        <family val="1"/>
      </rPr>
      <t>1/19-2/15 (28</t>
    </r>
    <r>
      <rPr>
        <i/>
        <sz val="11"/>
        <color theme="1"/>
        <rFont val="宋体"/>
        <charset val="134"/>
      </rPr>
      <t>天)</t>
    </r>
  </si>
  <si>
    <t>8/18-8/24</t>
  </si>
  <si>
    <t>2/16-2/22</t>
  </si>
  <si>
    <t>8/25-8/31</t>
  </si>
  <si>
    <t>2/23-3/1</t>
  </si>
  <si>
    <t>9/1-9/7</t>
  </si>
  <si>
    <t>3/2-3/8</t>
  </si>
  <si>
    <t>9/8-9/14</t>
  </si>
  <si>
    <t>3/9-3/15</t>
  </si>
  <si>
    <t>9/15-9/21</t>
  </si>
  <si>
    <t>3/16-3/22</t>
  </si>
  <si>
    <t>9/22-9/28</t>
  </si>
  <si>
    <t>3/23-3/29</t>
  </si>
  <si>
    <t>9/29-10/5</t>
  </si>
  <si>
    <t>3/30-4/5</t>
  </si>
  <si>
    <t>4/6-4/12</t>
  </si>
  <si>
    <t>4/13-4/19</t>
  </si>
  <si>
    <t>周度</t>
  </si>
  <si>
    <t>4/20-4/26</t>
  </si>
  <si>
    <t>11/30-12/6</t>
  </si>
  <si>
    <t>4/27-5/3</t>
  </si>
  <si>
    <t>12/7-12/13</t>
  </si>
  <si>
    <t>5/4-5/10</t>
  </si>
  <si>
    <t>12/14-12/20</t>
  </si>
  <si>
    <t>5/11-5/17</t>
  </si>
  <si>
    <t>12/21-12/27</t>
  </si>
  <si>
    <t>5/18-5/24</t>
  </si>
  <si>
    <t>12/28-1/3</t>
  </si>
  <si>
    <t>5/24-5/31</t>
  </si>
  <si>
    <t>1/4-1/10</t>
  </si>
  <si>
    <t>6/1-6/7</t>
  </si>
  <si>
    <t>Note：民航局、航班管家数据不含外航，一月整体数据因春节提前相对偏高</t>
  </si>
  <si>
    <t>6/8-6/14</t>
  </si>
  <si>
    <t>6/15-6/21</t>
  </si>
  <si>
    <t>6/22-6/28</t>
  </si>
  <si>
    <t>6/29-7/5</t>
  </si>
  <si>
    <t>7/6-7/12</t>
  </si>
  <si>
    <t>7/13-7/19</t>
  </si>
  <si>
    <t>7/20-7/26</t>
  </si>
  <si>
    <t>7/27-8/2</t>
  </si>
  <si>
    <t>8/3-8/9</t>
  </si>
  <si>
    <t>8/10-8/16</t>
  </si>
  <si>
    <t>8/17-8/23</t>
  </si>
  <si>
    <t>8/24-8/30</t>
  </si>
  <si>
    <t>08/31-09/06</t>
  </si>
  <si>
    <t>09/07-09/13</t>
  </si>
  <si>
    <t>09/14-09/20</t>
  </si>
  <si>
    <t>09/21-09/27</t>
  </si>
  <si>
    <t>09/28-10/04</t>
  </si>
  <si>
    <t>10/05-10/11</t>
  </si>
  <si>
    <t>10/12-10/18</t>
  </si>
  <si>
    <t>10/19-10/25</t>
  </si>
  <si>
    <t>10/26-11/1</t>
  </si>
  <si>
    <t>11/2-11/8</t>
  </si>
  <si>
    <t>11/9-11/15</t>
  </si>
  <si>
    <t>11/16-11/22</t>
  </si>
  <si>
    <t>11/23-11/29</t>
  </si>
  <si>
    <t>1/11-1/17</t>
  </si>
  <si>
    <t>Note：春运数据为交通部日均（含出境）</t>
  </si>
  <si>
    <t>** 火车票不发</t>
  </si>
  <si>
    <r>
      <rPr>
        <b/>
        <sz val="11"/>
        <color theme="1"/>
        <rFont val="Times New Roman"/>
        <family val="1"/>
      </rPr>
      <t>2026</t>
    </r>
    <r>
      <rPr>
        <b/>
        <sz val="11"/>
        <color theme="1"/>
        <rFont val="宋体"/>
        <charset val="134"/>
      </rPr>
      <t>年</t>
    </r>
  </si>
  <si>
    <r>
      <rPr>
        <b/>
        <sz val="11"/>
        <color theme="3"/>
        <rFont val="宋体"/>
        <charset val="134"/>
      </rPr>
      <t>同比</t>
    </r>
    <r>
      <rPr>
        <b/>
        <sz val="11"/>
        <color theme="3"/>
        <rFont val="Times New Roman"/>
        <family val="1"/>
      </rPr>
      <t>2025</t>
    </r>
  </si>
  <si>
    <r>
      <rPr>
        <b/>
        <sz val="11"/>
        <color theme="3"/>
        <rFont val="宋体"/>
        <charset val="134"/>
      </rPr>
      <t>同比</t>
    </r>
    <r>
      <rPr>
        <b/>
        <sz val="11"/>
        <color theme="3"/>
        <rFont val="Times New Roman"/>
        <family val="1"/>
      </rPr>
      <t>2019</t>
    </r>
  </si>
  <si>
    <r>
      <rPr>
        <b/>
        <i/>
        <sz val="11"/>
        <color theme="1"/>
        <rFont val="宋体"/>
        <charset val="134"/>
      </rPr>
      <t>同比</t>
    </r>
    <r>
      <rPr>
        <b/>
        <i/>
        <sz val="11"/>
        <color theme="1"/>
        <rFont val="Times New Roman"/>
        <family val="1"/>
      </rPr>
      <t>2025</t>
    </r>
  </si>
  <si>
    <t>国内航空客运量</t>
  </si>
  <si>
    <t>国际航空客运量（含港澳台）</t>
  </si>
  <si>
    <t>同比2025</t>
  </si>
  <si>
    <t>航空</t>
  </si>
  <si>
    <t>月度</t>
  </si>
  <si>
    <r>
      <rPr>
        <b/>
        <sz val="10"/>
        <color theme="1"/>
        <rFont val="宋体"/>
        <charset val="134"/>
      </rPr>
      <t xml:space="preserve">民航局
</t>
    </r>
    <r>
      <rPr>
        <b/>
        <i/>
        <sz val="10"/>
        <rFont val="宋体"/>
        <charset val="134"/>
      </rPr>
      <t>(仅国内航司,出入境）</t>
    </r>
  </si>
  <si>
    <r>
      <rPr>
        <b/>
        <sz val="11"/>
        <color theme="1"/>
        <rFont val="宋体"/>
        <charset val="134"/>
      </rPr>
      <t xml:space="preserve">三大航
</t>
    </r>
    <r>
      <rPr>
        <b/>
        <i/>
        <sz val="11"/>
        <color theme="1"/>
        <rFont val="宋体"/>
        <charset val="134"/>
      </rPr>
      <t>(出入境）</t>
    </r>
  </si>
  <si>
    <t>客运量
（含出入境）</t>
  </si>
  <si>
    <t>票价</t>
  </si>
  <si>
    <t>客运航班量</t>
  </si>
  <si>
    <t>1/18-1/24</t>
  </si>
  <si>
    <t>1/25-1/31</t>
  </si>
  <si>
    <r>
      <rPr>
        <sz val="11"/>
        <rFont val="Times New Roman"/>
        <family val="1"/>
      </rPr>
      <t>5</t>
    </r>
    <r>
      <rPr>
        <sz val="11"/>
        <rFont val="宋体"/>
        <charset val="134"/>
      </rPr>
      <t>月</t>
    </r>
  </si>
  <si>
    <t>2/1-2/7</t>
  </si>
  <si>
    <t>2/8-2/14</t>
  </si>
  <si>
    <t>2/15-2/21</t>
  </si>
  <si>
    <t>春节(日均)</t>
  </si>
  <si>
    <t>2/22-2/28</t>
  </si>
  <si>
    <t>3/1-3/7</t>
  </si>
  <si>
    <t>3/8-3/14</t>
  </si>
  <si>
    <t>3/15-3/21</t>
  </si>
  <si>
    <t>3/22-3/28</t>
  </si>
  <si>
    <t>3/29-4/4</t>
  </si>
  <si>
    <t>4/5-4/11</t>
  </si>
  <si>
    <t>4/12-4/18</t>
  </si>
  <si>
    <t>4/19-4/25</t>
  </si>
  <si>
    <t>QTD周度</t>
  </si>
  <si>
    <t>机票客运量</t>
  </si>
  <si>
    <t>4/26-5/2</t>
  </si>
  <si>
    <t>6/28-7/4</t>
  </si>
  <si>
    <t>5/3-5/9</t>
  </si>
  <si>
    <t>7/5-7/11</t>
  </si>
  <si>
    <t>5/10-5/16</t>
  </si>
  <si>
    <t>7/12-7/18</t>
  </si>
  <si>
    <t>5/17-5/23</t>
  </si>
  <si>
    <t>7/19-7/25</t>
  </si>
  <si>
    <t>5/24-5/30</t>
  </si>
  <si>
    <t>7/26-8/1</t>
  </si>
  <si>
    <t>5/31-6/06</t>
  </si>
  <si>
    <t>8/2-8/8</t>
  </si>
  <si>
    <t>6/07-6/13</t>
  </si>
  <si>
    <t>8/9-8/15</t>
  </si>
  <si>
    <t>6/14-6/20</t>
  </si>
  <si>
    <t>6/21-6/27</t>
  </si>
  <si>
    <t>Note：民航局、航班管家数据不含外航</t>
  </si>
  <si>
    <t>周度民航客运数据来自飞常准</t>
  </si>
  <si>
    <t>Note：春节数据为民航局日均（含出境）</t>
  </si>
  <si>
    <t>CAGR</t>
  </si>
  <si>
    <t>2024</t>
  </si>
  <si>
    <t>YOY</t>
  </si>
  <si>
    <t>meituan</t>
  </si>
  <si>
    <t>EDU</t>
  </si>
  <si>
    <t>PDD</t>
  </si>
  <si>
    <t>Kanzhun</t>
  </si>
  <si>
    <t>YMM</t>
  </si>
  <si>
    <t>Tencent</t>
  </si>
  <si>
    <t>Alibaba</t>
  </si>
  <si>
    <t>JD</t>
  </si>
  <si>
    <t>TCOM</t>
  </si>
  <si>
    <t>TME</t>
  </si>
  <si>
    <t>LI</t>
  </si>
  <si>
    <t>KE Holdings</t>
  </si>
  <si>
    <t>FUTU</t>
  </si>
  <si>
    <t>ZTO</t>
  </si>
  <si>
    <t>Yum China</t>
  </si>
  <si>
    <t>NetEase</t>
  </si>
  <si>
    <t>H World</t>
  </si>
  <si>
    <t>BIDU</t>
  </si>
  <si>
    <t>VIP Shop</t>
  </si>
  <si>
    <t>XPEV</t>
  </si>
  <si>
    <t>BILI</t>
  </si>
  <si>
    <t>TAL</t>
  </si>
  <si>
    <t>NIO</t>
  </si>
  <si>
    <t>BGNE</t>
  </si>
  <si>
    <t>ZK</t>
  </si>
  <si>
    <t>Note：民航局数据不含外航，一月整体数据因春节提前相对偏高</t>
  </si>
  <si>
    <r>
      <t>7</t>
    </r>
    <r>
      <rPr>
        <sz val="11"/>
        <color theme="1"/>
        <rFont val="宋体"/>
        <charset val="134"/>
      </rPr>
      <t>月</t>
    </r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</si>
</sst>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_([$€-2]* #,##0.00_);_([$€-2]* \(#,##0.00\);_([$€-2]* &quot;-&quot;??_)"/>
    <numFmt numFmtId="179" formatCode="0.00_);[Red]\(0.00\)"/>
    <numFmt numFmtId="180" formatCode="0.0%"/>
  </numFmts>
  <fonts count="27" x14ac:knownFonts="1">
    <font>
      <sz val="11"/>
      <color theme="1"/>
      <name val="等线"/>
      <charset val="134"/>
      <scheme val="minor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宋体"/>
      <charset val="134"/>
    </font>
    <font>
      <sz val="11"/>
      <color theme="1"/>
      <name val="Times New Roman"/>
      <family val="1"/>
    </font>
    <font>
      <b/>
      <i/>
      <sz val="11"/>
      <color rgb="FFFF0000"/>
      <name val="Times New Roman"/>
      <family val="1"/>
    </font>
    <font>
      <i/>
      <sz val="11"/>
      <color theme="1"/>
      <name val="宋体"/>
      <charset val="134"/>
    </font>
    <font>
      <b/>
      <sz val="11"/>
      <color theme="1"/>
      <name val="等线"/>
      <charset val="134"/>
      <scheme val="minor"/>
    </font>
    <font>
      <b/>
      <u/>
      <sz val="11"/>
      <color theme="1"/>
      <name val="Times New Roman"/>
      <family val="1"/>
    </font>
    <font>
      <sz val="11"/>
      <color theme="1"/>
      <name val="宋体"/>
      <charset val="134"/>
    </font>
    <font>
      <b/>
      <i/>
      <sz val="11"/>
      <color theme="1"/>
      <name val="宋体"/>
      <charset val="134"/>
    </font>
    <font>
      <i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3"/>
      <name val="Times New Roman"/>
      <family val="1"/>
    </font>
    <font>
      <b/>
      <sz val="10"/>
      <color theme="1"/>
      <name val="宋体"/>
      <charset val="134"/>
    </font>
    <font>
      <sz val="11"/>
      <name val="Times New Roman"/>
      <family val="1"/>
    </font>
    <font>
      <sz val="11"/>
      <color theme="8"/>
      <name val="Times New Roman"/>
      <family val="1"/>
    </font>
    <font>
      <sz val="11"/>
      <color theme="1"/>
      <name val="等线"/>
      <charset val="134"/>
      <scheme val="minor"/>
    </font>
    <font>
      <b/>
      <u/>
      <sz val="11"/>
      <color theme="1"/>
      <name val="宋体"/>
      <charset val="134"/>
    </font>
    <font>
      <b/>
      <sz val="11"/>
      <color theme="3"/>
      <name val="宋体"/>
      <charset val="134"/>
    </font>
    <font>
      <b/>
      <i/>
      <sz val="11"/>
      <name val="宋体"/>
      <charset val="134"/>
    </font>
    <font>
      <b/>
      <i/>
      <sz val="11"/>
      <name val="Times New Roman"/>
      <family val="1"/>
    </font>
    <font>
      <sz val="11"/>
      <name val="宋体"/>
      <charset val="134"/>
    </font>
    <font>
      <b/>
      <i/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name val="等线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6" tint="0.39982299264503923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89013336588644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4">
    <xf numFmtId="178" fontId="0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8" fontId="17" fillId="0" borderId="0">
      <alignment vertical="center"/>
    </xf>
  </cellStyleXfs>
  <cellXfs count="401">
    <xf numFmtId="178" fontId="0" fillId="0" borderId="0" xfId="0">
      <alignment vertical="center"/>
    </xf>
    <xf numFmtId="178" fontId="1" fillId="2" borderId="1" xfId="3" applyFont="1" applyFill="1" applyBorder="1">
      <alignment vertical="center"/>
    </xf>
    <xf numFmtId="178" fontId="2" fillId="3" borderId="3" xfId="3" applyFont="1" applyFill="1" applyBorder="1">
      <alignment vertical="center"/>
    </xf>
    <xf numFmtId="178" fontId="3" fillId="3" borderId="4" xfId="3" applyFont="1" applyFill="1" applyBorder="1" applyAlignment="1">
      <alignment vertical="center"/>
    </xf>
    <xf numFmtId="178" fontId="2" fillId="2" borderId="5" xfId="3" applyFont="1" applyFill="1" applyBorder="1" applyAlignment="1">
      <alignment vertical="center"/>
    </xf>
    <xf numFmtId="178" fontId="3" fillId="4" borderId="6" xfId="3" applyFont="1" applyFill="1" applyBorder="1" applyAlignment="1">
      <alignment horizontal="center" vertical="center"/>
    </xf>
    <xf numFmtId="178" fontId="2" fillId="2" borderId="7" xfId="3" applyFont="1" applyFill="1" applyBorder="1">
      <alignment vertical="center"/>
    </xf>
    <xf numFmtId="178" fontId="2" fillId="2" borderId="8" xfId="3" applyFont="1" applyFill="1" applyBorder="1" applyAlignment="1">
      <alignment horizontal="center" vertical="center"/>
    </xf>
    <xf numFmtId="178" fontId="4" fillId="2" borderId="9" xfId="3" applyFont="1" applyFill="1" applyBorder="1" applyAlignment="1">
      <alignment horizontal="center" vertical="center"/>
    </xf>
    <xf numFmtId="178" fontId="2" fillId="2" borderId="7" xfId="3" applyFont="1" applyFill="1" applyBorder="1" applyAlignment="1">
      <alignment horizontal="center" vertical="center" wrapText="1"/>
    </xf>
    <xf numFmtId="178" fontId="2" fillId="2" borderId="9" xfId="3" applyFont="1" applyFill="1" applyBorder="1" applyAlignment="1">
      <alignment horizontal="center" vertical="center" wrapText="1"/>
    </xf>
    <xf numFmtId="178" fontId="3" fillId="2" borderId="10" xfId="3" applyFont="1" applyFill="1" applyBorder="1" applyAlignment="1">
      <alignment horizontal="center" vertical="center" wrapText="1"/>
    </xf>
    <xf numFmtId="178" fontId="3" fillId="2" borderId="0" xfId="3" applyFont="1" applyFill="1" applyBorder="1" applyAlignment="1">
      <alignment horizontal="center" vertical="center" wrapText="1"/>
    </xf>
    <xf numFmtId="178" fontId="2" fillId="2" borderId="8" xfId="3" applyFont="1" applyFill="1" applyBorder="1" applyAlignment="1">
      <alignment horizontal="center" vertical="center" wrapText="1"/>
    </xf>
    <xf numFmtId="178" fontId="3" fillId="2" borderId="11" xfId="3" applyFont="1" applyFill="1" applyBorder="1" applyAlignment="1">
      <alignment horizontal="center" vertical="center" wrapText="1"/>
    </xf>
    <xf numFmtId="178" fontId="4" fillId="0" borderId="7" xfId="3" applyFont="1" applyBorder="1">
      <alignment vertical="center"/>
    </xf>
    <xf numFmtId="9" fontId="4" fillId="2" borderId="8" xfId="2" applyNumberFormat="1" applyFont="1" applyFill="1" applyBorder="1" applyAlignment="1">
      <alignment horizontal="center" vertical="center"/>
    </xf>
    <xf numFmtId="178" fontId="4" fillId="2" borderId="9" xfId="3" applyFont="1" applyFill="1" applyBorder="1">
      <alignment vertical="center"/>
    </xf>
    <xf numFmtId="9" fontId="4" fillId="2" borderId="7" xfId="2" applyNumberFormat="1" applyFont="1" applyFill="1" applyBorder="1" applyAlignment="1">
      <alignment horizontal="center" vertical="center"/>
    </xf>
    <xf numFmtId="9" fontId="4" fillId="2" borderId="9" xfId="2" applyNumberFormat="1" applyFont="1" applyFill="1" applyBorder="1" applyAlignment="1">
      <alignment horizontal="center" vertical="center"/>
    </xf>
    <xf numFmtId="9" fontId="4" fillId="2" borderId="10" xfId="2" applyNumberFormat="1" applyFont="1" applyFill="1" applyBorder="1" applyAlignment="1">
      <alignment horizontal="center" vertical="center"/>
    </xf>
    <xf numFmtId="9" fontId="4" fillId="2" borderId="0" xfId="2" applyNumberFormat="1" applyFont="1" applyFill="1" applyBorder="1" applyAlignment="1">
      <alignment horizontal="center" vertical="center"/>
    </xf>
    <xf numFmtId="9" fontId="4" fillId="2" borderId="11" xfId="2" applyNumberFormat="1" applyFont="1" applyFill="1" applyBorder="1" applyAlignment="1">
      <alignment horizontal="center" vertical="center"/>
    </xf>
    <xf numFmtId="178" fontId="4" fillId="2" borderId="7" xfId="3" applyFont="1" applyFill="1" applyBorder="1">
      <alignment vertical="center"/>
    </xf>
    <xf numFmtId="178" fontId="4" fillId="0" borderId="7" xfId="3" applyFont="1" applyFill="1" applyBorder="1">
      <alignment vertical="center"/>
    </xf>
    <xf numFmtId="9" fontId="4" fillId="2" borderId="8" xfId="3" applyNumberFormat="1" applyFont="1" applyFill="1" applyBorder="1" applyAlignment="1">
      <alignment horizontal="center" vertical="center"/>
    </xf>
    <xf numFmtId="9" fontId="4" fillId="2" borderId="9" xfId="3" applyNumberFormat="1" applyFont="1" applyFill="1" applyBorder="1" applyAlignment="1">
      <alignment horizontal="center" vertical="center"/>
    </xf>
    <xf numFmtId="9" fontId="4" fillId="2" borderId="7" xfId="3" applyNumberFormat="1" applyFont="1" applyFill="1" applyBorder="1" applyAlignment="1">
      <alignment horizontal="center" vertical="center"/>
    </xf>
    <xf numFmtId="9" fontId="4" fillId="2" borderId="10" xfId="3" applyNumberFormat="1" applyFont="1" applyFill="1" applyBorder="1" applyAlignment="1">
      <alignment horizontal="center" vertical="center"/>
    </xf>
    <xf numFmtId="178" fontId="4" fillId="2" borderId="0" xfId="3" applyFont="1" applyFill="1" applyBorder="1">
      <alignment vertical="center"/>
    </xf>
    <xf numFmtId="9" fontId="4" fillId="2" borderId="11" xfId="3" applyNumberFormat="1" applyFont="1" applyFill="1" applyBorder="1" applyAlignment="1">
      <alignment horizontal="center" vertical="center"/>
    </xf>
    <xf numFmtId="9" fontId="4" fillId="2" borderId="0" xfId="1" applyFont="1" applyFill="1" applyBorder="1" applyAlignment="1">
      <alignment horizontal="center" vertical="center"/>
    </xf>
    <xf numFmtId="9" fontId="4" fillId="2" borderId="0" xfId="3" applyNumberFormat="1" applyFont="1" applyFill="1" applyBorder="1" applyAlignment="1">
      <alignment horizontal="center" vertical="center"/>
    </xf>
    <xf numFmtId="9" fontId="4" fillId="2" borderId="9" xfId="1" applyFont="1" applyFill="1" applyBorder="1" applyAlignment="1">
      <alignment horizontal="center" vertical="center"/>
    </xf>
    <xf numFmtId="9" fontId="4" fillId="2" borderId="8" xfId="2" applyFont="1" applyFill="1" applyBorder="1" applyAlignment="1">
      <alignment horizontal="center" vertical="center"/>
    </xf>
    <xf numFmtId="178" fontId="0" fillId="0" borderId="9" xfId="0" applyBorder="1">
      <alignment vertical="center"/>
    </xf>
    <xf numFmtId="178" fontId="0" fillId="0" borderId="7" xfId="0" applyBorder="1">
      <alignment vertical="center"/>
    </xf>
    <xf numFmtId="178" fontId="0" fillId="0" borderId="10" xfId="0" applyBorder="1">
      <alignment vertical="center"/>
    </xf>
    <xf numFmtId="178" fontId="0" fillId="0" borderId="0" xfId="0" applyBorder="1">
      <alignment vertical="center"/>
    </xf>
    <xf numFmtId="178" fontId="0" fillId="0" borderId="8" xfId="0" applyBorder="1">
      <alignment vertical="center"/>
    </xf>
    <xf numFmtId="178" fontId="0" fillId="0" borderId="11" xfId="0" applyBorder="1">
      <alignment vertical="center"/>
    </xf>
    <xf numFmtId="178" fontId="2" fillId="2" borderId="14" xfId="3" applyFont="1" applyFill="1" applyBorder="1">
      <alignment vertical="center"/>
    </xf>
    <xf numFmtId="9" fontId="4" fillId="2" borderId="15" xfId="2" applyFont="1" applyFill="1" applyBorder="1" applyAlignment="1">
      <alignment horizontal="center" vertical="center"/>
    </xf>
    <xf numFmtId="178" fontId="0" fillId="0" borderId="16" xfId="0" applyBorder="1">
      <alignment vertical="center"/>
    </xf>
    <xf numFmtId="178" fontId="0" fillId="0" borderId="14" xfId="0" applyBorder="1">
      <alignment vertical="center"/>
    </xf>
    <xf numFmtId="178" fontId="0" fillId="0" borderId="17" xfId="0" applyBorder="1">
      <alignment vertical="center"/>
    </xf>
    <xf numFmtId="178" fontId="0" fillId="0" borderId="18" xfId="0" applyBorder="1">
      <alignment vertical="center"/>
    </xf>
    <xf numFmtId="178" fontId="0" fillId="0" borderId="15" xfId="0" applyBorder="1">
      <alignment vertical="center"/>
    </xf>
    <xf numFmtId="178" fontId="0" fillId="0" borderId="19" xfId="0" applyBorder="1">
      <alignment vertical="center"/>
    </xf>
    <xf numFmtId="178" fontId="0" fillId="2" borderId="0" xfId="0" applyFill="1">
      <alignment vertical="center"/>
    </xf>
    <xf numFmtId="178" fontId="2" fillId="6" borderId="20" xfId="3" applyFont="1" applyFill="1" applyBorder="1">
      <alignment vertical="center"/>
    </xf>
    <xf numFmtId="178" fontId="4" fillId="6" borderId="21" xfId="3" applyFont="1" applyFill="1" applyBorder="1">
      <alignment vertical="center"/>
    </xf>
    <xf numFmtId="178" fontId="4" fillId="6" borderId="21" xfId="3" applyFont="1" applyFill="1" applyBorder="1" applyAlignment="1">
      <alignment horizontal="center" vertical="center"/>
    </xf>
    <xf numFmtId="178" fontId="5" fillId="6" borderId="21" xfId="3" applyFont="1" applyFill="1" applyBorder="1" applyAlignment="1">
      <alignment horizontal="center" vertical="center"/>
    </xf>
    <xf numFmtId="178" fontId="5" fillId="6" borderId="22" xfId="3" applyFont="1" applyFill="1" applyBorder="1" applyAlignment="1">
      <alignment horizontal="center" vertical="center"/>
    </xf>
    <xf numFmtId="178" fontId="2" fillId="3" borderId="23" xfId="3" applyFont="1" applyFill="1" applyBorder="1">
      <alignment vertical="center"/>
    </xf>
    <xf numFmtId="178" fontId="3" fillId="3" borderId="6" xfId="3" applyFont="1" applyFill="1" applyBorder="1" applyAlignment="1">
      <alignment vertical="center"/>
    </xf>
    <xf numFmtId="178" fontId="2" fillId="2" borderId="23" xfId="3" applyFont="1" applyFill="1" applyBorder="1" applyAlignment="1">
      <alignment vertical="center"/>
    </xf>
    <xf numFmtId="178" fontId="2" fillId="2" borderId="11" xfId="3" applyFont="1" applyFill="1" applyBorder="1" applyAlignment="1">
      <alignment horizontal="center" vertical="center"/>
    </xf>
    <xf numFmtId="178" fontId="4" fillId="2" borderId="24" xfId="3" applyFont="1" applyFill="1" applyBorder="1" applyAlignment="1">
      <alignment horizontal="center" vertical="center"/>
    </xf>
    <xf numFmtId="178" fontId="3" fillId="2" borderId="24" xfId="3" applyFont="1" applyFill="1" applyBorder="1" applyAlignment="1">
      <alignment horizontal="center" vertical="center" wrapText="1"/>
    </xf>
    <xf numFmtId="178" fontId="3" fillId="2" borderId="7" xfId="3" applyFont="1" applyFill="1" applyBorder="1" applyAlignment="1">
      <alignment horizontal="center" vertical="center" wrapText="1"/>
    </xf>
    <xf numFmtId="178" fontId="3" fillId="2" borderId="9" xfId="3" applyFont="1" applyFill="1" applyBorder="1" applyAlignment="1">
      <alignment horizontal="center" vertical="center" wrapText="1"/>
    </xf>
    <xf numFmtId="178" fontId="4" fillId="2" borderId="24" xfId="3" applyFont="1" applyFill="1" applyBorder="1">
      <alignment vertical="center"/>
    </xf>
    <xf numFmtId="9" fontId="4" fillId="2" borderId="24" xfId="2" applyNumberFormat="1" applyFont="1" applyFill="1" applyBorder="1" applyAlignment="1">
      <alignment horizontal="center" vertical="center"/>
    </xf>
    <xf numFmtId="178" fontId="4" fillId="2" borderId="14" xfId="3" applyFont="1" applyFill="1" applyBorder="1">
      <alignment vertical="center"/>
    </xf>
    <xf numFmtId="9" fontId="4" fillId="2" borderId="15" xfId="2" applyNumberFormat="1" applyFont="1" applyFill="1" applyBorder="1" applyAlignment="1">
      <alignment horizontal="center" vertical="center"/>
    </xf>
    <xf numFmtId="9" fontId="4" fillId="2" borderId="19" xfId="2" applyNumberFormat="1" applyFont="1" applyFill="1" applyBorder="1" applyAlignment="1">
      <alignment horizontal="center" vertical="center"/>
    </xf>
    <xf numFmtId="178" fontId="4" fillId="2" borderId="25" xfId="3" applyFont="1" applyFill="1" applyBorder="1">
      <alignment vertical="center"/>
    </xf>
    <xf numFmtId="9" fontId="4" fillId="2" borderId="14" xfId="2" applyNumberFormat="1" applyFont="1" applyFill="1" applyBorder="1" applyAlignment="1">
      <alignment horizontal="center" vertical="center"/>
    </xf>
    <xf numFmtId="9" fontId="4" fillId="2" borderId="25" xfId="2" applyNumberFormat="1" applyFont="1" applyFill="1" applyBorder="1" applyAlignment="1">
      <alignment horizontal="center" vertical="center"/>
    </xf>
    <xf numFmtId="178" fontId="4" fillId="0" borderId="29" xfId="3" applyFont="1" applyFill="1" applyBorder="1">
      <alignment vertical="center"/>
    </xf>
    <xf numFmtId="9" fontId="4" fillId="2" borderId="30" xfId="3" applyNumberFormat="1" applyFont="1" applyFill="1" applyBorder="1" applyAlignment="1">
      <alignment horizontal="center" vertical="center"/>
    </xf>
    <xf numFmtId="9" fontId="4" fillId="2" borderId="31" xfId="3" applyNumberFormat="1" applyFont="1" applyFill="1" applyBorder="1" applyAlignment="1">
      <alignment horizontal="center" vertical="center"/>
    </xf>
    <xf numFmtId="9" fontId="4" fillId="2" borderId="29" xfId="3" applyNumberFormat="1" applyFont="1" applyFill="1" applyBorder="1" applyAlignment="1">
      <alignment horizontal="center" vertical="center"/>
    </xf>
    <xf numFmtId="178" fontId="2" fillId="2" borderId="1" xfId="3" applyFont="1" applyFill="1" applyBorder="1">
      <alignment vertical="center"/>
    </xf>
    <xf numFmtId="9" fontId="4" fillId="2" borderId="2" xfId="2" applyFont="1" applyFill="1" applyBorder="1" applyAlignment="1">
      <alignment horizontal="center" vertical="center"/>
    </xf>
    <xf numFmtId="9" fontId="4" fillId="2" borderId="6" xfId="2" applyFont="1" applyFill="1" applyBorder="1" applyAlignment="1">
      <alignment horizontal="center" vertical="center"/>
    </xf>
    <xf numFmtId="178" fontId="0" fillId="0" borderId="32" xfId="0" applyBorder="1">
      <alignment vertical="center"/>
    </xf>
    <xf numFmtId="178" fontId="0" fillId="0" borderId="1" xfId="0" applyBorder="1">
      <alignment vertical="center"/>
    </xf>
    <xf numFmtId="178" fontId="0" fillId="0" borderId="2" xfId="0" applyBorder="1">
      <alignment vertical="center"/>
    </xf>
    <xf numFmtId="178" fontId="0" fillId="0" borderId="6" xfId="0" applyBorder="1">
      <alignment vertical="center"/>
    </xf>
    <xf numFmtId="9" fontId="4" fillId="2" borderId="11" xfId="2" applyFont="1" applyFill="1" applyBorder="1" applyAlignment="1">
      <alignment horizontal="center" vertical="center"/>
    </xf>
    <xf numFmtId="178" fontId="0" fillId="0" borderId="24" xfId="0" applyBorder="1">
      <alignment vertical="center"/>
    </xf>
    <xf numFmtId="9" fontId="4" fillId="2" borderId="19" xfId="2" applyFont="1" applyFill="1" applyBorder="1" applyAlignment="1">
      <alignment horizontal="center" vertical="center"/>
    </xf>
    <xf numFmtId="178" fontId="0" fillId="0" borderId="33" xfId="0" applyBorder="1">
      <alignment vertical="center"/>
    </xf>
    <xf numFmtId="178" fontId="6" fillId="2" borderId="0" xfId="3" applyFont="1" applyFill="1">
      <alignment vertical="center"/>
    </xf>
    <xf numFmtId="49" fontId="7" fillId="0" borderId="0" xfId="0" applyNumberFormat="1" applyFont="1" applyAlignment="1">
      <alignment horizontal="center" vertical="center"/>
    </xf>
    <xf numFmtId="178" fontId="7" fillId="0" borderId="0" xfId="0" applyFont="1" applyAlignment="1">
      <alignment horizontal="center" vertical="center"/>
    </xf>
    <xf numFmtId="179" fontId="0" fillId="0" borderId="0" xfId="0" applyNumberFormat="1">
      <alignment vertical="center"/>
    </xf>
    <xf numFmtId="10" fontId="0" fillId="7" borderId="0" xfId="0" applyNumberFormat="1" applyFill="1">
      <alignment vertical="center"/>
    </xf>
    <xf numFmtId="178" fontId="4" fillId="8" borderId="0" xfId="3" applyFont="1" applyFill="1">
      <alignment vertical="center"/>
    </xf>
    <xf numFmtId="178" fontId="4" fillId="9" borderId="0" xfId="3" applyFont="1" applyFill="1">
      <alignment vertical="center"/>
    </xf>
    <xf numFmtId="178" fontId="4" fillId="2" borderId="0" xfId="3" applyFont="1" applyFill="1">
      <alignment vertical="center"/>
    </xf>
    <xf numFmtId="178" fontId="8" fillId="8" borderId="0" xfId="3" applyFont="1" applyFill="1">
      <alignment vertical="center"/>
    </xf>
    <xf numFmtId="178" fontId="2" fillId="8" borderId="0" xfId="3" applyFont="1" applyFill="1">
      <alignment vertical="center"/>
    </xf>
    <xf numFmtId="178" fontId="2" fillId="2" borderId="2" xfId="3" applyFont="1" applyFill="1" applyBorder="1" applyAlignment="1">
      <alignment horizontal="center" vertical="center"/>
    </xf>
    <xf numFmtId="178" fontId="2" fillId="2" borderId="2" xfId="3" applyFont="1" applyFill="1" applyBorder="1">
      <alignment vertical="center"/>
    </xf>
    <xf numFmtId="178" fontId="2" fillId="2" borderId="3" xfId="3" applyFont="1" applyFill="1" applyBorder="1" applyAlignment="1">
      <alignment horizontal="center" vertical="center"/>
    </xf>
    <xf numFmtId="178" fontId="2" fillId="2" borderId="0" xfId="3" applyFont="1" applyFill="1" applyBorder="1" applyAlignment="1">
      <alignment horizontal="center" vertical="center"/>
    </xf>
    <xf numFmtId="178" fontId="2" fillId="2" borderId="6" xfId="3" applyFont="1" applyFill="1" applyBorder="1" applyAlignment="1">
      <alignment vertical="center"/>
    </xf>
    <xf numFmtId="178" fontId="2" fillId="2" borderId="8" xfId="3" applyFont="1" applyFill="1" applyBorder="1">
      <alignment vertical="center"/>
    </xf>
    <xf numFmtId="178" fontId="2" fillId="2" borderId="0" xfId="3" applyFont="1" applyFill="1" applyBorder="1" applyAlignment="1">
      <alignment horizontal="center" vertical="center" wrapText="1"/>
    </xf>
    <xf numFmtId="178" fontId="2" fillId="2" borderId="11" xfId="3" applyFont="1" applyFill="1" applyBorder="1" applyAlignment="1">
      <alignment horizontal="center" vertical="center" wrapText="1"/>
    </xf>
    <xf numFmtId="178" fontId="4" fillId="2" borderId="8" xfId="3" applyFont="1" applyFill="1" applyBorder="1" applyAlignment="1">
      <alignment horizontal="center" vertical="center"/>
    </xf>
    <xf numFmtId="178" fontId="4" fillId="0" borderId="8" xfId="3" applyFont="1" applyBorder="1">
      <alignment vertical="center"/>
    </xf>
    <xf numFmtId="9" fontId="4" fillId="0" borderId="8" xfId="2" applyNumberFormat="1" applyFont="1" applyBorder="1" applyAlignment="1">
      <alignment horizontal="center" vertical="center"/>
    </xf>
    <xf numFmtId="9" fontId="4" fillId="0" borderId="0" xfId="3" applyNumberFormat="1" applyFont="1">
      <alignment vertical="center"/>
    </xf>
    <xf numFmtId="9" fontId="4" fillId="0" borderId="8" xfId="3" applyNumberFormat="1" applyFont="1" applyBorder="1" applyAlignment="1">
      <alignment horizontal="center"/>
    </xf>
    <xf numFmtId="9" fontId="4" fillId="0" borderId="0" xfId="3" applyNumberFormat="1" applyFont="1" applyBorder="1" applyAlignment="1">
      <alignment horizontal="center"/>
    </xf>
    <xf numFmtId="180" fontId="4" fillId="10" borderId="8" xfId="3" applyNumberFormat="1" applyFont="1" applyFill="1" applyBorder="1" applyAlignment="1">
      <alignment horizontal="center"/>
    </xf>
    <xf numFmtId="178" fontId="4" fillId="2" borderId="8" xfId="3" applyFont="1" applyFill="1" applyBorder="1">
      <alignment vertical="center"/>
    </xf>
    <xf numFmtId="9" fontId="4" fillId="0" borderId="8" xfId="3" applyNumberFormat="1" applyFont="1" applyBorder="1" applyAlignment="1">
      <alignment horizontal="center" vertical="center"/>
    </xf>
    <xf numFmtId="9" fontId="4" fillId="0" borderId="0" xfId="2" applyNumberFormat="1" applyFont="1" applyAlignment="1">
      <alignment horizontal="center" vertical="center"/>
    </xf>
    <xf numFmtId="9" fontId="4" fillId="2" borderId="0" xfId="3" applyNumberFormat="1" applyFont="1" applyFill="1">
      <alignment vertical="center"/>
    </xf>
    <xf numFmtId="9" fontId="4" fillId="2" borderId="8" xfId="3" applyNumberFormat="1" applyFont="1" applyFill="1" applyBorder="1" applyAlignment="1">
      <alignment horizontal="center"/>
    </xf>
    <xf numFmtId="9" fontId="4" fillId="2" borderId="0" xfId="3" applyNumberFormat="1" applyFont="1" applyFill="1" applyBorder="1" applyAlignment="1">
      <alignment horizontal="center"/>
    </xf>
    <xf numFmtId="180" fontId="4" fillId="2" borderId="8" xfId="3" applyNumberFormat="1" applyFont="1" applyFill="1" applyBorder="1" applyAlignment="1">
      <alignment horizontal="center"/>
    </xf>
    <xf numFmtId="178" fontId="4" fillId="2" borderId="36" xfId="3" applyFont="1" applyFill="1" applyBorder="1">
      <alignment vertical="center"/>
    </xf>
    <xf numFmtId="9" fontId="4" fillId="2" borderId="37" xfId="2" applyNumberFormat="1" applyFont="1" applyFill="1" applyBorder="1" applyAlignment="1">
      <alignment horizontal="center" vertical="center"/>
    </xf>
    <xf numFmtId="178" fontId="4" fillId="2" borderId="37" xfId="3" applyFont="1" applyFill="1" applyBorder="1">
      <alignment vertical="center"/>
    </xf>
    <xf numFmtId="9" fontId="4" fillId="2" borderId="38" xfId="2" applyNumberFormat="1" applyFont="1" applyFill="1" applyBorder="1" applyAlignment="1">
      <alignment horizontal="center" vertical="center"/>
    </xf>
    <xf numFmtId="9" fontId="4" fillId="2" borderId="39" xfId="2" applyNumberFormat="1" applyFont="1" applyFill="1" applyBorder="1" applyAlignment="1">
      <alignment horizontal="center" vertical="center"/>
    </xf>
    <xf numFmtId="9" fontId="4" fillId="10" borderId="8" xfId="3" applyNumberFormat="1" applyFont="1" applyFill="1" applyBorder="1" applyAlignment="1">
      <alignment horizontal="center"/>
    </xf>
    <xf numFmtId="178" fontId="4" fillId="2" borderId="2" xfId="3" applyFont="1" applyFill="1" applyBorder="1">
      <alignment vertical="center"/>
    </xf>
    <xf numFmtId="178" fontId="2" fillId="2" borderId="2" xfId="3" applyFont="1" applyFill="1" applyBorder="1" applyAlignment="1">
      <alignment horizontal="center" vertical="center" wrapText="1"/>
    </xf>
    <xf numFmtId="178" fontId="2" fillId="2" borderId="3" xfId="3" applyFont="1" applyFill="1" applyBorder="1" applyAlignment="1">
      <alignment horizontal="center" vertical="center" wrapText="1"/>
    </xf>
    <xf numFmtId="178" fontId="2" fillId="2" borderId="6" xfId="3" applyFont="1" applyFill="1" applyBorder="1" applyAlignment="1">
      <alignment horizontal="center" vertical="center" wrapText="1"/>
    </xf>
    <xf numFmtId="178" fontId="3" fillId="2" borderId="6" xfId="3" applyFont="1" applyFill="1" applyBorder="1" applyAlignment="1">
      <alignment horizontal="center" vertical="center" wrapText="1"/>
    </xf>
    <xf numFmtId="9" fontId="4" fillId="0" borderId="8" xfId="3" applyNumberFormat="1" applyFont="1" applyFill="1" applyBorder="1" applyAlignment="1">
      <alignment horizontal="center" vertical="center"/>
    </xf>
    <xf numFmtId="9" fontId="4" fillId="0" borderId="11" xfId="3" applyNumberFormat="1" applyFont="1" applyFill="1" applyBorder="1" applyAlignment="1">
      <alignment horizontal="center" vertical="center"/>
    </xf>
    <xf numFmtId="9" fontId="4" fillId="0" borderId="0" xfId="3" applyNumberFormat="1" applyFont="1" applyFill="1" applyBorder="1" applyAlignment="1">
      <alignment horizontal="center" vertical="center"/>
    </xf>
    <xf numFmtId="178" fontId="4" fillId="0" borderId="0" xfId="3" applyFont="1" applyFill="1">
      <alignment vertical="center"/>
    </xf>
    <xf numFmtId="9" fontId="4" fillId="2" borderId="7" xfId="1" applyFont="1" applyFill="1" applyBorder="1" applyAlignment="1">
      <alignment horizontal="center" vertical="center"/>
    </xf>
    <xf numFmtId="178" fontId="4" fillId="0" borderId="8" xfId="3" applyFont="1" applyFill="1" applyBorder="1">
      <alignment vertical="center"/>
    </xf>
    <xf numFmtId="178" fontId="4" fillId="0" borderId="14" xfId="3" applyFont="1" applyFill="1" applyBorder="1">
      <alignment vertical="center"/>
    </xf>
    <xf numFmtId="9" fontId="4" fillId="0" borderId="15" xfId="3" applyNumberFormat="1" applyFont="1" applyFill="1" applyBorder="1" applyAlignment="1">
      <alignment horizontal="center" vertical="center"/>
    </xf>
    <xf numFmtId="178" fontId="4" fillId="0" borderId="15" xfId="3" applyFont="1" applyFill="1" applyBorder="1">
      <alignment vertical="center"/>
    </xf>
    <xf numFmtId="9" fontId="4" fillId="0" borderId="15" xfId="1" applyFont="1" applyFill="1" applyBorder="1" applyAlignment="1">
      <alignment horizontal="center" vertical="center"/>
    </xf>
    <xf numFmtId="9" fontId="4" fillId="0" borderId="19" xfId="3" applyNumberFormat="1" applyFont="1" applyFill="1" applyBorder="1" applyAlignment="1">
      <alignment horizontal="center" vertical="center"/>
    </xf>
    <xf numFmtId="9" fontId="4" fillId="2" borderId="15" xfId="3" applyNumberFormat="1" applyFont="1" applyFill="1" applyBorder="1" applyAlignment="1">
      <alignment horizontal="center" vertical="center"/>
    </xf>
    <xf numFmtId="9" fontId="4" fillId="2" borderId="15" xfId="1" applyFont="1" applyFill="1" applyBorder="1" applyAlignment="1">
      <alignment horizontal="center" vertical="center"/>
    </xf>
    <xf numFmtId="9" fontId="4" fillId="2" borderId="19" xfId="3" applyNumberFormat="1" applyFont="1" applyFill="1" applyBorder="1" applyAlignment="1">
      <alignment horizontal="center" vertical="center"/>
    </xf>
    <xf numFmtId="9" fontId="4" fillId="2" borderId="14" xfId="1" applyFont="1" applyFill="1" applyBorder="1" applyAlignment="1">
      <alignment horizontal="center" vertical="center"/>
    </xf>
    <xf numFmtId="178" fontId="2" fillId="0" borderId="1" xfId="3" applyFont="1" applyFill="1" applyBorder="1">
      <alignment vertical="center"/>
    </xf>
    <xf numFmtId="9" fontId="2" fillId="0" borderId="2" xfId="1" applyFont="1" applyFill="1" applyBorder="1" applyAlignment="1">
      <alignment horizontal="center" vertical="center"/>
    </xf>
    <xf numFmtId="9" fontId="2" fillId="0" borderId="0" xfId="1" applyFont="1" applyFill="1" applyBorder="1" applyAlignment="1">
      <alignment horizontal="center" vertical="center"/>
    </xf>
    <xf numFmtId="9" fontId="2" fillId="2" borderId="2" xfId="1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178" fontId="2" fillId="2" borderId="0" xfId="3" applyFont="1" applyFill="1" applyBorder="1">
      <alignment vertical="center"/>
    </xf>
    <xf numFmtId="180" fontId="4" fillId="2" borderId="0" xfId="2" applyNumberFormat="1" applyFont="1" applyFill="1" applyBorder="1" applyAlignment="1">
      <alignment horizontal="center" vertical="center"/>
    </xf>
    <xf numFmtId="180" fontId="4" fillId="2" borderId="0" xfId="3" applyNumberFormat="1" applyFont="1" applyFill="1" applyBorder="1" applyAlignment="1">
      <alignment horizontal="center"/>
    </xf>
    <xf numFmtId="178" fontId="4" fillId="11" borderId="0" xfId="3" applyFont="1" applyFill="1">
      <alignment vertical="center"/>
    </xf>
    <xf numFmtId="178" fontId="2" fillId="11" borderId="0" xfId="3" applyFont="1" applyFill="1">
      <alignment vertical="center"/>
    </xf>
    <xf numFmtId="178" fontId="2" fillId="2" borderId="3" xfId="3" applyFont="1" applyFill="1" applyBorder="1">
      <alignment vertical="center"/>
    </xf>
    <xf numFmtId="178" fontId="3" fillId="2" borderId="34" xfId="3" applyFont="1" applyFill="1" applyBorder="1" applyAlignment="1">
      <alignment vertical="center"/>
    </xf>
    <xf numFmtId="178" fontId="2" fillId="2" borderId="0" xfId="3" applyFont="1" applyFill="1" applyBorder="1" applyAlignment="1">
      <alignment vertical="center"/>
    </xf>
    <xf numFmtId="178" fontId="1" fillId="2" borderId="8" xfId="3" applyFont="1" applyFill="1" applyBorder="1">
      <alignment vertical="center"/>
    </xf>
    <xf numFmtId="178" fontId="2" fillId="2" borderId="24" xfId="3" applyFont="1" applyFill="1" applyBorder="1" applyAlignment="1">
      <alignment horizontal="center" vertical="center"/>
    </xf>
    <xf numFmtId="178" fontId="3" fillId="2" borderId="8" xfId="3" applyFont="1" applyFill="1" applyBorder="1" applyAlignment="1">
      <alignment horizontal="center" vertical="center" wrapText="1"/>
    </xf>
    <xf numFmtId="178" fontId="3" fillId="2" borderId="41" xfId="3" applyFont="1" applyFill="1" applyBorder="1" applyAlignment="1">
      <alignment horizontal="center" vertical="center" wrapText="1"/>
    </xf>
    <xf numFmtId="9" fontId="4" fillId="2" borderId="42" xfId="2" applyNumberFormat="1" applyFont="1" applyFill="1" applyBorder="1" applyAlignment="1">
      <alignment horizontal="center" vertical="center"/>
    </xf>
    <xf numFmtId="9" fontId="4" fillId="2" borderId="37" xfId="3" applyNumberFormat="1" applyFont="1" applyFill="1" applyBorder="1" applyAlignment="1">
      <alignment vertical="center"/>
    </xf>
    <xf numFmtId="178" fontId="9" fillId="2" borderId="0" xfId="3" applyFont="1" applyFill="1">
      <alignment vertical="center"/>
    </xf>
    <xf numFmtId="178" fontId="4" fillId="3" borderId="8" xfId="3" applyFont="1" applyFill="1" applyBorder="1">
      <alignment vertical="center"/>
    </xf>
    <xf numFmtId="9" fontId="4" fillId="3" borderId="8" xfId="3" applyNumberFormat="1" applyFont="1" applyFill="1" applyBorder="1" applyAlignment="1">
      <alignment horizontal="center" vertical="center"/>
    </xf>
    <xf numFmtId="9" fontId="4" fillId="3" borderId="37" xfId="3" applyNumberFormat="1" applyFont="1" applyFill="1" applyBorder="1" applyAlignment="1">
      <alignment vertical="center"/>
    </xf>
    <xf numFmtId="9" fontId="4" fillId="3" borderId="8" xfId="2" applyFont="1" applyFill="1" applyBorder="1" applyAlignment="1">
      <alignment horizontal="center" vertical="center"/>
    </xf>
    <xf numFmtId="178" fontId="4" fillId="2" borderId="38" xfId="3" applyFont="1" applyFill="1" applyBorder="1">
      <alignment vertical="center"/>
    </xf>
    <xf numFmtId="9" fontId="4" fillId="2" borderId="36" xfId="2" applyNumberFormat="1" applyFont="1" applyFill="1" applyBorder="1" applyAlignment="1">
      <alignment horizontal="center" vertical="center"/>
    </xf>
    <xf numFmtId="9" fontId="4" fillId="2" borderId="43" xfId="2" applyNumberFormat="1" applyFont="1" applyFill="1" applyBorder="1" applyAlignment="1">
      <alignment horizontal="center" vertical="center"/>
    </xf>
    <xf numFmtId="178" fontId="4" fillId="2" borderId="3" xfId="3" applyFont="1" applyFill="1" applyBorder="1">
      <alignment vertical="center"/>
    </xf>
    <xf numFmtId="178" fontId="2" fillId="2" borderId="1" xfId="3" applyFont="1" applyFill="1" applyBorder="1" applyAlignment="1">
      <alignment horizontal="center" vertical="center" wrapText="1"/>
    </xf>
    <xf numFmtId="178" fontId="2" fillId="2" borderId="35" xfId="3" applyFont="1" applyFill="1" applyBorder="1" applyAlignment="1">
      <alignment horizontal="center" vertical="center" wrapText="1"/>
    </xf>
    <xf numFmtId="9" fontId="4" fillId="2" borderId="41" xfId="3" applyNumberFormat="1" applyFont="1" applyFill="1" applyBorder="1" applyAlignment="1">
      <alignment horizontal="center" vertical="center"/>
    </xf>
    <xf numFmtId="9" fontId="4" fillId="2" borderId="16" xfId="1" applyFont="1" applyFill="1" applyBorder="1" applyAlignment="1">
      <alignment horizontal="center" vertical="center"/>
    </xf>
    <xf numFmtId="9" fontId="4" fillId="2" borderId="14" xfId="3" applyNumberFormat="1" applyFont="1" applyFill="1" applyBorder="1" applyAlignment="1">
      <alignment horizontal="center" vertical="center"/>
    </xf>
    <xf numFmtId="9" fontId="4" fillId="2" borderId="44" xfId="3" applyNumberFormat="1" applyFont="1" applyFill="1" applyBorder="1" applyAlignment="1">
      <alignment horizontal="center" vertical="center"/>
    </xf>
    <xf numFmtId="178" fontId="2" fillId="0" borderId="29" xfId="3" applyFont="1" applyFill="1" applyBorder="1">
      <alignment vertical="center"/>
    </xf>
    <xf numFmtId="9" fontId="2" fillId="2" borderId="30" xfId="1" applyFont="1" applyFill="1" applyBorder="1" applyAlignment="1">
      <alignment horizontal="center" vertical="center"/>
    </xf>
    <xf numFmtId="9" fontId="2" fillId="2" borderId="45" xfId="1" applyFont="1" applyFill="1" applyBorder="1" applyAlignment="1">
      <alignment horizontal="center" vertical="center"/>
    </xf>
    <xf numFmtId="9" fontId="2" fillId="2" borderId="29" xfId="1" applyFont="1" applyFill="1" applyBorder="1" applyAlignment="1">
      <alignment horizontal="center" vertical="center"/>
    </xf>
    <xf numFmtId="9" fontId="2" fillId="2" borderId="31" xfId="1" applyFont="1" applyFill="1" applyBorder="1" applyAlignment="1">
      <alignment horizontal="center" vertical="center"/>
    </xf>
    <xf numFmtId="9" fontId="2" fillId="2" borderId="46" xfId="1" applyFont="1" applyFill="1" applyBorder="1" applyAlignment="1">
      <alignment horizontal="center" vertical="center"/>
    </xf>
    <xf numFmtId="9" fontId="2" fillId="2" borderId="18" xfId="1" applyFont="1" applyFill="1" applyBorder="1" applyAlignment="1">
      <alignment horizontal="center" vertical="center"/>
    </xf>
    <xf numFmtId="9" fontId="2" fillId="2" borderId="0" xfId="1" applyFont="1" applyFill="1" applyBorder="1" applyAlignment="1">
      <alignment horizontal="center" vertical="center"/>
    </xf>
    <xf numFmtId="9" fontId="4" fillId="2" borderId="0" xfId="1" applyFont="1" applyFill="1">
      <alignment vertical="center"/>
    </xf>
    <xf numFmtId="178" fontId="2" fillId="12" borderId="0" xfId="3" applyFont="1" applyFill="1">
      <alignment vertical="center"/>
    </xf>
    <xf numFmtId="178" fontId="4" fillId="12" borderId="0" xfId="3" applyFont="1" applyFill="1">
      <alignment vertical="center"/>
    </xf>
    <xf numFmtId="178" fontId="5" fillId="12" borderId="0" xfId="3" applyFont="1" applyFill="1" applyBorder="1" applyAlignment="1">
      <alignment horizontal="center" vertical="center"/>
    </xf>
    <xf numFmtId="178" fontId="3" fillId="4" borderId="4" xfId="3" applyFont="1" applyFill="1" applyBorder="1" applyAlignment="1">
      <alignment horizontal="center" vertical="center"/>
    </xf>
    <xf numFmtId="178" fontId="3" fillId="4" borderId="0" xfId="3" applyFont="1" applyFill="1" applyBorder="1" applyAlignment="1">
      <alignment horizontal="center" vertical="center"/>
    </xf>
    <xf numFmtId="178" fontId="10" fillId="2" borderId="8" xfId="3" applyFont="1" applyFill="1" applyBorder="1">
      <alignment vertical="center"/>
    </xf>
    <xf numFmtId="9" fontId="4" fillId="2" borderId="50" xfId="2" applyNumberFormat="1" applyFont="1" applyFill="1" applyBorder="1" applyAlignment="1">
      <alignment horizontal="center" vertical="center"/>
    </xf>
    <xf numFmtId="178" fontId="4" fillId="0" borderId="51" xfId="3" applyFont="1" applyBorder="1">
      <alignment vertical="center"/>
    </xf>
    <xf numFmtId="9" fontId="4" fillId="2" borderId="27" xfId="2" applyNumberFormat="1" applyFont="1" applyFill="1" applyBorder="1" applyAlignment="1">
      <alignment horizontal="center" vertical="center"/>
    </xf>
    <xf numFmtId="178" fontId="4" fillId="2" borderId="49" xfId="3" applyFont="1" applyFill="1" applyBorder="1">
      <alignment vertical="center"/>
    </xf>
    <xf numFmtId="9" fontId="4" fillId="2" borderId="26" xfId="2" applyNumberFormat="1" applyFont="1" applyFill="1" applyBorder="1" applyAlignment="1">
      <alignment horizontal="center" vertical="center"/>
    </xf>
    <xf numFmtId="9" fontId="4" fillId="2" borderId="49" xfId="2" applyNumberFormat="1" applyFont="1" applyFill="1" applyBorder="1" applyAlignment="1">
      <alignment horizontal="center" vertical="center"/>
    </xf>
    <xf numFmtId="9" fontId="4" fillId="2" borderId="52" xfId="2" applyNumberFormat="1" applyFont="1" applyFill="1" applyBorder="1" applyAlignment="1">
      <alignment horizontal="center" vertical="center"/>
    </xf>
    <xf numFmtId="178" fontId="2" fillId="2" borderId="4" xfId="3" applyFont="1" applyFill="1" applyBorder="1" applyAlignment="1">
      <alignment horizontal="center" vertical="center" wrapText="1"/>
    </xf>
    <xf numFmtId="178" fontId="3" fillId="2" borderId="5" xfId="3" applyFont="1" applyFill="1" applyBorder="1" applyAlignment="1">
      <alignment horizontal="center" vertical="center" wrapText="1"/>
    </xf>
    <xf numFmtId="178" fontId="9" fillId="2" borderId="8" xfId="3" applyFont="1" applyFill="1" applyBorder="1">
      <alignment vertical="center"/>
    </xf>
    <xf numFmtId="180" fontId="4" fillId="2" borderId="8" xfId="2" applyNumberFormat="1" applyFont="1" applyFill="1" applyBorder="1" applyAlignment="1">
      <alignment horizontal="center" vertical="center" wrapText="1"/>
    </xf>
    <xf numFmtId="180" fontId="4" fillId="2" borderId="8" xfId="2" applyNumberFormat="1" applyFont="1" applyFill="1" applyBorder="1" applyAlignment="1">
      <alignment horizontal="center" vertical="center"/>
    </xf>
    <xf numFmtId="9" fontId="4" fillId="2" borderId="16" xfId="3" applyNumberFormat="1" applyFont="1" applyFill="1" applyBorder="1" applyAlignment="1">
      <alignment horizontal="center" vertical="center"/>
    </xf>
    <xf numFmtId="9" fontId="4" fillId="2" borderId="17" xfId="3" applyNumberFormat="1" applyFont="1" applyFill="1" applyBorder="1" applyAlignment="1">
      <alignment horizontal="center" vertical="center"/>
    </xf>
    <xf numFmtId="9" fontId="4" fillId="2" borderId="18" xfId="1" applyFont="1" applyFill="1" applyBorder="1" applyAlignment="1">
      <alignment horizontal="center" vertical="center"/>
    </xf>
    <xf numFmtId="9" fontId="4" fillId="2" borderId="53" xfId="3" applyNumberFormat="1" applyFont="1" applyFill="1" applyBorder="1" applyAlignment="1">
      <alignment horizontal="center" vertical="center"/>
    </xf>
    <xf numFmtId="9" fontId="4" fillId="2" borderId="48" xfId="3" applyNumberFormat="1" applyFont="1" applyFill="1" applyBorder="1" applyAlignment="1">
      <alignment horizontal="center" vertical="center"/>
    </xf>
    <xf numFmtId="9" fontId="4" fillId="2" borderId="47" xfId="3" applyNumberFormat="1" applyFont="1" applyFill="1" applyBorder="1" applyAlignment="1">
      <alignment horizontal="center" vertical="center"/>
    </xf>
    <xf numFmtId="178" fontId="11" fillId="2" borderId="0" xfId="3" applyFont="1" applyFill="1">
      <alignment vertical="center"/>
    </xf>
    <xf numFmtId="9" fontId="4" fillId="2" borderId="0" xfId="2" applyFont="1" applyFill="1" applyBorder="1" applyAlignment="1">
      <alignment horizontal="center" vertical="center" wrapText="1"/>
    </xf>
    <xf numFmtId="178" fontId="2" fillId="6" borderId="0" xfId="3" applyFont="1" applyFill="1">
      <alignment vertical="center"/>
    </xf>
    <xf numFmtId="178" fontId="4" fillId="6" borderId="0" xfId="3" applyFont="1" applyFill="1">
      <alignment vertical="center"/>
    </xf>
    <xf numFmtId="178" fontId="4" fillId="6" borderId="0" xfId="3" applyFont="1" applyFill="1" applyBorder="1" applyAlignment="1">
      <alignment horizontal="center" vertical="center"/>
    </xf>
    <xf numFmtId="178" fontId="5" fillId="6" borderId="0" xfId="3" applyFont="1" applyFill="1" applyBorder="1" applyAlignment="1">
      <alignment horizontal="center" vertical="center"/>
    </xf>
    <xf numFmtId="178" fontId="6" fillId="7" borderId="8" xfId="3" applyFont="1" applyFill="1" applyBorder="1">
      <alignment vertical="center"/>
    </xf>
    <xf numFmtId="9" fontId="4" fillId="7" borderId="8" xfId="2" applyFont="1" applyFill="1" applyBorder="1" applyAlignment="1">
      <alignment horizontal="center" vertical="center"/>
    </xf>
    <xf numFmtId="178" fontId="6" fillId="7" borderId="9" xfId="3" applyFont="1" applyFill="1" applyBorder="1" applyAlignment="1">
      <alignment vertical="center"/>
    </xf>
    <xf numFmtId="178" fontId="6" fillId="7" borderId="8" xfId="3" applyFont="1" applyFill="1" applyBorder="1" applyAlignment="1">
      <alignment vertical="center"/>
    </xf>
    <xf numFmtId="178" fontId="11" fillId="7" borderId="8" xfId="3" applyFont="1" applyFill="1" applyBorder="1">
      <alignment vertical="center"/>
    </xf>
    <xf numFmtId="9" fontId="4" fillId="7" borderId="8" xfId="3" applyNumberFormat="1" applyFont="1" applyFill="1" applyBorder="1" applyAlignment="1">
      <alignment horizontal="center" vertical="center"/>
    </xf>
    <xf numFmtId="9" fontId="4" fillId="2" borderId="54" xfId="2" applyNumberFormat="1" applyFont="1" applyFill="1" applyBorder="1" applyAlignment="1">
      <alignment horizontal="center" vertical="center"/>
    </xf>
    <xf numFmtId="9" fontId="4" fillId="2" borderId="55" xfId="2" applyNumberFormat="1" applyFont="1" applyFill="1" applyBorder="1" applyAlignment="1">
      <alignment horizontal="center" vertical="center"/>
    </xf>
    <xf numFmtId="178" fontId="2" fillId="13" borderId="1" xfId="3" applyFont="1" applyFill="1" applyBorder="1">
      <alignment vertical="center"/>
    </xf>
    <xf numFmtId="178" fontId="2" fillId="13" borderId="2" xfId="3" applyFont="1" applyFill="1" applyBorder="1" applyAlignment="1">
      <alignment horizontal="center" vertical="center"/>
    </xf>
    <xf numFmtId="178" fontId="4" fillId="13" borderId="56" xfId="3" applyFont="1" applyFill="1" applyBorder="1">
      <alignment vertical="center"/>
    </xf>
    <xf numFmtId="178" fontId="2" fillId="13" borderId="1" xfId="3" applyFont="1" applyFill="1" applyBorder="1" applyAlignment="1">
      <alignment horizontal="center" vertical="center" wrapText="1"/>
    </xf>
    <xf numFmtId="178" fontId="2" fillId="13" borderId="3" xfId="3" applyFont="1" applyFill="1" applyBorder="1" applyAlignment="1">
      <alignment horizontal="center" vertical="center" wrapText="1"/>
    </xf>
    <xf numFmtId="178" fontId="2" fillId="13" borderId="6" xfId="3" applyFont="1" applyFill="1" applyBorder="1" applyAlignment="1">
      <alignment horizontal="center" vertical="center" wrapText="1"/>
    </xf>
    <xf numFmtId="178" fontId="3" fillId="13" borderId="0" xfId="3" applyFont="1" applyFill="1" applyBorder="1" applyAlignment="1">
      <alignment horizontal="center" vertical="center" wrapText="1"/>
    </xf>
    <xf numFmtId="178" fontId="4" fillId="2" borderId="11" xfId="3" applyFont="1" applyFill="1" applyBorder="1">
      <alignment vertical="center"/>
    </xf>
    <xf numFmtId="9" fontId="4" fillId="2" borderId="57" xfId="3" applyNumberFormat="1" applyFont="1" applyFill="1" applyBorder="1" applyAlignment="1">
      <alignment horizontal="center" vertical="center"/>
    </xf>
    <xf numFmtId="9" fontId="4" fillId="2" borderId="42" xfId="3" applyNumberFormat="1" applyFont="1" applyFill="1" applyBorder="1" applyAlignment="1">
      <alignment horizontal="center" vertical="center"/>
    </xf>
    <xf numFmtId="9" fontId="4" fillId="2" borderId="24" xfId="3" applyNumberFormat="1" applyFont="1" applyFill="1" applyBorder="1" applyAlignment="1">
      <alignment horizontal="center" vertical="center"/>
    </xf>
    <xf numFmtId="9" fontId="4" fillId="2" borderId="19" xfId="1" applyFont="1" applyFill="1" applyBorder="1" applyAlignment="1">
      <alignment horizontal="center" vertical="center"/>
    </xf>
    <xf numFmtId="178" fontId="3" fillId="13" borderId="5" xfId="3" applyFont="1" applyFill="1" applyBorder="1" applyAlignment="1">
      <alignment horizontal="center" vertical="center" wrapText="1"/>
    </xf>
    <xf numFmtId="178" fontId="12" fillId="2" borderId="7" xfId="3" applyFont="1" applyFill="1" applyBorder="1">
      <alignment vertical="center"/>
    </xf>
    <xf numFmtId="178" fontId="12" fillId="2" borderId="14" xfId="3" applyFont="1" applyFill="1" applyBorder="1">
      <alignment vertical="center"/>
    </xf>
    <xf numFmtId="178" fontId="6" fillId="2" borderId="0" xfId="3" applyFont="1" applyFill="1" applyAlignment="1">
      <alignment horizontal="left" vertical="center"/>
    </xf>
    <xf numFmtId="178" fontId="12" fillId="2" borderId="8" xfId="3" applyFont="1" applyFill="1" applyBorder="1">
      <alignment vertical="center"/>
    </xf>
    <xf numFmtId="178" fontId="4" fillId="14" borderId="0" xfId="3" applyFont="1" applyFill="1">
      <alignment vertical="center"/>
    </xf>
    <xf numFmtId="9" fontId="4" fillId="2" borderId="0" xfId="2" applyFont="1" applyFill="1" applyBorder="1" applyAlignment="1">
      <alignment horizontal="center" vertical="center"/>
    </xf>
    <xf numFmtId="178" fontId="2" fillId="15" borderId="0" xfId="3" applyFont="1" applyFill="1">
      <alignment vertical="center"/>
    </xf>
    <xf numFmtId="178" fontId="4" fillId="15" borderId="0" xfId="3" applyFont="1" applyFill="1">
      <alignment vertical="center"/>
    </xf>
    <xf numFmtId="178" fontId="4" fillId="15" borderId="0" xfId="3" applyFont="1" applyFill="1" applyBorder="1" applyAlignment="1">
      <alignment horizontal="center" vertical="center"/>
    </xf>
    <xf numFmtId="178" fontId="13" fillId="15" borderId="0" xfId="3" applyFont="1" applyFill="1" applyBorder="1" applyAlignment="1">
      <alignment horizontal="center" vertical="center"/>
    </xf>
    <xf numFmtId="178" fontId="1" fillId="16" borderId="1" xfId="3" applyFont="1" applyFill="1" applyBorder="1">
      <alignment vertical="center"/>
    </xf>
    <xf numFmtId="178" fontId="2" fillId="16" borderId="3" xfId="3" applyFont="1" applyFill="1" applyBorder="1">
      <alignment vertical="center"/>
    </xf>
    <xf numFmtId="178" fontId="3" fillId="16" borderId="6" xfId="3" applyFont="1" applyFill="1" applyBorder="1" applyAlignment="1">
      <alignment vertical="center"/>
    </xf>
    <xf numFmtId="178" fontId="3" fillId="4" borderId="6" xfId="3" applyFont="1" applyFill="1" applyBorder="1" applyAlignment="1">
      <alignment horizontal="center" vertical="center" wrapText="1"/>
    </xf>
    <xf numFmtId="178" fontId="10" fillId="2" borderId="1" xfId="3" applyFont="1" applyFill="1" applyBorder="1">
      <alignment vertical="center"/>
    </xf>
    <xf numFmtId="178" fontId="3" fillId="2" borderId="7" xfId="3" applyFont="1" applyFill="1" applyBorder="1">
      <alignment vertical="center"/>
    </xf>
    <xf numFmtId="178" fontId="3" fillId="2" borderId="8" xfId="3" applyFont="1" applyFill="1" applyBorder="1" applyAlignment="1">
      <alignment horizontal="center" vertical="center"/>
    </xf>
    <xf numFmtId="178" fontId="9" fillId="2" borderId="9" xfId="3" applyFont="1" applyFill="1" applyBorder="1" applyAlignment="1">
      <alignment horizontal="center" vertical="center"/>
    </xf>
    <xf numFmtId="178" fontId="14" fillId="2" borderId="7" xfId="3" applyFont="1" applyFill="1" applyBorder="1" applyAlignment="1">
      <alignment horizontal="center" vertical="center" wrapText="1"/>
    </xf>
    <xf numFmtId="9" fontId="4" fillId="2" borderId="24" xfId="2" applyFont="1" applyFill="1" applyBorder="1" applyAlignment="1">
      <alignment horizontal="center" vertical="center"/>
    </xf>
    <xf numFmtId="9" fontId="4" fillId="2" borderId="7" xfId="2" applyFont="1" applyFill="1" applyBorder="1" applyAlignment="1">
      <alignment horizontal="center" vertical="center"/>
    </xf>
    <xf numFmtId="9" fontId="4" fillId="2" borderId="41" xfId="2" applyFont="1" applyFill="1" applyBorder="1" applyAlignment="1">
      <alignment horizontal="center" vertical="center"/>
    </xf>
    <xf numFmtId="178" fontId="4" fillId="2" borderId="16" xfId="3" applyFont="1" applyFill="1" applyBorder="1">
      <alignment vertical="center"/>
    </xf>
    <xf numFmtId="9" fontId="4" fillId="2" borderId="16" xfId="2" applyNumberFormat="1" applyFont="1" applyFill="1" applyBorder="1" applyAlignment="1">
      <alignment horizontal="center" vertical="center"/>
    </xf>
    <xf numFmtId="9" fontId="4" fillId="2" borderId="18" xfId="2" applyNumberFormat="1" applyFont="1" applyFill="1" applyBorder="1" applyAlignment="1">
      <alignment horizontal="center" vertical="center"/>
    </xf>
    <xf numFmtId="9" fontId="4" fillId="2" borderId="36" xfId="2" applyFont="1" applyFill="1" applyBorder="1" applyAlignment="1">
      <alignment horizontal="center" vertical="center"/>
    </xf>
    <xf numFmtId="9" fontId="4" fillId="2" borderId="38" xfId="2" applyFont="1" applyFill="1" applyBorder="1" applyAlignment="1">
      <alignment horizontal="center" vertical="center"/>
    </xf>
    <xf numFmtId="9" fontId="4" fillId="2" borderId="39" xfId="2" applyFont="1" applyFill="1" applyBorder="1" applyAlignment="1">
      <alignment horizontal="center" vertical="center"/>
    </xf>
    <xf numFmtId="178" fontId="15" fillId="2" borderId="7" xfId="3" applyFont="1" applyFill="1" applyBorder="1">
      <alignment vertical="center"/>
    </xf>
    <xf numFmtId="9" fontId="15" fillId="2" borderId="37" xfId="2" applyNumberFormat="1" applyFont="1" applyFill="1" applyBorder="1" applyAlignment="1">
      <alignment horizontal="center" vertical="center"/>
    </xf>
    <xf numFmtId="178" fontId="15" fillId="2" borderId="38" xfId="3" applyFont="1" applyFill="1" applyBorder="1">
      <alignment vertical="center"/>
    </xf>
    <xf numFmtId="9" fontId="15" fillId="2" borderId="36" xfId="2" applyFont="1" applyFill="1" applyBorder="1" applyAlignment="1">
      <alignment horizontal="center" vertical="center"/>
    </xf>
    <xf numFmtId="9" fontId="15" fillId="2" borderId="38" xfId="2" applyFont="1" applyFill="1" applyBorder="1" applyAlignment="1">
      <alignment horizontal="center" vertical="center"/>
    </xf>
    <xf numFmtId="9" fontId="15" fillId="2" borderId="11" xfId="2" applyFont="1" applyFill="1" applyBorder="1" applyAlignment="1">
      <alignment horizontal="center" vertical="center"/>
    </xf>
    <xf numFmtId="9" fontId="16" fillId="2" borderId="0" xfId="2" applyNumberFormat="1" applyFont="1" applyFill="1" applyBorder="1" applyAlignment="1">
      <alignment horizontal="center" vertical="center"/>
    </xf>
    <xf numFmtId="9" fontId="4" fillId="0" borderId="11" xfId="2" applyFont="1" applyFill="1" applyBorder="1" applyAlignment="1">
      <alignment horizontal="center" vertical="center"/>
    </xf>
    <xf numFmtId="9" fontId="4" fillId="0" borderId="24" xfId="2" applyFont="1" applyFill="1" applyBorder="1" applyAlignment="1">
      <alignment horizontal="center" vertical="center"/>
    </xf>
    <xf numFmtId="9" fontId="4" fillId="0" borderId="7" xfId="2" applyFont="1" applyFill="1" applyBorder="1" applyAlignment="1">
      <alignment horizontal="center" vertical="center"/>
    </xf>
    <xf numFmtId="9" fontId="4" fillId="0" borderId="8" xfId="2" applyFont="1" applyFill="1" applyBorder="1" applyAlignment="1">
      <alignment horizontal="center" vertical="center"/>
    </xf>
    <xf numFmtId="178" fontId="4" fillId="2" borderId="13" xfId="3" applyFont="1" applyFill="1" applyBorder="1">
      <alignment vertical="center"/>
    </xf>
    <xf numFmtId="9" fontId="4" fillId="0" borderId="41" xfId="2" applyFont="1" applyFill="1" applyBorder="1" applyAlignment="1">
      <alignment horizontal="center" vertical="center"/>
    </xf>
    <xf numFmtId="178" fontId="6" fillId="15" borderId="7" xfId="3" applyFont="1" applyFill="1" applyBorder="1">
      <alignment vertical="center"/>
    </xf>
    <xf numFmtId="9" fontId="4" fillId="15" borderId="8" xfId="2" applyFont="1" applyFill="1" applyBorder="1" applyAlignment="1">
      <alignment horizontal="center" vertical="center"/>
    </xf>
    <xf numFmtId="9" fontId="4" fillId="15" borderId="11" xfId="2" applyFont="1" applyFill="1" applyBorder="1" applyAlignment="1">
      <alignment horizontal="center" vertical="center"/>
    </xf>
    <xf numFmtId="9" fontId="4" fillId="15" borderId="24" xfId="2" applyFont="1" applyFill="1" applyBorder="1" applyAlignment="1">
      <alignment horizontal="center" vertical="center"/>
    </xf>
    <xf numFmtId="9" fontId="4" fillId="15" borderId="7" xfId="2" applyFont="1" applyFill="1" applyBorder="1" applyAlignment="1">
      <alignment horizontal="center" vertical="center"/>
    </xf>
    <xf numFmtId="178" fontId="4" fillId="17" borderId="7" xfId="3" applyFont="1" applyFill="1" applyBorder="1">
      <alignment vertical="center"/>
    </xf>
    <xf numFmtId="9" fontId="4" fillId="17" borderId="8" xfId="3" applyNumberFormat="1" applyFont="1" applyFill="1" applyBorder="1" applyAlignment="1">
      <alignment horizontal="center" vertical="center"/>
    </xf>
    <xf numFmtId="9" fontId="4" fillId="17" borderId="11" xfId="3" applyNumberFormat="1" applyFont="1" applyFill="1" applyBorder="1" applyAlignment="1">
      <alignment horizontal="center" vertical="center"/>
    </xf>
    <xf numFmtId="9" fontId="4" fillId="17" borderId="57" xfId="3" applyNumberFormat="1" applyFont="1" applyFill="1" applyBorder="1" applyAlignment="1">
      <alignment horizontal="center" vertical="center"/>
    </xf>
    <xf numFmtId="178" fontId="3" fillId="18" borderId="1" xfId="3" applyFont="1" applyFill="1" applyBorder="1">
      <alignment vertical="center"/>
    </xf>
    <xf numFmtId="178" fontId="2" fillId="18" borderId="2" xfId="3" applyFont="1" applyFill="1" applyBorder="1" applyAlignment="1">
      <alignment horizontal="center" vertical="center"/>
    </xf>
    <xf numFmtId="178" fontId="4" fillId="18" borderId="56" xfId="3" applyFont="1" applyFill="1" applyBorder="1">
      <alignment vertical="center"/>
    </xf>
    <xf numFmtId="178" fontId="3" fillId="18" borderId="1" xfId="3" applyFont="1" applyFill="1" applyBorder="1" applyAlignment="1">
      <alignment horizontal="left" vertical="center"/>
    </xf>
    <xf numFmtId="178" fontId="3" fillId="18" borderId="3" xfId="3" applyFont="1" applyFill="1" applyBorder="1" applyAlignment="1">
      <alignment horizontal="center" vertical="center" wrapText="1"/>
    </xf>
    <xf numFmtId="178" fontId="3" fillId="18" borderId="6" xfId="3" applyFont="1" applyFill="1" applyBorder="1" applyAlignment="1">
      <alignment horizontal="center" vertical="center" wrapText="1"/>
    </xf>
    <xf numFmtId="178" fontId="3" fillId="18" borderId="5" xfId="3" applyFont="1" applyFill="1" applyBorder="1" applyAlignment="1">
      <alignment horizontal="center" vertical="center" wrapText="1"/>
    </xf>
    <xf numFmtId="178" fontId="2" fillId="18" borderId="1" xfId="3" applyFont="1" applyFill="1" applyBorder="1" applyAlignment="1">
      <alignment horizontal="center" vertical="center" wrapText="1"/>
    </xf>
    <xf numFmtId="178" fontId="2" fillId="18" borderId="3" xfId="3" applyFont="1" applyFill="1" applyBorder="1" applyAlignment="1">
      <alignment horizontal="center" vertical="center" wrapText="1"/>
    </xf>
    <xf numFmtId="178" fontId="2" fillId="18" borderId="6" xfId="3" applyFont="1" applyFill="1" applyBorder="1" applyAlignment="1">
      <alignment horizontal="center" vertical="center" wrapText="1"/>
    </xf>
    <xf numFmtId="178" fontId="12" fillId="17" borderId="36" xfId="3" applyFont="1" applyFill="1" applyBorder="1">
      <alignment vertical="center"/>
    </xf>
    <xf numFmtId="9" fontId="4" fillId="17" borderId="37" xfId="2" applyFont="1" applyFill="1" applyBorder="1" applyAlignment="1">
      <alignment horizontal="center" vertical="center"/>
    </xf>
    <xf numFmtId="9" fontId="4" fillId="17" borderId="39" xfId="3" applyNumberFormat="1" applyFont="1" applyFill="1" applyBorder="1" applyAlignment="1">
      <alignment horizontal="center" vertical="center"/>
    </xf>
    <xf numFmtId="9" fontId="4" fillId="17" borderId="36" xfId="3" applyNumberFormat="1" applyFont="1" applyFill="1" applyBorder="1" applyAlignment="1">
      <alignment horizontal="center" vertical="center"/>
    </xf>
    <xf numFmtId="9" fontId="4" fillId="17" borderId="38" xfId="3" applyNumberFormat="1" applyFont="1" applyFill="1" applyBorder="1" applyAlignment="1">
      <alignment horizontal="center" vertical="center"/>
    </xf>
    <xf numFmtId="178" fontId="12" fillId="2" borderId="51" xfId="3" applyFont="1" applyFill="1" applyBorder="1">
      <alignment vertical="center"/>
    </xf>
    <xf numFmtId="9" fontId="4" fillId="2" borderId="48" xfId="2" applyNumberFormat="1" applyFont="1" applyFill="1" applyBorder="1" applyAlignment="1">
      <alignment horizontal="center" vertical="center"/>
    </xf>
    <xf numFmtId="9" fontId="4" fillId="2" borderId="58" xfId="2" applyNumberFormat="1" applyFont="1" applyFill="1" applyBorder="1" applyAlignment="1">
      <alignment horizontal="center" vertical="center"/>
    </xf>
    <xf numFmtId="9" fontId="4" fillId="2" borderId="51" xfId="3" applyNumberFormat="1" applyFont="1" applyFill="1" applyBorder="1" applyAlignment="1">
      <alignment horizontal="center" vertical="center"/>
    </xf>
    <xf numFmtId="9" fontId="4" fillId="2" borderId="58" xfId="3" applyNumberFormat="1" applyFont="1" applyFill="1" applyBorder="1" applyAlignment="1">
      <alignment horizontal="center" vertical="center"/>
    </xf>
    <xf numFmtId="178" fontId="12" fillId="17" borderId="7" xfId="3" applyFont="1" applyFill="1" applyBorder="1">
      <alignment vertical="center"/>
    </xf>
    <xf numFmtId="9" fontId="4" fillId="17" borderId="8" xfId="2" applyFont="1" applyFill="1" applyBorder="1" applyAlignment="1">
      <alignment horizontal="center" vertical="center"/>
    </xf>
    <xf numFmtId="9" fontId="4" fillId="17" borderId="7" xfId="3" applyNumberFormat="1" applyFont="1" applyFill="1" applyBorder="1" applyAlignment="1">
      <alignment horizontal="center" vertical="center"/>
    </xf>
    <xf numFmtId="9" fontId="4" fillId="17" borderId="9" xfId="3" applyNumberFormat="1" applyFont="1" applyFill="1" applyBorder="1" applyAlignment="1">
      <alignment horizontal="center" vertical="center"/>
    </xf>
    <xf numFmtId="178" fontId="12" fillId="17" borderId="26" xfId="3" applyFont="1" applyFill="1" applyBorder="1">
      <alignment vertical="center"/>
    </xf>
    <xf numFmtId="9" fontId="4" fillId="17" borderId="27" xfId="2" applyFont="1" applyFill="1" applyBorder="1" applyAlignment="1">
      <alignment horizontal="center" vertical="center"/>
    </xf>
    <xf numFmtId="9" fontId="4" fillId="17" borderId="28" xfId="3" applyNumberFormat="1" applyFont="1" applyFill="1" applyBorder="1" applyAlignment="1">
      <alignment horizontal="center" vertical="center"/>
    </xf>
    <xf numFmtId="9" fontId="4" fillId="17" borderId="26" xfId="3" applyNumberFormat="1" applyFont="1" applyFill="1" applyBorder="1" applyAlignment="1">
      <alignment horizontal="center" vertical="center"/>
    </xf>
    <xf numFmtId="9" fontId="4" fillId="17" borderId="49" xfId="3" applyNumberFormat="1" applyFont="1" applyFill="1" applyBorder="1" applyAlignment="1">
      <alignment horizontal="center" vertical="center"/>
    </xf>
    <xf numFmtId="178" fontId="12" fillId="17" borderId="51" xfId="3" applyFont="1" applyFill="1" applyBorder="1">
      <alignment vertical="center"/>
    </xf>
    <xf numFmtId="9" fontId="4" fillId="17" borderId="48" xfId="2" applyFont="1" applyFill="1" applyBorder="1" applyAlignment="1">
      <alignment horizontal="center" vertical="center"/>
    </xf>
    <xf numFmtId="9" fontId="4" fillId="17" borderId="58" xfId="3" applyNumberFormat="1" applyFont="1" applyFill="1" applyBorder="1" applyAlignment="1">
      <alignment horizontal="center" vertical="center"/>
    </xf>
    <xf numFmtId="9" fontId="4" fillId="17" borderId="51" xfId="3" applyNumberFormat="1" applyFont="1" applyFill="1" applyBorder="1" applyAlignment="1">
      <alignment horizontal="center" vertical="center"/>
    </xf>
    <xf numFmtId="9" fontId="4" fillId="17" borderId="47" xfId="3" applyNumberFormat="1" applyFont="1" applyFill="1" applyBorder="1" applyAlignment="1">
      <alignment horizontal="center" vertical="center"/>
    </xf>
    <xf numFmtId="178" fontId="12" fillId="17" borderId="14" xfId="3" applyFont="1" applyFill="1" applyBorder="1">
      <alignment vertical="center"/>
    </xf>
    <xf numFmtId="9" fontId="4" fillId="17" borderId="15" xfId="2" applyFont="1" applyFill="1" applyBorder="1" applyAlignment="1">
      <alignment horizontal="center" vertical="center"/>
    </xf>
    <xf numFmtId="9" fontId="4" fillId="17" borderId="16" xfId="3" applyNumberFormat="1" applyFont="1" applyFill="1" applyBorder="1" applyAlignment="1">
      <alignment horizontal="center" vertical="center"/>
    </xf>
    <xf numFmtId="9" fontId="4" fillId="17" borderId="14" xfId="3" applyNumberFormat="1" applyFont="1" applyFill="1" applyBorder="1" applyAlignment="1">
      <alignment horizontal="center" vertical="center"/>
    </xf>
    <xf numFmtId="9" fontId="4" fillId="17" borderId="44" xfId="3" applyNumberFormat="1" applyFont="1" applyFill="1" applyBorder="1" applyAlignment="1">
      <alignment horizontal="center" vertical="center"/>
    </xf>
    <xf numFmtId="9" fontId="4" fillId="17" borderId="19" xfId="3" applyNumberFormat="1" applyFont="1" applyFill="1" applyBorder="1" applyAlignment="1">
      <alignment horizontal="center" vertical="center"/>
    </xf>
    <xf numFmtId="9" fontId="4" fillId="2" borderId="0" xfId="3" applyNumberFormat="1" applyFont="1" applyFill="1" applyBorder="1" applyAlignment="1">
      <alignment horizontal="center" vertical="center"/>
    </xf>
    <xf numFmtId="9" fontId="4" fillId="2" borderId="0" xfId="3" applyNumberFormat="1" applyFont="1" applyFill="1" applyBorder="1" applyAlignment="1">
      <alignment horizontal="center" vertical="center"/>
    </xf>
    <xf numFmtId="178" fontId="12" fillId="2" borderId="0" xfId="3" applyFont="1" applyFill="1" applyBorder="1">
      <alignment vertical="center"/>
    </xf>
    <xf numFmtId="9" fontId="6" fillId="2" borderId="0" xfId="3" applyNumberFormat="1" applyFont="1" applyFill="1" applyBorder="1" applyAlignment="1">
      <alignment horizontal="left" vertical="center"/>
    </xf>
    <xf numFmtId="178" fontId="12" fillId="0" borderId="7" xfId="3" applyFont="1" applyFill="1" applyBorder="1">
      <alignment vertical="center"/>
    </xf>
    <xf numFmtId="9" fontId="4" fillId="0" borderId="24" xfId="3" applyNumberFormat="1" applyFont="1" applyFill="1" applyBorder="1" applyAlignment="1">
      <alignment horizontal="center" vertical="center"/>
    </xf>
    <xf numFmtId="9" fontId="4" fillId="0" borderId="7" xfId="3" applyNumberFormat="1" applyFont="1" applyFill="1" applyBorder="1" applyAlignment="1">
      <alignment horizontal="center" vertical="center"/>
    </xf>
    <xf numFmtId="9" fontId="4" fillId="17" borderId="11" xfId="2" applyFont="1" applyFill="1" applyBorder="1" applyAlignment="1">
      <alignment horizontal="center" vertical="center"/>
    </xf>
    <xf numFmtId="9" fontId="4" fillId="17" borderId="24" xfId="3" applyNumberFormat="1" applyFont="1" applyFill="1" applyBorder="1" applyAlignment="1">
      <alignment horizontal="center" vertical="center"/>
    </xf>
    <xf numFmtId="9" fontId="4" fillId="17" borderId="41" xfId="3" applyNumberFormat="1" applyFont="1" applyFill="1" applyBorder="1" applyAlignment="1">
      <alignment horizontal="center" vertical="center"/>
    </xf>
    <xf numFmtId="178" fontId="2" fillId="2" borderId="2" xfId="3" applyFont="1" applyFill="1" applyBorder="1" applyAlignment="1">
      <alignment horizontal="center" vertical="center"/>
    </xf>
    <xf numFmtId="178" fontId="2" fillId="2" borderId="3" xfId="3" applyFont="1" applyFill="1" applyBorder="1" applyAlignment="1">
      <alignment horizontal="center" vertical="center"/>
    </xf>
    <xf numFmtId="178" fontId="2" fillId="2" borderId="6" xfId="3" applyFont="1" applyFill="1" applyBorder="1" applyAlignment="1">
      <alignment horizontal="center" vertical="center"/>
    </xf>
    <xf numFmtId="178" fontId="2" fillId="2" borderId="23" xfId="3" applyFont="1" applyFill="1" applyBorder="1" applyAlignment="1">
      <alignment horizontal="center" vertical="center"/>
    </xf>
    <xf numFmtId="178" fontId="2" fillId="2" borderId="34" xfId="3" applyFont="1" applyFill="1" applyBorder="1" applyAlignment="1">
      <alignment horizontal="center" vertical="center"/>
    </xf>
    <xf numFmtId="178" fontId="2" fillId="2" borderId="35" xfId="3" applyFont="1" applyFill="1" applyBorder="1" applyAlignment="1">
      <alignment horizontal="center" vertical="center"/>
    </xf>
    <xf numFmtId="178" fontId="3" fillId="2" borderId="40" xfId="3" applyFont="1" applyFill="1" applyBorder="1" applyAlignment="1">
      <alignment horizontal="center" vertical="center"/>
    </xf>
    <xf numFmtId="178" fontId="3" fillId="2" borderId="34" xfId="3" applyFont="1" applyFill="1" applyBorder="1" applyAlignment="1">
      <alignment horizontal="center" vertical="center"/>
    </xf>
    <xf numFmtId="178" fontId="3" fillId="2" borderId="3" xfId="3" applyFont="1" applyFill="1" applyBorder="1" applyAlignment="1">
      <alignment horizontal="center" vertical="center"/>
    </xf>
    <xf numFmtId="178" fontId="2" fillId="2" borderId="9" xfId="3" applyFont="1" applyFill="1" applyBorder="1" applyAlignment="1">
      <alignment horizontal="center" vertical="center"/>
    </xf>
    <xf numFmtId="178" fontId="2" fillId="2" borderId="24" xfId="3" applyFont="1" applyFill="1" applyBorder="1" applyAlignment="1">
      <alignment horizontal="center" vertical="center"/>
    </xf>
    <xf numFmtId="178" fontId="2" fillId="2" borderId="41" xfId="3" applyFont="1" applyFill="1" applyBorder="1" applyAlignment="1">
      <alignment horizontal="center" vertical="center"/>
    </xf>
    <xf numFmtId="178" fontId="4" fillId="12" borderId="0" xfId="3" applyFont="1" applyFill="1" applyBorder="1" applyAlignment="1">
      <alignment horizontal="center" vertical="center"/>
    </xf>
    <xf numFmtId="178" fontId="5" fillId="12" borderId="18" xfId="3" applyFont="1" applyFill="1" applyBorder="1" applyAlignment="1">
      <alignment horizontal="center" vertical="center"/>
    </xf>
    <xf numFmtId="178" fontId="2" fillId="3" borderId="2" xfId="3" applyFont="1" applyFill="1" applyBorder="1" applyAlignment="1">
      <alignment horizontal="center" vertical="center"/>
    </xf>
    <xf numFmtId="178" fontId="3" fillId="3" borderId="40" xfId="3" applyFont="1" applyFill="1" applyBorder="1" applyAlignment="1">
      <alignment horizontal="center" vertical="center"/>
    </xf>
    <xf numFmtId="178" fontId="3" fillId="3" borderId="23" xfId="3" applyFont="1" applyFill="1" applyBorder="1" applyAlignment="1">
      <alignment horizontal="center" vertical="center"/>
    </xf>
    <xf numFmtId="178" fontId="3" fillId="4" borderId="3" xfId="3" applyFont="1" applyFill="1" applyBorder="1" applyAlignment="1">
      <alignment horizontal="center" vertical="center"/>
    </xf>
    <xf numFmtId="178" fontId="2" fillId="4" borderId="23" xfId="3" applyFont="1" applyFill="1" applyBorder="1" applyAlignment="1">
      <alignment horizontal="center" vertical="center"/>
    </xf>
    <xf numFmtId="178" fontId="2" fillId="2" borderId="8" xfId="3" applyFont="1" applyFill="1" applyBorder="1" applyAlignment="1">
      <alignment horizontal="center" vertical="center"/>
    </xf>
    <xf numFmtId="178" fontId="3" fillId="4" borderId="9" xfId="3" applyFont="1" applyFill="1" applyBorder="1" applyAlignment="1">
      <alignment horizontal="center" vertical="center"/>
    </xf>
    <xf numFmtId="178" fontId="3" fillId="4" borderId="41" xfId="3" applyFont="1" applyFill="1" applyBorder="1" applyAlignment="1">
      <alignment horizontal="center" vertical="center"/>
    </xf>
    <xf numFmtId="178" fontId="2" fillId="3" borderId="3" xfId="3" applyFont="1" applyFill="1" applyBorder="1" applyAlignment="1">
      <alignment horizontal="center" vertical="center"/>
    </xf>
    <xf numFmtId="178" fontId="2" fillId="3" borderId="23" xfId="3" applyFont="1" applyFill="1" applyBorder="1" applyAlignment="1">
      <alignment horizontal="center" vertical="center"/>
    </xf>
    <xf numFmtId="178" fontId="2" fillId="3" borderId="35" xfId="3" applyFont="1" applyFill="1" applyBorder="1" applyAlignment="1">
      <alignment horizontal="center" vertical="center"/>
    </xf>
    <xf numFmtId="178" fontId="3" fillId="4" borderId="40" xfId="3" applyFont="1" applyFill="1" applyBorder="1" applyAlignment="1">
      <alignment horizontal="center" vertical="center"/>
    </xf>
    <xf numFmtId="178" fontId="3" fillId="4" borderId="23" xfId="3" applyFont="1" applyFill="1" applyBorder="1" applyAlignment="1">
      <alignment horizontal="center" vertical="center"/>
    </xf>
    <xf numFmtId="178" fontId="13" fillId="15" borderId="18" xfId="3" applyFont="1" applyFill="1" applyBorder="1" applyAlignment="1">
      <alignment horizontal="center" vertical="center"/>
    </xf>
    <xf numFmtId="178" fontId="2" fillId="16" borderId="3" xfId="3" applyFont="1" applyFill="1" applyBorder="1" applyAlignment="1">
      <alignment horizontal="center" vertical="center"/>
    </xf>
    <xf numFmtId="178" fontId="2" fillId="16" borderId="23" xfId="3" applyFont="1" applyFill="1" applyBorder="1" applyAlignment="1">
      <alignment horizontal="center" vertical="center"/>
    </xf>
    <xf numFmtId="178" fontId="2" fillId="16" borderId="35" xfId="3" applyFont="1" applyFill="1" applyBorder="1" applyAlignment="1">
      <alignment horizontal="center" vertical="center"/>
    </xf>
    <xf numFmtId="178" fontId="3" fillId="16" borderId="40" xfId="3" applyFont="1" applyFill="1" applyBorder="1" applyAlignment="1">
      <alignment horizontal="center" vertical="center"/>
    </xf>
    <xf numFmtId="178" fontId="3" fillId="16" borderId="23" xfId="3" applyFont="1" applyFill="1" applyBorder="1" applyAlignment="1">
      <alignment horizontal="center" vertical="center"/>
    </xf>
    <xf numFmtId="178" fontId="3" fillId="2" borderId="40" xfId="3" applyFont="1" applyFill="1" applyBorder="1" applyAlignment="1">
      <alignment horizontal="center" vertical="center" wrapText="1"/>
    </xf>
    <xf numFmtId="178" fontId="3" fillId="2" borderId="23" xfId="3" applyFont="1" applyFill="1" applyBorder="1" applyAlignment="1">
      <alignment horizontal="center" vertical="center" wrapText="1"/>
    </xf>
    <xf numFmtId="178" fontId="3" fillId="2" borderId="34" xfId="3" applyFont="1" applyFill="1" applyBorder="1" applyAlignment="1">
      <alignment horizontal="center" vertical="center" wrapText="1"/>
    </xf>
    <xf numFmtId="9" fontId="4" fillId="2" borderId="47" xfId="2" applyFont="1" applyFill="1" applyBorder="1" applyAlignment="1">
      <alignment horizontal="center" vertical="center" wrapText="1"/>
    </xf>
    <xf numFmtId="9" fontId="4" fillId="2" borderId="49" xfId="2" applyFont="1" applyFill="1" applyBorder="1" applyAlignment="1">
      <alignment horizontal="center" vertical="center" wrapText="1"/>
    </xf>
    <xf numFmtId="9" fontId="4" fillId="2" borderId="38" xfId="2" applyFont="1" applyFill="1" applyBorder="1" applyAlignment="1">
      <alignment horizontal="center" vertical="center" wrapText="1"/>
    </xf>
    <xf numFmtId="9" fontId="4" fillId="2" borderId="48" xfId="2" applyFont="1" applyFill="1" applyBorder="1" applyAlignment="1">
      <alignment horizontal="center" vertical="center" wrapText="1"/>
    </xf>
    <xf numFmtId="9" fontId="4" fillId="2" borderId="27" xfId="2" applyFont="1" applyFill="1" applyBorder="1" applyAlignment="1">
      <alignment horizontal="center" vertical="center" wrapText="1"/>
    </xf>
    <xf numFmtId="9" fontId="4" fillId="2" borderId="37" xfId="2" applyFont="1" applyFill="1" applyBorder="1" applyAlignment="1">
      <alignment horizontal="center" vertical="center" wrapText="1"/>
    </xf>
    <xf numFmtId="178" fontId="3" fillId="3" borderId="1" xfId="3" applyFont="1" applyFill="1" applyBorder="1" applyAlignment="1">
      <alignment horizontal="center" vertical="center"/>
    </xf>
    <xf numFmtId="178" fontId="3" fillId="3" borderId="3" xfId="3" applyFont="1" applyFill="1" applyBorder="1" applyAlignment="1">
      <alignment horizontal="center" vertical="center"/>
    </xf>
    <xf numFmtId="178" fontId="3" fillId="4" borderId="1" xfId="3" applyFont="1" applyFill="1" applyBorder="1" applyAlignment="1">
      <alignment horizontal="center" vertical="center"/>
    </xf>
    <xf numFmtId="178" fontId="2" fillId="4" borderId="2" xfId="3" applyFont="1" applyFill="1" applyBorder="1" applyAlignment="1">
      <alignment horizontal="center" vertical="center"/>
    </xf>
    <xf numFmtId="178" fontId="2" fillId="5" borderId="12" xfId="3" applyFont="1" applyFill="1" applyBorder="1" applyAlignment="1">
      <alignment horizontal="left" vertical="center"/>
    </xf>
    <xf numFmtId="178" fontId="2" fillId="5" borderId="0" xfId="3" applyFont="1" applyFill="1" applyBorder="1" applyAlignment="1">
      <alignment horizontal="left" vertical="center"/>
    </xf>
    <xf numFmtId="178" fontId="2" fillId="5" borderId="13" xfId="3" applyFont="1" applyFill="1" applyBorder="1" applyAlignment="1">
      <alignment horizontal="left" vertical="center"/>
    </xf>
    <xf numFmtId="178" fontId="3" fillId="5" borderId="12" xfId="3" applyFont="1" applyFill="1" applyBorder="1" applyAlignment="1">
      <alignment horizontal="left" vertical="center"/>
    </xf>
    <xf numFmtId="178" fontId="3" fillId="5" borderId="0" xfId="3" applyFont="1" applyFill="1" applyBorder="1" applyAlignment="1">
      <alignment horizontal="left" vertical="center"/>
    </xf>
    <xf numFmtId="178" fontId="3" fillId="5" borderId="13" xfId="3" applyFont="1" applyFill="1" applyBorder="1" applyAlignment="1">
      <alignment horizontal="left" vertical="center"/>
    </xf>
    <xf numFmtId="178" fontId="2" fillId="3" borderId="6" xfId="3" applyFont="1" applyFill="1" applyBorder="1" applyAlignment="1">
      <alignment horizontal="center" vertical="center"/>
    </xf>
    <xf numFmtId="178" fontId="3" fillId="3" borderId="2" xfId="3" applyFont="1" applyFill="1" applyBorder="1" applyAlignment="1">
      <alignment horizontal="center" vertical="center"/>
    </xf>
    <xf numFmtId="178" fontId="3" fillId="4" borderId="2" xfId="3" applyFont="1" applyFill="1" applyBorder="1" applyAlignment="1">
      <alignment horizontal="center" vertical="center"/>
    </xf>
    <xf numFmtId="178" fontId="2" fillId="5" borderId="26" xfId="3" applyFont="1" applyFill="1" applyBorder="1" applyAlignment="1">
      <alignment horizontal="left" vertical="center"/>
    </xf>
    <xf numFmtId="178" fontId="2" fillId="5" borderId="27" xfId="3" applyFont="1" applyFill="1" applyBorder="1" applyAlignment="1">
      <alignment horizontal="left" vertical="center"/>
    </xf>
    <xf numFmtId="178" fontId="2" fillId="5" borderId="8" xfId="3" applyFont="1" applyFill="1" applyBorder="1" applyAlignment="1">
      <alignment horizontal="left" vertical="center"/>
    </xf>
    <xf numFmtId="178" fontId="2" fillId="5" borderId="28" xfId="3" applyFont="1" applyFill="1" applyBorder="1" applyAlignment="1">
      <alignment horizontal="left" vertical="center"/>
    </xf>
    <xf numFmtId="178" fontId="3" fillId="5" borderId="26" xfId="3" applyFont="1" applyFill="1" applyBorder="1" applyAlignment="1">
      <alignment horizontal="left" vertical="center"/>
    </xf>
    <xf numFmtId="178" fontId="3" fillId="5" borderId="27" xfId="3" applyFont="1" applyFill="1" applyBorder="1" applyAlignment="1">
      <alignment horizontal="left" vertical="center"/>
    </xf>
    <xf numFmtId="178" fontId="3" fillId="5" borderId="8" xfId="3" applyFont="1" applyFill="1" applyBorder="1" applyAlignment="1">
      <alignment horizontal="left" vertical="center"/>
    </xf>
    <xf numFmtId="178" fontId="3" fillId="5" borderId="28" xfId="3" applyFont="1" applyFill="1" applyBorder="1" applyAlignment="1">
      <alignment horizontal="left" vertical="center"/>
    </xf>
  </cellXfs>
  <cellStyles count="4">
    <cellStyle name="百分比" xfId="1" builtinId="5"/>
    <cellStyle name="百分比 12 2" xfId="2" xr:uid="{00000000-0005-0000-0000-000031000000}"/>
    <cellStyle name="常规" xfId="0" builtinId="0"/>
    <cellStyle name="常规 22 2" xfId="3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1\ctrip\&#25658;&#31243;&#20849;&#20139;&#25991;&#20214;\&#25237;&#36164;&#32773;&#20851;&#31995;&#37096;\&#29305;&#27530;&#26435;&#38480;\IR&#25991;&#20214;&#20849;&#20139;\Industry%20Data\Airline%20Data-202210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1\ctrip\&#25658;&#31243;&#20849;&#20139;&#25991;&#20214;\&#25237;&#36164;&#32773;&#20851;&#31995;&#37096;\&#29305;&#27530;&#26435;&#38480;\IR&#25991;&#20214;&#20849;&#20139;\Industry%20Data\Airline%20Data-012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1\ctrip\&#25658;&#31243;&#20849;&#20139;&#25991;&#20214;\&#25237;&#36164;&#32773;&#20851;&#31995;&#37096;\&#29305;&#27530;&#26435;&#38480;\IR&#25991;&#20214;&#20849;&#20139;\Industry%20Data\Airline%20Data_02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1\ctrip\&#25658;&#31243;&#20849;&#20139;&#25991;&#20214;\&#25237;&#36164;&#32773;&#20851;&#31995;&#37096;\&#29305;&#27530;&#26435;&#38480;\IR&#25991;&#20214;&#20849;&#20139;\Industry%20Data\Airline%20Data_041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aying_wu/Desktop/&#26085;&#24120;&#25968;&#25454;&#26356;&#26032;/Airline%20Data_051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aying_wu/Desktop/&#26085;&#24120;&#25968;&#25454;&#26356;&#26032;/Airline%20Data_041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aying_wu/Desktop/&#26085;&#24120;&#25968;&#25454;&#26356;&#26032;/Airline%20Data_05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y_ma/Desktop/Industry%20data/Airline%20Data_1217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aying_wu/Downloads/Airline%20Data_202604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Sheet2"/>
      <sheetName val="Travelsky Data"/>
      <sheetName val="出入境管理局数据"/>
    </sheetNames>
    <sheetDataSet>
      <sheetData sheetId="0" refreshError="1"/>
      <sheetData sheetId="1" refreshError="1"/>
      <sheetData sheetId="2" refreshError="1"/>
      <sheetData sheetId="3">
        <row r="41">
          <cell r="B41">
            <v>-0.35257433861292098</v>
          </cell>
          <cell r="C41">
            <v>-0.49120372347239399</v>
          </cell>
          <cell r="D41">
            <v>2.5907182082480999E-2</v>
          </cell>
          <cell r="E41">
            <v>0.106936290497934</v>
          </cell>
          <cell r="F41">
            <v>7.1957314887065804E-2</v>
          </cell>
          <cell r="G41">
            <v>-0.11279104928938601</v>
          </cell>
          <cell r="H41">
            <v>-5.2413338758743697E-2</v>
          </cell>
          <cell r="I41">
            <v>-0.58276256778818203</v>
          </cell>
          <cell r="J41">
            <v>-0.25080231734255798</v>
          </cell>
          <cell r="K41">
            <v>-0.22842568792715201</v>
          </cell>
          <cell r="L41">
            <v>-0.53961248654467198</v>
          </cell>
          <cell r="M41">
            <v>-0.41125929164844799</v>
          </cell>
          <cell r="N41">
            <v>-0.236991000429877</v>
          </cell>
          <cell r="O41">
            <v>-0.273201303584858</v>
          </cell>
          <cell r="P41">
            <v>2.2246877348698998E-2</v>
          </cell>
          <cell r="Q41">
            <v>-0.29954345067566701</v>
          </cell>
          <cell r="R41">
            <v>-0.38868637490605901</v>
          </cell>
        </row>
        <row r="70">
          <cell r="B70">
            <v>-6.4887143412023604E-2</v>
          </cell>
          <cell r="C70">
            <v>-0.84597976002391195</v>
          </cell>
          <cell r="D70">
            <v>-0.68633573812856696</v>
          </cell>
          <cell r="E70">
            <v>-0.63835616438356202</v>
          </cell>
          <cell r="F70">
            <v>-0.45764177404728301</v>
          </cell>
          <cell r="G70">
            <v>-0.33938831051017299</v>
          </cell>
          <cell r="H70">
            <v>-0.245848592299793</v>
          </cell>
          <cell r="I70">
            <v>-0.13764050214858001</v>
          </cell>
          <cell r="J70">
            <v>-5.4182469887050803E-3</v>
          </cell>
          <cell r="K70">
            <v>-1.6538147328989401E-3</v>
          </cell>
          <cell r="L70">
            <v>-4.7965554359526298E-2</v>
          </cell>
          <cell r="M70">
            <v>-7.8968080454744197E-2</v>
          </cell>
          <cell r="N70">
            <v>-0.291477471488018</v>
          </cell>
          <cell r="O70">
            <v>-0.53361744798194999</v>
          </cell>
          <cell r="P70">
            <v>-0.47794280805984002</v>
          </cell>
          <cell r="Q70">
            <v>-0.13266747772850401</v>
          </cell>
          <cell r="R70">
            <v>-4.1600820357220597E-2</v>
          </cell>
        </row>
      </sheetData>
      <sheetData sheetId="4" refreshError="1"/>
      <sheetData sheetId="5">
        <row r="40">
          <cell r="B40">
            <v>-0.41923453261190102</v>
          </cell>
          <cell r="C40">
            <v>-0.53586066572353697</v>
          </cell>
          <cell r="D40">
            <v>1.8505206707056399E-2</v>
          </cell>
          <cell r="E40">
            <v>0.12888652873791601</v>
          </cell>
          <cell r="F40">
            <v>7.8546823827929005E-2</v>
          </cell>
          <cell r="G40">
            <v>-0.14905063888060999</v>
          </cell>
          <cell r="H40">
            <v>-6.4265004260223094E-2</v>
          </cell>
          <cell r="I40">
            <v>-0.63505747874822904</v>
          </cell>
          <cell r="J40">
            <v>-0.28222948873000703</v>
          </cell>
          <cell r="K40">
            <v>-0.23291854125774999</v>
          </cell>
          <cell r="L40">
            <v>-0.55109768162829098</v>
          </cell>
          <cell r="M40">
            <v>-0.43970497318377599</v>
          </cell>
          <cell r="O40">
            <v>-0.31198925832525398</v>
          </cell>
          <cell r="P40">
            <v>1.9455230487843901E-2</v>
          </cell>
          <cell r="Q40">
            <v>-0.33298206037487799</v>
          </cell>
          <cell r="R40">
            <v>-0.40436826367471101</v>
          </cell>
          <cell r="S40">
            <v>-0.26067507601905299</v>
          </cell>
        </row>
        <row r="59">
          <cell r="B59">
            <v>-5.6633092876634497E-2</v>
          </cell>
          <cell r="C59">
            <v>-0.86222211226540801</v>
          </cell>
          <cell r="D59">
            <v>-0.681863347433038</v>
          </cell>
          <cell r="E59">
            <v>-0.65124057557969595</v>
          </cell>
          <cell r="F59">
            <v>-0.48317499188622998</v>
          </cell>
          <cell r="G59">
            <v>-0.37088009718077702</v>
          </cell>
          <cell r="H59">
            <v>-0.25185001290667097</v>
          </cell>
          <cell r="I59">
            <v>-0.15261297816484701</v>
          </cell>
          <cell r="J59">
            <v>1.70344117565338E-2</v>
          </cell>
          <cell r="K59">
            <v>1.4684782853489699E-2</v>
          </cell>
          <cell r="L59">
            <v>-5.44774782973751E-2</v>
          </cell>
          <cell r="M59">
            <v>-0.119315269363739</v>
          </cell>
          <cell r="O59">
            <v>-0.53395637313246502</v>
          </cell>
          <cell r="P59">
            <v>-0.50100197939648194</v>
          </cell>
          <cell r="Q59">
            <v>-0.13287038805559101</v>
          </cell>
          <cell r="R59">
            <v>-5.1427682562525799E-2</v>
          </cell>
          <cell r="S59">
            <v>-0.29853151511603998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Sheet2"/>
      <sheetName val="Travelsky Data"/>
      <sheetName val="出入境管理局数据"/>
    </sheetNames>
    <sheetDataSet>
      <sheetData sheetId="0" refreshError="1"/>
      <sheetData sheetId="1">
        <row r="5">
          <cell r="BT5">
            <v>-0.675017734606011</v>
          </cell>
          <cell r="BU5">
            <v>-0.56593042258472703</v>
          </cell>
          <cell r="CF5">
            <v>-0.73560818083961199</v>
          </cell>
          <cell r="CG5">
            <v>-0.59960647135986</v>
          </cell>
        </row>
        <row r="14">
          <cell r="BT14">
            <v>-0.67487001323814899</v>
          </cell>
          <cell r="BU14">
            <v>-0.57145376118415103</v>
          </cell>
          <cell r="CG14">
            <v>-0.62588522552187298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年度数据"/>
      <sheetName val="Sheet2"/>
      <sheetName val="Travelsky Data"/>
      <sheetName val="出入境管理局数据"/>
    </sheetNames>
    <sheetDataSet>
      <sheetData sheetId="0" refreshError="1"/>
      <sheetData sheetId="1" refreshError="1">
        <row r="5">
          <cell r="CY5">
            <v>0.33385295545730997</v>
          </cell>
          <cell r="CZ5">
            <v>0.34474675001775901</v>
          </cell>
        </row>
        <row r="6">
          <cell r="CY6">
            <v>-0.27535002121340701</v>
          </cell>
          <cell r="CZ6">
            <v>-0.18589009730967401</v>
          </cell>
        </row>
        <row r="15">
          <cell r="CY15">
            <v>0.34941029122677097</v>
          </cell>
        </row>
        <row r="16">
          <cell r="CV16">
            <v>-0.35903989775949502</v>
          </cell>
          <cell r="CY16">
            <v>-0.242187493080496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年度数据"/>
      <sheetName val="Sheet2"/>
      <sheetName val="Travelsky Data"/>
      <sheetName val="出入境管理局数据"/>
    </sheetNames>
    <sheetDataSet>
      <sheetData sheetId="0"/>
      <sheetData sheetId="1">
        <row r="5">
          <cell r="CY5">
            <v>0.28066388984016</v>
          </cell>
          <cell r="DF5">
            <v>0.17234904187688099</v>
          </cell>
        </row>
        <row r="6">
          <cell r="CY6">
            <v>-0.22264293828095399</v>
          </cell>
          <cell r="DF6">
            <v>-0.20625265242608601</v>
          </cell>
        </row>
        <row r="15">
          <cell r="CY15">
            <v>0.28826577424398497</v>
          </cell>
          <cell r="DF15">
            <v>0.183657787266884</v>
          </cell>
        </row>
        <row r="16">
          <cell r="CY16">
            <v>-0.188847859811655</v>
          </cell>
          <cell r="DF16">
            <v>-0.17464767497792399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AC Data"/>
      <sheetName val="Top4 Intl.+Reg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年度数据"/>
      <sheetName val="Sheet2"/>
      <sheetName val="Travelsky Data"/>
      <sheetName val="出入境管理局数据"/>
    </sheetNames>
    <sheetDataSet>
      <sheetData sheetId="0" refreshError="1"/>
      <sheetData sheetId="1" refreshError="1">
        <row r="15">
          <cell r="DG15">
            <v>-7.1916233796305304E-3</v>
          </cell>
        </row>
      </sheetData>
      <sheetData sheetId="2" refreshError="1"/>
      <sheetData sheetId="3" refreshError="1">
        <row r="8">
          <cell r="E8">
            <v>-2.3648145389543202E-3</v>
          </cell>
        </row>
        <row r="15">
          <cell r="C15">
            <v>0.167043911272069</v>
          </cell>
          <cell r="D15">
            <v>0.16710487876132099</v>
          </cell>
          <cell r="O15">
            <v>0.103072348860258</v>
          </cell>
        </row>
      </sheetData>
      <sheetData sheetId="4" refreshError="1"/>
      <sheetData sheetId="5" refreshError="1">
        <row r="11">
          <cell r="O11">
            <v>5.51103805125948E-2</v>
          </cell>
        </row>
      </sheetData>
      <sheetData sheetId="6" refreshError="1">
        <row r="11">
          <cell r="O11">
            <v>0.12787371291299099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年度数据"/>
      <sheetName val="Sheet2"/>
      <sheetName val="Travelsky Data"/>
      <sheetName val="出入境管理局数据"/>
    </sheetNames>
    <sheetDataSet>
      <sheetData sheetId="0"/>
      <sheetData sheetId="1">
        <row r="16">
          <cell r="DG16">
            <v>6.3888364945845502E-2</v>
          </cell>
        </row>
      </sheetData>
      <sheetData sheetId="2"/>
      <sheetData sheetId="3">
        <row r="15">
          <cell r="E15">
            <v>5.4802103515084501E-2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H206"/>
  <sheetViews>
    <sheetView tabSelected="1" topLeftCell="A163" zoomScale="140" zoomScaleNormal="140" workbookViewId="0">
      <selection activeCell="D170" sqref="D170"/>
    </sheetView>
  </sheetViews>
  <sheetFormatPr defaultColWidth="9.08203125" defaultRowHeight="14" outlineLevelRow="2" outlineLevelCol="1" x14ac:dyDescent="0.3"/>
  <cols>
    <col min="1" max="1" width="1.25" style="93" customWidth="1"/>
    <col min="2" max="2" width="13.83203125" style="93" customWidth="1"/>
    <col min="3" max="3" width="7.4140625" style="93" customWidth="1"/>
    <col min="4" max="4" width="6.1640625" style="93" customWidth="1"/>
    <col min="5" max="5" width="8" style="93" customWidth="1"/>
    <col min="6" max="6" width="1" style="93" customWidth="1"/>
    <col min="7" max="7" width="10.83203125" style="93" customWidth="1"/>
    <col min="8" max="8" width="9.08203125" style="93"/>
    <col min="9" max="9" width="11.83203125" style="93" customWidth="1"/>
    <col min="10" max="10" width="0.9140625" style="93" customWidth="1"/>
    <col min="11" max="11" width="19.1640625" style="93" customWidth="1"/>
    <col min="12" max="12" width="12.6640625" style="93" customWidth="1"/>
    <col min="13" max="13" width="14.75" style="93" customWidth="1"/>
    <col min="14" max="14" width="13.6640625" style="93" hidden="1" customWidth="1" outlineLevel="1"/>
    <col min="15" max="15" width="2.4140625" style="93" customWidth="1" collapsed="1"/>
    <col min="16" max="16" width="1.33203125" style="93" customWidth="1"/>
    <col min="17" max="17" width="1" style="93" customWidth="1"/>
    <col min="18" max="18" width="20.25" style="93" customWidth="1"/>
    <col min="19" max="19" width="9.08203125" style="93"/>
    <col min="20" max="20" width="9.08203125" style="93" customWidth="1"/>
    <col min="21" max="21" width="8.9140625" style="93" customWidth="1"/>
    <col min="22" max="22" width="1.4140625" style="93" customWidth="1"/>
    <col min="23" max="23" width="12.5" style="93" customWidth="1"/>
    <col min="24" max="25" width="12.4140625" style="93" customWidth="1"/>
    <col min="26" max="26" width="15.33203125" style="93" customWidth="1"/>
    <col min="27" max="29" width="9.08203125" style="93"/>
    <col min="30" max="30" width="14.1640625" style="93" customWidth="1"/>
    <col min="31" max="31" width="1.33203125" style="93" customWidth="1"/>
    <col min="32" max="33" width="9.75" style="93" customWidth="1"/>
    <col min="34" max="34" width="9.08203125" style="93"/>
    <col min="35" max="35" width="4.25" style="93" customWidth="1"/>
    <col min="36" max="36" width="13.25" style="93" customWidth="1"/>
    <col min="37" max="37" width="9.08203125" style="93"/>
    <col min="38" max="38" width="9.75" style="93" customWidth="1"/>
    <col min="39" max="39" width="11.4140625" style="93" customWidth="1"/>
    <col min="40" max="40" width="1.5" style="93" customWidth="1"/>
    <col min="41" max="41" width="11.4140625" style="93" customWidth="1"/>
    <col min="42" max="16384" width="9.08203125" style="93"/>
  </cols>
  <sheetData>
    <row r="1" spans="2:34" s="91" customFormat="1" outlineLevel="1" x14ac:dyDescent="0.3">
      <c r="B1" s="94" t="s">
        <v>0</v>
      </c>
      <c r="R1" s="95" t="s">
        <v>1</v>
      </c>
      <c r="AA1" s="95" t="s">
        <v>2</v>
      </c>
    </row>
    <row r="2" spans="2:34" outlineLevel="1" x14ac:dyDescent="0.3">
      <c r="B2" s="1" t="s">
        <v>3</v>
      </c>
      <c r="C2" s="338" t="s">
        <v>4</v>
      </c>
      <c r="D2" s="338"/>
      <c r="E2" s="338"/>
      <c r="F2" s="97"/>
      <c r="G2" s="338" t="s">
        <v>5</v>
      </c>
      <c r="H2" s="339"/>
      <c r="I2" s="340"/>
      <c r="J2" s="99"/>
      <c r="K2" s="99"/>
      <c r="L2" s="99"/>
      <c r="M2" s="99"/>
      <c r="N2" s="99"/>
      <c r="O2" s="99"/>
      <c r="R2" s="1" t="s">
        <v>3</v>
      </c>
      <c r="S2" s="338" t="s">
        <v>6</v>
      </c>
      <c r="T2" s="338"/>
      <c r="U2" s="338"/>
      <c r="V2" s="98"/>
      <c r="W2" s="339" t="s">
        <v>5</v>
      </c>
      <c r="X2" s="341"/>
      <c r="Y2" s="342"/>
      <c r="AA2" s="1" t="s">
        <v>3</v>
      </c>
      <c r="AB2" s="338" t="s">
        <v>6</v>
      </c>
      <c r="AC2" s="338"/>
      <c r="AD2" s="338"/>
      <c r="AE2" s="97"/>
      <c r="AF2" s="339" t="s">
        <v>5</v>
      </c>
      <c r="AG2" s="343"/>
      <c r="AH2" s="100"/>
    </row>
    <row r="3" spans="2:34" outlineLevel="1" x14ac:dyDescent="0.3">
      <c r="B3" s="6" t="s">
        <v>7</v>
      </c>
      <c r="C3" s="101" t="s">
        <v>8</v>
      </c>
      <c r="D3" s="101" t="s">
        <v>9</v>
      </c>
      <c r="E3" s="101" t="s">
        <v>10</v>
      </c>
      <c r="F3" s="17"/>
      <c r="G3" s="13" t="s">
        <v>11</v>
      </c>
      <c r="H3" s="13" t="s">
        <v>12</v>
      </c>
      <c r="I3" s="13" t="s">
        <v>13</v>
      </c>
      <c r="J3" s="102"/>
      <c r="K3" s="102"/>
      <c r="L3" s="102"/>
      <c r="M3" s="102"/>
      <c r="N3" s="102"/>
      <c r="O3" s="102"/>
      <c r="R3" s="6" t="s">
        <v>7</v>
      </c>
      <c r="S3" s="101" t="s">
        <v>8</v>
      </c>
      <c r="T3" s="101" t="s">
        <v>9</v>
      </c>
      <c r="U3" s="101" t="s">
        <v>10</v>
      </c>
      <c r="V3" s="101"/>
      <c r="W3" s="13" t="s">
        <v>11</v>
      </c>
      <c r="X3" s="10" t="s">
        <v>12</v>
      </c>
      <c r="Y3" s="103" t="s">
        <v>13</v>
      </c>
      <c r="AA3" s="6" t="s">
        <v>7</v>
      </c>
      <c r="AB3" s="7" t="s">
        <v>8</v>
      </c>
      <c r="AC3" s="7" t="s">
        <v>9</v>
      </c>
      <c r="AD3" s="7" t="s">
        <v>10</v>
      </c>
      <c r="AE3" s="104"/>
      <c r="AF3" s="13" t="s">
        <v>11</v>
      </c>
      <c r="AG3" s="10" t="s">
        <v>12</v>
      </c>
      <c r="AH3" s="14" t="s">
        <v>14</v>
      </c>
    </row>
    <row r="4" spans="2:34" outlineLevel="1" x14ac:dyDescent="0.3">
      <c r="B4" s="105" t="s">
        <v>15</v>
      </c>
      <c r="C4" s="106">
        <v>-0.49299999999999999</v>
      </c>
      <c r="D4" s="106">
        <v>-3.6999999999999998E-2</v>
      </c>
      <c r="E4" s="106">
        <v>-0.51100000000000001</v>
      </c>
      <c r="F4" s="107"/>
      <c r="G4" s="106">
        <f>'[1]CAAC Data'!$B$70</f>
        <v>-6.4887143412023604E-2</v>
      </c>
      <c r="H4" s="106">
        <f>'[1]Top4 Domestic'!$B$59</f>
        <v>-5.6633092876634497E-2</v>
      </c>
      <c r="I4" s="108">
        <v>-1.7448275862068999E-2</v>
      </c>
      <c r="J4" s="109"/>
      <c r="K4" s="109"/>
      <c r="L4" s="109"/>
      <c r="M4" s="109"/>
      <c r="N4" s="109"/>
      <c r="O4" s="109"/>
      <c r="R4" s="105" t="s">
        <v>16</v>
      </c>
      <c r="S4" s="106">
        <v>-0.309</v>
      </c>
      <c r="T4" s="106">
        <v>-0.215</v>
      </c>
      <c r="U4" s="106">
        <v>-0.45800000000000002</v>
      </c>
      <c r="V4" s="106"/>
      <c r="W4" s="106">
        <f>'[1]CAAC Data'!$B$41</f>
        <v>-0.35257433861292098</v>
      </c>
      <c r="X4" s="106">
        <f>'[1]Top4 Domestic'!$B$40</f>
        <v>-0.41923453261190102</v>
      </c>
      <c r="Y4" s="110"/>
      <c r="AA4" s="23" t="s">
        <v>15</v>
      </c>
      <c r="AB4" s="16">
        <v>-0.3125</v>
      </c>
      <c r="AC4" s="16">
        <v>-0.11749999999999999</v>
      </c>
      <c r="AD4" s="16">
        <v>-0.39500000000000002</v>
      </c>
      <c r="AE4" s="111"/>
      <c r="AF4" s="16">
        <v>-0.36651417720426399</v>
      </c>
      <c r="AG4" s="19">
        <v>-0.40283289417589002</v>
      </c>
      <c r="AH4" s="22"/>
    </row>
    <row r="5" spans="2:34" outlineLevel="1" x14ac:dyDescent="0.3">
      <c r="B5" s="105" t="s">
        <v>17</v>
      </c>
      <c r="C5" s="112">
        <v>-0.79800000000000004</v>
      </c>
      <c r="D5" s="112">
        <v>-0.16700000000000001</v>
      </c>
      <c r="E5" s="112">
        <v>-0.83099999999999996</v>
      </c>
      <c r="F5" s="113"/>
      <c r="G5" s="106">
        <f>'[1]CAAC Data'!$C$70</f>
        <v>-0.84597976002391195</v>
      </c>
      <c r="H5" s="106">
        <f>'[1]Top4 Domestic'!$C$59</f>
        <v>-0.86222211226540801</v>
      </c>
      <c r="I5" s="108">
        <v>-0.85570344827586198</v>
      </c>
      <c r="J5" s="109"/>
      <c r="K5" s="109"/>
      <c r="L5" s="109"/>
      <c r="M5" s="109"/>
      <c r="N5" s="109"/>
      <c r="O5" s="109"/>
      <c r="R5" s="105" t="s">
        <v>18</v>
      </c>
      <c r="S5" s="112">
        <v>-0.39200000000000002</v>
      </c>
      <c r="T5" s="112">
        <v>-0.21299999999999999</v>
      </c>
      <c r="U5" s="112">
        <v>-0.52100000000000002</v>
      </c>
      <c r="V5" s="112"/>
      <c r="W5" s="106">
        <f>'[1]CAAC Data'!$C$41</f>
        <v>-0.49120372347239399</v>
      </c>
      <c r="X5" s="106">
        <f>'[1]Top4 Domestic'!$C$40</f>
        <v>-0.53586066572353697</v>
      </c>
      <c r="Y5" s="110"/>
      <c r="AA5" s="23" t="s">
        <v>19</v>
      </c>
      <c r="AB5" s="16">
        <v>-0.29499999999999998</v>
      </c>
      <c r="AC5" s="16">
        <v>-0.03</v>
      </c>
      <c r="AD5" s="16">
        <v>-0.3175</v>
      </c>
      <c r="AE5" s="111"/>
      <c r="AF5" s="16">
        <v>-0.33509116529313798</v>
      </c>
      <c r="AG5" s="19">
        <v>-0.35637703292032102</v>
      </c>
      <c r="AH5" s="22">
        <v>-0.448806580927125</v>
      </c>
    </row>
    <row r="6" spans="2:34" outlineLevel="1" x14ac:dyDescent="0.3">
      <c r="B6" s="111" t="s">
        <v>20</v>
      </c>
      <c r="C6" s="16">
        <v>-0.63500000000000001</v>
      </c>
      <c r="D6" s="16">
        <v>-0.308</v>
      </c>
      <c r="E6" s="16">
        <v>-0.748</v>
      </c>
      <c r="F6" s="114"/>
      <c r="G6" s="16">
        <f>'[1]CAAC Data'!$D$70</f>
        <v>-0.68633573812856696</v>
      </c>
      <c r="H6" s="16">
        <f>'[1]Top4 Domestic'!$D$59</f>
        <v>-0.681863347433038</v>
      </c>
      <c r="I6" s="115">
        <v>-0.69242903225806396</v>
      </c>
      <c r="J6" s="116"/>
      <c r="K6" s="116"/>
      <c r="L6" s="116"/>
      <c r="M6" s="116"/>
      <c r="N6" s="116"/>
      <c r="O6" s="116"/>
      <c r="R6" s="111" t="s">
        <v>21</v>
      </c>
      <c r="S6" s="16">
        <v>-0.112</v>
      </c>
      <c r="T6" s="16">
        <v>-0.19600000000000001</v>
      </c>
      <c r="U6" s="16">
        <v>-0.28599999999999998</v>
      </c>
      <c r="V6" s="16"/>
      <c r="W6" s="16">
        <f>'[1]CAAC Data'!$D$41</f>
        <v>2.5907182082480999E-2</v>
      </c>
      <c r="X6" s="16">
        <f>'[1]Top4 Domestic'!$D$40</f>
        <v>1.8505206707056399E-2</v>
      </c>
      <c r="Y6" s="117"/>
      <c r="AA6" s="23" t="s">
        <v>20</v>
      </c>
      <c r="AB6" s="16">
        <v>-0.39</v>
      </c>
      <c r="AC6" s="16">
        <v>-0.23250000000000001</v>
      </c>
      <c r="AD6" s="16">
        <v>-0.52749999999999997</v>
      </c>
      <c r="AE6" s="111"/>
      <c r="AF6" s="16">
        <v>-0.67164854097125004</v>
      </c>
      <c r="AG6" s="19">
        <v>-0.67359671251504105</v>
      </c>
      <c r="AH6" s="22">
        <v>-0.63647352502941701</v>
      </c>
    </row>
    <row r="7" spans="2:34" outlineLevel="1" x14ac:dyDescent="0.3">
      <c r="B7" s="111" t="s">
        <v>22</v>
      </c>
      <c r="C7" s="16">
        <v>-0.496</v>
      </c>
      <c r="D7" s="16">
        <v>-0.29299999999999998</v>
      </c>
      <c r="E7" s="16">
        <v>-0.64400000000000002</v>
      </c>
      <c r="F7" s="114"/>
      <c r="G7" s="16">
        <f>'[1]CAAC Data'!$E$70</f>
        <v>-0.63835616438356202</v>
      </c>
      <c r="H7" s="16">
        <f>'[1]Top4 Domestic'!$E$59</f>
        <v>-0.65124057557969595</v>
      </c>
      <c r="I7" s="115">
        <v>-0.64722999999999997</v>
      </c>
      <c r="J7" s="116"/>
      <c r="K7" s="116"/>
      <c r="L7" s="116"/>
      <c r="M7" s="116"/>
      <c r="N7" s="116"/>
      <c r="O7" s="116"/>
      <c r="R7" s="111" t="s">
        <v>23</v>
      </c>
      <c r="S7" s="16">
        <v>-5.8999999999999997E-2</v>
      </c>
      <c r="T7" s="16">
        <v>-0.14000000000000001</v>
      </c>
      <c r="U7" s="16">
        <v>-0.191</v>
      </c>
      <c r="V7" s="16"/>
      <c r="W7" s="16">
        <f>'[1]CAAC Data'!$E$41</f>
        <v>0.106936290497934</v>
      </c>
      <c r="X7" s="16">
        <f>'[1]Top4 Domestic'!$E$40</f>
        <v>0.12888652873791601</v>
      </c>
      <c r="Y7" s="117"/>
      <c r="AA7" s="118" t="s">
        <v>22</v>
      </c>
      <c r="AB7" s="119">
        <v>-0.42520000000000002</v>
      </c>
      <c r="AC7" s="119">
        <v>-0.28100000000000003</v>
      </c>
      <c r="AD7" s="119">
        <v>-0.58740000000000003</v>
      </c>
      <c r="AE7" s="120"/>
      <c r="AF7" s="119">
        <v>-0.83445299545048701</v>
      </c>
      <c r="AG7" s="121">
        <v>-0.83398846624782497</v>
      </c>
      <c r="AH7" s="122">
        <v>-0.83099999999999996</v>
      </c>
    </row>
    <row r="8" spans="2:34" outlineLevel="1" x14ac:dyDescent="0.3">
      <c r="B8" s="111" t="s">
        <v>24</v>
      </c>
      <c r="C8" s="16">
        <v>-0.32900000000000001</v>
      </c>
      <c r="D8" s="16">
        <v>-0.21099999999999999</v>
      </c>
      <c r="E8" s="16">
        <v>-0.47</v>
      </c>
      <c r="F8" s="114"/>
      <c r="G8" s="16">
        <f>'[1]CAAC Data'!$F$70</f>
        <v>-0.45764177404728301</v>
      </c>
      <c r="H8" s="16">
        <f>'[1]Top4 Domestic'!$F$59</f>
        <v>-0.48317499188622998</v>
      </c>
      <c r="I8" s="115">
        <v>-0.46747096774193497</v>
      </c>
      <c r="J8" s="116"/>
      <c r="K8" s="116"/>
      <c r="L8" s="116"/>
      <c r="M8" s="116"/>
      <c r="N8" s="116"/>
      <c r="O8" s="116"/>
      <c r="R8" s="111" t="s">
        <v>25</v>
      </c>
      <c r="S8" s="16">
        <v>-0.06</v>
      </c>
      <c r="T8" s="16">
        <v>0.09</v>
      </c>
      <c r="U8" s="16">
        <v>0.03</v>
      </c>
      <c r="V8" s="16"/>
      <c r="W8" s="16">
        <f>'[1]CAAC Data'!$F$41</f>
        <v>7.1957314887065804E-2</v>
      </c>
      <c r="X8" s="16">
        <f>'[1]Top4 Domestic'!$F$40</f>
        <v>7.8546823827929005E-2</v>
      </c>
      <c r="Y8" s="115">
        <v>3.7499999999999999E-2</v>
      </c>
      <c r="AA8" s="23" t="s">
        <v>26</v>
      </c>
      <c r="AB8" s="119">
        <v>-0.33750000000000002</v>
      </c>
      <c r="AC8" s="119">
        <v>-0.2175</v>
      </c>
      <c r="AD8" s="119">
        <v>-0.48</v>
      </c>
      <c r="AE8" s="120"/>
      <c r="AF8" s="119">
        <v>-0.75302198935599696</v>
      </c>
      <c r="AG8" s="121">
        <v>-0.75516257044227397</v>
      </c>
      <c r="AH8" s="122">
        <v>-0.76675000000000004</v>
      </c>
    </row>
    <row r="9" spans="2:34" outlineLevel="1" x14ac:dyDescent="0.3">
      <c r="B9" s="105" t="s">
        <v>27</v>
      </c>
      <c r="C9" s="106">
        <v>-0.32900000000000001</v>
      </c>
      <c r="D9" s="106">
        <v>-0.16300000000000001</v>
      </c>
      <c r="E9" s="106">
        <v>-0.438</v>
      </c>
      <c r="F9" s="107"/>
      <c r="G9" s="106">
        <f>'[1]CAAC Data'!$G$70</f>
        <v>-0.33938831051017299</v>
      </c>
      <c r="H9" s="106">
        <f>'[1]Top4 Domestic'!$G$59</f>
        <v>-0.37088009718077702</v>
      </c>
      <c r="I9" s="108">
        <v>-0.34999333333333299</v>
      </c>
      <c r="J9" s="109"/>
      <c r="K9" s="109"/>
      <c r="L9" s="109"/>
      <c r="M9" s="109"/>
      <c r="N9" s="109"/>
      <c r="O9" s="109"/>
      <c r="R9" s="105" t="s">
        <v>28</v>
      </c>
      <c r="S9" s="106">
        <v>-0.15</v>
      </c>
      <c r="T9" s="106">
        <v>0</v>
      </c>
      <c r="U9" s="106">
        <v>-0.15</v>
      </c>
      <c r="V9" s="106"/>
      <c r="W9" s="106">
        <f>'[1]CAAC Data'!$G$41</f>
        <v>-0.11279104928938601</v>
      </c>
      <c r="X9" s="106">
        <f>'[1]Top4 Domestic'!$G$40</f>
        <v>-0.14905063888060999</v>
      </c>
      <c r="Y9" s="108">
        <v>-0.16400000000000001</v>
      </c>
      <c r="AA9" s="118" t="s">
        <v>29</v>
      </c>
      <c r="AB9" s="119">
        <v>-0.21679999999999999</v>
      </c>
      <c r="AC9" s="119">
        <v>-0.152</v>
      </c>
      <c r="AD9" s="119">
        <v>-0.33200000000000002</v>
      </c>
      <c r="AE9" s="120"/>
      <c r="AF9" s="119">
        <v>-0.52749578815499598</v>
      </c>
      <c r="AG9" s="121">
        <v>-0.54</v>
      </c>
      <c r="AH9" s="122">
        <v>-0.58599999999999997</v>
      </c>
    </row>
    <row r="10" spans="2:34" outlineLevel="1" x14ac:dyDescent="0.3">
      <c r="B10" s="105" t="s">
        <v>30</v>
      </c>
      <c r="C10" s="106">
        <v>-0.17599999999999999</v>
      </c>
      <c r="D10" s="106">
        <v>-0.109</v>
      </c>
      <c r="E10" s="106">
        <v>-0.26600000000000001</v>
      </c>
      <c r="F10" s="107"/>
      <c r="G10" s="106">
        <f>'[1]CAAC Data'!$H$70</f>
        <v>-0.245848592299793</v>
      </c>
      <c r="H10" s="106">
        <f>'[1]Top4 Domestic'!$H$59</f>
        <v>-0.25185001290667097</v>
      </c>
      <c r="I10" s="108">
        <v>-0.25536666666666702</v>
      </c>
      <c r="J10" s="109"/>
      <c r="K10" s="109"/>
      <c r="L10" s="109"/>
      <c r="M10" s="109"/>
      <c r="N10" s="109"/>
      <c r="O10" s="109"/>
      <c r="R10" s="105" t="s">
        <v>31</v>
      </c>
      <c r="S10" s="106">
        <v>-7.5749999999999998E-2</v>
      </c>
      <c r="T10" s="106">
        <v>8.2500000000000004E-2</v>
      </c>
      <c r="U10" s="106">
        <v>-2E-3</v>
      </c>
      <c r="V10" s="106"/>
      <c r="W10" s="106">
        <f>'[1]CAAC Data'!$H$41</f>
        <v>-5.2413338758743697E-2</v>
      </c>
      <c r="X10" s="106">
        <f>'[1]Top4 Domestic'!$H$40</f>
        <v>-6.4265004260223094E-2</v>
      </c>
      <c r="Y10" s="108">
        <v>-0.11</v>
      </c>
      <c r="AA10" s="23" t="s">
        <v>32</v>
      </c>
      <c r="AB10" s="119">
        <v>-0.1515</v>
      </c>
      <c r="AC10" s="119">
        <v>-1.25E-3</v>
      </c>
      <c r="AD10" s="119">
        <v>-0.14924999999999999</v>
      </c>
      <c r="AE10" s="120"/>
      <c r="AF10" s="119">
        <v>-0.34453293030285398</v>
      </c>
      <c r="AG10" s="121">
        <v>-0.36609856882388597</v>
      </c>
      <c r="AH10" s="122">
        <v>-0.41749999999999998</v>
      </c>
    </row>
    <row r="11" spans="2:34" outlineLevel="1" x14ac:dyDescent="0.3">
      <c r="B11" s="105" t="s">
        <v>33</v>
      </c>
      <c r="C11" s="106">
        <v>-9.7000000000000003E-2</v>
      </c>
      <c r="D11" s="106">
        <v>-7.4999999999999997E-2</v>
      </c>
      <c r="E11" s="106">
        <v>-0.16500000000000001</v>
      </c>
      <c r="F11" s="107"/>
      <c r="G11" s="106">
        <f>'[1]CAAC Data'!$I$70</f>
        <v>-0.13764050214858001</v>
      </c>
      <c r="H11" s="106">
        <f>'[1]Top4 Domestic'!$I$59</f>
        <v>-0.15261297816484701</v>
      </c>
      <c r="I11" s="108">
        <v>-0.15351999999999999</v>
      </c>
      <c r="J11" s="109"/>
      <c r="K11" s="109"/>
      <c r="L11" s="109"/>
      <c r="M11" s="109"/>
      <c r="N11" s="109"/>
      <c r="O11" s="109"/>
      <c r="R11" s="105" t="s">
        <v>34</v>
      </c>
      <c r="S11" s="106">
        <v>-0.495</v>
      </c>
      <c r="T11" s="106">
        <v>-0.03</v>
      </c>
      <c r="U11" s="106">
        <v>-0.51</v>
      </c>
      <c r="V11" s="106"/>
      <c r="W11" s="106">
        <f>'[1]CAAC Data'!$I$41</f>
        <v>-0.58276256778818203</v>
      </c>
      <c r="X11" s="106">
        <f>'[1]Top4 Domestic'!$I$40</f>
        <v>-0.63505747874822904</v>
      </c>
      <c r="Y11" s="108">
        <v>-0.62250000000000005</v>
      </c>
      <c r="AA11" s="118" t="s">
        <v>35</v>
      </c>
      <c r="AB11" s="119">
        <v>-0.13350000000000001</v>
      </c>
      <c r="AC11" s="119">
        <v>-1.6500000000000001E-2</v>
      </c>
      <c r="AD11" s="119">
        <v>-0.14874999999999999</v>
      </c>
      <c r="AE11" s="120"/>
      <c r="AF11" s="119">
        <v>-0.39774070668593198</v>
      </c>
      <c r="AG11" s="121">
        <v>-0.39553784429952499</v>
      </c>
      <c r="AH11" s="122">
        <v>-0.4425</v>
      </c>
    </row>
    <row r="12" spans="2:34" outlineLevel="1" x14ac:dyDescent="0.3">
      <c r="B12" s="105" t="s">
        <v>36</v>
      </c>
      <c r="C12" s="106">
        <v>-2.8000000000000001E-2</v>
      </c>
      <c r="D12" s="106">
        <v>-1.7999999999999999E-2</v>
      </c>
      <c r="E12" s="106">
        <v>-4.5999999999999999E-2</v>
      </c>
      <c r="F12" s="107"/>
      <c r="G12" s="106">
        <f>'[1]CAAC Data'!$J$70</f>
        <v>-5.4182469887050803E-3</v>
      </c>
      <c r="H12" s="106">
        <f>'[1]Top4 Domestic'!$J$59</f>
        <v>1.70344117565338E-2</v>
      </c>
      <c r="I12" s="108">
        <v>-1.4846666666666701E-2</v>
      </c>
      <c r="J12" s="109"/>
      <c r="K12" s="109"/>
      <c r="L12" s="109"/>
      <c r="M12" s="109"/>
      <c r="N12" s="109"/>
      <c r="O12" s="109"/>
      <c r="R12" s="105" t="s">
        <v>37</v>
      </c>
      <c r="S12" s="106">
        <v>-0.19800000000000001</v>
      </c>
      <c r="T12" s="106">
        <v>-3.7999999999999999E-2</v>
      </c>
      <c r="U12" s="106">
        <v>-0.23200000000000001</v>
      </c>
      <c r="V12" s="106"/>
      <c r="W12" s="106">
        <f>'[1]CAAC Data'!$J$41</f>
        <v>-0.25080231734255798</v>
      </c>
      <c r="X12" s="106">
        <f>'[1]Top4 Domestic'!$J$40</f>
        <v>-0.28222948873000703</v>
      </c>
      <c r="Y12" s="108">
        <v>-0.33250000000000002</v>
      </c>
      <c r="AA12" s="23" t="s">
        <v>38</v>
      </c>
      <c r="AB12" s="119">
        <v>-0.193333333333333</v>
      </c>
      <c r="AC12" s="119">
        <v>-0.12</v>
      </c>
      <c r="AD12" s="119">
        <v>-0.28666666666666701</v>
      </c>
      <c r="AE12" s="120"/>
      <c r="AF12" s="119">
        <v>-0.58644187888134003</v>
      </c>
      <c r="AG12" s="121">
        <v>-0.54567809338015005</v>
      </c>
      <c r="AH12" s="122">
        <v>-0.65333333333333299</v>
      </c>
    </row>
    <row r="13" spans="2:34" outlineLevel="1" x14ac:dyDescent="0.3">
      <c r="B13" s="105" t="s">
        <v>39</v>
      </c>
      <c r="C13" s="106">
        <v>-8.5000000000000006E-2</v>
      </c>
      <c r="D13" s="106">
        <v>-0.113</v>
      </c>
      <c r="E13" s="106">
        <v>-0.188</v>
      </c>
      <c r="F13" s="107"/>
      <c r="G13" s="106">
        <f>'[1]CAAC Data'!$K$70</f>
        <v>-1.6538147328989401E-3</v>
      </c>
      <c r="H13" s="106">
        <f>'[1]Top4 Domestic'!$K$59</f>
        <v>1.4684782853489699E-2</v>
      </c>
      <c r="I13" s="108">
        <v>-2.0551724137931E-2</v>
      </c>
      <c r="J13" s="109"/>
      <c r="K13" s="109"/>
      <c r="L13" s="109"/>
      <c r="M13" s="109"/>
      <c r="N13" s="109"/>
      <c r="O13" s="109"/>
      <c r="R13" s="105" t="s">
        <v>40</v>
      </c>
      <c r="S13" s="106">
        <v>-0.14249999999999999</v>
      </c>
      <c r="T13" s="106">
        <v>2.2499999999999999E-2</v>
      </c>
      <c r="U13" s="106">
        <v>-0.1225</v>
      </c>
      <c r="V13" s="106"/>
      <c r="W13" s="106">
        <f>'[1]CAAC Data'!$K$41</f>
        <v>-0.22842568792715201</v>
      </c>
      <c r="X13" s="106">
        <f>'[1]Top4 Domestic'!$K$40</f>
        <v>-0.23291854125774999</v>
      </c>
      <c r="Y13" s="123"/>
      <c r="AA13" s="118" t="s">
        <v>41</v>
      </c>
      <c r="AB13" s="119">
        <v>-0.31</v>
      </c>
      <c r="AC13" s="119">
        <v>-0.15</v>
      </c>
      <c r="AD13" s="119">
        <v>-0.42</v>
      </c>
      <c r="AE13" s="120"/>
      <c r="AF13" s="119">
        <v>-0.68766812122661203</v>
      </c>
      <c r="AG13" s="121">
        <v>-0.67</v>
      </c>
      <c r="AH13" s="122">
        <v>-0.72750000000000004</v>
      </c>
    </row>
    <row r="14" spans="2:34" outlineLevel="1" x14ac:dyDescent="0.3">
      <c r="B14" s="105" t="s">
        <v>42</v>
      </c>
      <c r="C14" s="106">
        <v>-9.4E-2</v>
      </c>
      <c r="D14" s="106">
        <v>-5.0999999999999997E-2</v>
      </c>
      <c r="E14" s="106">
        <v>-0.14000000000000001</v>
      </c>
      <c r="F14" s="107"/>
      <c r="G14" s="106">
        <f>'[1]CAAC Data'!$L$70</f>
        <v>-4.7965554359526298E-2</v>
      </c>
      <c r="H14" s="106">
        <f>'[1]Top4 Domestic'!$L$59</f>
        <v>-5.44774782973751E-2</v>
      </c>
      <c r="I14" s="108">
        <v>-5.9273333333333303E-2</v>
      </c>
      <c r="J14" s="109"/>
      <c r="K14" s="109"/>
      <c r="L14" s="109"/>
      <c r="M14" s="109"/>
      <c r="N14" s="109"/>
      <c r="O14" s="109"/>
      <c r="R14" s="105" t="s">
        <v>43</v>
      </c>
      <c r="S14" s="106">
        <v>-0.35499999999999998</v>
      </c>
      <c r="T14" s="106">
        <v>-0.06</v>
      </c>
      <c r="U14" s="106">
        <v>-0.39500000000000002</v>
      </c>
      <c r="V14" s="106"/>
      <c r="W14" s="106">
        <f>'[1]CAAC Data'!$L$41</f>
        <v>-0.53961248654467198</v>
      </c>
      <c r="X14" s="106">
        <f>'[1]Top4 Domestic'!$L$40</f>
        <v>-0.55109768162829098</v>
      </c>
      <c r="Y14" s="108">
        <v>-0.56999999999999995</v>
      </c>
      <c r="AA14" s="23" t="s">
        <v>44</v>
      </c>
      <c r="AB14" s="119">
        <v>-0.24249999999999999</v>
      </c>
      <c r="AC14" s="119">
        <v>-0.18</v>
      </c>
      <c r="AD14" s="119">
        <v>-0.38</v>
      </c>
      <c r="AE14" s="119" t="e">
        <v>#DIV/0!</v>
      </c>
      <c r="AF14" s="119">
        <f>[2]Summary!$CF$5</f>
        <v>-0.73560818083961199</v>
      </c>
      <c r="AG14" s="121">
        <v>-0.73</v>
      </c>
      <c r="AH14" s="122">
        <v>-0.75249999999999995</v>
      </c>
    </row>
    <row r="15" spans="2:34" outlineLevel="1" x14ac:dyDescent="0.3">
      <c r="B15" s="105" t="s">
        <v>45</v>
      </c>
      <c r="C15" s="106">
        <v>-5.7000000000000002E-2</v>
      </c>
      <c r="D15" s="106">
        <v>1.0999999999999999E-2</v>
      </c>
      <c r="E15" s="106">
        <v>-4.5999999999999999E-2</v>
      </c>
      <c r="F15" s="107"/>
      <c r="G15" s="106">
        <f>'[1]CAAC Data'!$M$70</f>
        <v>-7.8968080454744197E-2</v>
      </c>
      <c r="H15" s="106">
        <f>'[1]Top4 Domestic'!$M$59</f>
        <v>-0.119315269363739</v>
      </c>
      <c r="I15" s="108">
        <v>-9.2087096774193494E-2</v>
      </c>
      <c r="J15" s="109"/>
      <c r="K15" s="109"/>
      <c r="L15" s="109"/>
      <c r="M15" s="109"/>
      <c r="N15" s="109"/>
      <c r="O15" s="109"/>
      <c r="R15" s="105" t="s">
        <v>46</v>
      </c>
      <c r="S15" s="106">
        <v>-0.27</v>
      </c>
      <c r="T15" s="106">
        <v>-3.3333333333333301E-3</v>
      </c>
      <c r="U15" s="106">
        <v>-0.27</v>
      </c>
      <c r="V15" s="106"/>
      <c r="W15" s="106">
        <f>'[1]CAAC Data'!$M$41</f>
        <v>-0.41125929164844799</v>
      </c>
      <c r="X15" s="106">
        <f>'[1]Top4 Domestic'!$M$40</f>
        <v>-0.43970497318377599</v>
      </c>
      <c r="Y15" s="108">
        <v>-0.44</v>
      </c>
      <c r="AA15" s="118" t="s">
        <v>47</v>
      </c>
      <c r="AB15" s="119">
        <v>-0.27400000000000002</v>
      </c>
      <c r="AC15" s="119">
        <v>-0.151</v>
      </c>
      <c r="AD15" s="119">
        <v>-0.38240000000000002</v>
      </c>
      <c r="AE15" s="120"/>
      <c r="AF15" s="119">
        <f>[2]Summary!$CG$5</f>
        <v>-0.59960647135986</v>
      </c>
      <c r="AG15" s="121">
        <f>[2]Summary!$CG$14</f>
        <v>-0.62588522552187298</v>
      </c>
      <c r="AH15" s="122">
        <v>-0.63800000000000001</v>
      </c>
    </row>
    <row r="16" spans="2:34" outlineLevel="1" x14ac:dyDescent="0.3">
      <c r="B16" s="75" t="s">
        <v>48</v>
      </c>
      <c r="C16" s="96" t="s">
        <v>8</v>
      </c>
      <c r="D16" s="96" t="s">
        <v>9</v>
      </c>
      <c r="E16" s="96" t="s">
        <v>10</v>
      </c>
      <c r="F16" s="124"/>
      <c r="G16" s="125" t="s">
        <v>11</v>
      </c>
      <c r="H16" s="126" t="s">
        <v>12</v>
      </c>
      <c r="I16" s="127" t="s">
        <v>13</v>
      </c>
      <c r="J16" s="102"/>
      <c r="K16" s="102"/>
      <c r="L16" s="102"/>
      <c r="M16" s="102"/>
      <c r="N16" s="102"/>
      <c r="O16" s="102"/>
      <c r="R16" s="75" t="s">
        <v>49</v>
      </c>
      <c r="S16" s="96" t="s">
        <v>50</v>
      </c>
      <c r="T16" s="96" t="s">
        <v>9</v>
      </c>
      <c r="U16" s="96" t="s">
        <v>10</v>
      </c>
      <c r="V16" s="96"/>
      <c r="W16" s="125" t="s">
        <v>51</v>
      </c>
      <c r="X16" s="126" t="s">
        <v>52</v>
      </c>
      <c r="Y16" s="127" t="s">
        <v>53</v>
      </c>
      <c r="AA16" s="75" t="s">
        <v>49</v>
      </c>
      <c r="AB16" s="96" t="s">
        <v>8</v>
      </c>
      <c r="AC16" s="96" t="s">
        <v>9</v>
      </c>
      <c r="AD16" s="96" t="s">
        <v>10</v>
      </c>
      <c r="AE16" s="124"/>
      <c r="AF16" s="125" t="s">
        <v>11</v>
      </c>
      <c r="AG16" s="126" t="s">
        <v>12</v>
      </c>
      <c r="AH16" s="128" t="s">
        <v>14</v>
      </c>
    </row>
    <row r="17" spans="1:34" outlineLevel="1" x14ac:dyDescent="0.3">
      <c r="B17" s="24" t="s">
        <v>54</v>
      </c>
      <c r="C17" s="129">
        <f>AVERAGE(C4:C6)</f>
        <v>-0.64200000000000002</v>
      </c>
      <c r="D17" s="129">
        <f>AVERAGE(D4:D6)</f>
        <v>-0.17066666666666699</v>
      </c>
      <c r="E17" s="129">
        <f>AVERAGE(E4:E6)</f>
        <v>-0.69666666666666699</v>
      </c>
      <c r="F17" s="129"/>
      <c r="G17" s="129">
        <f>'[1]CAAC Data'!$O$70</f>
        <v>-0.53361744798194999</v>
      </c>
      <c r="H17" s="129">
        <f>'[1]Top4 Domestic'!$O$59</f>
        <v>-0.53395637313246502</v>
      </c>
      <c r="I17" s="130">
        <f>AVERAGE(I4:I6)</f>
        <v>-0.52186025213199805</v>
      </c>
      <c r="J17" s="131"/>
      <c r="K17" s="131"/>
      <c r="L17" s="131"/>
      <c r="M17" s="131"/>
      <c r="N17" s="131"/>
      <c r="O17" s="131"/>
      <c r="P17" s="132"/>
      <c r="Q17" s="132"/>
      <c r="R17" s="24" t="s">
        <v>54</v>
      </c>
      <c r="S17" s="129">
        <v>-0.27100000000000002</v>
      </c>
      <c r="T17" s="129">
        <v>-0.20799999999999999</v>
      </c>
      <c r="U17" s="129">
        <v>-0.42166666666666702</v>
      </c>
      <c r="V17" s="129"/>
      <c r="W17" s="129">
        <f>'[1]CAAC Data'!$O$41</f>
        <v>-0.273201303584858</v>
      </c>
      <c r="X17" s="129">
        <f>'[1]Top4 Domestic'!$O$40</f>
        <v>-0.31198925832525398</v>
      </c>
      <c r="Y17" s="130"/>
      <c r="AA17" s="23" t="s">
        <v>54</v>
      </c>
      <c r="AB17" s="25">
        <v>-0.33250000000000002</v>
      </c>
      <c r="AC17" s="25">
        <v>-0.12666666666666701</v>
      </c>
      <c r="AD17" s="25">
        <v>-0.413333333333333</v>
      </c>
      <c r="AE17" s="25"/>
      <c r="AF17" s="25">
        <v>-0.45745800952619697</v>
      </c>
      <c r="AG17" s="25">
        <v>-0.47773280971460103</v>
      </c>
      <c r="AH17" s="23"/>
    </row>
    <row r="18" spans="1:34" outlineLevel="1" x14ac:dyDescent="0.3">
      <c r="B18" s="24" t="s">
        <v>55</v>
      </c>
      <c r="C18" s="129">
        <f>AVERAGE(C7:C9)</f>
        <v>-0.38466666666666699</v>
      </c>
      <c r="D18" s="129">
        <f>AVERAGE(D7:D9)</f>
        <v>-0.22233333333333299</v>
      </c>
      <c r="E18" s="129">
        <f>AVERAGE(E7:E9)</f>
        <v>-0.51733333333333298</v>
      </c>
      <c r="F18" s="129"/>
      <c r="G18" s="129">
        <f>'[1]CAAC Data'!$P$70</f>
        <v>-0.47794280805984002</v>
      </c>
      <c r="H18" s="129">
        <f>'[1]Top4 Domestic'!$P$59</f>
        <v>-0.50100197939648194</v>
      </c>
      <c r="I18" s="130">
        <f>AVERAGE(I7:I9)</f>
        <v>-0.48823143369175598</v>
      </c>
      <c r="J18" s="131"/>
      <c r="K18" s="131"/>
      <c r="L18" s="131"/>
      <c r="M18" s="131"/>
      <c r="N18" s="131"/>
      <c r="O18" s="131"/>
      <c r="P18" s="132"/>
      <c r="Q18" s="132"/>
      <c r="R18" s="24" t="s">
        <v>55</v>
      </c>
      <c r="S18" s="129">
        <v>-8.96666666666667E-2</v>
      </c>
      <c r="T18" s="129">
        <v>-1.6666666666666701E-2</v>
      </c>
      <c r="U18" s="129">
        <v>-0.103666666666667</v>
      </c>
      <c r="V18" s="129"/>
      <c r="W18" s="129">
        <f>'[1]CAAC Data'!$P$41</f>
        <v>2.2246877348698998E-2</v>
      </c>
      <c r="X18" s="129">
        <f>'[1]Top4 Domestic'!$P$40</f>
        <v>1.9455230487843901E-2</v>
      </c>
      <c r="Y18" s="130"/>
      <c r="AA18" s="23" t="s">
        <v>55</v>
      </c>
      <c r="AB18" s="25">
        <v>-0.32650000000000001</v>
      </c>
      <c r="AC18" s="25">
        <v>-0.21683333333333299</v>
      </c>
      <c r="AD18" s="25">
        <v>-0.46646666666666697</v>
      </c>
      <c r="AE18" s="25"/>
      <c r="AF18" s="25">
        <v>-0.702057907734154</v>
      </c>
      <c r="AG18" s="30">
        <v>-0.70998602078648299</v>
      </c>
      <c r="AH18" s="133">
        <v>-0.72791666666666699</v>
      </c>
    </row>
    <row r="19" spans="1:34" outlineLevel="1" x14ac:dyDescent="0.3">
      <c r="B19" s="24" t="s">
        <v>56</v>
      </c>
      <c r="C19" s="129">
        <f>AVERAGE(C10:C12)</f>
        <v>-0.100333333333333</v>
      </c>
      <c r="D19" s="129">
        <f>AVERAGE(D10:D12)</f>
        <v>-6.7333333333333301E-2</v>
      </c>
      <c r="E19" s="129">
        <f>AVERAGE(E10:E12)</f>
        <v>-0.159</v>
      </c>
      <c r="F19" s="134"/>
      <c r="G19" s="129">
        <f>'[1]CAAC Data'!$Q$70</f>
        <v>-0.13266747772850401</v>
      </c>
      <c r="H19" s="129">
        <f>'[1]Top4 Domestic'!$Q$59</f>
        <v>-0.13287038805559101</v>
      </c>
      <c r="I19" s="130">
        <f>AVERAGE(I10:I12)</f>
        <v>-0.14124444444444501</v>
      </c>
      <c r="J19" s="131"/>
      <c r="K19" s="131"/>
      <c r="L19" s="131"/>
      <c r="M19" s="131"/>
      <c r="N19" s="131"/>
      <c r="O19" s="131"/>
      <c r="P19" s="132"/>
      <c r="Q19" s="132"/>
      <c r="R19" s="24" t="s">
        <v>56</v>
      </c>
      <c r="S19" s="129">
        <v>-0.25624999999999998</v>
      </c>
      <c r="T19" s="129">
        <v>4.8333333333333301E-3</v>
      </c>
      <c r="U19" s="129">
        <v>-0.248</v>
      </c>
      <c r="V19" s="129"/>
      <c r="W19" s="129">
        <f>'[1]CAAC Data'!$Q$41</f>
        <v>-0.29954345067566701</v>
      </c>
      <c r="X19" s="129">
        <f>'[1]Top4 Domestic'!$Q$40</f>
        <v>-0.33298206037487799</v>
      </c>
      <c r="Y19" s="130">
        <v>-0.35499999999999998</v>
      </c>
      <c r="AA19" s="23" t="s">
        <v>56</v>
      </c>
      <c r="AB19" s="25">
        <v>-0.159444444444444</v>
      </c>
      <c r="AC19" s="25">
        <v>-4.5916666666666703E-2</v>
      </c>
      <c r="AD19" s="25">
        <v>-0.194888888888889</v>
      </c>
      <c r="AE19" s="25"/>
      <c r="AF19" s="25">
        <v>-0.43900684169904403</v>
      </c>
      <c r="AG19" s="30">
        <v>-0.43261941126591202</v>
      </c>
      <c r="AH19" s="25">
        <v>-0.50444444444444403</v>
      </c>
    </row>
    <row r="20" spans="1:34" outlineLevel="1" x14ac:dyDescent="0.3">
      <c r="B20" s="135" t="s">
        <v>57</v>
      </c>
      <c r="C20" s="136">
        <f>AVERAGE(C13:C15)</f>
        <v>-7.8666666666666704E-2</v>
      </c>
      <c r="D20" s="136">
        <f>AVERAGE(D13:D15)</f>
        <v>-5.0999999999999997E-2</v>
      </c>
      <c r="E20" s="136">
        <f>AVERAGE(E13:E15)</f>
        <v>-0.12466666666666699</v>
      </c>
      <c r="F20" s="137"/>
      <c r="G20" s="138">
        <f>'[1]CAAC Data'!$R$70</f>
        <v>-4.1600820357220597E-2</v>
      </c>
      <c r="H20" s="136">
        <f>'[1]Top4 Domestic'!$R$59</f>
        <v>-5.1427682562525799E-2</v>
      </c>
      <c r="I20" s="139">
        <f>AVERAGE(I13:I15)</f>
        <v>-5.7304051415152601E-2</v>
      </c>
      <c r="J20" s="131"/>
      <c r="K20" s="131"/>
      <c r="L20" s="131"/>
      <c r="M20" s="131"/>
      <c r="N20" s="131"/>
      <c r="O20" s="131"/>
      <c r="P20" s="132"/>
      <c r="Q20" s="132"/>
      <c r="R20" s="135" t="s">
        <v>57</v>
      </c>
      <c r="S20" s="136">
        <v>-0.25454545454545502</v>
      </c>
      <c r="T20" s="136">
        <v>-1.45454545454545E-2</v>
      </c>
      <c r="U20" s="136">
        <v>-0.26181818181818201</v>
      </c>
      <c r="V20" s="136"/>
      <c r="W20" s="138">
        <f>'[1]CAAC Data'!$R$41</f>
        <v>-0.38868637490605901</v>
      </c>
      <c r="X20" s="136">
        <f>'[1]Top4 Domestic'!$R$40</f>
        <v>-0.40436826367471101</v>
      </c>
      <c r="Y20" s="139"/>
      <c r="AA20" s="65" t="s">
        <v>57</v>
      </c>
      <c r="AB20" s="140">
        <v>-0.27550000000000002</v>
      </c>
      <c r="AC20" s="140">
        <v>-0.16033333333333299</v>
      </c>
      <c r="AD20" s="140">
        <v>-0.394133333333333</v>
      </c>
      <c r="AE20" s="141"/>
      <c r="AF20" s="140">
        <f>[2]Summary!$BT$5</f>
        <v>-0.675017734606011</v>
      </c>
      <c r="AG20" s="142">
        <f>[2]Summary!$BT$14</f>
        <v>-0.67487001323814899</v>
      </c>
      <c r="AH20" s="143">
        <v>-0.70599999999999996</v>
      </c>
    </row>
    <row r="21" spans="1:34" outlineLevel="1" x14ac:dyDescent="0.3">
      <c r="B21" s="144" t="s">
        <v>58</v>
      </c>
      <c r="C21" s="145">
        <f>AVERAGE(C4:C15)</f>
        <v>-0.301416666666667</v>
      </c>
      <c r="D21" s="145">
        <f>AVERAGE(D4:D15)</f>
        <v>-0.12783333333333299</v>
      </c>
      <c r="E21" s="145">
        <f>AVERAGE(E4:E15)</f>
        <v>-0.37441666666666701</v>
      </c>
      <c r="F21" s="145" t="e">
        <f>AVERAGE(F4:F15)</f>
        <v>#DIV/0!</v>
      </c>
      <c r="G21" s="145">
        <f>'[1]CAAC Data'!$N$70</f>
        <v>-0.291477471488018</v>
      </c>
      <c r="H21" s="145">
        <f>'[1]Top4 Domestic'!$S$59</f>
        <v>-0.29853151511603998</v>
      </c>
      <c r="I21" s="145">
        <f>AVERAGE(I4:I15)</f>
        <v>-0.30216004542083802</v>
      </c>
      <c r="J21" s="146"/>
      <c r="K21" s="146"/>
      <c r="L21" s="146"/>
      <c r="M21" s="146"/>
      <c r="N21" s="146"/>
      <c r="O21" s="146"/>
      <c r="P21" s="132"/>
      <c r="Q21" s="132"/>
      <c r="R21" s="144" t="s">
        <v>58</v>
      </c>
      <c r="S21" s="145">
        <f>AVERAGE(S4:S15)</f>
        <v>-0.21818750000000001</v>
      </c>
      <c r="T21" s="145">
        <f>AVERAGE(T4:T15)</f>
        <v>-5.83611111111111E-2</v>
      </c>
      <c r="U21" s="145">
        <f>AVERAGE(U4:U15)</f>
        <v>-0.25895833333333301</v>
      </c>
      <c r="V21" s="145"/>
      <c r="W21" s="145">
        <f>'[1]CAAC Data'!$N$41</f>
        <v>-0.236991000429877</v>
      </c>
      <c r="X21" s="145">
        <f>'[1]Top4 Domestic'!$S$40</f>
        <v>-0.26067507601905299</v>
      </c>
      <c r="Y21" s="145"/>
      <c r="AA21" s="75" t="s">
        <v>58</v>
      </c>
      <c r="AB21" s="147">
        <v>-0.27348611111111099</v>
      </c>
      <c r="AC21" s="147">
        <v>-0.13743749999999999</v>
      </c>
      <c r="AD21" s="147">
        <v>-0.36720555555555601</v>
      </c>
      <c r="AE21" s="147"/>
      <c r="AF21" s="147">
        <f>[2]Summary!$BU$5</f>
        <v>-0.56593042258472703</v>
      </c>
      <c r="AG21" s="147">
        <f>[2]Summary!$BU$14</f>
        <v>-0.57145376118415103</v>
      </c>
      <c r="AH21" s="148"/>
    </row>
    <row r="22" spans="1:34" outlineLevel="1" x14ac:dyDescent="0.3">
      <c r="B22" s="149"/>
      <c r="C22" s="150"/>
      <c r="D22" s="150"/>
      <c r="E22" s="150"/>
      <c r="G22" s="150"/>
      <c r="H22" s="150"/>
      <c r="I22" s="151"/>
      <c r="J22" s="151"/>
      <c r="K22" s="151"/>
      <c r="L22" s="151"/>
      <c r="M22" s="151"/>
      <c r="N22" s="151"/>
      <c r="O22" s="151"/>
    </row>
    <row r="23" spans="1:34" s="92" customFormat="1" outlineLevel="1" x14ac:dyDescent="0.3">
      <c r="A23" s="152"/>
      <c r="B23" s="153" t="s">
        <v>59</v>
      </c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93"/>
      <c r="P23" s="93"/>
      <c r="Q23" s="93"/>
      <c r="R23" s="153" t="s">
        <v>59</v>
      </c>
      <c r="S23" s="152"/>
      <c r="T23" s="152"/>
      <c r="U23" s="152"/>
      <c r="V23" s="152"/>
      <c r="W23" s="152"/>
      <c r="X23" s="152"/>
      <c r="Z23" s="152"/>
      <c r="AA23" s="93"/>
      <c r="AB23" s="93"/>
      <c r="AC23" s="93"/>
      <c r="AD23" s="93"/>
      <c r="AE23" s="93"/>
      <c r="AF23" s="93"/>
      <c r="AG23" s="93"/>
      <c r="AH23" s="93"/>
    </row>
    <row r="24" spans="1:34" outlineLevel="1" x14ac:dyDescent="0.3">
      <c r="B24" s="1" t="s">
        <v>3</v>
      </c>
      <c r="C24" s="338" t="s">
        <v>6</v>
      </c>
      <c r="D24" s="338"/>
      <c r="E24" s="338"/>
      <c r="F24" s="154"/>
      <c r="G24" s="344" t="s">
        <v>60</v>
      </c>
      <c r="H24" s="345"/>
      <c r="I24" s="155" t="s">
        <v>61</v>
      </c>
      <c r="J24" s="4"/>
      <c r="K24" s="346" t="s">
        <v>62</v>
      </c>
      <c r="L24" s="342"/>
      <c r="M24" s="99"/>
      <c r="N24" s="99"/>
      <c r="O24" s="156"/>
      <c r="R24" s="157" t="s">
        <v>3</v>
      </c>
      <c r="S24" s="347" t="s">
        <v>63</v>
      </c>
      <c r="T24" s="348"/>
      <c r="U24" s="349"/>
      <c r="V24" s="7"/>
      <c r="W24" s="13" t="s">
        <v>5</v>
      </c>
      <c r="X24" s="159" t="s">
        <v>64</v>
      </c>
    </row>
    <row r="25" spans="1:34" outlineLevel="1" x14ac:dyDescent="0.3">
      <c r="B25" s="6" t="s">
        <v>7</v>
      </c>
      <c r="C25" s="7" t="s">
        <v>8</v>
      </c>
      <c r="D25" s="7" t="s">
        <v>9</v>
      </c>
      <c r="E25" s="7" t="s">
        <v>10</v>
      </c>
      <c r="F25" s="8"/>
      <c r="G25" s="9" t="s">
        <v>11</v>
      </c>
      <c r="H25" s="103" t="s">
        <v>12</v>
      </c>
      <c r="I25" s="160" t="s">
        <v>65</v>
      </c>
      <c r="J25" s="12"/>
      <c r="K25" s="13" t="s">
        <v>11</v>
      </c>
      <c r="L25" s="103" t="s">
        <v>12</v>
      </c>
      <c r="M25" s="102"/>
      <c r="N25" s="102"/>
      <c r="O25" s="12"/>
      <c r="R25" s="101" t="s">
        <v>66</v>
      </c>
      <c r="S25" s="7" t="s">
        <v>8</v>
      </c>
      <c r="T25" s="7" t="s">
        <v>9</v>
      </c>
      <c r="U25" s="7" t="s">
        <v>10</v>
      </c>
      <c r="V25" s="7"/>
      <c r="W25" s="159" t="s">
        <v>67</v>
      </c>
      <c r="X25" s="159" t="s">
        <v>67</v>
      </c>
    </row>
    <row r="26" spans="1:34" outlineLevel="1" x14ac:dyDescent="0.3">
      <c r="B26" s="15" t="s">
        <v>15</v>
      </c>
      <c r="C26" s="16">
        <v>-0.21</v>
      </c>
      <c r="D26" s="16">
        <v>0.13</v>
      </c>
      <c r="E26" s="16">
        <v>-0.11</v>
      </c>
      <c r="F26" s="17"/>
      <c r="G26" s="18">
        <v>-0.16</v>
      </c>
      <c r="H26" s="22">
        <v>-0.15</v>
      </c>
      <c r="I26" s="161"/>
      <c r="J26" s="21"/>
      <c r="K26" s="16">
        <v>-0.90906519587045698</v>
      </c>
      <c r="L26" s="22">
        <v>-0.90950308000938795</v>
      </c>
      <c r="M26" s="21"/>
      <c r="N26" s="21"/>
      <c r="O26" s="21"/>
      <c r="R26" s="111" t="s">
        <v>68</v>
      </c>
      <c r="S26" s="25">
        <v>8.5761565226791098E-2</v>
      </c>
      <c r="T26" s="25">
        <v>0.394739288984293</v>
      </c>
      <c r="U26" s="25">
        <v>0.514354313490891</v>
      </c>
      <c r="V26" s="162"/>
      <c r="W26" s="34">
        <v>7.0000000000000007E-2</v>
      </c>
      <c r="X26" s="34"/>
      <c r="Y26" s="163"/>
    </row>
    <row r="27" spans="1:34" ht="14" customHeight="1" outlineLevel="1" x14ac:dyDescent="0.3">
      <c r="B27" s="15" t="s">
        <v>17</v>
      </c>
      <c r="C27" s="16">
        <v>0.10666666666666701</v>
      </c>
      <c r="D27" s="16">
        <v>-0.01</v>
      </c>
      <c r="E27" s="16">
        <v>9.3333333333333296E-2</v>
      </c>
      <c r="F27" s="17"/>
      <c r="G27" s="18">
        <v>-0.1</v>
      </c>
      <c r="H27" s="22">
        <v>-0.09</v>
      </c>
      <c r="I27" s="161"/>
      <c r="J27" s="21"/>
      <c r="K27" s="16">
        <v>-0.86119061247853501</v>
      </c>
      <c r="L27" s="22">
        <v>-0.85557713752614695</v>
      </c>
      <c r="M27" s="21"/>
      <c r="N27" s="21"/>
      <c r="O27" s="21"/>
      <c r="R27" s="164" t="s">
        <v>69</v>
      </c>
      <c r="S27" s="165">
        <v>-0.03</v>
      </c>
      <c r="T27" s="165">
        <v>0.16</v>
      </c>
      <c r="U27" s="165">
        <v>0.12</v>
      </c>
      <c r="V27" s="166"/>
      <c r="W27" s="167">
        <v>0.126</v>
      </c>
      <c r="X27" s="167">
        <v>0.17730000000000001</v>
      </c>
      <c r="Y27" s="163"/>
    </row>
    <row r="28" spans="1:34" outlineLevel="1" x14ac:dyDescent="0.3">
      <c r="B28" s="23" t="s">
        <v>20</v>
      </c>
      <c r="C28" s="16">
        <v>-2.25673410419144E-3</v>
      </c>
      <c r="D28" s="16">
        <v>-2.48146710178574E-2</v>
      </c>
      <c r="E28" s="16">
        <v>-2.96713782697322E-2</v>
      </c>
      <c r="F28" s="17"/>
      <c r="G28" s="18">
        <v>-0.05</v>
      </c>
      <c r="H28" s="22">
        <v>0.01</v>
      </c>
      <c r="I28" s="161"/>
      <c r="J28" s="21"/>
      <c r="K28" s="16">
        <v>-0.78724006224359899</v>
      </c>
      <c r="L28" s="22">
        <v>-0.78415560453445698</v>
      </c>
      <c r="M28" s="21"/>
      <c r="N28" s="21"/>
      <c r="O28" s="21"/>
      <c r="R28" s="111" t="s">
        <v>70</v>
      </c>
      <c r="S28" s="25">
        <v>-0.15429668621347101</v>
      </c>
      <c r="T28" s="25">
        <v>-5.93156878927842E-2</v>
      </c>
      <c r="U28" s="25">
        <v>-0.21184907494630201</v>
      </c>
      <c r="V28" s="162"/>
      <c r="W28" s="34">
        <v>-0.04</v>
      </c>
      <c r="X28" s="34"/>
    </row>
    <row r="29" spans="1:34" outlineLevel="1" x14ac:dyDescent="0.3">
      <c r="B29" s="23" t="s">
        <v>22</v>
      </c>
      <c r="C29" s="119">
        <v>-4.5407126528599698E-2</v>
      </c>
      <c r="D29" s="119">
        <v>1.75106214770686E-2</v>
      </c>
      <c r="E29" s="119">
        <v>-2.3096455291606199E-2</v>
      </c>
      <c r="F29" s="168"/>
      <c r="G29" s="169">
        <v>4.6662317895194601E-2</v>
      </c>
      <c r="H29" s="122">
        <v>0.124125942919579</v>
      </c>
      <c r="I29" s="170">
        <v>7.5999999999999998E-2</v>
      </c>
      <c r="J29" s="21"/>
      <c r="K29" s="119">
        <v>-0.69991582491582505</v>
      </c>
      <c r="L29" s="122">
        <v>-0.696734133317779</v>
      </c>
      <c r="M29" s="21"/>
      <c r="N29" s="21"/>
      <c r="O29" s="21"/>
      <c r="R29" s="111" t="s">
        <v>71</v>
      </c>
      <c r="S29" s="25">
        <v>-3.8715855005098797E-2</v>
      </c>
      <c r="T29" s="25">
        <v>-1.4013616659901799E-2</v>
      </c>
      <c r="U29" s="25">
        <v>-4.2912205664862403E-2</v>
      </c>
      <c r="V29" s="162"/>
      <c r="W29" s="34">
        <v>-0.04</v>
      </c>
      <c r="X29" s="34"/>
    </row>
    <row r="30" spans="1:34" outlineLevel="1" x14ac:dyDescent="0.3">
      <c r="B30" s="23" t="s">
        <v>24</v>
      </c>
      <c r="C30" s="119">
        <v>-1.7790086327903201E-2</v>
      </c>
      <c r="D30" s="119">
        <v>9.88147594264846E-3</v>
      </c>
      <c r="E30" s="119">
        <v>-6.5946066068525702E-3</v>
      </c>
      <c r="F30" s="168"/>
      <c r="G30" s="169">
        <v>3.6885505198557503E-2</v>
      </c>
      <c r="H30" s="122">
        <v>0.10571947009707</v>
      </c>
      <c r="I30" s="170">
        <v>5.6000000000000001E-2</v>
      </c>
      <c r="J30" s="21"/>
      <c r="K30" s="119">
        <v>-0.64283699943598405</v>
      </c>
      <c r="L30" s="122">
        <v>-0.62799293812227397</v>
      </c>
      <c r="M30" s="21"/>
      <c r="N30" s="21"/>
      <c r="O30" s="21"/>
      <c r="R30" s="111" t="s">
        <v>72</v>
      </c>
      <c r="S30" s="25">
        <v>1.3733422364275801E-2</v>
      </c>
      <c r="T30" s="25">
        <v>9.6910437951756006E-3</v>
      </c>
      <c r="U30" s="25">
        <v>9.1269052037144006E-3</v>
      </c>
      <c r="V30" s="162"/>
      <c r="W30" s="34">
        <v>-0.03</v>
      </c>
      <c r="X30" s="34"/>
    </row>
    <row r="31" spans="1:34" outlineLevel="1" x14ac:dyDescent="0.3">
      <c r="B31" s="15" t="s">
        <v>27</v>
      </c>
      <c r="C31" s="119">
        <v>-7.9569455890592094E-3</v>
      </c>
      <c r="D31" s="119">
        <v>2.88273925485188E-2</v>
      </c>
      <c r="E31" s="119">
        <v>2.4196146588707099E-2</v>
      </c>
      <c r="F31" s="168"/>
      <c r="G31" s="169">
        <v>7.9441876538943301E-2</v>
      </c>
      <c r="H31" s="122">
        <v>0.14737864663696401</v>
      </c>
      <c r="I31" s="170">
        <v>4.8000000000000001E-2</v>
      </c>
      <c r="J31" s="21"/>
      <c r="K31" s="119">
        <v>-0.55874086565486203</v>
      </c>
      <c r="L31" s="122">
        <v>-0.534214079317611</v>
      </c>
      <c r="M31" s="21"/>
      <c r="N31" s="21"/>
      <c r="O31" s="21"/>
      <c r="R31" s="111" t="s">
        <v>73</v>
      </c>
      <c r="S31" s="25">
        <v>-7.3711541609274997E-2</v>
      </c>
      <c r="T31" s="25">
        <v>-9.4665035263765601E-2</v>
      </c>
      <c r="U31" s="25">
        <v>-0.16907040135248899</v>
      </c>
      <c r="V31" s="162"/>
      <c r="W31" s="34">
        <v>-0.08</v>
      </c>
      <c r="X31" s="34"/>
    </row>
    <row r="32" spans="1:34" outlineLevel="1" x14ac:dyDescent="0.3">
      <c r="B32" s="15" t="s">
        <v>30</v>
      </c>
      <c r="C32" s="119">
        <v>8.0654019001429895E-3</v>
      </c>
      <c r="D32" s="119">
        <v>8.7100365876444499E-2</v>
      </c>
      <c r="E32" s="119">
        <v>0.100430992451294</v>
      </c>
      <c r="F32" s="168"/>
      <c r="G32" s="169">
        <v>0.13</v>
      </c>
      <c r="H32" s="122">
        <v>0.19</v>
      </c>
      <c r="I32" s="170">
        <v>0.14000000000000001</v>
      </c>
      <c r="J32" s="21"/>
      <c r="K32" s="119">
        <v>-0.47</v>
      </c>
      <c r="L32" s="122">
        <v>-0.44</v>
      </c>
      <c r="M32" s="21"/>
      <c r="N32" s="21"/>
      <c r="O32" s="21"/>
      <c r="R32" s="111" t="s">
        <v>74</v>
      </c>
      <c r="S32" s="25">
        <v>-6.0880604273278897E-2</v>
      </c>
      <c r="T32" s="25">
        <v>-7.7944381751383199E-2</v>
      </c>
      <c r="U32" s="25">
        <v>-0.142316116472638</v>
      </c>
      <c r="V32" s="162"/>
      <c r="W32" s="34">
        <v>-0.1</v>
      </c>
      <c r="X32" s="34"/>
    </row>
    <row r="33" spans="2:34" outlineLevel="1" x14ac:dyDescent="0.3">
      <c r="B33" s="15" t="s">
        <v>33</v>
      </c>
      <c r="C33" s="119">
        <v>-5.4738316973871604E-3</v>
      </c>
      <c r="D33" s="119">
        <v>9.0514740590669399E-2</v>
      </c>
      <c r="E33" s="119">
        <v>8.0247629096758893E-2</v>
      </c>
      <c r="F33" s="168"/>
      <c r="G33" s="169">
        <v>0.117730948940722</v>
      </c>
      <c r="H33" s="122">
        <v>0.16</v>
      </c>
      <c r="I33" s="170"/>
      <c r="J33" s="21"/>
      <c r="K33" s="119">
        <v>-0.44645778281112403</v>
      </c>
      <c r="L33" s="122">
        <v>-0.41</v>
      </c>
      <c r="M33" s="21"/>
      <c r="N33" s="21"/>
      <c r="O33" s="21"/>
      <c r="R33" s="111" t="s">
        <v>75</v>
      </c>
      <c r="S33" s="25">
        <v>-2.9613035968042399E-2</v>
      </c>
      <c r="T33" s="25">
        <v>-8.1941074776057707E-2</v>
      </c>
      <c r="U33" s="25">
        <v>-0.120849592187003</v>
      </c>
      <c r="V33" s="162"/>
      <c r="W33" s="34">
        <v>-7.0000000000000007E-2</v>
      </c>
      <c r="X33" s="34"/>
    </row>
    <row r="34" spans="2:34" outlineLevel="1" x14ac:dyDescent="0.3">
      <c r="B34" s="15" t="s">
        <v>36</v>
      </c>
      <c r="C34" s="119">
        <v>-1.82595169800394E-2</v>
      </c>
      <c r="D34" s="119">
        <v>-2.7793426185046301E-2</v>
      </c>
      <c r="E34" s="119">
        <v>-3.81642930875115E-2</v>
      </c>
      <c r="F34" s="168"/>
      <c r="G34" s="169">
        <v>3.4864335431167501E-2</v>
      </c>
      <c r="H34" s="122">
        <v>8.5870720832047706E-2</v>
      </c>
      <c r="I34" s="170"/>
      <c r="J34" s="21"/>
      <c r="K34" s="119">
        <v>-0.434018028668538</v>
      </c>
      <c r="L34" s="122">
        <v>-0.380744637379208</v>
      </c>
      <c r="M34" s="21"/>
      <c r="N34" s="21"/>
      <c r="O34" s="21"/>
      <c r="R34" s="111" t="s">
        <v>76</v>
      </c>
      <c r="S34" s="25">
        <v>8.7568812860845408E-3</v>
      </c>
      <c r="T34" s="25">
        <v>-7.2229680927867398E-2</v>
      </c>
      <c r="U34" s="25">
        <v>-6.4105306383001298E-2</v>
      </c>
      <c r="V34" s="162"/>
      <c r="W34" s="34">
        <v>-0.06</v>
      </c>
      <c r="X34" s="34"/>
    </row>
    <row r="35" spans="2:34" outlineLevel="1" x14ac:dyDescent="0.3">
      <c r="B35" s="15" t="s">
        <v>39</v>
      </c>
      <c r="C35" s="119">
        <v>-5.2319779713573503E-2</v>
      </c>
      <c r="D35" s="119">
        <v>2.40904348106224E-2</v>
      </c>
      <c r="E35" s="119">
        <v>-3.14085938518626E-2</v>
      </c>
      <c r="F35" s="168"/>
      <c r="G35" s="169">
        <v>3.7758782154741398E-2</v>
      </c>
      <c r="H35" s="122">
        <v>0</v>
      </c>
      <c r="I35" s="170"/>
      <c r="J35" s="21"/>
      <c r="K35" s="119">
        <v>-0.41566087724462802</v>
      </c>
      <c r="L35" s="122">
        <f>[3]Summary!$CV$16</f>
        <v>-0.35903989775949502</v>
      </c>
      <c r="M35" s="21"/>
      <c r="N35" s="21"/>
      <c r="O35" s="21"/>
      <c r="R35" s="111" t="s">
        <v>77</v>
      </c>
      <c r="S35" s="25">
        <v>-2.59732351766058E-2</v>
      </c>
      <c r="T35" s="25">
        <v>-9.35195437545943E-2</v>
      </c>
      <c r="U35" s="25">
        <v>-0.117063773827655</v>
      </c>
      <c r="V35" s="162"/>
      <c r="W35" s="34">
        <v>-0.05</v>
      </c>
      <c r="X35" s="34"/>
    </row>
    <row r="36" spans="2:34" outlineLevel="1" x14ac:dyDescent="0.3">
      <c r="B36" s="15" t="s">
        <v>42</v>
      </c>
      <c r="C36" s="119">
        <v>-3.6284307148223498E-2</v>
      </c>
      <c r="D36" s="119">
        <v>-8.4059943294733597E-2</v>
      </c>
      <c r="E36" s="119">
        <v>-0.122681038044557</v>
      </c>
      <c r="F36" s="121"/>
      <c r="G36" s="169">
        <v>-2.76641550053821E-2</v>
      </c>
      <c r="H36" s="122">
        <v>5.0588326820833099E-2</v>
      </c>
      <c r="I36" s="170"/>
      <c r="J36" s="21"/>
      <c r="K36" s="119">
        <v>-0.42100484261501198</v>
      </c>
      <c r="L36" s="122">
        <v>-0.35623843579436998</v>
      </c>
      <c r="M36" s="21"/>
      <c r="N36" s="21"/>
      <c r="O36" s="21"/>
      <c r="R36" s="111" t="s">
        <v>78</v>
      </c>
      <c r="S36" s="25">
        <v>-2.2629110200128501E-2</v>
      </c>
      <c r="T36" s="25">
        <v>-5.7537460244724697E-2</v>
      </c>
      <c r="U36" s="25">
        <v>-7.8864548916339497E-2</v>
      </c>
      <c r="V36" s="162"/>
      <c r="W36" s="34">
        <v>-0.03</v>
      </c>
      <c r="X36" s="34"/>
    </row>
    <row r="37" spans="2:34" ht="14.5" customHeight="1" outlineLevel="1" x14ac:dyDescent="0.3">
      <c r="B37" s="15" t="s">
        <v>45</v>
      </c>
      <c r="C37" s="119">
        <v>3.7736607886788703E-2</v>
      </c>
      <c r="D37" s="119">
        <v>-6.5448611216093897E-2</v>
      </c>
      <c r="E37" s="119">
        <v>-2.93664775681944E-2</v>
      </c>
      <c r="F37" s="168"/>
      <c r="G37" s="169">
        <v>0</v>
      </c>
      <c r="H37" s="122">
        <v>7.3917772508851301E-2</v>
      </c>
      <c r="I37" s="170"/>
      <c r="J37" s="21"/>
      <c r="K37" s="119">
        <v>-0.33</v>
      </c>
      <c r="L37" s="122">
        <v>-0.26157231431701899</v>
      </c>
      <c r="M37" s="21"/>
      <c r="N37" s="21"/>
      <c r="O37" s="21"/>
      <c r="R37" s="111" t="s">
        <v>79</v>
      </c>
      <c r="S37" s="25">
        <v>-3.6841638361539003E-2</v>
      </c>
      <c r="T37" s="25">
        <v>-8.1860134914206198E-2</v>
      </c>
      <c r="U37" s="25">
        <v>-0.11568591178901</v>
      </c>
      <c r="V37" s="162"/>
      <c r="W37" s="34">
        <v>-7.0000000000000007E-2</v>
      </c>
      <c r="X37" s="34"/>
    </row>
    <row r="38" spans="2:34" outlineLevel="1" x14ac:dyDescent="0.3">
      <c r="B38" s="75" t="s">
        <v>48</v>
      </c>
      <c r="C38" s="96"/>
      <c r="D38" s="96"/>
      <c r="E38" s="96"/>
      <c r="F38" s="171"/>
      <c r="G38" s="172"/>
      <c r="H38" s="127"/>
      <c r="I38" s="173"/>
      <c r="J38" s="12"/>
      <c r="K38" s="125"/>
      <c r="L38" s="127"/>
      <c r="M38" s="102"/>
      <c r="N38" s="102"/>
      <c r="O38" s="12"/>
      <c r="R38" s="111" t="s">
        <v>80</v>
      </c>
      <c r="S38" s="25">
        <v>3.7523945765714203E-2</v>
      </c>
      <c r="T38" s="25">
        <v>-7.5540082655657606E-2</v>
      </c>
      <c r="U38" s="25">
        <v>-4.0850698854650903E-2</v>
      </c>
      <c r="V38" s="162"/>
      <c r="W38" s="34">
        <v>-0.05</v>
      </c>
      <c r="X38" s="34"/>
    </row>
    <row r="39" spans="2:34" outlineLevel="1" x14ac:dyDescent="0.3">
      <c r="B39" s="24" t="s">
        <v>54</v>
      </c>
      <c r="C39" s="25">
        <v>-3.5196689145841599E-2</v>
      </c>
      <c r="D39" s="25">
        <v>3.17284429940475E-2</v>
      </c>
      <c r="E39" s="25">
        <v>-1.54460149787996E-2</v>
      </c>
      <c r="F39" s="26"/>
      <c r="G39" s="27">
        <v>-0.100648211152097</v>
      </c>
      <c r="H39" s="30">
        <v>-0.08</v>
      </c>
      <c r="I39" s="174"/>
      <c r="J39" s="29"/>
      <c r="K39" s="25">
        <v>-0.85247065505490305</v>
      </c>
      <c r="L39" s="30">
        <v>-0.84997984131055704</v>
      </c>
      <c r="M39" s="32"/>
      <c r="N39" s="32"/>
      <c r="O39" s="29"/>
      <c r="R39" s="111" t="s">
        <v>81</v>
      </c>
      <c r="S39" s="25">
        <v>0.17289323434310799</v>
      </c>
      <c r="T39" s="25">
        <v>-4.6856767049787099E-2</v>
      </c>
      <c r="U39" s="25">
        <v>0.117935249287223</v>
      </c>
      <c r="V39" s="162"/>
      <c r="W39" s="34"/>
      <c r="X39" s="34"/>
    </row>
    <row r="40" spans="2:34" outlineLevel="1" x14ac:dyDescent="0.3">
      <c r="B40" s="24" t="s">
        <v>55</v>
      </c>
      <c r="C40" s="25">
        <v>-2.37180528151874E-2</v>
      </c>
      <c r="D40" s="25">
        <v>1.8739829989412E-2</v>
      </c>
      <c r="E40" s="25">
        <v>-1.8316384365838999E-3</v>
      </c>
      <c r="F40" s="26"/>
      <c r="G40" s="27">
        <v>5.42070792026055E-2</v>
      </c>
      <c r="H40" s="30">
        <v>0.12559574570739199</v>
      </c>
      <c r="I40" s="174">
        <v>0.06</v>
      </c>
      <c r="J40" s="31"/>
      <c r="K40" s="25">
        <v>-0.63385826771653497</v>
      </c>
      <c r="L40" s="30">
        <v>-0.620160262985882</v>
      </c>
      <c r="M40" s="32"/>
      <c r="N40" s="32"/>
      <c r="O40" s="31"/>
      <c r="R40" s="111" t="s">
        <v>82</v>
      </c>
      <c r="S40" s="25">
        <v>-0.15691844645205399</v>
      </c>
      <c r="T40" s="25">
        <v>-0.12265749073387</v>
      </c>
      <c r="U40" s="25">
        <v>-0.25757455538682</v>
      </c>
      <c r="V40" s="25"/>
      <c r="W40" s="34"/>
      <c r="X40" s="34"/>
    </row>
    <row r="41" spans="2:34" outlineLevel="1" x14ac:dyDescent="0.3">
      <c r="B41" s="24" t="s">
        <v>56</v>
      </c>
      <c r="C41" s="25">
        <v>-5.2226489257611803E-3</v>
      </c>
      <c r="D41" s="25">
        <v>4.9940560094022597E-2</v>
      </c>
      <c r="E41" s="25">
        <v>4.7504776153513999E-2</v>
      </c>
      <c r="F41" s="26"/>
      <c r="G41" s="27">
        <v>9.6110827675522897E-2</v>
      </c>
      <c r="H41" s="30">
        <v>0.14527683503903199</v>
      </c>
      <c r="I41" s="174">
        <v>0.11600000000000001</v>
      </c>
      <c r="J41" s="32"/>
      <c r="K41" s="25">
        <v>-0.45099526912434201</v>
      </c>
      <c r="L41" s="30">
        <v>-0.412726030706977</v>
      </c>
      <c r="M41" s="32"/>
      <c r="N41" s="32"/>
      <c r="O41" s="32"/>
    </row>
    <row r="42" spans="2:34" outlineLevel="1" x14ac:dyDescent="0.3">
      <c r="B42" s="135" t="s">
        <v>57</v>
      </c>
      <c r="C42" s="140">
        <v>-1.6955826325002799E-2</v>
      </c>
      <c r="D42" s="140">
        <v>-4.1806039900068398E-2</v>
      </c>
      <c r="E42" s="140">
        <v>-6.1152036488204699E-2</v>
      </c>
      <c r="F42" s="175"/>
      <c r="G42" s="176">
        <v>5.2677047556839397E-3</v>
      </c>
      <c r="H42" s="142">
        <v>8.1086942717867497E-2</v>
      </c>
      <c r="I42" s="177"/>
      <c r="J42" s="31"/>
      <c r="K42" s="140">
        <v>-0.387523259230242</v>
      </c>
      <c r="L42" s="142">
        <v>-0.32453761037064699</v>
      </c>
      <c r="M42" s="32"/>
      <c r="N42" s="32"/>
      <c r="O42" s="31"/>
    </row>
    <row r="43" spans="2:34" outlineLevel="1" x14ac:dyDescent="0.3">
      <c r="B43" s="178" t="s">
        <v>58</v>
      </c>
      <c r="C43" s="179">
        <v>-2.02733043029482E-2</v>
      </c>
      <c r="D43" s="179">
        <v>1.4650698294353399E-2</v>
      </c>
      <c r="E43" s="179">
        <v>-7.7312284375185497E-3</v>
      </c>
      <c r="F43" s="180"/>
      <c r="G43" s="181">
        <v>1.56026196389381E-2</v>
      </c>
      <c r="H43" s="182">
        <v>7.0177114695662707E-2</v>
      </c>
      <c r="I43" s="183">
        <v>2.8000000000000001E-2</v>
      </c>
      <c r="J43" s="184"/>
      <c r="K43" s="179">
        <v>-0.58099235567227903</v>
      </c>
      <c r="L43" s="182">
        <v>-0.553449795569532</v>
      </c>
      <c r="M43" s="185"/>
      <c r="N43" s="185"/>
      <c r="O43" s="185"/>
    </row>
    <row r="44" spans="2:34" outlineLevel="1" x14ac:dyDescent="0.3"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S44" s="93" t="s">
        <v>83</v>
      </c>
      <c r="W44" s="163" t="s">
        <v>84</v>
      </c>
    </row>
    <row r="45" spans="2:34" outlineLevel="1" x14ac:dyDescent="0.3">
      <c r="B45" s="187" t="s">
        <v>85</v>
      </c>
      <c r="C45" s="188"/>
      <c r="D45" s="188"/>
      <c r="E45" s="188"/>
      <c r="F45" s="188"/>
      <c r="G45" s="350"/>
      <c r="H45" s="350"/>
      <c r="I45" s="350"/>
      <c r="J45" s="188"/>
      <c r="K45" s="351" t="s">
        <v>86</v>
      </c>
      <c r="L45" s="351"/>
      <c r="M45" s="351"/>
      <c r="N45" s="189"/>
      <c r="O45" s="188"/>
      <c r="P45" s="188"/>
      <c r="Q45" s="188"/>
      <c r="R45" s="187" t="s">
        <v>85</v>
      </c>
      <c r="S45" s="188"/>
      <c r="T45" s="188"/>
      <c r="U45" s="188"/>
      <c r="V45" s="188"/>
      <c r="W45" s="188"/>
      <c r="X45" s="188"/>
      <c r="AB45" s="111" t="s">
        <v>82</v>
      </c>
      <c r="AC45" s="25">
        <v>0.19342728597707801</v>
      </c>
      <c r="AD45" s="25">
        <v>0.106355561982739</v>
      </c>
      <c r="AE45" s="25">
        <v>0.32035491566270902</v>
      </c>
      <c r="AF45" s="25" t="s">
        <v>87</v>
      </c>
      <c r="AG45" s="34"/>
      <c r="AH45" s="34"/>
    </row>
    <row r="46" spans="2:34" outlineLevel="1" x14ac:dyDescent="0.3">
      <c r="B46" s="1" t="s">
        <v>88</v>
      </c>
      <c r="C46" s="352" t="s">
        <v>6</v>
      </c>
      <c r="D46" s="352"/>
      <c r="E46" s="352"/>
      <c r="F46" s="2"/>
      <c r="G46" s="353" t="s">
        <v>60</v>
      </c>
      <c r="H46" s="354"/>
      <c r="I46" s="3" t="s">
        <v>61</v>
      </c>
      <c r="J46" s="4"/>
      <c r="K46" s="355" t="s">
        <v>62</v>
      </c>
      <c r="L46" s="356"/>
      <c r="M46" s="190" t="s">
        <v>89</v>
      </c>
      <c r="N46" s="191"/>
      <c r="R46" s="192" t="s">
        <v>90</v>
      </c>
      <c r="S46" s="357" t="s">
        <v>63</v>
      </c>
      <c r="T46" s="357"/>
      <c r="U46" s="357"/>
      <c r="V46" s="7"/>
      <c r="W46" s="159" t="s">
        <v>91</v>
      </c>
      <c r="X46" s="159" t="s">
        <v>64</v>
      </c>
      <c r="AB46" s="111" t="s">
        <v>92</v>
      </c>
      <c r="AC46" s="25">
        <v>0.12415195560429899</v>
      </c>
      <c r="AD46" s="25">
        <v>4.88989932189154E-3</v>
      </c>
      <c r="AE46" s="25">
        <v>0.12964894548971601</v>
      </c>
      <c r="AF46" s="25"/>
      <c r="AG46" s="34">
        <v>0.44</v>
      </c>
      <c r="AH46" s="34"/>
    </row>
    <row r="47" spans="2:34" ht="28.5" outlineLevel="1" x14ac:dyDescent="0.3">
      <c r="B47" s="6" t="s">
        <v>7</v>
      </c>
      <c r="C47" s="7" t="s">
        <v>8</v>
      </c>
      <c r="D47" s="7" t="s">
        <v>9</v>
      </c>
      <c r="E47" s="7" t="s">
        <v>10</v>
      </c>
      <c r="F47" s="8"/>
      <c r="G47" s="9" t="s">
        <v>11</v>
      </c>
      <c r="H47" s="10" t="s">
        <v>12</v>
      </c>
      <c r="I47" s="11" t="s">
        <v>65</v>
      </c>
      <c r="J47" s="12"/>
      <c r="K47" s="13" t="s">
        <v>93</v>
      </c>
      <c r="L47" s="10" t="s">
        <v>12</v>
      </c>
      <c r="M47" s="11" t="s">
        <v>94</v>
      </c>
      <c r="N47" s="12"/>
      <c r="R47" s="101" t="s">
        <v>66</v>
      </c>
      <c r="S47" s="7" t="s">
        <v>8</v>
      </c>
      <c r="T47" s="7" t="s">
        <v>9</v>
      </c>
      <c r="U47" s="7" t="s">
        <v>10</v>
      </c>
      <c r="V47" s="7"/>
      <c r="W47" s="159" t="s">
        <v>95</v>
      </c>
      <c r="X47" s="159" t="s">
        <v>67</v>
      </c>
      <c r="AB47" s="111" t="s">
        <v>96</v>
      </c>
      <c r="AC47" s="25">
        <v>0.8</v>
      </c>
      <c r="AD47" s="25">
        <v>0.15</v>
      </c>
      <c r="AE47" s="25">
        <v>0.54</v>
      </c>
      <c r="AF47" s="25"/>
      <c r="AG47" s="34">
        <v>0.43</v>
      </c>
      <c r="AH47" s="34"/>
    </row>
    <row r="48" spans="2:34" outlineLevel="1" x14ac:dyDescent="0.3">
      <c r="B48" s="15" t="s">
        <v>15</v>
      </c>
      <c r="C48" s="16">
        <v>0.29199017941213201</v>
      </c>
      <c r="D48" s="16">
        <v>-0.11517280428823901</v>
      </c>
      <c r="E48" s="16">
        <v>0.143188047336371</v>
      </c>
      <c r="F48" s="17"/>
      <c r="G48" s="18">
        <f>[3]Summary!$CY$5</f>
        <v>0.33385295545730997</v>
      </c>
      <c r="H48" s="19">
        <f>[3]Summary!$CY$15</f>
        <v>0.34941029122677097</v>
      </c>
      <c r="I48" s="20">
        <v>0.39300000000000002</v>
      </c>
      <c r="J48" s="21"/>
      <c r="K48" s="16">
        <f>[3]Summary!$CY$6</f>
        <v>-0.27535002121340701</v>
      </c>
      <c r="L48" s="19">
        <f>[3]Summary!$CY$16</f>
        <v>-0.242187493080496</v>
      </c>
      <c r="M48" s="20">
        <f>65.8%-1</f>
        <v>-0.34200000000000003</v>
      </c>
      <c r="N48" s="21"/>
      <c r="R48" s="111" t="s">
        <v>97</v>
      </c>
      <c r="S48" s="34">
        <v>-0.15</v>
      </c>
      <c r="T48" s="34">
        <v>-0.08</v>
      </c>
      <c r="U48" s="34">
        <v>-0.22</v>
      </c>
      <c r="V48" s="111"/>
      <c r="W48" s="34">
        <v>0.17</v>
      </c>
      <c r="X48" s="111"/>
      <c r="AB48" s="111" t="s">
        <v>98</v>
      </c>
      <c r="AC48" s="25">
        <v>0.21582378050238701</v>
      </c>
      <c r="AD48" s="25">
        <v>-0.29571946175561298</v>
      </c>
      <c r="AE48" s="25">
        <v>-0.14371897345745299</v>
      </c>
      <c r="AF48" s="25"/>
      <c r="AG48" s="374" t="s">
        <v>99</v>
      </c>
      <c r="AH48" s="377" t="s">
        <v>100</v>
      </c>
    </row>
    <row r="49" spans="2:34" outlineLevel="1" x14ac:dyDescent="0.3">
      <c r="B49" s="15" t="s">
        <v>17</v>
      </c>
      <c r="C49" s="16">
        <v>-0.17996754033422099</v>
      </c>
      <c r="D49" s="16">
        <v>0.18084789916906699</v>
      </c>
      <c r="E49" s="16">
        <v>-3.1666392753223603E-2</v>
      </c>
      <c r="F49" s="17"/>
      <c r="G49" s="18">
        <f>[3]Summary!$CZ$5</f>
        <v>0.34474675001775901</v>
      </c>
      <c r="H49" s="19">
        <v>0.34</v>
      </c>
      <c r="I49" s="20">
        <v>0.33500000000000002</v>
      </c>
      <c r="J49" s="21"/>
      <c r="K49" s="16">
        <f>[3]Summary!$CZ$6</f>
        <v>-0.18589009730967401</v>
      </c>
      <c r="L49" s="19">
        <v>-0.15</v>
      </c>
      <c r="M49" s="20">
        <f>72.3%-1</f>
        <v>-0.27700000000000002</v>
      </c>
      <c r="N49" s="21"/>
      <c r="R49" s="111" t="s">
        <v>101</v>
      </c>
      <c r="S49" s="34">
        <v>7.0000000000000001E-3</v>
      </c>
      <c r="T49" s="34">
        <v>-5.3999999999999999E-2</v>
      </c>
      <c r="U49" s="34">
        <v>-4.7E-2</v>
      </c>
      <c r="V49" s="34"/>
      <c r="W49" s="34">
        <v>0.15</v>
      </c>
      <c r="X49" s="34"/>
      <c r="AB49" s="111" t="s">
        <v>102</v>
      </c>
      <c r="AC49" s="25">
        <v>3.16485207178894E-2</v>
      </c>
      <c r="AD49" s="25">
        <v>-4.1357408707263198E-3</v>
      </c>
      <c r="AE49" s="25">
        <v>2.73818897665297E-2</v>
      </c>
      <c r="AF49" s="25"/>
      <c r="AG49" s="375"/>
      <c r="AH49" s="378"/>
    </row>
    <row r="50" spans="2:34" outlineLevel="1" x14ac:dyDescent="0.3">
      <c r="B50" s="23" t="s">
        <v>20</v>
      </c>
      <c r="C50" s="16">
        <v>-3.2984346031459298E-2</v>
      </c>
      <c r="D50" s="16">
        <v>-2.7741277220009401E-2</v>
      </c>
      <c r="E50" s="16">
        <v>-5.9810595364290002E-2</v>
      </c>
      <c r="F50" s="17"/>
      <c r="G50" s="18">
        <f>[4]Summary!$DF$5</f>
        <v>0.17234904187688099</v>
      </c>
      <c r="H50" s="19">
        <f>[4]Summary!$DF$15</f>
        <v>0.183657787266884</v>
      </c>
      <c r="I50" s="20">
        <v>0.14599999999999999</v>
      </c>
      <c r="J50" s="21"/>
      <c r="K50" s="16">
        <f>[4]Summary!$DF$6</f>
        <v>-0.20625265242608601</v>
      </c>
      <c r="L50" s="19">
        <f>[4]Summary!$DF$16</f>
        <v>-0.17464767497792399</v>
      </c>
      <c r="M50" s="20">
        <f>69.7%-1</f>
        <v>-0.30299999999999999</v>
      </c>
      <c r="N50" s="21"/>
      <c r="R50" s="111" t="s">
        <v>103</v>
      </c>
      <c r="S50" s="34">
        <v>8.9999999999999993E-3</v>
      </c>
      <c r="T50" s="34">
        <v>-3.5000000000000003E-2</v>
      </c>
      <c r="U50" s="34">
        <v>-2.7E-2</v>
      </c>
      <c r="V50" s="34"/>
      <c r="W50" s="34">
        <v>0.14000000000000001</v>
      </c>
      <c r="X50" s="34"/>
      <c r="AB50" s="111" t="s">
        <v>104</v>
      </c>
      <c r="AC50" s="25">
        <v>-0.37305245147536598</v>
      </c>
      <c r="AD50" s="25">
        <v>0.25768020831118099</v>
      </c>
      <c r="AE50" s="25">
        <v>-0.21150047657135501</v>
      </c>
      <c r="AF50" s="25"/>
      <c r="AG50" s="375"/>
      <c r="AH50" s="378"/>
    </row>
    <row r="51" spans="2:34" ht="14" customHeight="1" outlineLevel="1" x14ac:dyDescent="0.3">
      <c r="B51" s="23" t="s">
        <v>22</v>
      </c>
      <c r="C51" s="119">
        <v>-2.0074053289423899E-2</v>
      </c>
      <c r="D51" s="119">
        <v>-7.1155372802326297E-2</v>
      </c>
      <c r="E51" s="119">
        <v>-8.98010493462887E-2</v>
      </c>
      <c r="F51" s="168"/>
      <c r="G51" s="169" t="e">
        <f>[5]Summary!$DG$5</f>
        <v>#REF!</v>
      </c>
      <c r="H51" s="121" t="e">
        <f>[6]Summary!$DG$15</f>
        <v>#REF!</v>
      </c>
      <c r="I51" s="193">
        <v>9.6000000000000002E-2</v>
      </c>
      <c r="J51" s="21"/>
      <c r="K51" s="119" t="e">
        <f>[5]Summary!$DG$6</f>
        <v>#REF!</v>
      </c>
      <c r="L51" s="121" t="e">
        <f>[6]Summary!$DG$16</f>
        <v>#REF!</v>
      </c>
      <c r="M51" s="193">
        <f>71%-1</f>
        <v>-0.28999999999999998</v>
      </c>
      <c r="N51" s="21"/>
      <c r="R51" s="111" t="s">
        <v>105</v>
      </c>
      <c r="S51" s="34">
        <v>0.02</v>
      </c>
      <c r="T51" s="34">
        <v>-0.06</v>
      </c>
      <c r="U51" s="34">
        <v>-0.04</v>
      </c>
      <c r="V51" s="34"/>
      <c r="W51" s="34">
        <v>0.13</v>
      </c>
      <c r="X51" s="34"/>
      <c r="AB51" s="111" t="s">
        <v>106</v>
      </c>
      <c r="AC51" s="25">
        <v>-1.3393038349481899E-2</v>
      </c>
      <c r="AD51" s="25">
        <v>0.501119676217742</v>
      </c>
      <c r="AE51" s="25">
        <v>0.48101512282699299</v>
      </c>
      <c r="AF51" s="25"/>
      <c r="AG51" s="375"/>
      <c r="AH51" s="378"/>
    </row>
    <row r="52" spans="2:34" outlineLevel="1" x14ac:dyDescent="0.3">
      <c r="B52" s="23" t="s">
        <v>24</v>
      </c>
      <c r="C52" s="119">
        <v>-3.5999999999999997E-2</v>
      </c>
      <c r="D52" s="119">
        <v>-5.6000000000000001E-2</v>
      </c>
      <c r="E52" s="119">
        <v>-8.8999999999999996E-2</v>
      </c>
      <c r="F52" s="168"/>
      <c r="G52" s="169">
        <v>0.08</v>
      </c>
      <c r="H52" s="121" t="e">
        <f>[7]Summary!$DH$15</f>
        <v>#REF!</v>
      </c>
      <c r="I52" s="193">
        <v>0.108</v>
      </c>
      <c r="J52" s="21"/>
      <c r="K52" s="119">
        <v>-0.17</v>
      </c>
      <c r="L52" s="121" t="e">
        <f>[7]Summary!$DH$16</f>
        <v>#REF!</v>
      </c>
      <c r="M52" s="193">
        <f>72.4%-1</f>
        <v>-0.27600000000000002</v>
      </c>
      <c r="N52" s="21"/>
      <c r="R52" s="111" t="s">
        <v>107</v>
      </c>
      <c r="S52" s="34">
        <v>8.9999999999999993E-3</v>
      </c>
      <c r="T52" s="34">
        <v>-4.8000000000000001E-2</v>
      </c>
      <c r="U52" s="34">
        <v>-3.9E-2</v>
      </c>
      <c r="V52" s="34"/>
      <c r="W52" s="34">
        <v>0.18</v>
      </c>
      <c r="X52" s="34"/>
      <c r="AB52" s="111" t="s">
        <v>108</v>
      </c>
      <c r="AC52" s="25">
        <v>-0.26761674262836499</v>
      </c>
      <c r="AD52" s="25">
        <v>-2.79909747895845E-2</v>
      </c>
      <c r="AE52" s="25">
        <v>-0.288116863921768</v>
      </c>
      <c r="AF52" s="25"/>
      <c r="AG52" s="375"/>
      <c r="AH52" s="378"/>
    </row>
    <row r="53" spans="2:34" outlineLevel="1" x14ac:dyDescent="0.3">
      <c r="B53" s="15" t="s">
        <v>27</v>
      </c>
      <c r="C53" s="119">
        <v>-1.8333978167691799E-2</v>
      </c>
      <c r="D53" s="119">
        <v>-5.9955239867915101E-2</v>
      </c>
      <c r="E53" s="119">
        <v>-7.7189999976828405E-2</v>
      </c>
      <c r="F53" s="168"/>
      <c r="G53" s="169" t="e">
        <f>[7]Summary!$DI$5</f>
        <v>#REF!</v>
      </c>
      <c r="H53" s="121" t="e">
        <f>[7]Summary!$DI$15</f>
        <v>#REF!</v>
      </c>
      <c r="I53" s="193">
        <v>0.10199999999999999</v>
      </c>
      <c r="J53" s="21"/>
      <c r="K53" s="119" t="e">
        <f>[7]Summary!$DI$6</f>
        <v>#REF!</v>
      </c>
      <c r="L53" s="121" t="e">
        <f>[7]Summary!$DI$16</f>
        <v>#REF!</v>
      </c>
      <c r="M53" s="193">
        <f>73.2%-1</f>
        <v>-0.26800000000000002</v>
      </c>
      <c r="N53" s="21"/>
      <c r="R53" s="111" t="s">
        <v>109</v>
      </c>
      <c r="S53" s="34">
        <v>0</v>
      </c>
      <c r="T53" s="34">
        <v>-0.04</v>
      </c>
      <c r="U53" s="34">
        <v>-0.04</v>
      </c>
      <c r="V53" s="34"/>
      <c r="W53" s="34">
        <v>0.16</v>
      </c>
      <c r="X53" s="34"/>
      <c r="AB53" s="111" t="s">
        <v>110</v>
      </c>
      <c r="AC53" s="25">
        <v>-6.0999999999999999E-2</v>
      </c>
      <c r="AD53" s="25">
        <v>-5.7000000000000002E-2</v>
      </c>
      <c r="AE53" s="25">
        <v>-0.114</v>
      </c>
      <c r="AF53" s="25"/>
      <c r="AG53" s="375"/>
      <c r="AH53" s="378"/>
    </row>
    <row r="54" spans="2:34" outlineLevel="1" x14ac:dyDescent="0.3">
      <c r="B54" s="15" t="s">
        <v>30</v>
      </c>
      <c r="C54" s="119">
        <v>-0.04</v>
      </c>
      <c r="D54" s="119">
        <v>-0.09</v>
      </c>
      <c r="E54" s="119">
        <v>-0.13</v>
      </c>
      <c r="F54" s="168"/>
      <c r="G54" s="169">
        <v>6.7000000000000004E-2</v>
      </c>
      <c r="H54" s="121">
        <v>0.06</v>
      </c>
      <c r="I54" s="193">
        <v>4.2999999999999997E-2</v>
      </c>
      <c r="J54" s="21"/>
      <c r="K54" s="119">
        <v>-9.0999999999999998E-2</v>
      </c>
      <c r="L54" s="121">
        <v>-0.04</v>
      </c>
      <c r="M54" s="193">
        <v>-0.22</v>
      </c>
      <c r="N54" s="21"/>
      <c r="R54" s="111" t="s">
        <v>111</v>
      </c>
      <c r="S54" s="34">
        <v>0</v>
      </c>
      <c r="T54" s="34">
        <v>-0.04</v>
      </c>
      <c r="U54" s="34">
        <v>-0.04</v>
      </c>
      <c r="V54" s="34"/>
      <c r="W54" s="34">
        <v>0.14000000000000001</v>
      </c>
      <c r="X54" s="34"/>
      <c r="AB54" s="111" t="s">
        <v>112</v>
      </c>
      <c r="AC54" s="25">
        <v>-3.9618085167715797E-2</v>
      </c>
      <c r="AD54" s="25">
        <v>-4.2410216526633203E-2</v>
      </c>
      <c r="AE54" s="25">
        <v>-8.0348090124015906E-2</v>
      </c>
      <c r="AF54" s="25"/>
      <c r="AG54" s="376"/>
      <c r="AH54" s="379"/>
    </row>
    <row r="55" spans="2:34" outlineLevel="1" x14ac:dyDescent="0.3">
      <c r="B55" s="15" t="s">
        <v>33</v>
      </c>
      <c r="C55" s="119">
        <v>0.02</v>
      </c>
      <c r="D55" s="119">
        <v>-6.6000000000000003E-2</v>
      </c>
      <c r="E55" s="119">
        <v>-4.5999999999999999E-2</v>
      </c>
      <c r="F55" s="168"/>
      <c r="G55" s="169">
        <v>0.1</v>
      </c>
      <c r="H55" s="121">
        <v>0.1</v>
      </c>
      <c r="I55" s="193">
        <v>0.106</v>
      </c>
      <c r="J55" s="21"/>
      <c r="K55" s="119">
        <v>-7.0000000000000007E-2</v>
      </c>
      <c r="L55" s="121">
        <v>-0.01</v>
      </c>
      <c r="M55" s="193">
        <v>-0.21</v>
      </c>
      <c r="N55" s="21"/>
      <c r="R55" s="111" t="s">
        <v>113</v>
      </c>
      <c r="S55" s="34">
        <v>3.3000000000000002E-2</v>
      </c>
      <c r="T55" s="34">
        <v>-8.9999999999999993E-3</v>
      </c>
      <c r="U55" s="34">
        <v>2.4E-2</v>
      </c>
      <c r="V55" s="34"/>
      <c r="W55" s="34">
        <v>0.12</v>
      </c>
      <c r="X55" s="34"/>
      <c r="AB55" s="111" t="s">
        <v>114</v>
      </c>
      <c r="AC55" s="25">
        <v>-4.4061795049980999E-2</v>
      </c>
      <c r="AD55" s="25">
        <v>-3.5056544437935898E-2</v>
      </c>
      <c r="AE55" s="25">
        <v>-7.7573685211733107E-2</v>
      </c>
      <c r="AF55" s="34"/>
      <c r="AG55" s="34">
        <v>0.22</v>
      </c>
      <c r="AH55" s="34"/>
    </row>
    <row r="56" spans="2:34" outlineLevel="1" x14ac:dyDescent="0.3">
      <c r="B56" s="15" t="s">
        <v>36</v>
      </c>
      <c r="C56" s="119">
        <v>-0.03</v>
      </c>
      <c r="D56" s="119">
        <v>-7.0000000000000007E-2</v>
      </c>
      <c r="E56" s="119">
        <v>-0.1</v>
      </c>
      <c r="F56" s="168"/>
      <c r="G56" s="169">
        <v>0.08</v>
      </c>
      <c r="H56" s="121">
        <v>0.1</v>
      </c>
      <c r="I56" s="193">
        <v>0.05</v>
      </c>
      <c r="J56" s="21"/>
      <c r="K56" s="119">
        <v>-0.06</v>
      </c>
      <c r="L56" s="121">
        <v>-0.01</v>
      </c>
      <c r="M56" s="193">
        <v>-0.214</v>
      </c>
      <c r="N56" s="21"/>
      <c r="R56" s="111" t="s">
        <v>115</v>
      </c>
      <c r="S56" s="34">
        <v>-8.0000000000000002E-3</v>
      </c>
      <c r="T56" s="34">
        <v>-1.2999999999999999E-2</v>
      </c>
      <c r="U56" s="34">
        <v>-2.1000000000000001E-2</v>
      </c>
      <c r="V56" s="34"/>
      <c r="W56" s="34">
        <v>0.14000000000000001</v>
      </c>
      <c r="X56" s="34"/>
      <c r="AB56" s="111" t="s">
        <v>116</v>
      </c>
      <c r="AC56" s="25">
        <v>-4.2926638042143E-2</v>
      </c>
      <c r="AD56" s="25">
        <v>-2.1324615584711101E-2</v>
      </c>
      <c r="AE56" s="25">
        <v>-6.3335859572261496E-2</v>
      </c>
      <c r="AF56" s="34"/>
      <c r="AG56" s="34">
        <v>0.24</v>
      </c>
      <c r="AH56" s="34"/>
    </row>
    <row r="57" spans="2:34" outlineLevel="1" x14ac:dyDescent="0.3">
      <c r="B57" s="15" t="s">
        <v>39</v>
      </c>
      <c r="C57" s="119">
        <v>-0.03</v>
      </c>
      <c r="D57" s="119">
        <v>-4.4999999999999998E-2</v>
      </c>
      <c r="E57" s="119">
        <v>-7.5999999999999998E-2</v>
      </c>
      <c r="F57" s="168"/>
      <c r="G57" s="169">
        <v>0.1</v>
      </c>
      <c r="H57" s="121">
        <v>0.1</v>
      </c>
      <c r="I57" s="193">
        <v>0.06</v>
      </c>
      <c r="J57" s="21"/>
      <c r="K57" s="119">
        <v>-0.03</v>
      </c>
      <c r="L57" s="121">
        <v>0.02</v>
      </c>
      <c r="M57" s="193">
        <v>-0.19</v>
      </c>
      <c r="N57" s="21"/>
      <c r="R57" s="111" t="s">
        <v>117</v>
      </c>
      <c r="S57" s="34">
        <v>-3.0000000000000001E-3</v>
      </c>
      <c r="T57" s="34">
        <v>-0.04</v>
      </c>
      <c r="U57" s="34">
        <v>-4.2000000000000003E-2</v>
      </c>
      <c r="V57" s="34"/>
      <c r="W57" s="34">
        <v>0.16</v>
      </c>
      <c r="X57" s="34"/>
      <c r="AB57" s="111" t="s">
        <v>118</v>
      </c>
      <c r="AC57" s="25">
        <v>3.9598884615710299E-4</v>
      </c>
      <c r="AD57" s="25">
        <v>-1.8230347530903902E-2</v>
      </c>
      <c r="AE57" s="25">
        <v>-1.7841577699028801E-2</v>
      </c>
      <c r="AF57" s="34"/>
      <c r="AG57" s="34">
        <v>0.27</v>
      </c>
      <c r="AH57" s="34"/>
    </row>
    <row r="58" spans="2:34" outlineLevel="1" x14ac:dyDescent="0.3">
      <c r="B58" s="15" t="s">
        <v>42</v>
      </c>
      <c r="C58" s="119">
        <v>8.0000000000000002E-3</v>
      </c>
      <c r="D58" s="119">
        <v>-3.3000000000000002E-2</v>
      </c>
      <c r="E58" s="119">
        <v>-2.5999999999999999E-2</v>
      </c>
      <c r="F58" s="121"/>
      <c r="G58" s="169">
        <v>0.11</v>
      </c>
      <c r="H58" s="121">
        <v>0.08</v>
      </c>
      <c r="I58" s="193">
        <v>8.7999999999999995E-2</v>
      </c>
      <c r="J58" s="21"/>
      <c r="K58" s="119">
        <v>-0.04</v>
      </c>
      <c r="L58" s="121">
        <v>0.01</v>
      </c>
      <c r="M58" s="193">
        <v>-0.23899999999999999</v>
      </c>
      <c r="N58" s="21"/>
      <c r="R58" s="111" t="s">
        <v>119</v>
      </c>
      <c r="S58" s="34">
        <v>-3.0000000000000001E-3</v>
      </c>
      <c r="T58" s="34">
        <v>-1.4999999999999999E-2</v>
      </c>
      <c r="U58" s="34">
        <v>-1.7999999999999999E-2</v>
      </c>
      <c r="V58" s="34"/>
      <c r="W58" s="34">
        <v>0.13</v>
      </c>
      <c r="X58" s="34"/>
      <c r="AB58" s="111" t="s">
        <v>120</v>
      </c>
      <c r="AC58" s="25">
        <v>-0.04</v>
      </c>
      <c r="AD58" s="25">
        <v>-8.0000000000000002E-3</v>
      </c>
      <c r="AE58" s="25">
        <v>-4.8000000000000001E-2</v>
      </c>
      <c r="AF58" s="34"/>
      <c r="AG58" s="34">
        <v>0.24</v>
      </c>
      <c r="AH58" s="34"/>
    </row>
    <row r="59" spans="2:34" outlineLevel="1" x14ac:dyDescent="0.3">
      <c r="B59" s="194" t="s">
        <v>45</v>
      </c>
      <c r="C59" s="195">
        <v>-1.9E-2</v>
      </c>
      <c r="D59" s="195">
        <v>-2.4E-2</v>
      </c>
      <c r="E59" s="195">
        <v>-4.2000000000000003E-2</v>
      </c>
      <c r="F59" s="196"/>
      <c r="G59" s="197">
        <v>0.09</v>
      </c>
      <c r="H59" s="198">
        <v>0.05</v>
      </c>
      <c r="I59" s="199">
        <v>2.5999999999999999E-2</v>
      </c>
      <c r="J59" s="21"/>
      <c r="K59" s="195">
        <v>0.01</v>
      </c>
      <c r="L59" s="198">
        <v>0.04</v>
      </c>
      <c r="M59" s="199">
        <v>-0.2</v>
      </c>
      <c r="N59" s="21"/>
      <c r="R59" s="111" t="s">
        <v>121</v>
      </c>
      <c r="S59" s="34">
        <v>-2E-3</v>
      </c>
      <c r="T59" s="34">
        <v>-3.4000000000000002E-2</v>
      </c>
      <c r="U59" s="34">
        <v>-3.5999999999999997E-2</v>
      </c>
      <c r="V59" s="34"/>
      <c r="W59" s="34">
        <v>0.11</v>
      </c>
      <c r="X59" s="34"/>
      <c r="AB59" s="111" t="s">
        <v>122</v>
      </c>
      <c r="AC59" s="25">
        <v>-5.0549548280361602E-2</v>
      </c>
      <c r="AD59" s="25">
        <v>-8.0610611772634094E-2</v>
      </c>
      <c r="AE59" s="25">
        <v>-0.127085330041285</v>
      </c>
      <c r="AF59" s="34"/>
      <c r="AG59" s="34">
        <v>0.13</v>
      </c>
      <c r="AH59" s="34"/>
    </row>
    <row r="60" spans="2:34" outlineLevel="1" x14ac:dyDescent="0.3">
      <c r="B60" s="75" t="s">
        <v>48</v>
      </c>
      <c r="C60" s="96"/>
      <c r="D60" s="96"/>
      <c r="E60" s="96"/>
      <c r="F60" s="171"/>
      <c r="G60" s="172"/>
      <c r="H60" s="126"/>
      <c r="I60" s="200"/>
      <c r="J60" s="201"/>
      <c r="K60" s="125"/>
      <c r="L60" s="126"/>
      <c r="M60" s="200"/>
      <c r="N60" s="102"/>
      <c r="R60" s="111" t="s">
        <v>123</v>
      </c>
      <c r="S60" s="34">
        <v>-4.7E-2</v>
      </c>
      <c r="T60" s="34">
        <v>1E-3</v>
      </c>
      <c r="U60" s="34">
        <v>-4.7E-2</v>
      </c>
      <c r="V60" s="34"/>
      <c r="W60" s="34">
        <v>0.1</v>
      </c>
      <c r="X60" s="34"/>
      <c r="AB60" s="111" t="s">
        <v>124</v>
      </c>
      <c r="AC60" s="25">
        <v>1.7000000000000001E-2</v>
      </c>
      <c r="AD60" s="25">
        <v>-0.06</v>
      </c>
      <c r="AE60" s="25">
        <v>-4.3999999999999997E-2</v>
      </c>
      <c r="AF60" s="34"/>
      <c r="AG60" s="34">
        <v>0.09</v>
      </c>
      <c r="AH60" s="34"/>
    </row>
    <row r="61" spans="2:34" outlineLevel="1" x14ac:dyDescent="0.3">
      <c r="B61" s="24" t="s">
        <v>54</v>
      </c>
      <c r="C61" s="25">
        <f>AVERAGE(C48:C50)</f>
        <v>2.6346097682150599E-2</v>
      </c>
      <c r="D61" s="25">
        <f>AVERAGE(D48:D50)</f>
        <v>1.2644605886939501E-2</v>
      </c>
      <c r="E61" s="25">
        <f>AVERAGE(E48:E50)</f>
        <v>1.7237019739619101E-2</v>
      </c>
      <c r="F61" s="26"/>
      <c r="G61" s="27">
        <f>[4]Summary!$CY$5</f>
        <v>0.28066388984016</v>
      </c>
      <c r="H61" s="26">
        <f>[4]Summary!$CY$15</f>
        <v>0.28826577424398497</v>
      </c>
      <c r="I61" s="28">
        <v>0.28499999999999998</v>
      </c>
      <c r="J61" s="29"/>
      <c r="K61" s="25">
        <f>[4]Summary!$CY$6</f>
        <v>-0.22264293828095399</v>
      </c>
      <c r="L61" s="26">
        <f>[4]Summary!$CY$16</f>
        <v>-0.188847859811655</v>
      </c>
      <c r="M61" s="28">
        <f>AVERAGE(M48:M50)</f>
        <v>-0.30733333333333301</v>
      </c>
      <c r="N61" s="32"/>
      <c r="AB61" s="111" t="s">
        <v>125</v>
      </c>
      <c r="AC61" s="25">
        <v>-3.2780531619107699E-3</v>
      </c>
      <c r="AD61" s="25">
        <v>-0.122711013674737</v>
      </c>
      <c r="AE61" s="25">
        <v>-0.12558681361027199</v>
      </c>
      <c r="AF61" s="34">
        <v>-9.5989651864369294E-2</v>
      </c>
      <c r="AG61" s="34">
        <v>0.03</v>
      </c>
      <c r="AH61" s="34"/>
    </row>
    <row r="62" spans="2:34" ht="15" customHeight="1" outlineLevel="1" x14ac:dyDescent="0.3">
      <c r="B62" s="24" t="s">
        <v>55</v>
      </c>
      <c r="C62" s="25">
        <f>AVERAGE(C51:C53)</f>
        <v>-2.4802677152371898E-2</v>
      </c>
      <c r="D62" s="25">
        <f t="shared" ref="D62:E62" si="0">AVERAGE(D51:D53)</f>
        <v>-6.23702042234138E-2</v>
      </c>
      <c r="E62" s="25">
        <f t="shared" si="0"/>
        <v>-8.5330349774372399E-2</v>
      </c>
      <c r="F62" s="26"/>
      <c r="G62" s="27" t="e">
        <f>[7]Summary!$CZ$5</f>
        <v>#REF!</v>
      </c>
      <c r="H62" s="26" t="e">
        <f>[7]Summary!$CZ$15</f>
        <v>#REF!</v>
      </c>
      <c r="I62" s="28">
        <v>0.102258827366876</v>
      </c>
      <c r="J62" s="31"/>
      <c r="K62" s="25" t="e">
        <f>[7]Summary!$CZ$6</f>
        <v>#REF!</v>
      </c>
      <c r="L62" s="26" t="e">
        <f>[7]Summary!$CZ$16</f>
        <v>#REF!</v>
      </c>
      <c r="M62" s="28">
        <f>AVERAGE(M51:M53)</f>
        <v>-0.27800000000000002</v>
      </c>
      <c r="N62" s="32"/>
      <c r="AB62" s="202" t="s">
        <v>126</v>
      </c>
      <c r="AC62" s="25">
        <v>-0.02</v>
      </c>
      <c r="AD62" s="25">
        <v>-0.12</v>
      </c>
      <c r="AE62" s="25">
        <v>-0.14000000000000001</v>
      </c>
      <c r="AF62" s="34">
        <v>0.10136865828500299</v>
      </c>
      <c r="AG62" s="203" t="s">
        <v>127</v>
      </c>
      <c r="AH62" s="204" t="s">
        <v>128</v>
      </c>
    </row>
    <row r="63" spans="2:34" outlineLevel="1" x14ac:dyDescent="0.3">
      <c r="B63" s="24" t="s">
        <v>56</v>
      </c>
      <c r="C63" s="25">
        <f>AVERAGE(C54:C56)</f>
        <v>-1.6666666666666701E-2</v>
      </c>
      <c r="D63" s="25">
        <f>AVERAGE(D54:D56)</f>
        <v>-7.5333333333333294E-2</v>
      </c>
      <c r="E63" s="25">
        <f>AVERAGE(E54:E56)</f>
        <v>-9.1999999999999998E-2</v>
      </c>
      <c r="F63" s="26"/>
      <c r="G63" s="27">
        <f>AVERAGE(G54:G56)</f>
        <v>8.23333333333333E-2</v>
      </c>
      <c r="H63" s="26">
        <f>AVERAGE(H54:H56)</f>
        <v>8.6666666666666697E-2</v>
      </c>
      <c r="I63" s="28">
        <f>AVERAGE(I54:I56)</f>
        <v>6.63333333333333E-2</v>
      </c>
      <c r="J63" s="32"/>
      <c r="K63" s="25">
        <f>AVERAGE(K54:K56)</f>
        <v>-7.36666666666667E-2</v>
      </c>
      <c r="L63" s="26">
        <f>AVERAGE(L54:L56)</f>
        <v>-0.02</v>
      </c>
      <c r="M63" s="28">
        <f>AVERAGE(M54:M56)</f>
        <v>-0.21466666666666701</v>
      </c>
      <c r="N63" s="32"/>
      <c r="AB63" s="111" t="s">
        <v>129</v>
      </c>
      <c r="AC63" s="25">
        <v>-0.157</v>
      </c>
      <c r="AD63" s="25">
        <v>-8.5000000000000006E-2</v>
      </c>
      <c r="AE63" s="25">
        <v>-0.22900000000000001</v>
      </c>
      <c r="AF63" s="34"/>
      <c r="AG63" s="34">
        <v>0.14000000000000001</v>
      </c>
      <c r="AH63" s="34"/>
    </row>
    <row r="64" spans="2:34" outlineLevel="1" x14ac:dyDescent="0.3">
      <c r="B64" s="135" t="s">
        <v>57</v>
      </c>
      <c r="C64" s="140">
        <f>AVERAGE(C57:C59)</f>
        <v>-1.36666666666667E-2</v>
      </c>
      <c r="D64" s="140">
        <f>AVERAGE(D57:D59)</f>
        <v>-3.4000000000000002E-2</v>
      </c>
      <c r="E64" s="140">
        <f>AVERAGE(E57:E59)</f>
        <v>-4.8000000000000001E-2</v>
      </c>
      <c r="F64" s="175"/>
      <c r="G64" s="176">
        <v>0.1</v>
      </c>
      <c r="H64" s="205">
        <f>AVERAGE(H57:H59)</f>
        <v>7.6666666666666702E-2</v>
      </c>
      <c r="I64" s="206">
        <f>AVERAGE(I57:I59)</f>
        <v>5.8000000000000003E-2</v>
      </c>
      <c r="J64" s="207"/>
      <c r="K64" s="140">
        <v>-0.02</v>
      </c>
      <c r="L64" s="205">
        <f>AVERAGE(L57:L59)</f>
        <v>2.33333333333333E-2</v>
      </c>
      <c r="M64" s="206">
        <f>AVERAGE(M57:M59)</f>
        <v>-0.209666666666667</v>
      </c>
      <c r="N64" s="32"/>
      <c r="AB64" s="111" t="s">
        <v>130</v>
      </c>
      <c r="AC64" s="25">
        <v>-1.06317347003847E-2</v>
      </c>
      <c r="AD64" s="25">
        <v>-6.2944719450737097E-2</v>
      </c>
      <c r="AE64" s="25">
        <v>-7.2907242593129598E-2</v>
      </c>
      <c r="AF64" s="34"/>
      <c r="AG64" s="34">
        <v>0.14000000000000001</v>
      </c>
      <c r="AH64" s="34"/>
    </row>
    <row r="65" spans="2:34" outlineLevel="1" x14ac:dyDescent="0.3">
      <c r="B65" s="135" t="s">
        <v>58</v>
      </c>
      <c r="C65" s="140">
        <v>-0.01</v>
      </c>
      <c r="D65" s="140">
        <v>-0.04</v>
      </c>
      <c r="E65" s="140">
        <f>AVERAGE(E61:E64)</f>
        <v>-5.2023332508688298E-2</v>
      </c>
      <c r="F65" s="175" t="e">
        <f t="shared" ref="F65:M65" si="1">AVERAGE(F61:F64)</f>
        <v>#DIV/0!</v>
      </c>
      <c r="G65" s="176" t="e">
        <f t="shared" si="1"/>
        <v>#REF!</v>
      </c>
      <c r="H65" s="205" t="e">
        <f t="shared" si="1"/>
        <v>#REF!</v>
      </c>
      <c r="I65" s="208">
        <f t="shared" si="1"/>
        <v>0.12789804017505199</v>
      </c>
      <c r="J65" s="31" t="e">
        <f t="shared" si="1"/>
        <v>#DIV/0!</v>
      </c>
      <c r="K65" s="209" t="e">
        <f t="shared" si="1"/>
        <v>#REF!</v>
      </c>
      <c r="L65" s="210" t="e">
        <f t="shared" si="1"/>
        <v>#REF!</v>
      </c>
      <c r="M65" s="206">
        <f t="shared" si="1"/>
        <v>-0.25241666666666701</v>
      </c>
      <c r="N65" s="32"/>
      <c r="AB65" s="111"/>
      <c r="AC65" s="25"/>
      <c r="AD65" s="25"/>
      <c r="AE65" s="25"/>
      <c r="AF65" s="34"/>
      <c r="AG65" s="34"/>
      <c r="AH65" s="34"/>
    </row>
    <row r="66" spans="2:34" outlineLevel="1" x14ac:dyDescent="0.3">
      <c r="B66" s="211" t="s">
        <v>131</v>
      </c>
      <c r="AB66" s="111" t="s">
        <v>132</v>
      </c>
      <c r="AC66" s="25">
        <v>4.0000000000000001E-3</v>
      </c>
      <c r="AD66" s="25">
        <v>-0.05</v>
      </c>
      <c r="AE66" s="25">
        <v>-4.5999999999999999E-2</v>
      </c>
      <c r="AF66" s="34"/>
      <c r="AG66" s="34"/>
      <c r="AH66" s="34"/>
    </row>
    <row r="67" spans="2:34" outlineLevel="1" x14ac:dyDescent="0.3">
      <c r="B67" s="211"/>
      <c r="AB67" s="111"/>
      <c r="AC67" s="25"/>
      <c r="AD67" s="25"/>
      <c r="AE67" s="25"/>
      <c r="AF67" s="34"/>
      <c r="AG67" s="34"/>
      <c r="AH67" s="34"/>
    </row>
    <row r="68" spans="2:34" outlineLevel="1" x14ac:dyDescent="0.3">
      <c r="B68" s="211"/>
      <c r="AB68" s="111"/>
      <c r="AC68" s="25"/>
      <c r="AD68" s="25"/>
      <c r="AE68" s="25"/>
      <c r="AF68" s="34"/>
      <c r="AG68" s="34"/>
      <c r="AH68" s="34"/>
    </row>
    <row r="69" spans="2:34" outlineLevel="1" x14ac:dyDescent="0.3">
      <c r="B69" s="211"/>
      <c r="I69" s="111"/>
      <c r="J69" s="111"/>
      <c r="K69" s="358" t="s">
        <v>62</v>
      </c>
      <c r="L69" s="359"/>
      <c r="M69" s="32"/>
      <c r="N69" s="32"/>
      <c r="AB69" s="111"/>
      <c r="AC69" s="25"/>
      <c r="AD69" s="25"/>
      <c r="AE69" s="25"/>
      <c r="AF69" s="34"/>
      <c r="AG69" s="34"/>
      <c r="AH69" s="34"/>
    </row>
    <row r="70" spans="2:34" ht="28.5" outlineLevel="1" x14ac:dyDescent="0.3">
      <c r="B70" s="211"/>
      <c r="I70" s="111"/>
      <c r="J70" s="111"/>
      <c r="K70" s="13" t="s">
        <v>93</v>
      </c>
      <c r="L70" s="13" t="s">
        <v>12</v>
      </c>
      <c r="M70" s="32"/>
      <c r="N70" s="32"/>
      <c r="AB70" s="111"/>
      <c r="AC70" s="25"/>
      <c r="AD70" s="25"/>
      <c r="AE70" s="25"/>
      <c r="AF70" s="34"/>
      <c r="AG70" s="34"/>
      <c r="AH70" s="34"/>
    </row>
    <row r="71" spans="2:34" outlineLevel="1" x14ac:dyDescent="0.3">
      <c r="I71" s="111" t="s">
        <v>57</v>
      </c>
      <c r="J71" s="111"/>
      <c r="K71" s="25" t="e">
        <f>'[8]CAAC Data'!$R$15</f>
        <v>#REF!</v>
      </c>
      <c r="L71" s="25" t="e">
        <f>'[8]Top4 Intl.+Reg'!$R$11</f>
        <v>#REF!</v>
      </c>
      <c r="AB71" s="111" t="s">
        <v>133</v>
      </c>
      <c r="AC71" s="25">
        <v>3.6999999999999998E-2</v>
      </c>
      <c r="AD71" s="25">
        <v>-2.7E-2</v>
      </c>
      <c r="AE71" s="25">
        <v>8.5000000000000006E-3</v>
      </c>
      <c r="AF71" s="34"/>
      <c r="AG71" s="34">
        <v>0.12</v>
      </c>
      <c r="AH71" s="34"/>
    </row>
    <row r="72" spans="2:34" outlineLevel="1" x14ac:dyDescent="0.3">
      <c r="I72" s="202" t="s">
        <v>58</v>
      </c>
      <c r="J72" s="111"/>
      <c r="K72" s="25" t="e">
        <f>'[8]CAAC Data'!$N$15</f>
        <v>#REF!</v>
      </c>
      <c r="L72" s="25" t="e">
        <f>'[8]Top4 Intl.+Reg'!$S$11</f>
        <v>#REF!</v>
      </c>
      <c r="R72" s="29"/>
      <c r="S72" s="93" t="s">
        <v>83</v>
      </c>
      <c r="W72" s="163" t="s">
        <v>84</v>
      </c>
      <c r="X72" s="212"/>
      <c r="AB72" s="111" t="s">
        <v>134</v>
      </c>
      <c r="AC72" s="25">
        <v>-6.2751083772239605E-2</v>
      </c>
      <c r="AD72" s="25">
        <v>-3.3148919553979403E-2</v>
      </c>
      <c r="AE72" s="25">
        <v>-9.3819872698328505E-2</v>
      </c>
      <c r="AF72" s="34"/>
      <c r="AG72" s="34">
        <v>0.14000000000000001</v>
      </c>
      <c r="AH72" s="34"/>
    </row>
    <row r="73" spans="2:34" outlineLevel="1" x14ac:dyDescent="0.3">
      <c r="B73" s="213" t="s">
        <v>135</v>
      </c>
      <c r="C73" s="214"/>
      <c r="D73" s="214"/>
      <c r="E73" s="214"/>
      <c r="F73" s="214"/>
      <c r="G73" s="215"/>
      <c r="H73" s="215"/>
      <c r="I73" s="215"/>
      <c r="J73" s="214"/>
      <c r="K73" s="216" t="s">
        <v>86</v>
      </c>
      <c r="L73" s="216"/>
      <c r="M73" s="216"/>
      <c r="N73" s="216"/>
      <c r="O73" s="214"/>
      <c r="P73" s="214"/>
      <c r="Q73" s="214"/>
      <c r="R73" s="213" t="s">
        <v>135</v>
      </c>
      <c r="S73" s="214"/>
      <c r="T73" s="214"/>
      <c r="U73" s="214"/>
      <c r="V73" s="214"/>
      <c r="W73" s="214"/>
      <c r="X73" s="214"/>
      <c r="AB73" s="111" t="s">
        <v>136</v>
      </c>
      <c r="AC73" s="25">
        <v>-0.102525336777386</v>
      </c>
      <c r="AD73" s="25">
        <v>-2.7913241527539202E-2</v>
      </c>
      <c r="AE73" s="25">
        <v>-0.127576763816764</v>
      </c>
      <c r="AF73" s="34"/>
      <c r="AG73" s="34"/>
      <c r="AH73" s="34"/>
    </row>
    <row r="74" spans="2:34" outlineLevel="1" x14ac:dyDescent="0.3">
      <c r="B74" s="1" t="s">
        <v>137</v>
      </c>
      <c r="C74" s="360" t="s">
        <v>6</v>
      </c>
      <c r="D74" s="361"/>
      <c r="E74" s="362"/>
      <c r="F74" s="2"/>
      <c r="G74" s="353" t="s">
        <v>60</v>
      </c>
      <c r="H74" s="354"/>
      <c r="I74" s="56" t="s">
        <v>61</v>
      </c>
      <c r="J74" s="4"/>
      <c r="K74" s="363" t="s">
        <v>62</v>
      </c>
      <c r="L74" s="364"/>
      <c r="M74" s="5" t="s">
        <v>89</v>
      </c>
      <c r="N74" s="5" t="s">
        <v>89</v>
      </c>
      <c r="R74" s="192" t="s">
        <v>138</v>
      </c>
      <c r="S74" s="347" t="s">
        <v>63</v>
      </c>
      <c r="T74" s="348"/>
      <c r="U74" s="349"/>
      <c r="V74" s="7"/>
      <c r="W74" s="159" t="s">
        <v>91</v>
      </c>
      <c r="X74" s="159" t="s">
        <v>64</v>
      </c>
      <c r="AB74" s="111" t="s">
        <v>139</v>
      </c>
      <c r="AC74" s="25">
        <v>0.148490606584194</v>
      </c>
      <c r="AD74" s="25">
        <v>-0.10524593609774199</v>
      </c>
      <c r="AE74" s="25">
        <v>2.7616637594775499E-2</v>
      </c>
      <c r="AF74" s="34"/>
      <c r="AG74" s="34">
        <v>0.11</v>
      </c>
      <c r="AH74" s="34"/>
    </row>
    <row r="75" spans="2:34" ht="42" outlineLevel="1" x14ac:dyDescent="0.3">
      <c r="B75" s="6" t="s">
        <v>7</v>
      </c>
      <c r="C75" s="7" t="s">
        <v>8</v>
      </c>
      <c r="D75" s="7" t="s">
        <v>9</v>
      </c>
      <c r="E75" s="7" t="s">
        <v>10</v>
      </c>
      <c r="F75" s="8"/>
      <c r="G75" s="9" t="s">
        <v>11</v>
      </c>
      <c r="H75" s="10" t="s">
        <v>12</v>
      </c>
      <c r="I75" s="14" t="s">
        <v>65</v>
      </c>
      <c r="J75" s="12"/>
      <c r="K75" s="61" t="s">
        <v>140</v>
      </c>
      <c r="L75" s="62" t="s">
        <v>141</v>
      </c>
      <c r="M75" s="14" t="s">
        <v>94</v>
      </c>
      <c r="N75" s="14" t="s">
        <v>142</v>
      </c>
      <c r="R75" s="101" t="s">
        <v>66</v>
      </c>
      <c r="S75" s="7" t="s">
        <v>8</v>
      </c>
      <c r="T75" s="7" t="s">
        <v>9</v>
      </c>
      <c r="U75" s="7" t="s">
        <v>10</v>
      </c>
      <c r="V75" s="7"/>
      <c r="W75" s="159" t="s">
        <v>95</v>
      </c>
      <c r="X75" s="159" t="s">
        <v>67</v>
      </c>
      <c r="AB75" s="111" t="s">
        <v>143</v>
      </c>
      <c r="AC75" s="25">
        <v>-2.95607341156011E-2</v>
      </c>
      <c r="AD75" s="25">
        <v>-7.4486479278883105E-2</v>
      </c>
      <c r="AE75" s="25">
        <v>-0.101845338385315</v>
      </c>
      <c r="AF75" s="34"/>
      <c r="AG75" s="34">
        <v>0.06</v>
      </c>
      <c r="AH75" s="34"/>
    </row>
    <row r="76" spans="2:34" outlineLevel="1" x14ac:dyDescent="0.3">
      <c r="B76" s="15" t="s">
        <v>15</v>
      </c>
      <c r="C76" s="16">
        <v>-0.03</v>
      </c>
      <c r="D76" s="16">
        <v>-0.01</v>
      </c>
      <c r="E76" s="16">
        <v>-0.05</v>
      </c>
      <c r="F76" s="17"/>
      <c r="G76" s="18">
        <v>0.11</v>
      </c>
      <c r="H76" s="19">
        <v>7.0000000000000007E-2</v>
      </c>
      <c r="I76" s="22">
        <v>0.121</v>
      </c>
      <c r="J76" s="21"/>
      <c r="K76" s="18">
        <v>0.09</v>
      </c>
      <c r="L76" s="19">
        <v>0.08</v>
      </c>
      <c r="M76" s="22">
        <f>92.4%-100%</f>
        <v>-7.5999999999999998E-2</v>
      </c>
      <c r="N76" s="21">
        <v>-0.12</v>
      </c>
      <c r="R76" s="111" t="s">
        <v>123</v>
      </c>
      <c r="S76" s="34">
        <v>-4.7E-2</v>
      </c>
      <c r="T76" s="34">
        <v>1E-3</v>
      </c>
      <c r="U76" s="34">
        <v>-4.7E-2</v>
      </c>
      <c r="V76" s="34"/>
      <c r="W76" s="34">
        <v>0.1</v>
      </c>
      <c r="X76" s="34"/>
      <c r="AB76" s="111" t="s">
        <v>144</v>
      </c>
      <c r="AC76" s="25">
        <v>-7.1335843813077698E-2</v>
      </c>
      <c r="AD76" s="25">
        <v>-9.3123105155911601E-2</v>
      </c>
      <c r="AE76" s="25">
        <v>-0.157815933684198</v>
      </c>
      <c r="AF76" s="34"/>
      <c r="AG76" s="34">
        <v>7.0000000000000007E-2</v>
      </c>
      <c r="AH76" s="34"/>
    </row>
    <row r="77" spans="2:34" outlineLevel="1" x14ac:dyDescent="0.3">
      <c r="B77" s="15" t="s">
        <v>17</v>
      </c>
      <c r="C77" s="16">
        <v>0.1</v>
      </c>
      <c r="D77" s="16">
        <v>-0.14000000000000001</v>
      </c>
      <c r="E77" s="16">
        <v>-0.04</v>
      </c>
      <c r="F77" s="17"/>
      <c r="G77" s="18">
        <v>-0.03</v>
      </c>
      <c r="H77" s="19">
        <v>-0.04</v>
      </c>
      <c r="I77" s="22">
        <v>1.2E-2</v>
      </c>
      <c r="J77" s="21"/>
      <c r="K77" s="18">
        <v>-0.05</v>
      </c>
      <c r="L77" s="19">
        <v>-0.05</v>
      </c>
      <c r="M77" s="22">
        <f>86.3%-1</f>
        <v>-0.13700000000000001</v>
      </c>
      <c r="N77" s="21">
        <v>-0.15</v>
      </c>
      <c r="R77" s="111" t="s">
        <v>145</v>
      </c>
      <c r="S77" s="34">
        <v>-1.7000000000000001E-2</v>
      </c>
      <c r="T77" s="34">
        <v>1E-3</v>
      </c>
      <c r="U77" s="34">
        <v>-1.7000000000000001E-2</v>
      </c>
      <c r="V77" s="34"/>
      <c r="W77" s="34">
        <v>0.13</v>
      </c>
      <c r="X77" s="34"/>
      <c r="AB77" s="111" t="s">
        <v>146</v>
      </c>
      <c r="AC77" s="25">
        <v>-3.9E-2</v>
      </c>
      <c r="AD77" s="25">
        <v>-0.104</v>
      </c>
      <c r="AE77" s="25">
        <v>-0.13900000000000001</v>
      </c>
      <c r="AF77" s="34"/>
      <c r="AG77" s="34">
        <v>0.09</v>
      </c>
      <c r="AH77" s="34"/>
    </row>
    <row r="78" spans="2:34" outlineLevel="1" x14ac:dyDescent="0.3">
      <c r="B78" s="23" t="s">
        <v>20</v>
      </c>
      <c r="C78" s="16">
        <v>-0.02</v>
      </c>
      <c r="D78" s="16">
        <v>-0.06</v>
      </c>
      <c r="E78" s="16">
        <v>-0.08</v>
      </c>
      <c r="F78" s="17"/>
      <c r="G78" s="18">
        <v>0.02</v>
      </c>
      <c r="H78" s="19">
        <v>0.01</v>
      </c>
      <c r="I78" s="22">
        <v>4.9000000000000002E-2</v>
      </c>
      <c r="J78" s="21"/>
      <c r="K78" s="18">
        <v>-0.03</v>
      </c>
      <c r="L78" s="19">
        <v>-0.02</v>
      </c>
      <c r="M78" s="22">
        <f>0.855-1</f>
        <v>-0.14499999999999999</v>
      </c>
      <c r="N78" s="21">
        <v>-0.2</v>
      </c>
      <c r="R78" s="111" t="s">
        <v>147</v>
      </c>
      <c r="S78" s="34">
        <v>-5.0000000000000001E-3</v>
      </c>
      <c r="T78" s="34">
        <v>3.0000000000000001E-3</v>
      </c>
      <c r="U78" s="34">
        <v>-2E-3</v>
      </c>
      <c r="V78" s="34"/>
      <c r="W78" s="34">
        <v>0.16</v>
      </c>
      <c r="X78" s="34"/>
      <c r="AB78" s="111" t="s">
        <v>148</v>
      </c>
      <c r="AC78" s="25">
        <v>-1.2E-2</v>
      </c>
      <c r="AD78" s="25">
        <v>-0.08</v>
      </c>
      <c r="AE78" s="25">
        <v>-0.09</v>
      </c>
      <c r="AF78" s="34"/>
      <c r="AG78" s="34">
        <v>0.13</v>
      </c>
      <c r="AH78" s="34"/>
    </row>
    <row r="79" spans="2:34" outlineLevel="1" x14ac:dyDescent="0.3">
      <c r="B79" s="23" t="s">
        <v>22</v>
      </c>
      <c r="C79" s="119">
        <v>-0.03</v>
      </c>
      <c r="D79" s="119">
        <v>-7.0000000000000007E-2</v>
      </c>
      <c r="E79" s="119">
        <v>-0.09</v>
      </c>
      <c r="F79" s="168"/>
      <c r="G79" s="169">
        <v>7.0000000000000007E-2</v>
      </c>
      <c r="H79" s="121">
        <v>0.08</v>
      </c>
      <c r="I79" s="22">
        <v>0.06</v>
      </c>
      <c r="J79" s="21"/>
      <c r="K79" s="169">
        <v>0.01</v>
      </c>
      <c r="L79" s="121">
        <v>0.02</v>
      </c>
      <c r="M79" s="22">
        <f>0.891-1</f>
        <v>-0.109</v>
      </c>
      <c r="N79" s="21">
        <v>-0.16</v>
      </c>
      <c r="R79" s="111" t="s">
        <v>149</v>
      </c>
      <c r="S79" s="34">
        <v>0.36499999999999999</v>
      </c>
      <c r="T79" s="34">
        <v>-7.2999999999999995E-2</v>
      </c>
      <c r="U79" s="34">
        <v>0.26600000000000001</v>
      </c>
      <c r="V79" s="34"/>
      <c r="W79" s="34">
        <v>0.14000000000000001</v>
      </c>
      <c r="X79" s="34"/>
      <c r="AB79" s="111" t="s">
        <v>150</v>
      </c>
      <c r="AC79" s="25">
        <v>-2.1999999999999999E-2</v>
      </c>
      <c r="AD79" s="25">
        <v>-0.1</v>
      </c>
      <c r="AE79" s="25">
        <v>-0.12</v>
      </c>
      <c r="AF79" s="34"/>
      <c r="AG79" s="34">
        <v>0.12</v>
      </c>
      <c r="AH79" s="34"/>
    </row>
    <row r="80" spans="2:34" outlineLevel="1" x14ac:dyDescent="0.3">
      <c r="B80" s="23" t="s">
        <v>24</v>
      </c>
      <c r="C80" s="119">
        <v>-0.04</v>
      </c>
      <c r="D80" s="119">
        <v>-0.06</v>
      </c>
      <c r="E80" s="119">
        <v>-0.1</v>
      </c>
      <c r="F80" s="168"/>
      <c r="G80" s="169">
        <v>7.0000000000000007E-2</v>
      </c>
      <c r="H80" s="121">
        <v>0.06</v>
      </c>
      <c r="I80" s="22">
        <v>0.126</v>
      </c>
      <c r="J80" s="21"/>
      <c r="K80" s="169">
        <v>0.02</v>
      </c>
      <c r="L80" s="121">
        <v>0.03</v>
      </c>
      <c r="M80" s="22">
        <f>87.6%-1</f>
        <v>-0.124</v>
      </c>
      <c r="N80" s="21">
        <v>-0.18</v>
      </c>
      <c r="R80" s="111" t="s">
        <v>151</v>
      </c>
      <c r="S80" s="34">
        <v>-0.19500000000000001</v>
      </c>
      <c r="T80" s="34">
        <v>-0.38200000000000001</v>
      </c>
      <c r="U80" s="34">
        <v>-0.5</v>
      </c>
      <c r="V80" s="34"/>
      <c r="W80" s="34">
        <v>-0.04</v>
      </c>
      <c r="X80" s="34"/>
      <c r="AB80" s="111" t="s">
        <v>152</v>
      </c>
      <c r="AC80" s="25">
        <v>-1.4E-2</v>
      </c>
      <c r="AD80" s="25">
        <v>-0.10299999999999999</v>
      </c>
      <c r="AE80" s="25">
        <v>-0.115</v>
      </c>
      <c r="AF80" s="34"/>
      <c r="AG80" s="34">
        <v>0.14000000000000001</v>
      </c>
      <c r="AH80" s="34"/>
    </row>
    <row r="81" spans="2:34" outlineLevel="1" x14ac:dyDescent="0.3">
      <c r="B81" s="15" t="s">
        <v>27</v>
      </c>
      <c r="C81" s="119">
        <f>AVERAGE(S99:S102)</f>
        <v>-3.0499999999999999E-2</v>
      </c>
      <c r="D81" s="119">
        <f>AVERAGE(T99:T102)</f>
        <v>-5.2749999999999998E-2</v>
      </c>
      <c r="E81" s="119">
        <f>AVERAGE(U99:U102)</f>
        <v>-8.1000000000000003E-2</v>
      </c>
      <c r="F81" s="168"/>
      <c r="G81" s="169">
        <v>0.03</v>
      </c>
      <c r="H81" s="121">
        <v>0.02</v>
      </c>
      <c r="I81" s="22">
        <v>3.5999999999999997E-2</v>
      </c>
      <c r="J81" s="21"/>
      <c r="K81" s="169">
        <v>0.01</v>
      </c>
      <c r="L81" s="121">
        <v>0.04</v>
      </c>
      <c r="M81" s="22">
        <f>87.1%-1</f>
        <v>-0.129</v>
      </c>
      <c r="N81" s="21">
        <v>-0.17</v>
      </c>
      <c r="R81" s="217" t="s">
        <v>153</v>
      </c>
      <c r="S81" s="218">
        <v>-7.0000000000000007E-2</v>
      </c>
      <c r="T81" s="218">
        <v>-2.5999999999999999E-2</v>
      </c>
      <c r="U81" s="218">
        <v>-0.12</v>
      </c>
      <c r="V81" s="218"/>
      <c r="W81" s="218">
        <v>0.03</v>
      </c>
      <c r="X81" s="218">
        <v>0.05</v>
      </c>
      <c r="AA81" s="93" t="s">
        <v>154</v>
      </c>
      <c r="AB81" s="111" t="s">
        <v>155</v>
      </c>
      <c r="AC81" s="25">
        <v>-7.0000000000000001E-3</v>
      </c>
      <c r="AD81" s="25">
        <v>-0.08</v>
      </c>
      <c r="AE81" s="25">
        <v>-8.5999999999999993E-2</v>
      </c>
      <c r="AF81" s="34"/>
      <c r="AG81" s="34">
        <v>0.12</v>
      </c>
      <c r="AH81" s="34"/>
    </row>
    <row r="82" spans="2:34" outlineLevel="1" x14ac:dyDescent="0.3">
      <c r="B82" s="15" t="s">
        <v>30</v>
      </c>
      <c r="C82" s="119">
        <f>AVERAGE(S103:S107)</f>
        <v>-4.4560000000000002E-2</v>
      </c>
      <c r="D82" s="119">
        <f>AVERAGE(T103:T107)</f>
        <v>-1.5599999999999999E-2</v>
      </c>
      <c r="E82" s="119">
        <f>AVERAGE(U103:U107)</f>
        <v>-5.9619999999999999E-2</v>
      </c>
      <c r="F82" s="168"/>
      <c r="G82" s="169">
        <v>0.03</v>
      </c>
      <c r="H82" s="121">
        <v>0.03</v>
      </c>
      <c r="I82" s="22">
        <v>6.6000000000000003E-2</v>
      </c>
      <c r="J82" s="21"/>
      <c r="K82" s="169">
        <v>0.03</v>
      </c>
      <c r="L82" s="121">
        <v>0.05</v>
      </c>
      <c r="M82" s="22">
        <f>89.1%-1</f>
        <v>-0.109</v>
      </c>
      <c r="N82" s="21">
        <v>-0.15</v>
      </c>
      <c r="R82" s="219" t="s">
        <v>156</v>
      </c>
      <c r="S82" s="220"/>
      <c r="T82" s="220"/>
      <c r="U82" s="220"/>
      <c r="V82" s="218"/>
      <c r="W82" s="218">
        <v>7.1999999999999995E-2</v>
      </c>
      <c r="X82" s="218">
        <v>0.05</v>
      </c>
      <c r="AB82" s="111" t="s">
        <v>157</v>
      </c>
      <c r="AC82" s="25">
        <v>-2.2197120680942799E-2</v>
      </c>
      <c r="AD82" s="25">
        <v>-8.1572205768378106E-2</v>
      </c>
      <c r="AE82" s="25">
        <v>-0.101958658353671</v>
      </c>
      <c r="AF82" s="34"/>
      <c r="AG82" s="34">
        <v>0.11</v>
      </c>
      <c r="AH82" s="34"/>
    </row>
    <row r="83" spans="2:34" outlineLevel="1" x14ac:dyDescent="0.3">
      <c r="B83" s="15" t="s">
        <v>33</v>
      </c>
      <c r="C83" s="119">
        <f>AVERAGE(S108:S111)</f>
        <v>-1.2500000000000001E-2</v>
      </c>
      <c r="D83" s="119">
        <f>AVERAGE(T108:T111)</f>
        <v>-2.2499999999999999E-2</v>
      </c>
      <c r="E83" s="119">
        <f>AVERAGE(U108:U111)</f>
        <v>-3.5000000000000003E-2</v>
      </c>
      <c r="F83" s="168"/>
      <c r="G83" s="169">
        <v>0.02</v>
      </c>
      <c r="H83" s="121">
        <v>0.02</v>
      </c>
      <c r="I83" s="22">
        <v>6.5000000000000002E-2</v>
      </c>
      <c r="J83" s="21"/>
      <c r="K83" s="169">
        <v>0.05</v>
      </c>
      <c r="L83" s="121">
        <v>0.09</v>
      </c>
      <c r="M83" s="22">
        <f>88.6%-1</f>
        <v>-0.114</v>
      </c>
      <c r="N83" s="21"/>
      <c r="R83" s="221" t="s">
        <v>158</v>
      </c>
      <c r="S83" s="222">
        <v>-8.4000000000000005E-2</v>
      </c>
      <c r="T83" s="222">
        <v>-5.5E-2</v>
      </c>
      <c r="U83" s="222">
        <v>-0.13400000000000001</v>
      </c>
      <c r="V83" s="218"/>
      <c r="W83" s="218"/>
      <c r="X83" s="218"/>
      <c r="AB83" s="111" t="s">
        <v>159</v>
      </c>
      <c r="AC83" s="25">
        <v>2.3814131243425199E-2</v>
      </c>
      <c r="AD83" s="25">
        <v>-6.3382765602890703E-2</v>
      </c>
      <c r="AE83" s="25">
        <v>-4.1078039858104001E-2</v>
      </c>
      <c r="AF83" s="34"/>
      <c r="AG83" s="34">
        <v>0.15</v>
      </c>
      <c r="AH83" s="34"/>
    </row>
    <row r="84" spans="2:34" outlineLevel="1" x14ac:dyDescent="0.3">
      <c r="B84" s="15" t="s">
        <v>36</v>
      </c>
      <c r="C84" s="119">
        <f>AVERAGE(S112:S115)</f>
        <v>-2.4999999999999301E-4</v>
      </c>
      <c r="D84" s="119">
        <f>AVERAGE(T112:T115)</f>
        <v>8.0000000000000002E-3</v>
      </c>
      <c r="E84" s="119">
        <f>AVERAGE(U112:U115)</f>
        <v>9.75E-3</v>
      </c>
      <c r="F84" s="168"/>
      <c r="G84" s="169">
        <v>0.04</v>
      </c>
      <c r="H84" s="121">
        <v>0.03</v>
      </c>
      <c r="I84" s="22">
        <v>-2E-3</v>
      </c>
      <c r="J84" s="21"/>
      <c r="K84" s="169">
        <v>0.06</v>
      </c>
      <c r="L84" s="121">
        <v>7.0000000000000007E-2</v>
      </c>
      <c r="M84" s="22">
        <f>85.7%-1</f>
        <v>-0.14299999999999999</v>
      </c>
      <c r="N84" s="21"/>
      <c r="R84" s="111" t="s">
        <v>160</v>
      </c>
      <c r="S84" s="16">
        <v>0.22700000000000001</v>
      </c>
      <c r="T84" s="34">
        <v>-8.2000000000000003E-2</v>
      </c>
      <c r="U84" s="34">
        <v>0.126</v>
      </c>
      <c r="V84" s="34"/>
      <c r="W84" s="34">
        <v>-0.03</v>
      </c>
      <c r="X84" s="34"/>
      <c r="AB84" s="111" t="s">
        <v>161</v>
      </c>
      <c r="AC84" s="25">
        <v>0.105</v>
      </c>
      <c r="AD84" s="25">
        <v>-2.5999999999999999E-2</v>
      </c>
      <c r="AE84" s="25">
        <v>7.5999999999999998E-2</v>
      </c>
      <c r="AF84" s="111"/>
      <c r="AG84" s="34">
        <v>0.08</v>
      </c>
      <c r="AH84" s="111"/>
    </row>
    <row r="85" spans="2:34" hidden="1" outlineLevel="2" x14ac:dyDescent="0.3">
      <c r="B85" s="15" t="s">
        <v>39</v>
      </c>
      <c r="C85" s="119">
        <f>AVERAGE(S116:S120)</f>
        <v>-2.6800000000000001E-2</v>
      </c>
      <c r="D85" s="119">
        <f>AVERAGE(T116:T120)</f>
        <v>5.8999999999999997E-2</v>
      </c>
      <c r="E85" s="119">
        <f>AVERAGE(U116:U120)</f>
        <v>3.0800000000000001E-2</v>
      </c>
      <c r="F85" s="168"/>
      <c r="G85" s="169">
        <v>0.04</v>
      </c>
      <c r="H85" s="121">
        <v>0.04</v>
      </c>
      <c r="I85" s="22">
        <v>0.10100000000000001</v>
      </c>
      <c r="J85" s="21"/>
      <c r="K85" s="169">
        <v>0.15</v>
      </c>
      <c r="L85" s="121">
        <v>0.19</v>
      </c>
      <c r="M85" s="22">
        <f>90%-1</f>
        <v>-0.1</v>
      </c>
      <c r="N85" s="21"/>
      <c r="R85" s="111" t="s">
        <v>162</v>
      </c>
      <c r="S85" s="16">
        <v>0.01</v>
      </c>
      <c r="T85" s="34">
        <v>-0.05</v>
      </c>
      <c r="U85" s="34">
        <v>-0.04</v>
      </c>
      <c r="V85" s="34"/>
      <c r="W85" s="34">
        <v>-0.04</v>
      </c>
      <c r="X85" s="34"/>
      <c r="AB85" s="111" t="s">
        <v>163</v>
      </c>
      <c r="AC85" s="25">
        <v>-2.1999999999999999E-2</v>
      </c>
      <c r="AD85" s="25">
        <v>-4.4999999999999998E-2</v>
      </c>
      <c r="AE85" s="25">
        <v>-6.6000000000000003E-2</v>
      </c>
      <c r="AF85" s="34"/>
      <c r="AG85" s="34">
        <v>0.14000000000000001</v>
      </c>
      <c r="AH85" s="34"/>
    </row>
    <row r="86" spans="2:34" hidden="1" outlineLevel="2" x14ac:dyDescent="0.3">
      <c r="B86" s="15" t="s">
        <v>42</v>
      </c>
      <c r="C86" s="119">
        <f>AVERAGE(S121:S124)</f>
        <v>-1.2500000000000001E-2</v>
      </c>
      <c r="D86" s="119">
        <f t="shared" ref="D86:E86" si="2">AVERAGE(T121:T124)</f>
        <v>3.7499999999999999E-2</v>
      </c>
      <c r="E86" s="119">
        <f t="shared" si="2"/>
        <v>0.02</v>
      </c>
      <c r="F86" s="121"/>
      <c r="G86" s="169">
        <v>0.05</v>
      </c>
      <c r="H86" s="121">
        <v>0.05</v>
      </c>
      <c r="I86" s="22">
        <v>8.8999999999999996E-2</v>
      </c>
      <c r="J86" s="21"/>
      <c r="K86" s="169">
        <v>0.14000000000000001</v>
      </c>
      <c r="L86" s="121">
        <v>0.18</v>
      </c>
      <c r="M86" s="22">
        <f>85.8%-1</f>
        <v>-0.14199999999999999</v>
      </c>
      <c r="N86" s="21"/>
      <c r="R86" s="111" t="s">
        <v>164</v>
      </c>
      <c r="S86" s="16">
        <v>-0.05</v>
      </c>
      <c r="T86" s="34">
        <v>-0.01</v>
      </c>
      <c r="U86" s="34">
        <v>-0.06</v>
      </c>
      <c r="V86" s="34"/>
      <c r="W86" s="34">
        <v>0.02</v>
      </c>
      <c r="X86" s="34"/>
      <c r="AB86" s="111" t="s">
        <v>165</v>
      </c>
      <c r="AC86" s="25">
        <v>-8.2000000000000003E-2</v>
      </c>
      <c r="AD86" s="25">
        <v>-5.5E-2</v>
      </c>
      <c r="AE86" s="25">
        <v>-0.13300000000000001</v>
      </c>
      <c r="AF86" s="34"/>
      <c r="AG86" s="34">
        <v>0.13</v>
      </c>
      <c r="AH86" s="34"/>
    </row>
    <row r="87" spans="2:34" hidden="1" outlineLevel="2" x14ac:dyDescent="0.3">
      <c r="B87" s="15" t="s">
        <v>45</v>
      </c>
      <c r="C87" s="119">
        <f>AVERAGE(S125:S129)</f>
        <v>-6.0000000000000001E-3</v>
      </c>
      <c r="D87" s="119">
        <f t="shared" ref="D87:E87" si="3">AVERAGE(T125:T129)</f>
        <v>0.06</v>
      </c>
      <c r="E87" s="119">
        <f t="shared" si="3"/>
        <v>5.8000000000000003E-2</v>
      </c>
      <c r="F87" s="168"/>
      <c r="G87" s="223">
        <v>0.06</v>
      </c>
      <c r="H87" s="224">
        <v>7.0000000000000007E-2</v>
      </c>
      <c r="I87" s="67">
        <v>8.5000000000000006E-2</v>
      </c>
      <c r="J87" s="21"/>
      <c r="K87" s="223">
        <v>0.09</v>
      </c>
      <c r="L87" s="224">
        <v>0.11</v>
      </c>
      <c r="M87" s="67">
        <f>84.4%-1</f>
        <v>-0.156</v>
      </c>
      <c r="N87" s="21"/>
      <c r="R87" s="111" t="s">
        <v>166</v>
      </c>
      <c r="S87" s="16">
        <v>-3.5000000000000003E-2</v>
      </c>
      <c r="T87" s="34">
        <v>-8.2000000000000003E-2</v>
      </c>
      <c r="U87" s="34">
        <v>-0.115</v>
      </c>
      <c r="V87" s="34"/>
      <c r="W87" s="34">
        <v>0.05</v>
      </c>
      <c r="X87" s="34"/>
      <c r="AB87" s="111" t="s">
        <v>167</v>
      </c>
      <c r="AC87" s="34">
        <v>-0.14000000000000001</v>
      </c>
      <c r="AD87" s="34">
        <v>-0.03</v>
      </c>
      <c r="AE87" s="34">
        <v>-0.17</v>
      </c>
      <c r="AF87" s="34"/>
      <c r="AG87" s="34">
        <v>7.0000000000000007E-2</v>
      </c>
      <c r="AH87" s="34"/>
    </row>
    <row r="88" spans="2:34" outlineLevel="1" collapsed="1" x14ac:dyDescent="0.3">
      <c r="B88" s="225" t="s">
        <v>48</v>
      </c>
      <c r="C88" s="226"/>
      <c r="D88" s="226"/>
      <c r="E88" s="226"/>
      <c r="F88" s="227"/>
      <c r="G88" s="228"/>
      <c r="H88" s="229"/>
      <c r="I88" s="230"/>
      <c r="J88" s="231"/>
      <c r="K88" s="228"/>
      <c r="L88" s="229"/>
      <c r="M88" s="230"/>
      <c r="N88" s="102"/>
      <c r="R88" s="111" t="s">
        <v>168</v>
      </c>
      <c r="S88" s="16">
        <v>0</v>
      </c>
      <c r="T88" s="34">
        <v>-0.06</v>
      </c>
      <c r="U88" s="34">
        <v>-0.06</v>
      </c>
      <c r="V88" s="34"/>
      <c r="W88" s="34">
        <v>0.06</v>
      </c>
      <c r="X88" s="34"/>
      <c r="AB88" s="111" t="s">
        <v>169</v>
      </c>
      <c r="AC88" s="34">
        <v>0.19</v>
      </c>
      <c r="AD88" s="34">
        <v>-0.16</v>
      </c>
      <c r="AE88" s="34">
        <v>0</v>
      </c>
      <c r="AF88" s="111"/>
      <c r="AG88" s="34">
        <v>0.14000000000000001</v>
      </c>
      <c r="AH88" s="111"/>
    </row>
    <row r="89" spans="2:34" outlineLevel="1" x14ac:dyDescent="0.3">
      <c r="B89" s="24" t="s">
        <v>54</v>
      </c>
      <c r="C89" s="25">
        <f>AVERAGE(C76:C78)</f>
        <v>1.6666666666666701E-2</v>
      </c>
      <c r="D89" s="25">
        <f>AVERAGE(D76:D78)</f>
        <v>-7.0000000000000007E-2</v>
      </c>
      <c r="E89" s="25">
        <f>AVERAGE(E76:E78)</f>
        <v>-5.6666666666666698E-2</v>
      </c>
      <c r="F89" s="232"/>
      <c r="G89" s="233">
        <f>AVERAGE(G76:G78)</f>
        <v>3.3333333333333298E-2</v>
      </c>
      <c r="H89" s="25">
        <f>AVERAGE(H76:H78)</f>
        <v>1.3333333333333299E-2</v>
      </c>
      <c r="I89" s="234">
        <f>AVERAGE(I76:I78)</f>
        <v>6.0666666666666702E-2</v>
      </c>
      <c r="J89" s="235"/>
      <c r="K89" s="233">
        <f>AVERAGE(K76:K78)</f>
        <v>3.3333333333333301E-3</v>
      </c>
      <c r="L89" s="25">
        <f>AVERAGE(L76:L78)</f>
        <v>3.3333333333333301E-3</v>
      </c>
      <c r="M89" s="234">
        <f>AVERAGE(M76:M78)</f>
        <v>-0.119333333333333</v>
      </c>
      <c r="N89" s="32">
        <f>AVERAGE(N76:N78)</f>
        <v>-0.15666666666666701</v>
      </c>
      <c r="R89" s="111" t="s">
        <v>170</v>
      </c>
      <c r="S89" s="16">
        <v>-0.03</v>
      </c>
      <c r="T89" s="34">
        <v>-0.08</v>
      </c>
      <c r="U89" s="34">
        <v>-0.1</v>
      </c>
      <c r="V89" s="34"/>
      <c r="W89" s="34">
        <v>0.04</v>
      </c>
      <c r="X89" s="34"/>
      <c r="AB89" s="111" t="s">
        <v>171</v>
      </c>
      <c r="AC89" s="34">
        <v>0.14000000000000001</v>
      </c>
      <c r="AD89" s="34">
        <v>-0.09</v>
      </c>
      <c r="AE89" s="34">
        <v>0.03</v>
      </c>
      <c r="AF89" s="111"/>
      <c r="AG89" s="34">
        <v>0.12</v>
      </c>
      <c r="AH89" s="111"/>
    </row>
    <row r="90" spans="2:34" outlineLevel="1" x14ac:dyDescent="0.3">
      <c r="B90" s="24" t="s">
        <v>55</v>
      </c>
      <c r="C90" s="25">
        <f>AVERAGE(C79:C81)</f>
        <v>-3.3500000000000002E-2</v>
      </c>
      <c r="D90" s="25">
        <f>AVERAGE(D79:D81)</f>
        <v>-6.0916666666666702E-2</v>
      </c>
      <c r="E90" s="25">
        <f>AVERAGE(E79:E81)</f>
        <v>-9.0333333333333293E-2</v>
      </c>
      <c r="F90" s="30"/>
      <c r="G90" s="25">
        <f>AVERAGE(G79:G81)</f>
        <v>5.6666666666666698E-2</v>
      </c>
      <c r="H90" s="25">
        <f>AVERAGE(H79:H81)</f>
        <v>5.3333333333333302E-2</v>
      </c>
      <c r="I90" s="30">
        <f>AVERAGE(I79:I81)</f>
        <v>7.3999999999999996E-2</v>
      </c>
      <c r="J90" s="31"/>
      <c r="K90" s="233">
        <f>AVERAGE(K79:K81)</f>
        <v>1.3333333333333299E-2</v>
      </c>
      <c r="L90" s="25">
        <f>AVERAGE(L79:L81)</f>
        <v>0.03</v>
      </c>
      <c r="M90" s="30">
        <f>AVERAGE(M79:M81)</f>
        <v>-0.12066666666666701</v>
      </c>
      <c r="N90" s="32">
        <f>AVERAGE(N79:N81)</f>
        <v>-0.17</v>
      </c>
      <c r="R90" s="111" t="s">
        <v>172</v>
      </c>
      <c r="S90" s="16">
        <v>0.04</v>
      </c>
      <c r="T90" s="34">
        <v>-0.08</v>
      </c>
      <c r="U90" s="34">
        <v>-0.05</v>
      </c>
      <c r="V90" s="34"/>
      <c r="W90" s="34">
        <v>0.08</v>
      </c>
      <c r="X90" s="34"/>
    </row>
    <row r="91" spans="2:34" outlineLevel="1" x14ac:dyDescent="0.3">
      <c r="B91" s="24" t="s">
        <v>56</v>
      </c>
      <c r="C91" s="25">
        <f>AVERAGE(C82:C84)</f>
        <v>-1.9103333333333299E-2</v>
      </c>
      <c r="D91" s="25">
        <f>AVERAGE(D82:D84)</f>
        <v>-1.00333333333333E-2</v>
      </c>
      <c r="E91" s="25">
        <f>AVERAGE(E82:E84)</f>
        <v>-2.8289999999999999E-2</v>
      </c>
      <c r="F91" s="30"/>
      <c r="G91" s="27">
        <f>AVERAGE(G82:G84)</f>
        <v>0.03</v>
      </c>
      <c r="H91" s="26">
        <f>AVERAGE(H82:H84)</f>
        <v>2.66666666666667E-2</v>
      </c>
      <c r="I91" s="30">
        <f>AVERAGE(I82:I84)</f>
        <v>4.2999999999999997E-2</v>
      </c>
      <c r="J91" s="32"/>
      <c r="K91" s="27">
        <f>AVERAGE(K82:K84)</f>
        <v>4.6666666666666697E-2</v>
      </c>
      <c r="L91" s="26">
        <f>AVERAGE(L82:L84)</f>
        <v>7.0000000000000007E-2</v>
      </c>
      <c r="M91" s="30">
        <f>AVERAGE(M82:M84)</f>
        <v>-0.122</v>
      </c>
      <c r="N91" s="32"/>
      <c r="R91" s="111" t="s">
        <v>173</v>
      </c>
      <c r="S91" s="16">
        <v>-0.1</v>
      </c>
      <c r="T91" s="34">
        <v>-0.1</v>
      </c>
      <c r="U91" s="34">
        <v>-0.19</v>
      </c>
      <c r="V91" s="34"/>
      <c r="W91" s="34">
        <v>0.05</v>
      </c>
      <c r="X91" s="34"/>
    </row>
    <row r="92" spans="2:34" hidden="1" outlineLevel="2" x14ac:dyDescent="0.3">
      <c r="B92" s="135" t="s">
        <v>57</v>
      </c>
      <c r="C92" s="140">
        <f>AVERAGE(C85:C87)</f>
        <v>-1.5100000000000001E-2</v>
      </c>
      <c r="D92" s="140">
        <f t="shared" ref="D92:E92" si="4">AVERAGE(D85:D87)</f>
        <v>5.2166666666666701E-2</v>
      </c>
      <c r="E92" s="140">
        <f t="shared" si="4"/>
        <v>3.6266666666666697E-2</v>
      </c>
      <c r="F92" s="236"/>
      <c r="G92" s="176">
        <f>AVERAGE(G85:G87)</f>
        <v>0.05</v>
      </c>
      <c r="H92" s="205">
        <f>AVERAGE(H85:H87)</f>
        <v>5.3333333333333302E-2</v>
      </c>
      <c r="I92" s="142">
        <f>AVERAGE(I85:I87)</f>
        <v>9.1666666666666702E-2</v>
      </c>
      <c r="J92" s="207"/>
      <c r="K92" s="176">
        <f>AVERAGE(K85:K87)</f>
        <v>0.12666666666666701</v>
      </c>
      <c r="L92" s="205">
        <f>AVERAGE(L85:L87)</f>
        <v>0.16</v>
      </c>
      <c r="M92" s="142">
        <f>AVERAGE(M85:M87)</f>
        <v>-0.13266666666666699</v>
      </c>
      <c r="N92" s="32"/>
      <c r="R92" s="111" t="s">
        <v>174</v>
      </c>
      <c r="S92" s="16">
        <v>-0.02</v>
      </c>
      <c r="T92" s="34">
        <v>-0.06</v>
      </c>
      <c r="U92" s="34">
        <v>-0.08</v>
      </c>
      <c r="V92" s="34"/>
      <c r="W92" s="34">
        <v>0.11</v>
      </c>
      <c r="X92" s="34"/>
    </row>
    <row r="93" spans="2:34" outlineLevel="1" collapsed="1" x14ac:dyDescent="0.3">
      <c r="B93" s="225" t="s">
        <v>175</v>
      </c>
      <c r="C93" s="226"/>
      <c r="D93" s="226"/>
      <c r="E93" s="226"/>
      <c r="F93" s="227"/>
      <c r="G93" s="228"/>
      <c r="H93" s="229"/>
      <c r="I93" s="230"/>
      <c r="J93" s="237"/>
      <c r="K93" s="228"/>
      <c r="L93" s="229"/>
      <c r="M93" s="230"/>
      <c r="N93" s="32"/>
      <c r="R93" s="111" t="s">
        <v>176</v>
      </c>
      <c r="S93" s="16">
        <v>-0.02</v>
      </c>
      <c r="T93" s="34">
        <v>-7.0000000000000007E-2</v>
      </c>
      <c r="U93" s="34">
        <v>-0.09</v>
      </c>
      <c r="V93" s="34"/>
      <c r="W93" s="34">
        <v>0.11</v>
      </c>
      <c r="X93" s="34"/>
    </row>
    <row r="94" spans="2:34" outlineLevel="1" x14ac:dyDescent="0.3">
      <c r="B94" s="238" t="s">
        <v>177</v>
      </c>
      <c r="C94" s="16">
        <v>-0.05</v>
      </c>
      <c r="D94" s="16">
        <v>0.04</v>
      </c>
      <c r="E94" s="16">
        <v>0</v>
      </c>
      <c r="F94" s="30"/>
      <c r="G94" s="27"/>
      <c r="H94" s="26"/>
      <c r="I94" s="30"/>
      <c r="J94" s="32"/>
      <c r="K94" s="27"/>
      <c r="L94" s="26"/>
      <c r="M94" s="30"/>
      <c r="N94" s="32"/>
      <c r="R94" s="111" t="s">
        <v>178</v>
      </c>
      <c r="S94" s="16">
        <v>0.03</v>
      </c>
      <c r="T94" s="34">
        <v>-0.06</v>
      </c>
      <c r="U94" s="34">
        <v>-0.03</v>
      </c>
      <c r="V94" s="34"/>
      <c r="W94" s="34">
        <v>0.15</v>
      </c>
      <c r="X94" s="34"/>
    </row>
    <row r="95" spans="2:34" outlineLevel="1" x14ac:dyDescent="0.3">
      <c r="B95" s="238" t="s">
        <v>179</v>
      </c>
      <c r="C95" s="16">
        <v>-0.04</v>
      </c>
      <c r="D95" s="16">
        <v>0.03</v>
      </c>
      <c r="E95" s="16">
        <v>-0.02</v>
      </c>
      <c r="F95" s="30"/>
      <c r="G95" s="27"/>
      <c r="H95" s="26"/>
      <c r="I95" s="30"/>
      <c r="J95" s="32"/>
      <c r="K95" s="27"/>
      <c r="L95" s="26"/>
      <c r="M95" s="30"/>
      <c r="N95" s="32"/>
      <c r="R95" s="111" t="s">
        <v>180</v>
      </c>
      <c r="S95" s="16">
        <v>-0.02</v>
      </c>
      <c r="T95" s="34">
        <v>-2.4E-2</v>
      </c>
      <c r="U95" s="34">
        <v>-4.2999999999999997E-2</v>
      </c>
      <c r="V95" s="34"/>
      <c r="W95" s="34">
        <v>0.09</v>
      </c>
      <c r="X95" s="34"/>
    </row>
    <row r="96" spans="2:34" outlineLevel="1" x14ac:dyDescent="0.3">
      <c r="B96" s="238" t="s">
        <v>181</v>
      </c>
      <c r="C96" s="16">
        <v>-0.02</v>
      </c>
      <c r="D96" s="16">
        <v>0.03</v>
      </c>
      <c r="E96" s="16">
        <v>0.01</v>
      </c>
      <c r="F96" s="30"/>
      <c r="G96" s="27"/>
      <c r="H96" s="26"/>
      <c r="I96" s="30"/>
      <c r="J96" s="32"/>
      <c r="K96" s="27"/>
      <c r="L96" s="26"/>
      <c r="M96" s="30"/>
      <c r="N96" s="32"/>
      <c r="R96" s="111" t="s">
        <v>182</v>
      </c>
      <c r="S96" s="16">
        <v>-0.04</v>
      </c>
      <c r="T96" s="34">
        <v>-0.08</v>
      </c>
      <c r="U96" s="34">
        <v>-0.114</v>
      </c>
      <c r="V96" s="34"/>
      <c r="W96" s="34">
        <v>7.0000000000000007E-2</v>
      </c>
      <c r="X96" s="34"/>
    </row>
    <row r="97" spans="2:24" outlineLevel="1" x14ac:dyDescent="0.3">
      <c r="B97" s="238" t="s">
        <v>183</v>
      </c>
      <c r="C97" s="16">
        <v>-0.02</v>
      </c>
      <c r="D97" s="16">
        <v>7.0000000000000007E-2</v>
      </c>
      <c r="E97" s="16">
        <v>0.05</v>
      </c>
      <c r="F97" s="30"/>
      <c r="G97" s="27"/>
      <c r="H97" s="26"/>
      <c r="I97" s="30"/>
      <c r="J97" s="32"/>
      <c r="K97" s="27"/>
      <c r="L97" s="26"/>
      <c r="M97" s="30"/>
      <c r="N97" s="32"/>
      <c r="R97" s="111" t="s">
        <v>184</v>
      </c>
      <c r="S97" s="16">
        <v>-0.02</v>
      </c>
      <c r="T97" s="34">
        <v>-0.09</v>
      </c>
      <c r="U97" s="34">
        <v>-0.1</v>
      </c>
      <c r="V97" s="34"/>
      <c r="W97" s="34">
        <v>0.06</v>
      </c>
      <c r="X97" s="34"/>
    </row>
    <row r="98" spans="2:24" outlineLevel="1" x14ac:dyDescent="0.3">
      <c r="B98" s="238" t="s">
        <v>185</v>
      </c>
      <c r="C98" s="16">
        <v>0.1</v>
      </c>
      <c r="D98" s="16">
        <v>0.13</v>
      </c>
      <c r="E98" s="16">
        <v>0.25</v>
      </c>
      <c r="F98" s="30"/>
      <c r="G98" s="27"/>
      <c r="H98" s="26"/>
      <c r="I98" s="30"/>
      <c r="J98" s="32"/>
      <c r="K98" s="27"/>
      <c r="L98" s="26"/>
      <c r="M98" s="30"/>
      <c r="N98" s="32"/>
      <c r="R98" s="111" t="s">
        <v>186</v>
      </c>
      <c r="S98" s="16">
        <v>-7.0000000000000007E-2</v>
      </c>
      <c r="T98" s="34">
        <v>-7.0000000000000007E-2</v>
      </c>
      <c r="U98" s="34">
        <v>-0.13</v>
      </c>
      <c r="V98" s="34"/>
      <c r="W98" s="34">
        <v>7.0000000000000007E-2</v>
      </c>
      <c r="X98" s="34"/>
    </row>
    <row r="99" spans="2:24" outlineLevel="1" x14ac:dyDescent="0.3">
      <c r="B99" s="239" t="s">
        <v>187</v>
      </c>
      <c r="C99" s="66">
        <v>-0.11</v>
      </c>
      <c r="D99" s="66">
        <v>-0.04</v>
      </c>
      <c r="E99" s="66">
        <v>-0.14000000000000001</v>
      </c>
      <c r="F99" s="236"/>
      <c r="G99" s="176"/>
      <c r="H99" s="205"/>
      <c r="I99" s="142"/>
      <c r="J99" s="207"/>
      <c r="K99" s="176"/>
      <c r="L99" s="205"/>
      <c r="M99" s="142"/>
      <c r="N99" s="32"/>
      <c r="R99" s="111" t="s">
        <v>188</v>
      </c>
      <c r="S99" s="16">
        <v>-7.0000000000000007E-2</v>
      </c>
      <c r="T99" s="34">
        <v>-0.1</v>
      </c>
      <c r="U99" s="34">
        <v>-0.16</v>
      </c>
      <c r="V99" s="34"/>
      <c r="W99" s="34">
        <v>0.05</v>
      </c>
      <c r="X99" s="34"/>
    </row>
    <row r="100" spans="2:24" outlineLevel="1" x14ac:dyDescent="0.3">
      <c r="B100" s="240" t="s">
        <v>189</v>
      </c>
      <c r="L100" s="32"/>
      <c r="M100" s="32"/>
      <c r="N100" s="32"/>
      <c r="R100" s="111" t="s">
        <v>190</v>
      </c>
      <c r="S100" s="16">
        <v>3.3000000000000002E-2</v>
      </c>
      <c r="T100" s="34">
        <v>-8.7999999999999995E-2</v>
      </c>
      <c r="U100" s="34">
        <v>-5.8000000000000003E-2</v>
      </c>
      <c r="V100" s="34"/>
      <c r="W100" s="34">
        <v>0.05</v>
      </c>
      <c r="X100" s="34"/>
    </row>
    <row r="101" spans="2:24" outlineLevel="1" x14ac:dyDescent="0.3">
      <c r="N101" s="32"/>
      <c r="R101" s="111" t="s">
        <v>191</v>
      </c>
      <c r="S101" s="16">
        <v>-5.5E-2</v>
      </c>
      <c r="T101" s="34">
        <v>-1.7999999999999999E-2</v>
      </c>
      <c r="U101" s="34">
        <v>-7.1999999999999995E-2</v>
      </c>
      <c r="V101" s="34"/>
      <c r="W101" s="34">
        <v>0.03</v>
      </c>
      <c r="X101" s="34"/>
    </row>
    <row r="102" spans="2:24" outlineLevel="1" x14ac:dyDescent="0.3">
      <c r="B102" s="86"/>
      <c r="C102" s="32"/>
      <c r="D102" s="32"/>
      <c r="E102" s="32"/>
      <c r="F102" s="31"/>
      <c r="G102" s="32"/>
      <c r="H102" s="32"/>
      <c r="I102" s="32"/>
      <c r="J102" s="31"/>
      <c r="K102" s="32"/>
      <c r="L102" s="32"/>
      <c r="M102" s="32"/>
      <c r="N102" s="32"/>
      <c r="R102" s="111" t="s">
        <v>192</v>
      </c>
      <c r="S102" s="16">
        <v>-0.03</v>
      </c>
      <c r="T102" s="34">
        <v>-5.0000000000000001E-3</v>
      </c>
      <c r="U102" s="34">
        <v>-3.4000000000000002E-2</v>
      </c>
      <c r="V102" s="34"/>
      <c r="W102" s="34">
        <v>0.06</v>
      </c>
      <c r="X102" s="34"/>
    </row>
    <row r="103" spans="2:24" outlineLevel="1" x14ac:dyDescent="0.3">
      <c r="B103" s="86"/>
      <c r="C103" s="32"/>
      <c r="D103" s="32"/>
      <c r="E103" s="32"/>
      <c r="F103" s="31"/>
      <c r="G103" s="32"/>
      <c r="H103" s="32"/>
      <c r="I103" s="32"/>
      <c r="J103" s="31"/>
      <c r="K103" s="32"/>
      <c r="L103" s="32"/>
      <c r="M103" s="32"/>
      <c r="N103" s="32"/>
      <c r="R103" s="111" t="s">
        <v>193</v>
      </c>
      <c r="S103" s="16">
        <v>-5.1999999999999998E-2</v>
      </c>
      <c r="T103" s="34">
        <v>-2.5999999999999999E-2</v>
      </c>
      <c r="U103" s="34">
        <v>-7.6999999999999999E-2</v>
      </c>
      <c r="V103" s="34"/>
      <c r="W103" s="34"/>
      <c r="X103" s="34"/>
    </row>
    <row r="104" spans="2:24" outlineLevel="1" x14ac:dyDescent="0.3">
      <c r="R104" s="111" t="s">
        <v>194</v>
      </c>
      <c r="S104" s="16">
        <v>-4.48E-2</v>
      </c>
      <c r="T104" s="34">
        <v>-3.0000000000000001E-3</v>
      </c>
      <c r="U104" s="34">
        <v>-4.8000000000000001E-2</v>
      </c>
      <c r="V104" s="34"/>
      <c r="W104" s="34">
        <v>0.05</v>
      </c>
      <c r="X104" s="34"/>
    </row>
    <row r="105" spans="2:24" outlineLevel="1" x14ac:dyDescent="0.3">
      <c r="R105" s="111" t="s">
        <v>195</v>
      </c>
      <c r="S105" s="16">
        <v>-4.7E-2</v>
      </c>
      <c r="T105" s="34">
        <v>-2.5999999999999999E-2</v>
      </c>
      <c r="U105" s="34">
        <v>-7.1999999999999995E-2</v>
      </c>
      <c r="V105" s="34"/>
      <c r="W105" s="34">
        <v>0.02</v>
      </c>
      <c r="X105" s="34"/>
    </row>
    <row r="106" spans="2:24" outlineLevel="1" x14ac:dyDescent="0.3">
      <c r="R106" s="111" t="s">
        <v>196</v>
      </c>
      <c r="S106" s="16">
        <v>-4.2000000000000003E-2</v>
      </c>
      <c r="T106" s="34">
        <v>-1.4E-2</v>
      </c>
      <c r="U106" s="34">
        <v>-5.5100000000000003E-2</v>
      </c>
      <c r="V106" s="34"/>
      <c r="W106" s="34">
        <v>0.05</v>
      </c>
      <c r="X106" s="34"/>
    </row>
    <row r="107" spans="2:24" outlineLevel="1" x14ac:dyDescent="0.3">
      <c r="R107" s="111" t="s">
        <v>197</v>
      </c>
      <c r="S107" s="16">
        <v>-3.6999999999999998E-2</v>
      </c>
      <c r="T107" s="16">
        <v>-8.9999999999999993E-3</v>
      </c>
      <c r="U107" s="16">
        <v>-4.5999999999999999E-2</v>
      </c>
      <c r="V107" s="34"/>
      <c r="W107" s="34">
        <v>0.02</v>
      </c>
      <c r="X107" s="34"/>
    </row>
    <row r="108" spans="2:24" outlineLevel="1" x14ac:dyDescent="0.3">
      <c r="R108" s="241" t="s">
        <v>198</v>
      </c>
      <c r="S108" s="16">
        <v>-3.6999999999999998E-2</v>
      </c>
      <c r="T108" s="16">
        <v>-1.2E-2</v>
      </c>
      <c r="U108" s="16">
        <v>-4.9000000000000002E-2</v>
      </c>
      <c r="V108" s="34"/>
      <c r="W108" s="16">
        <v>0.03</v>
      </c>
      <c r="X108" s="34"/>
    </row>
    <row r="109" spans="2:24" outlineLevel="1" x14ac:dyDescent="0.3">
      <c r="R109" s="241" t="s">
        <v>199</v>
      </c>
      <c r="S109" s="16">
        <v>7.0000000000000001E-3</v>
      </c>
      <c r="T109" s="16">
        <v>2E-3</v>
      </c>
      <c r="U109" s="16">
        <v>8.9999999999999993E-3</v>
      </c>
      <c r="V109" s="34"/>
      <c r="W109" s="16">
        <v>0.04</v>
      </c>
      <c r="X109" s="34"/>
    </row>
    <row r="110" spans="2:24" outlineLevel="1" x14ac:dyDescent="0.3">
      <c r="R110" s="241" t="s">
        <v>200</v>
      </c>
      <c r="S110" s="16">
        <v>-0.01</v>
      </c>
      <c r="T110" s="16">
        <v>-0.01</v>
      </c>
      <c r="U110" s="16">
        <v>-0.02</v>
      </c>
      <c r="V110" s="34"/>
      <c r="W110" s="16">
        <v>0.04</v>
      </c>
      <c r="X110" s="34"/>
    </row>
    <row r="111" spans="2:24" outlineLevel="1" x14ac:dyDescent="0.3">
      <c r="R111" s="241" t="s">
        <v>201</v>
      </c>
      <c r="S111" s="16">
        <v>-0.01</v>
      </c>
      <c r="T111" s="16">
        <v>-7.0000000000000007E-2</v>
      </c>
      <c r="U111" s="16">
        <v>-0.08</v>
      </c>
      <c r="V111" s="34"/>
      <c r="W111" s="16">
        <v>0.03</v>
      </c>
      <c r="X111" s="34"/>
    </row>
    <row r="112" spans="2:24" outlineLevel="1" x14ac:dyDescent="0.3">
      <c r="R112" s="241" t="s">
        <v>202</v>
      </c>
      <c r="S112" s="16">
        <v>-0.12</v>
      </c>
      <c r="T112" s="16">
        <v>-0.02</v>
      </c>
      <c r="U112" s="16">
        <v>-0.14000000000000001</v>
      </c>
      <c r="V112" s="34"/>
      <c r="W112" s="16">
        <v>0.04</v>
      </c>
      <c r="X112" s="34"/>
    </row>
    <row r="113" spans="18:24" outlineLevel="1" x14ac:dyDescent="0.3">
      <c r="R113" s="241" t="s">
        <v>203</v>
      </c>
      <c r="S113" s="16">
        <v>0.04</v>
      </c>
      <c r="T113" s="16">
        <v>0.02</v>
      </c>
      <c r="U113" s="16">
        <v>7.0000000000000007E-2</v>
      </c>
      <c r="V113" s="34"/>
      <c r="W113" s="16">
        <v>0.05</v>
      </c>
      <c r="X113" s="34"/>
    </row>
    <row r="114" spans="18:24" outlineLevel="1" x14ac:dyDescent="0.3">
      <c r="R114" s="241" t="s">
        <v>204</v>
      </c>
      <c r="S114" s="16">
        <v>0.14000000000000001</v>
      </c>
      <c r="T114" s="16">
        <v>0.01</v>
      </c>
      <c r="U114" s="16">
        <v>0.15</v>
      </c>
      <c r="V114" s="34"/>
      <c r="W114" s="16">
        <v>0.14000000000000001</v>
      </c>
      <c r="X114" s="34"/>
    </row>
    <row r="115" spans="18:24" outlineLevel="1" x14ac:dyDescent="0.3">
      <c r="R115" s="241" t="s">
        <v>205</v>
      </c>
      <c r="S115" s="16">
        <v>-6.0999999999999999E-2</v>
      </c>
      <c r="T115" s="16">
        <v>2.1999999999999999E-2</v>
      </c>
      <c r="U115" s="16">
        <v>-4.1000000000000002E-2</v>
      </c>
      <c r="V115" s="34"/>
      <c r="W115" s="16">
        <v>-0.03</v>
      </c>
      <c r="X115" s="34"/>
    </row>
    <row r="116" spans="18:24" outlineLevel="1" x14ac:dyDescent="0.3">
      <c r="R116" s="241" t="s">
        <v>206</v>
      </c>
      <c r="S116" s="16">
        <v>-7.0999999999999994E-2</v>
      </c>
      <c r="T116" s="16">
        <v>5.8000000000000003E-2</v>
      </c>
      <c r="U116" s="16">
        <v>-1.7000000000000001E-2</v>
      </c>
      <c r="V116" s="34"/>
      <c r="W116" s="16"/>
      <c r="X116" s="34"/>
    </row>
    <row r="117" spans="18:24" outlineLevel="1" x14ac:dyDescent="0.3">
      <c r="R117" s="241" t="s">
        <v>207</v>
      </c>
      <c r="S117" s="16">
        <v>-2.1999999999999999E-2</v>
      </c>
      <c r="T117" s="16">
        <v>0.15</v>
      </c>
      <c r="U117" s="16">
        <v>0.124</v>
      </c>
      <c r="V117" s="34"/>
      <c r="W117" s="16">
        <v>0.08</v>
      </c>
      <c r="X117" s="34"/>
    </row>
    <row r="118" spans="18:24" outlineLevel="1" x14ac:dyDescent="0.3">
      <c r="R118" s="241" t="s">
        <v>208</v>
      </c>
      <c r="S118" s="16">
        <v>-0.04</v>
      </c>
      <c r="T118" s="16">
        <v>0.02</v>
      </c>
      <c r="U118" s="16">
        <v>-0.02</v>
      </c>
      <c r="V118" s="34"/>
      <c r="W118" s="16">
        <v>0.05</v>
      </c>
      <c r="X118" s="34"/>
    </row>
    <row r="119" spans="18:24" outlineLevel="1" x14ac:dyDescent="0.3">
      <c r="R119" s="241" t="s">
        <v>209</v>
      </c>
      <c r="S119" s="16">
        <v>-0.01</v>
      </c>
      <c r="T119" s="16">
        <v>0.02</v>
      </c>
      <c r="U119" s="16">
        <v>0.01</v>
      </c>
      <c r="V119" s="34"/>
      <c r="W119" s="16">
        <v>0.05</v>
      </c>
      <c r="X119" s="34"/>
    </row>
    <row r="120" spans="18:24" outlineLevel="1" x14ac:dyDescent="0.3">
      <c r="R120" s="241" t="s">
        <v>210</v>
      </c>
      <c r="S120" s="16">
        <v>8.9999999999999993E-3</v>
      </c>
      <c r="T120" s="16">
        <v>4.7E-2</v>
      </c>
      <c r="U120" s="16">
        <v>5.7000000000000002E-2</v>
      </c>
      <c r="V120" s="34"/>
      <c r="W120" s="16">
        <v>0.08</v>
      </c>
      <c r="X120" s="34"/>
    </row>
    <row r="121" spans="18:24" outlineLevel="1" x14ac:dyDescent="0.3">
      <c r="R121" s="241" t="s">
        <v>211</v>
      </c>
      <c r="S121" s="16">
        <v>-0.02</v>
      </c>
      <c r="T121" s="16">
        <v>0.04</v>
      </c>
      <c r="U121" s="16">
        <v>0.02</v>
      </c>
      <c r="V121" s="34"/>
      <c r="W121" s="16">
        <v>0.05</v>
      </c>
      <c r="X121" s="34"/>
    </row>
    <row r="122" spans="18:24" outlineLevel="1" x14ac:dyDescent="0.3">
      <c r="R122" s="241" t="s">
        <v>212</v>
      </c>
      <c r="S122" s="16">
        <v>0.01</v>
      </c>
      <c r="T122" s="16">
        <v>0.03</v>
      </c>
      <c r="U122" s="16">
        <v>0.04</v>
      </c>
      <c r="V122" s="34"/>
      <c r="W122" s="16">
        <v>7.0000000000000007E-2</v>
      </c>
      <c r="X122" s="34"/>
    </row>
    <row r="123" spans="18:24" outlineLevel="1" x14ac:dyDescent="0.3">
      <c r="R123" s="241" t="s">
        <v>213</v>
      </c>
      <c r="S123" s="16">
        <v>-0.02</v>
      </c>
      <c r="T123" s="16">
        <v>0.05</v>
      </c>
      <c r="U123" s="16">
        <v>0.02</v>
      </c>
      <c r="V123" s="34"/>
      <c r="W123" s="16">
        <v>0.06</v>
      </c>
      <c r="X123" s="34"/>
    </row>
    <row r="124" spans="18:24" outlineLevel="1" x14ac:dyDescent="0.3">
      <c r="R124" s="241" t="s">
        <v>214</v>
      </c>
      <c r="S124" s="16">
        <v>-0.02</v>
      </c>
      <c r="T124" s="16">
        <v>0.03</v>
      </c>
      <c r="U124" s="16">
        <v>0</v>
      </c>
      <c r="V124" s="34"/>
      <c r="W124" s="16">
        <v>7.0000000000000007E-2</v>
      </c>
      <c r="X124" s="34"/>
    </row>
    <row r="125" spans="18:24" outlineLevel="1" x14ac:dyDescent="0.3">
      <c r="R125" s="241" t="s">
        <v>177</v>
      </c>
      <c r="S125" s="16">
        <v>-0.05</v>
      </c>
      <c r="T125" s="16">
        <v>0.04</v>
      </c>
      <c r="U125" s="16">
        <v>0</v>
      </c>
      <c r="V125" s="34"/>
      <c r="W125" s="16">
        <v>7.0000000000000007E-2</v>
      </c>
      <c r="X125" s="34"/>
    </row>
    <row r="126" spans="18:24" outlineLevel="1" x14ac:dyDescent="0.3">
      <c r="R126" s="241" t="s">
        <v>179</v>
      </c>
      <c r="S126" s="16">
        <v>-0.04</v>
      </c>
      <c r="T126" s="16">
        <v>0.03</v>
      </c>
      <c r="U126" s="16">
        <v>-0.02</v>
      </c>
      <c r="V126" s="34"/>
      <c r="W126" s="16">
        <v>0.04</v>
      </c>
      <c r="X126" s="34"/>
    </row>
    <row r="127" spans="18:24" outlineLevel="1" x14ac:dyDescent="0.3">
      <c r="R127" s="241" t="s">
        <v>181</v>
      </c>
      <c r="S127" s="16">
        <v>-0.02</v>
      </c>
      <c r="T127" s="16">
        <v>0.03</v>
      </c>
      <c r="U127" s="16">
        <v>0.01</v>
      </c>
      <c r="V127" s="34"/>
      <c r="W127" s="16">
        <v>0.05</v>
      </c>
      <c r="X127" s="34"/>
    </row>
    <row r="128" spans="18:24" outlineLevel="1" x14ac:dyDescent="0.3">
      <c r="R128" s="241" t="s">
        <v>183</v>
      </c>
      <c r="S128" s="16">
        <v>-0.02</v>
      </c>
      <c r="T128" s="16">
        <v>7.0000000000000007E-2</v>
      </c>
      <c r="U128" s="16">
        <v>0.05</v>
      </c>
      <c r="V128" s="34"/>
      <c r="W128" s="16">
        <v>0.06</v>
      </c>
      <c r="X128" s="34"/>
    </row>
    <row r="129" spans="2:24" outlineLevel="1" x14ac:dyDescent="0.3">
      <c r="R129" s="241" t="s">
        <v>185</v>
      </c>
      <c r="S129" s="16">
        <v>0.1</v>
      </c>
      <c r="T129" s="16">
        <v>0.13</v>
      </c>
      <c r="U129" s="16">
        <v>0.25</v>
      </c>
      <c r="V129" s="34"/>
      <c r="W129" s="16">
        <v>0.13</v>
      </c>
      <c r="X129" s="34"/>
    </row>
    <row r="130" spans="2:24" outlineLevel="1" x14ac:dyDescent="0.3">
      <c r="R130" s="111" t="s">
        <v>187</v>
      </c>
      <c r="S130" s="34">
        <v>-0.11</v>
      </c>
      <c r="T130" s="34">
        <v>-0.04</v>
      </c>
      <c r="U130" s="34">
        <v>-0.14000000000000001</v>
      </c>
      <c r="V130" s="34"/>
      <c r="W130" s="34">
        <v>-0.02</v>
      </c>
      <c r="X130" s="34"/>
    </row>
    <row r="131" spans="2:24" outlineLevel="1" x14ac:dyDescent="0.3">
      <c r="R131" s="111" t="s">
        <v>215</v>
      </c>
      <c r="S131" s="34">
        <v>-7.0000000000000007E-2</v>
      </c>
      <c r="T131" s="34">
        <v>-0.06</v>
      </c>
      <c r="U131" s="34">
        <v>-0.13</v>
      </c>
      <c r="V131" s="34"/>
      <c r="W131" s="34">
        <v>-0.05</v>
      </c>
      <c r="X131" s="34"/>
    </row>
    <row r="132" spans="2:24" outlineLevel="1" x14ac:dyDescent="0.3">
      <c r="R132" s="86" t="s">
        <v>216</v>
      </c>
      <c r="X132" s="242" t="s">
        <v>217</v>
      </c>
    </row>
    <row r="133" spans="2:24" outlineLevel="1" x14ac:dyDescent="0.3">
      <c r="R133" s="86"/>
    </row>
    <row r="134" spans="2:24" outlineLevel="1" x14ac:dyDescent="0.3">
      <c r="R134" s="86"/>
    </row>
    <row r="135" spans="2:24" outlineLevel="1" x14ac:dyDescent="0.3">
      <c r="B135" s="213" t="s">
        <v>135</v>
      </c>
      <c r="C135" s="214"/>
      <c r="D135" s="214"/>
      <c r="E135" s="214"/>
      <c r="F135" s="214"/>
      <c r="G135" s="215"/>
      <c r="H135" s="215"/>
      <c r="I135" s="215"/>
      <c r="J135" s="214"/>
      <c r="K135" s="216" t="s">
        <v>86</v>
      </c>
      <c r="L135" s="216"/>
      <c r="M135" s="216"/>
      <c r="N135" s="216"/>
      <c r="O135" s="214"/>
      <c r="P135" s="214"/>
      <c r="Q135" s="214"/>
      <c r="R135" s="213" t="s">
        <v>135</v>
      </c>
      <c r="S135" s="214"/>
      <c r="T135" s="214"/>
      <c r="U135" s="214"/>
      <c r="V135" s="214"/>
      <c r="W135" s="214"/>
      <c r="X135" s="214"/>
    </row>
    <row r="136" spans="2:24" outlineLevel="1" x14ac:dyDescent="0.3">
      <c r="B136" s="1" t="s">
        <v>137</v>
      </c>
      <c r="C136" s="360" t="s">
        <v>6</v>
      </c>
      <c r="D136" s="361"/>
      <c r="E136" s="362"/>
      <c r="F136" s="2"/>
      <c r="G136" s="353" t="s">
        <v>60</v>
      </c>
      <c r="H136" s="354"/>
      <c r="I136" s="56" t="s">
        <v>61</v>
      </c>
      <c r="J136" s="4"/>
      <c r="K136" s="363" t="s">
        <v>62</v>
      </c>
      <c r="L136" s="364"/>
      <c r="M136" s="5" t="s">
        <v>89</v>
      </c>
      <c r="N136" s="5" t="s">
        <v>89</v>
      </c>
      <c r="R136" s="192" t="s">
        <v>138</v>
      </c>
      <c r="S136" s="347" t="s">
        <v>63</v>
      </c>
      <c r="T136" s="348"/>
      <c r="U136" s="349"/>
      <c r="V136" s="7"/>
      <c r="W136" s="159" t="s">
        <v>91</v>
      </c>
      <c r="X136" s="159" t="s">
        <v>64</v>
      </c>
    </row>
    <row r="137" spans="2:24" ht="42" outlineLevel="1" x14ac:dyDescent="0.3">
      <c r="B137" s="6" t="s">
        <v>7</v>
      </c>
      <c r="C137" s="7" t="s">
        <v>8</v>
      </c>
      <c r="D137" s="7" t="s">
        <v>9</v>
      </c>
      <c r="E137" s="7" t="s">
        <v>10</v>
      </c>
      <c r="F137" s="8"/>
      <c r="G137" s="9" t="s">
        <v>11</v>
      </c>
      <c r="H137" s="10" t="s">
        <v>12</v>
      </c>
      <c r="I137" s="14" t="s">
        <v>65</v>
      </c>
      <c r="J137" s="12"/>
      <c r="K137" s="61" t="s">
        <v>140</v>
      </c>
      <c r="L137" s="62" t="s">
        <v>141</v>
      </c>
      <c r="M137" s="14" t="s">
        <v>94</v>
      </c>
      <c r="N137" s="14" t="s">
        <v>142</v>
      </c>
      <c r="R137" s="101" t="s">
        <v>66</v>
      </c>
      <c r="S137" s="7" t="s">
        <v>8</v>
      </c>
      <c r="T137" s="7" t="s">
        <v>9</v>
      </c>
      <c r="U137" s="7" t="s">
        <v>10</v>
      </c>
      <c r="V137" s="7"/>
      <c r="W137" s="159" t="s">
        <v>95</v>
      </c>
      <c r="X137" s="159" t="s">
        <v>67</v>
      </c>
    </row>
    <row r="138" spans="2:24" outlineLevel="1" x14ac:dyDescent="0.3">
      <c r="B138" s="15" t="s">
        <v>16</v>
      </c>
      <c r="C138" s="16">
        <v>-0.03</v>
      </c>
      <c r="D138" s="16">
        <v>-0.01</v>
      </c>
      <c r="E138" s="16">
        <v>-0.05</v>
      </c>
      <c r="F138" s="17"/>
      <c r="G138" s="18">
        <v>0.11</v>
      </c>
      <c r="H138" s="19">
        <v>7.0000000000000007E-2</v>
      </c>
      <c r="I138" s="22">
        <v>0.121</v>
      </c>
      <c r="J138" s="21"/>
      <c r="K138" s="18">
        <v>0.09</v>
      </c>
      <c r="L138" s="19">
        <v>0.08</v>
      </c>
      <c r="M138" s="22">
        <v>-7.5999999999999998E-2</v>
      </c>
      <c r="N138" s="21">
        <v>-0.12</v>
      </c>
      <c r="R138" s="241" t="s">
        <v>206</v>
      </c>
      <c r="S138" s="16">
        <v>-7.0999999999999994E-2</v>
      </c>
      <c r="T138" s="16">
        <v>5.8000000000000003E-2</v>
      </c>
      <c r="U138" s="16">
        <v>-1.7000000000000001E-2</v>
      </c>
      <c r="V138" s="34"/>
      <c r="W138" s="16"/>
      <c r="X138" s="34"/>
    </row>
    <row r="139" spans="2:24" outlineLevel="1" x14ac:dyDescent="0.3">
      <c r="B139" s="15" t="s">
        <v>18</v>
      </c>
      <c r="C139" s="16">
        <v>0.1</v>
      </c>
      <c r="D139" s="16">
        <v>-0.14000000000000001</v>
      </c>
      <c r="E139" s="16">
        <v>-0.04</v>
      </c>
      <c r="F139" s="17"/>
      <c r="G139" s="18">
        <v>-0.03</v>
      </c>
      <c r="H139" s="19">
        <v>-0.04</v>
      </c>
      <c r="I139" s="22">
        <v>1.2E-2</v>
      </c>
      <c r="J139" s="21"/>
      <c r="K139" s="18">
        <v>-0.05</v>
      </c>
      <c r="L139" s="19">
        <v>-0.05</v>
      </c>
      <c r="M139" s="22">
        <v>-0.13700000000000001</v>
      </c>
      <c r="N139" s="21">
        <v>-0.15</v>
      </c>
      <c r="R139" s="241" t="s">
        <v>207</v>
      </c>
      <c r="S139" s="16">
        <v>-2.1999999999999999E-2</v>
      </c>
      <c r="T139" s="16">
        <v>0.15</v>
      </c>
      <c r="U139" s="16">
        <v>0.124</v>
      </c>
      <c r="V139" s="34"/>
      <c r="W139" s="16">
        <v>0.08</v>
      </c>
      <c r="X139" s="34"/>
    </row>
    <row r="140" spans="2:24" outlineLevel="1" x14ac:dyDescent="0.3">
      <c r="B140" s="23" t="s">
        <v>21</v>
      </c>
      <c r="C140" s="16">
        <v>-0.02</v>
      </c>
      <c r="D140" s="16">
        <v>-0.06</v>
      </c>
      <c r="E140" s="16">
        <v>-0.08</v>
      </c>
      <c r="F140" s="17"/>
      <c r="G140" s="18">
        <v>0.02</v>
      </c>
      <c r="H140" s="19">
        <v>0.01</v>
      </c>
      <c r="I140" s="22">
        <v>4.9000000000000002E-2</v>
      </c>
      <c r="J140" s="21"/>
      <c r="K140" s="18">
        <v>-0.03</v>
      </c>
      <c r="L140" s="19">
        <v>-0.02</v>
      </c>
      <c r="M140" s="22">
        <v>-0.14499999999999999</v>
      </c>
      <c r="N140" s="21">
        <v>-0.2</v>
      </c>
      <c r="R140" s="241" t="s">
        <v>208</v>
      </c>
      <c r="S140" s="16">
        <v>-0.04</v>
      </c>
      <c r="T140" s="16">
        <v>0.02</v>
      </c>
      <c r="U140" s="16">
        <v>-0.02</v>
      </c>
      <c r="V140" s="34"/>
      <c r="W140" s="16">
        <v>0.05</v>
      </c>
      <c r="X140" s="34"/>
    </row>
    <row r="141" spans="2:24" outlineLevel="1" x14ac:dyDescent="0.3">
      <c r="B141" s="23" t="s">
        <v>23</v>
      </c>
      <c r="C141" s="119">
        <v>-0.03</v>
      </c>
      <c r="D141" s="119">
        <v>-7.0000000000000007E-2</v>
      </c>
      <c r="E141" s="119">
        <v>-0.09</v>
      </c>
      <c r="F141" s="168"/>
      <c r="G141" s="169">
        <v>7.0000000000000007E-2</v>
      </c>
      <c r="H141" s="121">
        <v>0.08</v>
      </c>
      <c r="I141" s="22">
        <v>0.06</v>
      </c>
      <c r="J141" s="21"/>
      <c r="K141" s="169">
        <v>0.01</v>
      </c>
      <c r="L141" s="121">
        <v>0.02</v>
      </c>
      <c r="M141" s="22">
        <v>-0.109</v>
      </c>
      <c r="N141" s="21">
        <v>-0.16</v>
      </c>
      <c r="R141" s="241" t="s">
        <v>209</v>
      </c>
      <c r="S141" s="16">
        <v>-0.01</v>
      </c>
      <c r="T141" s="16">
        <v>0.02</v>
      </c>
      <c r="U141" s="16">
        <v>0.01</v>
      </c>
      <c r="V141" s="34"/>
      <c r="W141" s="16">
        <v>0.05</v>
      </c>
      <c r="X141" s="34"/>
    </row>
    <row r="142" spans="2:24" outlineLevel="1" x14ac:dyDescent="0.3">
      <c r="B142" s="23" t="s">
        <v>25</v>
      </c>
      <c r="C142" s="119">
        <v>-0.04</v>
      </c>
      <c r="D142" s="119">
        <v>-0.06</v>
      </c>
      <c r="E142" s="119">
        <v>-0.1</v>
      </c>
      <c r="F142" s="168"/>
      <c r="G142" s="169">
        <v>7.0000000000000007E-2</v>
      </c>
      <c r="H142" s="121">
        <v>0.06</v>
      </c>
      <c r="I142" s="22">
        <v>0.126</v>
      </c>
      <c r="J142" s="21"/>
      <c r="K142" s="169">
        <v>0.02</v>
      </c>
      <c r="L142" s="121">
        <v>0.03</v>
      </c>
      <c r="M142" s="22">
        <v>-0.124</v>
      </c>
      <c r="N142" s="21">
        <v>-0.18</v>
      </c>
      <c r="R142" s="241" t="s">
        <v>210</v>
      </c>
      <c r="S142" s="16">
        <v>8.9999999999999993E-3</v>
      </c>
      <c r="T142" s="16">
        <v>4.7E-2</v>
      </c>
      <c r="U142" s="16">
        <v>5.7000000000000002E-2</v>
      </c>
      <c r="V142" s="34"/>
      <c r="W142" s="16">
        <v>0.08</v>
      </c>
      <c r="X142" s="34"/>
    </row>
    <row r="143" spans="2:24" outlineLevel="1" x14ac:dyDescent="0.3">
      <c r="B143" s="15" t="s">
        <v>28</v>
      </c>
      <c r="C143" s="119">
        <v>-3.0499999999999999E-2</v>
      </c>
      <c r="D143" s="119">
        <v>-5.2749999999999998E-2</v>
      </c>
      <c r="E143" s="119">
        <v>-8.1000000000000003E-2</v>
      </c>
      <c r="F143" s="168"/>
      <c r="G143" s="169">
        <v>0.03</v>
      </c>
      <c r="H143" s="121">
        <v>0.02</v>
      </c>
      <c r="I143" s="22">
        <v>3.5999999999999997E-2</v>
      </c>
      <c r="J143" s="21"/>
      <c r="K143" s="169">
        <v>0.01</v>
      </c>
      <c r="L143" s="121">
        <v>0.04</v>
      </c>
      <c r="M143" s="22">
        <v>-0.129</v>
      </c>
      <c r="N143" s="21">
        <v>-0.17</v>
      </c>
      <c r="R143" s="241" t="s">
        <v>211</v>
      </c>
      <c r="S143" s="16">
        <v>-0.02</v>
      </c>
      <c r="T143" s="16">
        <v>0.04</v>
      </c>
      <c r="U143" s="16">
        <v>0.02</v>
      </c>
      <c r="V143" s="34"/>
      <c r="W143" s="16">
        <v>0.05</v>
      </c>
      <c r="X143" s="34"/>
    </row>
    <row r="144" spans="2:24" outlineLevel="1" x14ac:dyDescent="0.3">
      <c r="B144" s="15" t="s">
        <v>31</v>
      </c>
      <c r="C144" s="119">
        <v>-4.4560000000000002E-2</v>
      </c>
      <c r="D144" s="119">
        <v>-1.5599999999999999E-2</v>
      </c>
      <c r="E144" s="119">
        <v>-5.9619999999999999E-2</v>
      </c>
      <c r="F144" s="168"/>
      <c r="G144" s="169">
        <v>0.03</v>
      </c>
      <c r="H144" s="121">
        <v>0.03</v>
      </c>
      <c r="I144" s="22">
        <v>6.6000000000000003E-2</v>
      </c>
      <c r="J144" s="21"/>
      <c r="K144" s="169">
        <v>0.03</v>
      </c>
      <c r="L144" s="121">
        <v>0.05</v>
      </c>
      <c r="M144" s="22">
        <v>-0.109</v>
      </c>
      <c r="N144" s="21">
        <v>-0.15</v>
      </c>
      <c r="R144" s="241" t="s">
        <v>212</v>
      </c>
      <c r="S144" s="16">
        <v>0.01</v>
      </c>
      <c r="T144" s="16">
        <v>0.03</v>
      </c>
      <c r="U144" s="16">
        <v>0.04</v>
      </c>
      <c r="V144" s="34"/>
      <c r="W144" s="16">
        <v>7.0000000000000007E-2</v>
      </c>
      <c r="X144" s="34"/>
    </row>
    <row r="145" spans="2:24" outlineLevel="1" x14ac:dyDescent="0.3">
      <c r="B145" s="15" t="s">
        <v>34</v>
      </c>
      <c r="C145" s="119">
        <v>-1.2500000000000001E-2</v>
      </c>
      <c r="D145" s="119">
        <v>-2.2499999999999999E-2</v>
      </c>
      <c r="E145" s="119">
        <v>-3.5000000000000003E-2</v>
      </c>
      <c r="F145" s="168"/>
      <c r="G145" s="169">
        <v>0.02</v>
      </c>
      <c r="H145" s="121">
        <v>0.02</v>
      </c>
      <c r="I145" s="22">
        <v>6.5000000000000002E-2</v>
      </c>
      <c r="J145" s="21"/>
      <c r="K145" s="169">
        <v>0.05</v>
      </c>
      <c r="L145" s="121">
        <v>0.09</v>
      </c>
      <c r="M145" s="22">
        <v>-0.114</v>
      </c>
      <c r="N145" s="21"/>
      <c r="R145" s="241" t="s">
        <v>213</v>
      </c>
      <c r="S145" s="16">
        <v>-0.02</v>
      </c>
      <c r="T145" s="16">
        <v>0.05</v>
      </c>
      <c r="U145" s="16">
        <v>0.02</v>
      </c>
      <c r="V145" s="34"/>
      <c r="W145" s="16">
        <v>0.06</v>
      </c>
      <c r="X145" s="34"/>
    </row>
    <row r="146" spans="2:24" outlineLevel="1" x14ac:dyDescent="0.3">
      <c r="B146" s="15" t="s">
        <v>37</v>
      </c>
      <c r="C146" s="119">
        <v>-2.4999999999999301E-4</v>
      </c>
      <c r="D146" s="119">
        <v>8.0000000000000002E-3</v>
      </c>
      <c r="E146" s="119">
        <v>9.75E-3</v>
      </c>
      <c r="F146" s="168"/>
      <c r="G146" s="169">
        <v>0.04</v>
      </c>
      <c r="H146" s="121">
        <v>0.03</v>
      </c>
      <c r="I146" s="22">
        <v>-2E-3</v>
      </c>
      <c r="J146" s="21"/>
      <c r="K146" s="169">
        <v>0.06</v>
      </c>
      <c r="L146" s="121">
        <v>7.0000000000000007E-2</v>
      </c>
      <c r="M146" s="22">
        <v>-0.14299999999999999</v>
      </c>
      <c r="N146" s="21"/>
      <c r="R146" s="241" t="s">
        <v>214</v>
      </c>
      <c r="S146" s="16">
        <v>-0.02</v>
      </c>
      <c r="T146" s="16">
        <v>0.03</v>
      </c>
      <c r="U146" s="16">
        <v>0</v>
      </c>
      <c r="V146" s="34"/>
      <c r="W146" s="16">
        <v>7.0000000000000007E-2</v>
      </c>
      <c r="X146" s="34"/>
    </row>
    <row r="147" spans="2:24" outlineLevel="1" x14ac:dyDescent="0.3">
      <c r="B147" s="15" t="s">
        <v>40</v>
      </c>
      <c r="C147" s="119">
        <v>-2.6800000000000001E-2</v>
      </c>
      <c r="D147" s="119">
        <v>5.8999999999999997E-2</v>
      </c>
      <c r="E147" s="119">
        <v>3.0800000000000001E-2</v>
      </c>
      <c r="F147" s="168"/>
      <c r="G147" s="169">
        <v>0.04</v>
      </c>
      <c r="H147" s="121">
        <v>0.04</v>
      </c>
      <c r="I147" s="22">
        <v>0.10100000000000001</v>
      </c>
      <c r="J147" s="21"/>
      <c r="K147" s="169">
        <v>0.15</v>
      </c>
      <c r="L147" s="121">
        <v>0.19</v>
      </c>
      <c r="M147" s="22">
        <v>-0.1</v>
      </c>
      <c r="N147" s="21"/>
      <c r="R147" s="241" t="s">
        <v>177</v>
      </c>
      <c r="S147" s="16">
        <v>-0.05</v>
      </c>
      <c r="T147" s="16">
        <v>0.04</v>
      </c>
      <c r="U147" s="16">
        <v>0</v>
      </c>
      <c r="V147" s="34"/>
      <c r="W147" s="16">
        <v>7.0000000000000007E-2</v>
      </c>
      <c r="X147" s="34"/>
    </row>
    <row r="148" spans="2:24" outlineLevel="1" x14ac:dyDescent="0.3">
      <c r="B148" s="15" t="s">
        <v>43</v>
      </c>
      <c r="C148" s="119">
        <v>-1.2500000000000001E-2</v>
      </c>
      <c r="D148" s="119">
        <v>3.7499999999999999E-2</v>
      </c>
      <c r="E148" s="119">
        <v>0.02</v>
      </c>
      <c r="F148" s="121"/>
      <c r="G148" s="169">
        <v>0.05</v>
      </c>
      <c r="H148" s="121">
        <v>0.05</v>
      </c>
      <c r="I148" s="22">
        <v>8.8999999999999996E-2</v>
      </c>
      <c r="J148" s="21"/>
      <c r="K148" s="169">
        <v>0.14000000000000001</v>
      </c>
      <c r="L148" s="121">
        <v>0.18</v>
      </c>
      <c r="M148" s="22">
        <v>-0.14199999999999999</v>
      </c>
      <c r="N148" s="21"/>
      <c r="R148" s="241" t="s">
        <v>179</v>
      </c>
      <c r="S148" s="16">
        <v>-0.04</v>
      </c>
      <c r="T148" s="16">
        <v>0.03</v>
      </c>
      <c r="U148" s="16">
        <v>-0.02</v>
      </c>
      <c r="V148" s="34"/>
      <c r="W148" s="16">
        <v>0.04</v>
      </c>
      <c r="X148" s="34"/>
    </row>
    <row r="149" spans="2:24" outlineLevel="1" x14ac:dyDescent="0.3">
      <c r="B149" s="15" t="s">
        <v>46</v>
      </c>
      <c r="C149" s="119">
        <v>-6.0000000000000001E-3</v>
      </c>
      <c r="D149" s="119">
        <v>0.06</v>
      </c>
      <c r="E149" s="119">
        <v>5.8000000000000003E-2</v>
      </c>
      <c r="F149" s="168"/>
      <c r="G149" s="223">
        <v>0.06</v>
      </c>
      <c r="H149" s="224">
        <v>7.0000000000000007E-2</v>
      </c>
      <c r="I149" s="67">
        <v>8.5000000000000006E-2</v>
      </c>
      <c r="J149" s="21"/>
      <c r="K149" s="223">
        <v>0.09</v>
      </c>
      <c r="L149" s="224">
        <v>0.11</v>
      </c>
      <c r="M149" s="67">
        <v>-0.156</v>
      </c>
      <c r="N149" s="21"/>
      <c r="R149" s="241" t="s">
        <v>181</v>
      </c>
      <c r="S149" s="16">
        <v>-0.02</v>
      </c>
      <c r="T149" s="16">
        <v>0.03</v>
      </c>
      <c r="U149" s="16">
        <v>0.01</v>
      </c>
      <c r="V149" s="34"/>
      <c r="W149" s="16">
        <v>0.05</v>
      </c>
      <c r="X149" s="34"/>
    </row>
    <row r="150" spans="2:24" outlineLevel="1" x14ac:dyDescent="0.3">
      <c r="B150" s="225" t="s">
        <v>49</v>
      </c>
      <c r="C150" s="226"/>
      <c r="D150" s="226"/>
      <c r="E150" s="226"/>
      <c r="F150" s="227"/>
      <c r="G150" s="228"/>
      <c r="H150" s="229"/>
      <c r="I150" s="230"/>
      <c r="J150" s="231"/>
      <c r="K150" s="228"/>
      <c r="L150" s="229"/>
      <c r="M150" s="230"/>
      <c r="N150" s="102"/>
      <c r="R150" s="241" t="s">
        <v>183</v>
      </c>
      <c r="S150" s="16">
        <v>-0.02</v>
      </c>
      <c r="T150" s="16">
        <v>7.0000000000000007E-2</v>
      </c>
      <c r="U150" s="16">
        <v>0.05</v>
      </c>
      <c r="V150" s="34"/>
      <c r="W150" s="16">
        <v>0.06</v>
      </c>
      <c r="X150" s="34"/>
    </row>
    <row r="151" spans="2:24" outlineLevel="1" x14ac:dyDescent="0.3">
      <c r="B151" s="24" t="s">
        <v>54</v>
      </c>
      <c r="C151" s="25">
        <v>1.6666666666666701E-2</v>
      </c>
      <c r="D151" s="25">
        <v>-7.0000000000000007E-2</v>
      </c>
      <c r="E151" s="25">
        <v>-5.6666666666666698E-2</v>
      </c>
      <c r="F151" s="232"/>
      <c r="G151" s="233">
        <v>3.3333333333333298E-2</v>
      </c>
      <c r="H151" s="25">
        <v>1.3333333333333299E-2</v>
      </c>
      <c r="I151" s="234">
        <v>6.0666666666666702E-2</v>
      </c>
      <c r="J151" s="235"/>
      <c r="K151" s="233">
        <v>3.3333333333333301E-3</v>
      </c>
      <c r="L151" s="25">
        <v>3.3333333333333301E-3</v>
      </c>
      <c r="M151" s="234">
        <v>-0.119333333333333</v>
      </c>
      <c r="N151" s="32">
        <f>AVERAGE(N138:N140)</f>
        <v>-0.15666666666666701</v>
      </c>
      <c r="R151" s="241" t="s">
        <v>185</v>
      </c>
      <c r="S151" s="16">
        <v>0.1</v>
      </c>
      <c r="T151" s="16">
        <v>0.13</v>
      </c>
      <c r="U151" s="16">
        <v>0.25</v>
      </c>
      <c r="V151" s="34"/>
      <c r="W151" s="16">
        <v>0.13</v>
      </c>
      <c r="X151" s="34"/>
    </row>
    <row r="152" spans="2:24" outlineLevel="1" x14ac:dyDescent="0.3">
      <c r="B152" s="24" t="s">
        <v>55</v>
      </c>
      <c r="C152" s="25">
        <v>-3.3500000000000002E-2</v>
      </c>
      <c r="D152" s="25">
        <v>-6.0916666666666702E-2</v>
      </c>
      <c r="E152" s="25">
        <v>-9.0333333333333293E-2</v>
      </c>
      <c r="F152" s="30"/>
      <c r="G152" s="25">
        <v>5.6666666666666698E-2</v>
      </c>
      <c r="H152" s="25">
        <v>5.3333333333333302E-2</v>
      </c>
      <c r="I152" s="30">
        <v>7.3999999999999996E-2</v>
      </c>
      <c r="J152" s="31"/>
      <c r="K152" s="233">
        <v>1.3333333333333299E-2</v>
      </c>
      <c r="L152" s="25">
        <v>0.03</v>
      </c>
      <c r="M152" s="30">
        <v>-0.12066666666666701</v>
      </c>
      <c r="N152" s="32">
        <f>AVERAGE(N141:N143)</f>
        <v>-0.17</v>
      </c>
      <c r="R152" s="111" t="s">
        <v>187</v>
      </c>
      <c r="S152" s="34">
        <v>-0.11</v>
      </c>
      <c r="T152" s="34">
        <v>-0.04</v>
      </c>
      <c r="U152" s="34">
        <v>-0.14000000000000001</v>
      </c>
      <c r="V152" s="34"/>
      <c r="W152" s="34">
        <v>-0.02</v>
      </c>
      <c r="X152" s="34"/>
    </row>
    <row r="153" spans="2:24" outlineLevel="1" x14ac:dyDescent="0.3">
      <c r="B153" s="24" t="s">
        <v>56</v>
      </c>
      <c r="C153" s="25">
        <v>-1.9103333333333299E-2</v>
      </c>
      <c r="D153" s="25">
        <v>-1.00333333333333E-2</v>
      </c>
      <c r="E153" s="25">
        <v>-2.8289999999999999E-2</v>
      </c>
      <c r="F153" s="30"/>
      <c r="G153" s="27">
        <v>0.03</v>
      </c>
      <c r="H153" s="26">
        <v>2.66666666666667E-2</v>
      </c>
      <c r="I153" s="30">
        <v>4.2999999999999997E-2</v>
      </c>
      <c r="J153" s="32"/>
      <c r="K153" s="27">
        <v>4.6666666666666697E-2</v>
      </c>
      <c r="L153" s="26">
        <v>7.0000000000000007E-2</v>
      </c>
      <c r="M153" s="30">
        <v>-0.122</v>
      </c>
      <c r="N153" s="32"/>
      <c r="R153" s="111" t="s">
        <v>215</v>
      </c>
      <c r="S153" s="34">
        <v>-7.0000000000000007E-2</v>
      </c>
      <c r="T153" s="34">
        <v>-0.06</v>
      </c>
      <c r="U153" s="34">
        <v>-0.13</v>
      </c>
      <c r="V153" s="34"/>
      <c r="W153" s="34">
        <v>-0.05</v>
      </c>
      <c r="X153" s="34"/>
    </row>
    <row r="154" spans="2:24" outlineLevel="1" x14ac:dyDescent="0.3">
      <c r="B154" s="135" t="s">
        <v>57</v>
      </c>
      <c r="C154" s="140">
        <v>-1.5100000000000001E-2</v>
      </c>
      <c r="D154" s="140">
        <v>5.2166666666666701E-2</v>
      </c>
      <c r="E154" s="140">
        <v>3.6266666666666697E-2</v>
      </c>
      <c r="F154" s="236"/>
      <c r="G154" s="176">
        <v>0.05</v>
      </c>
      <c r="H154" s="205">
        <v>5.3333333333333302E-2</v>
      </c>
      <c r="I154" s="142">
        <v>9.1666666666666702E-2</v>
      </c>
      <c r="J154" s="207"/>
      <c r="K154" s="176">
        <v>0.12666666666666701</v>
      </c>
      <c r="L154" s="205">
        <v>0.16</v>
      </c>
      <c r="M154" s="142">
        <v>-0.13266666666666699</v>
      </c>
      <c r="N154" s="32"/>
      <c r="R154" s="86" t="s">
        <v>216</v>
      </c>
      <c r="X154" s="242" t="s">
        <v>217</v>
      </c>
    </row>
    <row r="155" spans="2:24" outlineLevel="1" x14ac:dyDescent="0.3">
      <c r="B155" s="225" t="s">
        <v>175</v>
      </c>
      <c r="C155" s="226"/>
      <c r="D155" s="226"/>
      <c r="E155" s="226"/>
      <c r="F155" s="227"/>
      <c r="G155" s="228"/>
      <c r="H155" s="229"/>
      <c r="I155" s="230"/>
      <c r="J155" s="237"/>
      <c r="K155" s="228"/>
      <c r="L155" s="229"/>
      <c r="M155" s="230"/>
      <c r="N155" s="32"/>
      <c r="R155" s="29"/>
      <c r="S155" s="21"/>
      <c r="T155" s="243"/>
      <c r="U155" s="243"/>
      <c r="V155" s="243"/>
      <c r="W155" s="243"/>
      <c r="X155" s="243"/>
    </row>
    <row r="156" spans="2:24" outlineLevel="1" x14ac:dyDescent="0.3">
      <c r="B156" s="238" t="s">
        <v>179</v>
      </c>
      <c r="C156" s="16">
        <v>-0.04</v>
      </c>
      <c r="D156" s="16">
        <v>0.03</v>
      </c>
      <c r="E156" s="16">
        <v>-0.02</v>
      </c>
      <c r="F156" s="30"/>
      <c r="G156" s="27"/>
      <c r="H156" s="26"/>
      <c r="I156" s="30"/>
      <c r="J156" s="32"/>
      <c r="K156" s="27"/>
      <c r="L156" s="26"/>
      <c r="M156" s="30"/>
      <c r="N156" s="32"/>
      <c r="R156" s="29"/>
      <c r="S156" s="21"/>
      <c r="T156" s="243"/>
      <c r="U156" s="243"/>
      <c r="V156" s="243"/>
      <c r="W156" s="243"/>
      <c r="X156" s="243"/>
    </row>
    <row r="157" spans="2:24" outlineLevel="1" x14ac:dyDescent="0.3">
      <c r="B157" s="238" t="s">
        <v>181</v>
      </c>
      <c r="C157" s="16">
        <v>-0.02</v>
      </c>
      <c r="D157" s="16">
        <v>0.03</v>
      </c>
      <c r="E157" s="16">
        <v>0.01</v>
      </c>
      <c r="F157" s="30"/>
      <c r="G157" s="27"/>
      <c r="H157" s="26"/>
      <c r="I157" s="30"/>
      <c r="J157" s="32"/>
      <c r="K157" s="27"/>
      <c r="L157" s="26"/>
      <c r="M157" s="30"/>
      <c r="N157" s="32"/>
      <c r="R157" s="29"/>
      <c r="S157" s="21"/>
      <c r="T157" s="243"/>
      <c r="U157" s="243"/>
      <c r="V157" s="243"/>
      <c r="W157" s="243"/>
      <c r="X157" s="243"/>
    </row>
    <row r="158" spans="2:24" outlineLevel="1" x14ac:dyDescent="0.3">
      <c r="B158" s="238" t="s">
        <v>183</v>
      </c>
      <c r="C158" s="16">
        <v>-0.02</v>
      </c>
      <c r="D158" s="16">
        <v>7.0000000000000007E-2</v>
      </c>
      <c r="E158" s="16">
        <v>0.05</v>
      </c>
      <c r="F158" s="30"/>
      <c r="G158" s="27"/>
      <c r="H158" s="26"/>
      <c r="I158" s="30"/>
      <c r="J158" s="32"/>
      <c r="K158" s="27"/>
      <c r="L158" s="26"/>
      <c r="M158" s="30"/>
      <c r="N158" s="32"/>
      <c r="R158" s="29"/>
      <c r="S158" s="21"/>
      <c r="T158" s="243"/>
      <c r="U158" s="243"/>
      <c r="V158" s="243"/>
      <c r="W158" s="243"/>
      <c r="X158" s="243"/>
    </row>
    <row r="159" spans="2:24" outlineLevel="1" x14ac:dyDescent="0.3">
      <c r="B159" s="238" t="s">
        <v>185</v>
      </c>
      <c r="C159" s="16">
        <v>0.1</v>
      </c>
      <c r="D159" s="16">
        <v>0.13</v>
      </c>
      <c r="E159" s="16">
        <v>0.25</v>
      </c>
      <c r="F159" s="30"/>
      <c r="G159" s="27"/>
      <c r="H159" s="26"/>
      <c r="I159" s="30"/>
      <c r="J159" s="32"/>
      <c r="K159" s="27"/>
      <c r="L159" s="26"/>
      <c r="M159" s="30"/>
      <c r="N159" s="32"/>
      <c r="R159" s="29"/>
      <c r="S159" s="21"/>
      <c r="T159" s="243"/>
      <c r="U159" s="243"/>
      <c r="V159" s="243"/>
      <c r="W159" s="243"/>
      <c r="X159" s="243"/>
    </row>
    <row r="160" spans="2:24" outlineLevel="1" x14ac:dyDescent="0.3">
      <c r="B160" s="238" t="s">
        <v>187</v>
      </c>
      <c r="C160" s="16">
        <v>-0.11</v>
      </c>
      <c r="D160" s="16">
        <v>-0.04</v>
      </c>
      <c r="E160" s="16">
        <v>-0.14000000000000001</v>
      </c>
      <c r="F160" s="30"/>
      <c r="G160" s="27"/>
      <c r="H160" s="26"/>
      <c r="I160" s="30"/>
      <c r="J160" s="32"/>
      <c r="K160" s="27"/>
      <c r="L160" s="26"/>
      <c r="M160" s="30"/>
      <c r="N160" s="32"/>
      <c r="R160" s="29"/>
      <c r="S160" s="21"/>
      <c r="T160" s="243"/>
      <c r="U160" s="243"/>
      <c r="V160" s="243"/>
      <c r="W160" s="243"/>
      <c r="X160" s="243"/>
    </row>
    <row r="161" spans="2:26" outlineLevel="1" x14ac:dyDescent="0.3">
      <c r="B161" s="239" t="s">
        <v>215</v>
      </c>
      <c r="C161" s="66">
        <v>-7.0000000000000007E-2</v>
      </c>
      <c r="D161" s="66">
        <v>-0.06</v>
      </c>
      <c r="E161" s="66">
        <v>-0.13</v>
      </c>
      <c r="F161" s="236"/>
      <c r="G161" s="176"/>
      <c r="H161" s="205"/>
      <c r="I161" s="142"/>
      <c r="J161" s="207"/>
      <c r="K161" s="176"/>
      <c r="L161" s="205"/>
      <c r="M161" s="142"/>
      <c r="N161" s="32"/>
      <c r="R161" s="29"/>
      <c r="S161" s="21"/>
      <c r="T161" s="243"/>
      <c r="U161" s="243"/>
      <c r="V161" s="243"/>
      <c r="W161" s="243"/>
      <c r="X161" s="243"/>
    </row>
    <row r="162" spans="2:26" outlineLevel="1" x14ac:dyDescent="0.3">
      <c r="B162" s="240" t="s">
        <v>189</v>
      </c>
      <c r="L162" s="32"/>
      <c r="M162" s="32"/>
      <c r="N162" s="32"/>
      <c r="R162" s="29"/>
      <c r="S162" s="21"/>
      <c r="T162" s="243"/>
      <c r="U162" s="243"/>
      <c r="V162" s="243"/>
      <c r="W162" s="243"/>
      <c r="X162" s="243"/>
    </row>
    <row r="163" spans="2:26" outlineLevel="1" x14ac:dyDescent="0.3">
      <c r="N163" s="32"/>
      <c r="R163" s="29"/>
      <c r="S163" s="21"/>
      <c r="T163" s="243"/>
      <c r="U163" s="243"/>
      <c r="V163" s="243"/>
      <c r="W163" s="243"/>
      <c r="X163" s="243"/>
    </row>
    <row r="164" spans="2:26" outlineLevel="1" x14ac:dyDescent="0.3">
      <c r="R164" s="29"/>
      <c r="S164" s="32"/>
      <c r="T164" s="32"/>
      <c r="U164" s="32"/>
      <c r="V164" s="243"/>
      <c r="W164" s="243"/>
      <c r="X164" s="243"/>
    </row>
    <row r="165" spans="2:26" x14ac:dyDescent="0.3">
      <c r="B165" s="244" t="s">
        <v>218</v>
      </c>
      <c r="C165" s="245"/>
      <c r="D165" s="245"/>
      <c r="E165" s="245"/>
      <c r="F165" s="245"/>
      <c r="G165" s="246"/>
      <c r="H165" s="246"/>
      <c r="I165" s="246"/>
      <c r="J165" s="245"/>
      <c r="K165" s="365" t="s">
        <v>219</v>
      </c>
      <c r="L165" s="365"/>
      <c r="M165" s="247" t="s">
        <v>220</v>
      </c>
      <c r="N165" s="216"/>
      <c r="O165" s="132"/>
      <c r="P165" s="214"/>
      <c r="Q165" s="214"/>
      <c r="R165" s="213" t="s">
        <v>218</v>
      </c>
      <c r="S165" s="214"/>
      <c r="T165" s="214"/>
      <c r="U165" s="214"/>
      <c r="V165" s="214"/>
      <c r="W165" s="214"/>
      <c r="X165" s="214"/>
      <c r="Y165" s="214"/>
      <c r="Z165" s="214"/>
    </row>
    <row r="166" spans="2:26" x14ac:dyDescent="0.3">
      <c r="B166" s="248" t="s">
        <v>221</v>
      </c>
      <c r="C166" s="366" t="s">
        <v>6</v>
      </c>
      <c r="D166" s="367"/>
      <c r="E166" s="368"/>
      <c r="F166" s="249"/>
      <c r="G166" s="369" t="s">
        <v>222</v>
      </c>
      <c r="H166" s="370"/>
      <c r="I166" s="250" t="s">
        <v>61</v>
      </c>
      <c r="J166" s="4"/>
      <c r="K166" s="363" t="s">
        <v>223</v>
      </c>
      <c r="L166" s="364"/>
      <c r="M166" s="251" t="s">
        <v>89</v>
      </c>
      <c r="N166" s="5" t="s">
        <v>89</v>
      </c>
      <c r="R166" s="252" t="s">
        <v>224</v>
      </c>
      <c r="S166" s="339" t="s">
        <v>63</v>
      </c>
      <c r="T166" s="341"/>
      <c r="U166" s="342"/>
      <c r="V166" s="158"/>
      <c r="W166" s="371" t="s">
        <v>225</v>
      </c>
      <c r="X166" s="372"/>
      <c r="Y166" s="373"/>
      <c r="Z166" s="160" t="s">
        <v>64</v>
      </c>
    </row>
    <row r="167" spans="2:26" ht="28" x14ac:dyDescent="0.3">
      <c r="B167" s="253" t="s">
        <v>226</v>
      </c>
      <c r="C167" s="254" t="s">
        <v>50</v>
      </c>
      <c r="D167" s="254" t="s">
        <v>9</v>
      </c>
      <c r="E167" s="254" t="s">
        <v>10</v>
      </c>
      <c r="F167" s="255"/>
      <c r="G167" s="61" t="s">
        <v>51</v>
      </c>
      <c r="H167" s="62" t="s">
        <v>52</v>
      </c>
      <c r="I167" s="14" t="s">
        <v>65</v>
      </c>
      <c r="J167" s="12"/>
      <c r="K167" s="256" t="s">
        <v>227</v>
      </c>
      <c r="L167" s="62" t="s">
        <v>228</v>
      </c>
      <c r="M167" s="14" t="s">
        <v>94</v>
      </c>
      <c r="N167" s="14" t="s">
        <v>142</v>
      </c>
      <c r="R167" s="6" t="s">
        <v>66</v>
      </c>
      <c r="S167" s="7" t="s">
        <v>8</v>
      </c>
      <c r="T167" s="7" t="s">
        <v>9</v>
      </c>
      <c r="U167" s="58" t="s">
        <v>10</v>
      </c>
      <c r="V167" s="158"/>
      <c r="W167" s="61" t="s">
        <v>229</v>
      </c>
      <c r="X167" s="159" t="s">
        <v>230</v>
      </c>
      <c r="Y167" s="14" t="s">
        <v>231</v>
      </c>
      <c r="Z167" s="160" t="s">
        <v>67</v>
      </c>
    </row>
    <row r="168" spans="2:26" x14ac:dyDescent="0.3">
      <c r="B168" s="15" t="s">
        <v>15</v>
      </c>
      <c r="C168" s="16">
        <f>AVERAGE(S168:S171)</f>
        <v>3.5882529500654903E-2</v>
      </c>
      <c r="D168" s="16">
        <f t="shared" ref="D168:E168" si="5">AVERAGE(T168:T171)</f>
        <v>-0.12673754541455201</v>
      </c>
      <c r="E168" s="16">
        <f t="shared" si="5"/>
        <v>-0.10616404685153601</v>
      </c>
      <c r="F168" s="17"/>
      <c r="G168" s="18">
        <v>-4.5999999999999999E-2</v>
      </c>
      <c r="H168" s="19">
        <v>-0.04</v>
      </c>
      <c r="I168" s="22">
        <v>-5.1999999999999998E-2</v>
      </c>
      <c r="J168" s="21"/>
      <c r="K168" s="18">
        <v>-8.9999999999999993E-3</v>
      </c>
      <c r="L168" s="19">
        <v>0.02</v>
      </c>
      <c r="M168" s="22">
        <f>89.6%-1</f>
        <v>-0.104</v>
      </c>
      <c r="N168" s="21">
        <v>-0.12</v>
      </c>
      <c r="R168" s="23" t="s">
        <v>187</v>
      </c>
      <c r="S168" s="34">
        <v>-0.11</v>
      </c>
      <c r="T168" s="34">
        <v>-0.04</v>
      </c>
      <c r="U168" s="82">
        <v>-0.14000000000000001</v>
      </c>
      <c r="V168" s="257"/>
      <c r="W168" s="258">
        <v>-0.02</v>
      </c>
      <c r="X168" s="34">
        <v>-0.14000000000000001</v>
      </c>
      <c r="Y168" s="82">
        <v>-0.03</v>
      </c>
      <c r="Z168" s="259"/>
    </row>
    <row r="169" spans="2:26" x14ac:dyDescent="0.3">
      <c r="B169" s="15" t="s">
        <v>17</v>
      </c>
      <c r="C169" s="16">
        <f>AVERAGE(S172:S174,S176)</f>
        <v>-1.575E-2</v>
      </c>
      <c r="D169" s="16">
        <f>AVERAGE(T172:T174,T176)</f>
        <v>0.17374999999999999</v>
      </c>
      <c r="E169" s="16">
        <f>AVERAGE(U172:U174,U176)</f>
        <v>0.152</v>
      </c>
      <c r="F169" s="17"/>
      <c r="G169" s="18">
        <v>0.1</v>
      </c>
      <c r="H169" s="19">
        <v>0.1</v>
      </c>
      <c r="I169" s="22">
        <v>0.105</v>
      </c>
      <c r="J169" s="21"/>
      <c r="K169" s="18">
        <f>'[9]CAAC Data'!$C$15</f>
        <v>0.167043911272069</v>
      </c>
      <c r="L169" s="19">
        <v>0.2</v>
      </c>
      <c r="M169" s="22">
        <f>93.2%-1</f>
        <v>-6.7999999999999894E-2</v>
      </c>
      <c r="N169" s="21">
        <v>-0.15</v>
      </c>
      <c r="R169" s="23" t="s">
        <v>215</v>
      </c>
      <c r="S169" s="34">
        <v>-7.1978722186722299E-2</v>
      </c>
      <c r="T169" s="34">
        <v>-6.2310455931944599E-2</v>
      </c>
      <c r="U169" s="82">
        <v>-0.12980415112181301</v>
      </c>
      <c r="V169" s="257"/>
      <c r="W169" s="258">
        <v>-0.05</v>
      </c>
      <c r="X169" s="34">
        <v>-0.18</v>
      </c>
      <c r="Y169" s="82">
        <v>-0.08</v>
      </c>
      <c r="Z169" s="259"/>
    </row>
    <row r="170" spans="2:26" x14ac:dyDescent="0.3">
      <c r="B170" s="65" t="s">
        <v>20</v>
      </c>
      <c r="C170" s="66">
        <v>-1.9E-2</v>
      </c>
      <c r="D170" s="66">
        <v>3.2000000000000001E-2</v>
      </c>
      <c r="E170" s="66">
        <v>1.2999999999999999E-2</v>
      </c>
      <c r="F170" s="260"/>
      <c r="G170" s="69">
        <v>0.11</v>
      </c>
      <c r="H170" s="261">
        <v>0.1</v>
      </c>
      <c r="I170" s="67">
        <v>0.11700000000000001</v>
      </c>
      <c r="J170" s="262"/>
      <c r="K170" s="69">
        <f>'[9]CAAC Data'!$D$15</f>
        <v>0.16710487876132099</v>
      </c>
      <c r="L170" s="261">
        <v>0.18</v>
      </c>
      <c r="M170" s="67">
        <f>89.4%-1</f>
        <v>-0.106</v>
      </c>
      <c r="N170" s="21">
        <v>-0.2</v>
      </c>
      <c r="R170" s="23" t="s">
        <v>232</v>
      </c>
      <c r="S170" s="34">
        <v>0.125528467723071</v>
      </c>
      <c r="T170" s="34">
        <v>-6.9828331940065005E-2</v>
      </c>
      <c r="U170" s="82">
        <v>4.6934692270912001E-2</v>
      </c>
      <c r="V170" s="257"/>
      <c r="W170" s="258">
        <v>-0.11</v>
      </c>
      <c r="X170" s="34">
        <v>-0.28000000000000003</v>
      </c>
      <c r="Y170" s="82">
        <v>-0.09</v>
      </c>
      <c r="Z170" s="259"/>
    </row>
    <row r="171" spans="2:26" x14ac:dyDescent="0.3">
      <c r="B171" s="118" t="s">
        <v>22</v>
      </c>
      <c r="C171" s="119">
        <v>1.4E-2</v>
      </c>
      <c r="D171" s="119">
        <v>4.2999999999999997E-2</v>
      </c>
      <c r="E171" s="119">
        <v>5.7000000000000002E-2</v>
      </c>
      <c r="F171" s="168"/>
      <c r="G171" s="169">
        <f>'[9]CAAC Data'!$E$8</f>
        <v>-2.3648145389543202E-3</v>
      </c>
      <c r="H171" s="121">
        <f>[9]Summary!$DG$15</f>
        <v>-7.1916233796305304E-3</v>
      </c>
      <c r="I171" s="122">
        <v>0.105</v>
      </c>
      <c r="J171" s="21"/>
      <c r="K171" s="263">
        <f>'[10]CAAC Data'!$E$15</f>
        <v>5.4802103515084501E-2</v>
      </c>
      <c r="L171" s="264">
        <f>[10]Summary!$DG$16</f>
        <v>6.3888364945845502E-2</v>
      </c>
      <c r="M171" s="265">
        <f>89.3%-1</f>
        <v>-0.107</v>
      </c>
      <c r="N171" s="21">
        <v>-0.16</v>
      </c>
      <c r="R171" s="23" t="s">
        <v>233</v>
      </c>
      <c r="S171" s="34">
        <v>0.19998037246627101</v>
      </c>
      <c r="T171" s="34">
        <v>-0.33481139378620001</v>
      </c>
      <c r="U171" s="82">
        <v>-0.20178672855524399</v>
      </c>
      <c r="V171" s="257"/>
      <c r="W171" s="258">
        <v>-0.02</v>
      </c>
      <c r="X171" s="34">
        <v>-0.12</v>
      </c>
      <c r="Y171" s="82">
        <v>-0.02</v>
      </c>
      <c r="Z171" s="259"/>
    </row>
    <row r="172" spans="2:26" x14ac:dyDescent="0.3">
      <c r="B172" s="266" t="s">
        <v>234</v>
      </c>
      <c r="C172" s="267">
        <v>-1.4E-2</v>
      </c>
      <c r="D172" s="267">
        <v>2.1999999999999999E-2</v>
      </c>
      <c r="E172" s="267">
        <v>8.0000000000000002E-3</v>
      </c>
      <c r="F172" s="268"/>
      <c r="G172" s="269">
        <v>-7.8124214694792707E-2</v>
      </c>
      <c r="H172" s="270">
        <v>-9.2958172582229798E-2</v>
      </c>
      <c r="I172" s="271">
        <v>1.9E-2</v>
      </c>
      <c r="J172" s="272"/>
      <c r="K172" s="269">
        <v>8.0000000000000004E-4</v>
      </c>
      <c r="L172" s="270">
        <v>1.07481431230323E-2</v>
      </c>
      <c r="M172" s="271">
        <f>85%-1</f>
        <v>-0.15</v>
      </c>
      <c r="N172" s="21">
        <v>-0.18</v>
      </c>
      <c r="R172" s="23" t="s">
        <v>235</v>
      </c>
      <c r="S172" s="34">
        <v>0.11700000000000001</v>
      </c>
      <c r="T172" s="34">
        <v>-0.115</v>
      </c>
      <c r="U172" s="82">
        <v>-1.2E-2</v>
      </c>
      <c r="V172" s="257"/>
      <c r="W172" s="258">
        <v>-0.04</v>
      </c>
      <c r="X172" s="34">
        <v>-0.18</v>
      </c>
      <c r="Y172" s="273">
        <v>0</v>
      </c>
      <c r="Z172" s="259"/>
    </row>
    <row r="173" spans="2:26" x14ac:dyDescent="0.3">
      <c r="B173" s="15" t="s">
        <v>27</v>
      </c>
      <c r="C173" s="119">
        <v>-2.5000000000000001E-2</v>
      </c>
      <c r="D173" s="119">
        <v>2.1999999999999999E-2</v>
      </c>
      <c r="E173" s="119">
        <v>-4.0000000000000001E-3</v>
      </c>
      <c r="F173" s="168"/>
      <c r="G173" s="263">
        <v>-7.0529200459208199E-2</v>
      </c>
      <c r="H173" s="264">
        <v>-7.8456518915284296E-2</v>
      </c>
      <c r="I173" s="82">
        <v>3.7000000000000002E-3</v>
      </c>
      <c r="J173" s="21"/>
      <c r="K173" s="263">
        <v>-1.9548038264245102E-2</v>
      </c>
      <c r="L173" s="264">
        <v>-1.9217036093623901E-3</v>
      </c>
      <c r="M173" s="82">
        <f>83.7%-1</f>
        <v>-0.16300000000000001</v>
      </c>
      <c r="N173" s="21">
        <v>-0.17</v>
      </c>
      <c r="R173" s="23" t="s">
        <v>236</v>
      </c>
      <c r="S173" s="34">
        <v>-0.09</v>
      </c>
      <c r="T173" s="34">
        <v>0.09</v>
      </c>
      <c r="U173" s="82">
        <v>0</v>
      </c>
      <c r="V173" s="274"/>
      <c r="W173" s="275"/>
      <c r="X173" s="276"/>
      <c r="Y173" s="277"/>
      <c r="Z173" s="278"/>
    </row>
    <row r="174" spans="2:26" outlineLevel="1" x14ac:dyDescent="0.3">
      <c r="B174" s="15" t="s">
        <v>298</v>
      </c>
      <c r="C174" s="119">
        <v>-2.9899999999999999E-2</v>
      </c>
      <c r="D174" s="119">
        <v>-0.01</v>
      </c>
      <c r="E174" s="119">
        <v>-3.9600000000000003E-2</v>
      </c>
      <c r="F174" s="168"/>
      <c r="G174" s="169"/>
      <c r="H174" s="121"/>
      <c r="I174" s="22"/>
      <c r="J174" s="21"/>
      <c r="K174" s="169"/>
      <c r="L174" s="121"/>
      <c r="M174" s="22"/>
      <c r="N174" s="21">
        <v>-0.15</v>
      </c>
      <c r="R174" s="23" t="s">
        <v>237</v>
      </c>
      <c r="S174" s="34">
        <v>0.01</v>
      </c>
      <c r="T174" s="34">
        <v>0.63</v>
      </c>
      <c r="U174" s="82">
        <v>0.64</v>
      </c>
      <c r="V174" s="274"/>
      <c r="W174" s="275">
        <v>0.15</v>
      </c>
      <c r="X174" s="276">
        <v>0.32</v>
      </c>
      <c r="Y174" s="273">
        <v>0.08</v>
      </c>
      <c r="Z174" s="278"/>
    </row>
    <row r="175" spans="2:26" hidden="1" outlineLevel="1" x14ac:dyDescent="0.3">
      <c r="B175" s="15" t="s">
        <v>33</v>
      </c>
      <c r="C175" s="119"/>
      <c r="D175" s="119"/>
      <c r="E175" s="119"/>
      <c r="F175" s="168"/>
      <c r="G175" s="169"/>
      <c r="H175" s="121"/>
      <c r="I175" s="22"/>
      <c r="J175" s="21"/>
      <c r="K175" s="169"/>
      <c r="L175" s="121"/>
      <c r="M175" s="22"/>
      <c r="N175" s="21"/>
      <c r="R175" s="279" t="s">
        <v>238</v>
      </c>
      <c r="S175" s="280">
        <v>0.04</v>
      </c>
      <c r="T175" s="280">
        <v>0.01</v>
      </c>
      <c r="U175" s="281">
        <v>0.05</v>
      </c>
      <c r="V175" s="282"/>
      <c r="W175" s="283">
        <v>7.6999999999999999E-2</v>
      </c>
      <c r="X175" s="276"/>
      <c r="Y175" s="273"/>
      <c r="Z175" s="278"/>
    </row>
    <row r="176" spans="2:26" hidden="1" outlineLevel="1" x14ac:dyDescent="0.3">
      <c r="B176" s="15" t="s">
        <v>36</v>
      </c>
      <c r="C176" s="119"/>
      <c r="D176" s="119"/>
      <c r="E176" s="119"/>
      <c r="F176" s="168"/>
      <c r="G176" s="169"/>
      <c r="H176" s="121"/>
      <c r="I176" s="22"/>
      <c r="J176" s="21"/>
      <c r="K176" s="169"/>
      <c r="L176" s="121"/>
      <c r="M176" s="22"/>
      <c r="N176" s="21"/>
      <c r="R176" s="23" t="s">
        <v>239</v>
      </c>
      <c r="S176" s="34">
        <v>-0.1</v>
      </c>
      <c r="T176" s="34">
        <v>0.09</v>
      </c>
      <c r="U176" s="82">
        <v>-0.02</v>
      </c>
      <c r="V176" s="274"/>
      <c r="W176" s="275">
        <v>0.32</v>
      </c>
      <c r="X176" s="276">
        <v>0.46</v>
      </c>
      <c r="Y176" s="273">
        <v>0.2</v>
      </c>
      <c r="Z176" s="278"/>
    </row>
    <row r="177" spans="2:26" hidden="1" outlineLevel="1" x14ac:dyDescent="0.3">
      <c r="B177" s="15" t="s">
        <v>39</v>
      </c>
      <c r="C177" s="119"/>
      <c r="D177" s="119"/>
      <c r="E177" s="119"/>
      <c r="F177" s="168"/>
      <c r="G177" s="169"/>
      <c r="H177" s="121"/>
      <c r="I177" s="22"/>
      <c r="J177" s="21"/>
      <c r="K177" s="169"/>
      <c r="L177" s="121"/>
      <c r="M177" s="22"/>
      <c r="N177" s="21"/>
      <c r="R177" s="23" t="s">
        <v>240</v>
      </c>
      <c r="S177" s="34">
        <v>-0.1</v>
      </c>
      <c r="T177" s="34">
        <v>-0.04</v>
      </c>
      <c r="U177" s="82">
        <v>-0.14000000000000001</v>
      </c>
      <c r="V177" s="257"/>
      <c r="W177" s="258">
        <v>0.23</v>
      </c>
      <c r="X177" s="34">
        <v>0.09</v>
      </c>
      <c r="Y177" s="82">
        <v>0.17</v>
      </c>
      <c r="Z177" s="259"/>
    </row>
    <row r="178" spans="2:26" hidden="1" outlineLevel="1" x14ac:dyDescent="0.3">
      <c r="B178" s="15" t="s">
        <v>42</v>
      </c>
      <c r="C178" s="119"/>
      <c r="D178" s="119"/>
      <c r="E178" s="119"/>
      <c r="F178" s="121"/>
      <c r="G178" s="169"/>
      <c r="H178" s="121"/>
      <c r="I178" s="22"/>
      <c r="J178" s="21"/>
      <c r="K178" s="169"/>
      <c r="L178" s="121"/>
      <c r="M178" s="22"/>
      <c r="N178" s="21"/>
      <c r="R178" s="23" t="s">
        <v>241</v>
      </c>
      <c r="S178" s="34">
        <v>4.0000000000000001E-3</v>
      </c>
      <c r="T178" s="34">
        <v>4.7E-2</v>
      </c>
      <c r="U178" s="82">
        <v>5.0999999999999997E-2</v>
      </c>
      <c r="V178" s="257"/>
      <c r="W178" s="258">
        <v>0.13</v>
      </c>
      <c r="X178" s="34">
        <v>-0.01</v>
      </c>
      <c r="Y178" s="82">
        <v>0.08</v>
      </c>
      <c r="Z178" s="259"/>
    </row>
    <row r="179" spans="2:26" hidden="1" outlineLevel="1" x14ac:dyDescent="0.3">
      <c r="B179" s="15" t="s">
        <v>45</v>
      </c>
      <c r="C179" s="119"/>
      <c r="D179" s="119"/>
      <c r="E179" s="119"/>
      <c r="F179" s="168"/>
      <c r="G179" s="223"/>
      <c r="H179" s="224"/>
      <c r="I179" s="67"/>
      <c r="J179" s="21"/>
      <c r="K179" s="223"/>
      <c r="L179" s="224"/>
      <c r="M179" s="67"/>
      <c r="N179" s="21"/>
      <c r="R179" s="23" t="s">
        <v>242</v>
      </c>
      <c r="S179" s="16">
        <v>-0.04</v>
      </c>
      <c r="T179" s="34">
        <v>0.03</v>
      </c>
      <c r="U179" s="82">
        <v>-0.01</v>
      </c>
      <c r="V179" s="257"/>
      <c r="W179" s="258">
        <v>7.0000000000000007E-2</v>
      </c>
      <c r="X179" s="34">
        <v>-0.04</v>
      </c>
      <c r="Y179" s="82">
        <v>0.04</v>
      </c>
      <c r="Z179" s="259"/>
    </row>
    <row r="180" spans="2:26" x14ac:dyDescent="0.3">
      <c r="B180" s="225" t="s">
        <v>48</v>
      </c>
      <c r="C180" s="226"/>
      <c r="D180" s="226"/>
      <c r="E180" s="226"/>
      <c r="F180" s="227"/>
      <c r="G180" s="228"/>
      <c r="H180" s="229"/>
      <c r="I180" s="230"/>
      <c r="J180" s="231"/>
      <c r="K180" s="228"/>
      <c r="L180" s="229"/>
      <c r="M180" s="230"/>
      <c r="N180" s="102"/>
      <c r="R180" s="23" t="s">
        <v>243</v>
      </c>
      <c r="S180" s="16">
        <v>-8.9999999999999993E-3</v>
      </c>
      <c r="T180" s="34">
        <v>5.3999999999999999E-2</v>
      </c>
      <c r="U180" s="82">
        <v>4.4999999999999998E-2</v>
      </c>
      <c r="V180" s="274"/>
      <c r="W180" s="275">
        <v>0.06</v>
      </c>
      <c r="X180" s="34">
        <v>-0.05</v>
      </c>
      <c r="Y180" s="82">
        <v>0.04</v>
      </c>
      <c r="Z180" s="259"/>
    </row>
    <row r="181" spans="2:26" x14ac:dyDescent="0.3">
      <c r="B181" s="15" t="s">
        <v>54</v>
      </c>
      <c r="C181" s="25">
        <v>0.01</v>
      </c>
      <c r="D181" s="25">
        <v>3.7999999999999999E-2</v>
      </c>
      <c r="E181" s="25">
        <v>4.8000000000000001E-2</v>
      </c>
      <c r="F181" s="232"/>
      <c r="G181" s="233">
        <v>5.4827715401070801E-2</v>
      </c>
      <c r="H181" s="25">
        <f>'[9]Top4 Domestic'!$O$11</f>
        <v>5.51103805125948E-2</v>
      </c>
      <c r="I181" s="234">
        <f>AVERAGE(I168:I170)</f>
        <v>5.6666666666666698E-2</v>
      </c>
      <c r="J181" s="235"/>
      <c r="K181" s="233">
        <f>'[9]CAAC Data'!$O$15</f>
        <v>0.103072348860258</v>
      </c>
      <c r="L181" s="25">
        <f>'[9]Top4 Intl.+Reg'!$O$11</f>
        <v>0.12787371291299099</v>
      </c>
      <c r="M181" s="234">
        <f>AVERAGE(M168:M171)</f>
        <v>-9.6250000000000002E-2</v>
      </c>
      <c r="N181" s="32">
        <f>AVERAGE(N168:N170)</f>
        <v>-0.15666666666666701</v>
      </c>
      <c r="R181" s="23" t="s">
        <v>244</v>
      </c>
      <c r="S181" s="16">
        <v>4.3999999999999997E-2</v>
      </c>
      <c r="T181" s="34">
        <v>3.9E-2</v>
      </c>
      <c r="U181" s="82">
        <v>8.5000000000000006E-2</v>
      </c>
      <c r="V181" s="257"/>
      <c r="W181" s="258">
        <v>0.05</v>
      </c>
      <c r="X181" s="34">
        <v>0.08</v>
      </c>
      <c r="Y181" s="82">
        <v>0</v>
      </c>
      <c r="Z181" s="259"/>
    </row>
    <row r="182" spans="2:26" x14ac:dyDescent="0.3">
      <c r="B182" s="284" t="s">
        <v>55</v>
      </c>
      <c r="C182" s="285">
        <f>AVERAGE(C171:C173)</f>
        <v>-8.3333333333333297E-3</v>
      </c>
      <c r="D182" s="285">
        <f>AVERAGE(D171:D173)</f>
        <v>2.9000000000000001E-2</v>
      </c>
      <c r="E182" s="285">
        <f>AVERAGE(E171:E173)</f>
        <v>2.0333333333333301E-2</v>
      </c>
      <c r="F182" s="286"/>
      <c r="G182" s="285">
        <v>-5.1999999999999998E-2</v>
      </c>
      <c r="H182" s="285">
        <v>-6.0171969169678999E-2</v>
      </c>
      <c r="I182" s="286">
        <v>4.61539786279523E-2</v>
      </c>
      <c r="J182" s="31"/>
      <c r="K182" s="287">
        <v>2.7324709411323599E-2</v>
      </c>
      <c r="L182" s="285">
        <v>1.2213310171962999E-2</v>
      </c>
      <c r="M182" s="286">
        <f>AVERAGE(M171:M173)</f>
        <v>-0.14000000000000001</v>
      </c>
      <c r="N182" s="32">
        <f>AVERAGE(N171:N173)</f>
        <v>-0.17</v>
      </c>
      <c r="R182" s="238" t="s">
        <v>245</v>
      </c>
      <c r="S182" s="16">
        <v>-2.07454283954439E-2</v>
      </c>
      <c r="T182" s="16">
        <v>6.5380075321152406E-2</v>
      </c>
      <c r="U182" s="22">
        <v>4.3278309254642697E-2</v>
      </c>
      <c r="V182" s="257"/>
      <c r="W182" s="27">
        <v>0.01</v>
      </c>
      <c r="X182" s="26">
        <v>0.25</v>
      </c>
      <c r="Y182" s="30">
        <v>-0.01</v>
      </c>
      <c r="Z182" s="259"/>
    </row>
    <row r="183" spans="2:26" hidden="1" outlineLevel="1" x14ac:dyDescent="0.3">
      <c r="B183" s="24" t="s">
        <v>56</v>
      </c>
      <c r="C183" s="25"/>
      <c r="D183" s="25"/>
      <c r="E183" s="25"/>
      <c r="F183" s="30"/>
      <c r="G183" s="27"/>
      <c r="H183" s="26"/>
      <c r="I183" s="30"/>
      <c r="J183" s="32"/>
      <c r="K183" s="27"/>
      <c r="L183" s="26"/>
      <c r="M183" s="30"/>
      <c r="N183" s="32"/>
      <c r="R183" s="238" t="s">
        <v>246</v>
      </c>
      <c r="S183" s="16">
        <v>-2.3712310160448401E-2</v>
      </c>
      <c r="T183" s="16">
        <v>1.8913215162941199E-2</v>
      </c>
      <c r="U183" s="22">
        <v>-5.2475710215834602E-3</v>
      </c>
      <c r="V183" s="257"/>
      <c r="W183" s="27">
        <v>-0.02</v>
      </c>
      <c r="X183" s="26">
        <v>0.17</v>
      </c>
      <c r="Y183" s="30">
        <v>-0.04</v>
      </c>
      <c r="Z183" s="259"/>
    </row>
    <row r="184" spans="2:26" hidden="1" outlineLevel="1" x14ac:dyDescent="0.3">
      <c r="B184" s="135" t="s">
        <v>57</v>
      </c>
      <c r="C184" s="140"/>
      <c r="D184" s="140"/>
      <c r="E184" s="140"/>
      <c r="F184" s="236"/>
      <c r="G184" s="176"/>
      <c r="H184" s="205"/>
      <c r="I184" s="142"/>
      <c r="J184" s="207"/>
      <c r="K184" s="176"/>
      <c r="L184" s="205"/>
      <c r="M184" s="142"/>
      <c r="N184" s="32"/>
      <c r="R184" s="238" t="s">
        <v>247</v>
      </c>
      <c r="S184" s="16">
        <v>2.4118989188415901E-2</v>
      </c>
      <c r="T184" s="16">
        <v>4.2786937030200499E-2</v>
      </c>
      <c r="U184" s="22">
        <v>6.79379038902512E-2</v>
      </c>
      <c r="V184" s="257"/>
      <c r="W184" s="27">
        <v>-0.01</v>
      </c>
      <c r="X184" s="26">
        <v>0.09</v>
      </c>
      <c r="Y184" s="30">
        <v>-0.02</v>
      </c>
      <c r="Z184" s="259"/>
    </row>
    <row r="185" spans="2:26" collapsed="1" x14ac:dyDescent="0.3">
      <c r="B185" s="288" t="s">
        <v>248</v>
      </c>
      <c r="C185" s="289" t="s">
        <v>50</v>
      </c>
      <c r="D185" s="289" t="s">
        <v>9</v>
      </c>
      <c r="E185" s="289" t="s">
        <v>10</v>
      </c>
      <c r="F185" s="290"/>
      <c r="G185" s="291" t="s">
        <v>249</v>
      </c>
      <c r="H185" s="292" t="s">
        <v>230</v>
      </c>
      <c r="I185" s="293" t="s">
        <v>231</v>
      </c>
      <c r="J185" s="294"/>
      <c r="K185" s="295"/>
      <c r="L185" s="296"/>
      <c r="M185" s="297"/>
      <c r="N185" s="32"/>
      <c r="R185" s="238" t="s">
        <v>250</v>
      </c>
      <c r="S185" s="16">
        <v>-5.5346856133146598E-2</v>
      </c>
      <c r="T185" s="16">
        <v>-3.3412911472458097E-2</v>
      </c>
      <c r="U185" s="22">
        <v>-8.6910468001349495E-2</v>
      </c>
      <c r="V185" s="257"/>
      <c r="W185" s="27">
        <v>-0.04</v>
      </c>
      <c r="X185" s="26">
        <v>7.0000000000000007E-2</v>
      </c>
      <c r="Y185" s="30">
        <v>-0.04</v>
      </c>
      <c r="Z185" s="259"/>
    </row>
    <row r="186" spans="2:26" x14ac:dyDescent="0.3">
      <c r="B186" s="298" t="s">
        <v>251</v>
      </c>
      <c r="C186" s="299">
        <v>-4.0357580417366597E-2</v>
      </c>
      <c r="D186" s="299">
        <v>-1.35531051827629E-2</v>
      </c>
      <c r="E186" s="299">
        <v>-5.3363715067811103E-2</v>
      </c>
      <c r="F186" s="300"/>
      <c r="G186" s="301">
        <v>-0.02</v>
      </c>
      <c r="H186" s="302">
        <v>-7.0000000000000007E-2</v>
      </c>
      <c r="I186" s="300">
        <v>-0.03</v>
      </c>
      <c r="J186" s="32"/>
      <c r="K186" s="27"/>
      <c r="L186" s="26"/>
      <c r="M186" s="30"/>
      <c r="N186" s="32"/>
      <c r="R186" s="303" t="s">
        <v>252</v>
      </c>
      <c r="S186" s="304">
        <v>1.38238664512416E-2</v>
      </c>
      <c r="T186" s="304">
        <v>0.136463359647327</v>
      </c>
      <c r="U186" s="305">
        <v>0.152173677357821</v>
      </c>
      <c r="V186" s="257"/>
      <c r="W186" s="306">
        <v>-0.06</v>
      </c>
      <c r="X186" s="210">
        <v>7.0000000000000007E-2</v>
      </c>
      <c r="Y186" s="307">
        <v>-0.06</v>
      </c>
      <c r="Z186" s="259"/>
    </row>
    <row r="187" spans="2:26" x14ac:dyDescent="0.3">
      <c r="B187" s="308" t="s">
        <v>253</v>
      </c>
      <c r="C187" s="309">
        <v>-4.82913053184095E-2</v>
      </c>
      <c r="D187" s="309">
        <v>-1.7881429227387301E-2</v>
      </c>
      <c r="E187" s="309">
        <v>-6.5309216987447502E-2</v>
      </c>
      <c r="F187" s="286"/>
      <c r="G187" s="310">
        <v>-0.01</v>
      </c>
      <c r="H187" s="311">
        <v>-0.08</v>
      </c>
      <c r="I187" s="286">
        <v>-0.04</v>
      </c>
      <c r="J187" s="32"/>
      <c r="K187" s="27"/>
      <c r="L187" s="26"/>
      <c r="M187" s="30"/>
      <c r="N187" s="32"/>
      <c r="R187" s="303" t="s">
        <v>254</v>
      </c>
      <c r="S187" s="304">
        <v>-2.83123067766522E-2</v>
      </c>
      <c r="T187" s="304">
        <v>2.8595549766516501E-2</v>
      </c>
      <c r="U187" s="305">
        <v>-5.2636298756769705E-4</v>
      </c>
      <c r="V187" s="257"/>
      <c r="W187" s="306">
        <v>-0.08</v>
      </c>
      <c r="X187" s="210">
        <v>0.14000000000000001</v>
      </c>
      <c r="Y187" s="307">
        <v>-0.1</v>
      </c>
      <c r="Z187" s="259"/>
    </row>
    <row r="188" spans="2:26" x14ac:dyDescent="0.3">
      <c r="B188" s="308" t="s">
        <v>255</v>
      </c>
      <c r="C188" s="309">
        <v>-4.2000000000000003E-2</v>
      </c>
      <c r="D188" s="309">
        <v>-1.2999999999999999E-2</v>
      </c>
      <c r="E188" s="309">
        <v>-5.3999999999999999E-2</v>
      </c>
      <c r="F188" s="286"/>
      <c r="G188" s="310">
        <v>0.06</v>
      </c>
      <c r="H188" s="311">
        <v>-7.0000000000000007E-2</v>
      </c>
      <c r="I188" s="286">
        <v>0.03</v>
      </c>
      <c r="J188" s="32"/>
      <c r="K188" s="27"/>
      <c r="L188" s="26"/>
      <c r="M188" s="30"/>
      <c r="N188" s="32"/>
      <c r="R188" s="303" t="s">
        <v>256</v>
      </c>
      <c r="S188" s="304">
        <v>-2.73503984680732E-2</v>
      </c>
      <c r="T188" s="304">
        <v>2.39059257598386E-2</v>
      </c>
      <c r="U188" s="305">
        <v>-4.0983093035132897E-3</v>
      </c>
      <c r="V188" s="257"/>
      <c r="W188" s="306">
        <v>-7.0000000000000007E-2</v>
      </c>
      <c r="X188" s="210">
        <v>0.17</v>
      </c>
      <c r="Y188" s="307">
        <v>-0.08</v>
      </c>
      <c r="Z188" s="259"/>
    </row>
    <row r="189" spans="2:26" x14ac:dyDescent="0.3">
      <c r="B189" s="298" t="s">
        <v>257</v>
      </c>
      <c r="C189" s="299">
        <v>-1.2448132780082799E-2</v>
      </c>
      <c r="D189" s="299">
        <v>-7.3963018490753596E-3</v>
      </c>
      <c r="E189" s="299">
        <v>-2.00690846286701E-2</v>
      </c>
      <c r="F189" s="300"/>
      <c r="G189" s="301">
        <v>0.06</v>
      </c>
      <c r="H189" s="302">
        <v>-0.06</v>
      </c>
      <c r="I189" s="300">
        <v>0.03</v>
      </c>
      <c r="J189" s="32"/>
      <c r="K189" s="27"/>
      <c r="L189" s="26"/>
      <c r="M189" s="30"/>
      <c r="N189" s="32"/>
      <c r="R189" s="303" t="s">
        <v>258</v>
      </c>
      <c r="S189" s="304">
        <v>6.2255845411314202E-2</v>
      </c>
      <c r="T189" s="304">
        <v>1.7031090912775299E-2</v>
      </c>
      <c r="U189" s="305">
        <v>8.0347221287139906E-2</v>
      </c>
      <c r="V189" s="257"/>
      <c r="W189" s="306">
        <v>-0.08</v>
      </c>
      <c r="X189" s="210">
        <v>0.17</v>
      </c>
      <c r="Y189" s="307">
        <v>-0.1</v>
      </c>
      <c r="Z189" s="259"/>
    </row>
    <row r="190" spans="2:26" x14ac:dyDescent="0.3">
      <c r="B190" s="312" t="s">
        <v>259</v>
      </c>
      <c r="C190" s="313">
        <v>-8.9999999999999993E-3</v>
      </c>
      <c r="D190" s="313">
        <v>0</v>
      </c>
      <c r="E190" s="313">
        <v>-8.9999999999999993E-3</v>
      </c>
      <c r="F190" s="314"/>
      <c r="G190" s="315">
        <v>0.08</v>
      </c>
      <c r="H190" s="316">
        <v>-7.0000000000000007E-2</v>
      </c>
      <c r="I190" s="314">
        <v>0.05</v>
      </c>
      <c r="J190" s="32"/>
      <c r="K190" s="306"/>
      <c r="L190" s="210"/>
      <c r="M190" s="307"/>
      <c r="N190" s="32"/>
      <c r="R190" s="303" t="s">
        <v>260</v>
      </c>
      <c r="S190" s="304">
        <v>1.2725192700159701E-2</v>
      </c>
      <c r="T190" s="304">
        <v>1.70577555047806E-2</v>
      </c>
      <c r="U190" s="305">
        <v>3.00000114307724E-2</v>
      </c>
      <c r="V190" s="257"/>
      <c r="W190" s="306">
        <v>-0.1</v>
      </c>
      <c r="X190" s="210">
        <v>0.17</v>
      </c>
      <c r="Y190" s="307">
        <v>-0.11</v>
      </c>
      <c r="Z190" s="259"/>
    </row>
    <row r="191" spans="2:26" x14ac:dyDescent="0.3">
      <c r="B191" s="317" t="s">
        <v>261</v>
      </c>
      <c r="C191" s="318">
        <v>-1.5547758244013299E-2</v>
      </c>
      <c r="D191" s="318">
        <v>9.2929543053288399E-4</v>
      </c>
      <c r="E191" s="318">
        <v>-1.46329112741732E-2</v>
      </c>
      <c r="F191" s="319"/>
      <c r="G191" s="320">
        <v>0.04</v>
      </c>
      <c r="H191" s="321">
        <v>-0.08</v>
      </c>
      <c r="I191" s="319">
        <v>0.02</v>
      </c>
      <c r="J191" s="32"/>
      <c r="K191" s="176"/>
      <c r="L191" s="205"/>
      <c r="M191" s="142"/>
      <c r="N191" s="32"/>
      <c r="R191" s="238" t="s">
        <v>262</v>
      </c>
      <c r="S191" s="16">
        <v>-2.5751189178116699E-2</v>
      </c>
      <c r="T191" s="16">
        <v>2.08980684040097E-2</v>
      </c>
      <c r="U191" s="22">
        <v>-5.3912708870342803E-3</v>
      </c>
      <c r="V191" s="257"/>
      <c r="W191" s="306">
        <v>-7.0000000000000007E-2</v>
      </c>
      <c r="X191" s="210">
        <v>0.06</v>
      </c>
      <c r="Y191" s="307">
        <v>-0.06</v>
      </c>
      <c r="Z191" s="259"/>
    </row>
    <row r="192" spans="2:26" x14ac:dyDescent="0.3">
      <c r="B192" s="322" t="s">
        <v>263</v>
      </c>
      <c r="C192" s="323">
        <v>-3.3643301234280797E-2</v>
      </c>
      <c r="D192" s="323">
        <v>-7.3863418400484902E-3</v>
      </c>
      <c r="E192" s="323">
        <v>-4.0781142150785203E-2</v>
      </c>
      <c r="F192" s="324"/>
      <c r="G192" s="325">
        <v>0.04</v>
      </c>
      <c r="H192" s="326">
        <v>-0.06</v>
      </c>
      <c r="I192" s="327">
        <v>0.02</v>
      </c>
      <c r="J192" s="32"/>
      <c r="K192" s="328"/>
      <c r="L192" s="329"/>
      <c r="M192" s="328"/>
      <c r="N192" s="32"/>
      <c r="R192" s="303" t="s">
        <v>264</v>
      </c>
      <c r="S192" s="304">
        <v>-8.0032084160920905E-2</v>
      </c>
      <c r="T192" s="304">
        <v>5.5559574461084803E-2</v>
      </c>
      <c r="U192" s="305">
        <v>-2.8919058239050902E-2</v>
      </c>
      <c r="V192" s="257"/>
      <c r="W192" s="306">
        <v>-0.05</v>
      </c>
      <c r="X192" s="210">
        <v>0.03</v>
      </c>
      <c r="Y192" s="307">
        <v>-0.05</v>
      </c>
      <c r="Z192" s="259"/>
    </row>
    <row r="193" spans="2:26" x14ac:dyDescent="0.3">
      <c r="J193" s="32"/>
      <c r="K193" s="32"/>
      <c r="L193" s="32"/>
      <c r="M193" s="32"/>
      <c r="N193" s="32"/>
      <c r="R193" s="238" t="s">
        <v>265</v>
      </c>
      <c r="S193" s="16">
        <v>-5.8000000000000003E-2</v>
      </c>
      <c r="T193" s="16">
        <v>-1E-3</v>
      </c>
      <c r="U193" s="22">
        <v>-5.8999999999999997E-2</v>
      </c>
      <c r="V193" s="257"/>
      <c r="W193" s="27">
        <v>-0.04</v>
      </c>
      <c r="X193" s="26">
        <v>-0.09</v>
      </c>
      <c r="Y193" s="30">
        <v>-0.04</v>
      </c>
      <c r="Z193" s="259"/>
    </row>
    <row r="194" spans="2:26" x14ac:dyDescent="0.3">
      <c r="B194" s="330"/>
      <c r="C194" s="21"/>
      <c r="D194" s="21"/>
      <c r="E194" s="21"/>
      <c r="F194" s="32"/>
      <c r="G194" s="32"/>
      <c r="H194" s="32"/>
      <c r="I194" s="32"/>
      <c r="J194" s="32"/>
      <c r="K194" s="32"/>
      <c r="L194" s="32"/>
      <c r="M194" s="32"/>
      <c r="N194" s="32"/>
      <c r="R194" s="238" t="s">
        <v>251</v>
      </c>
      <c r="S194" s="16">
        <v>-4.0399999999999998E-2</v>
      </c>
      <c r="T194" s="16">
        <v>-1.3599999999999999E-2</v>
      </c>
      <c r="U194" s="22">
        <v>-5.3400000000000003E-2</v>
      </c>
      <c r="V194" s="257"/>
      <c r="W194" s="27">
        <v>-0.02</v>
      </c>
      <c r="X194" s="26">
        <v>-7.0000000000000007E-2</v>
      </c>
      <c r="Y194" s="30">
        <v>-0.03</v>
      </c>
      <c r="Z194" s="259"/>
    </row>
    <row r="195" spans="2:26" x14ac:dyDescent="0.3">
      <c r="B195" s="29"/>
      <c r="C195" s="29"/>
      <c r="D195" s="29"/>
      <c r="E195" s="29"/>
      <c r="F195" s="29"/>
      <c r="G195" s="29"/>
      <c r="H195" s="29"/>
      <c r="I195" s="29"/>
      <c r="J195" s="32"/>
      <c r="K195" s="32"/>
      <c r="L195" s="32"/>
      <c r="M195" s="32"/>
      <c r="N195" s="32"/>
      <c r="R195" s="238" t="s">
        <v>253</v>
      </c>
      <c r="S195" s="16">
        <v>-4.82913053184095E-2</v>
      </c>
      <c r="T195" s="16">
        <v>-1.7881429227387301E-2</v>
      </c>
      <c r="U195" s="22">
        <v>-6.5309216987447502E-2</v>
      </c>
      <c r="V195" s="257"/>
      <c r="W195" s="27">
        <v>-0.01</v>
      </c>
      <c r="X195" s="26">
        <v>-0.08</v>
      </c>
      <c r="Y195" s="30">
        <v>-0.04</v>
      </c>
      <c r="Z195" s="259"/>
    </row>
    <row r="196" spans="2:26" x14ac:dyDescent="0.3">
      <c r="J196" s="32"/>
      <c r="K196" s="32"/>
      <c r="L196" s="32"/>
      <c r="M196" s="32"/>
      <c r="N196" s="32"/>
      <c r="R196" s="238" t="s">
        <v>255</v>
      </c>
      <c r="S196" s="34">
        <v>-4.2000000000000003E-2</v>
      </c>
      <c r="T196" s="34">
        <v>-1.2999999999999999E-2</v>
      </c>
      <c r="U196" s="82">
        <v>-5.3999999999999999E-2</v>
      </c>
      <c r="V196" s="235"/>
      <c r="W196" s="27">
        <v>0.06</v>
      </c>
      <c r="X196" s="26">
        <v>-7.0000000000000007E-2</v>
      </c>
      <c r="Y196" s="30">
        <v>0.03</v>
      </c>
      <c r="Z196" s="259"/>
    </row>
    <row r="197" spans="2:26" x14ac:dyDescent="0.3">
      <c r="B197" s="240" t="s">
        <v>266</v>
      </c>
      <c r="C197" s="21"/>
      <c r="D197" s="21"/>
      <c r="E197" s="21"/>
      <c r="F197" s="32"/>
      <c r="G197" s="331" t="s">
        <v>267</v>
      </c>
      <c r="H197" s="32"/>
      <c r="I197" s="32"/>
      <c r="J197" s="32"/>
      <c r="K197" s="32"/>
      <c r="L197" s="32"/>
      <c r="M197" s="32"/>
      <c r="N197" s="32"/>
      <c r="R197" s="238" t="s">
        <v>257</v>
      </c>
      <c r="S197" s="16">
        <v>-1.2448132780082799E-2</v>
      </c>
      <c r="T197" s="34">
        <v>-7.3963018490753596E-3</v>
      </c>
      <c r="U197" s="82">
        <v>-2.00690846286701E-2</v>
      </c>
      <c r="V197" s="257"/>
      <c r="W197" s="27">
        <v>0.06</v>
      </c>
      <c r="X197" s="25">
        <v>-0.06</v>
      </c>
      <c r="Y197" s="30">
        <v>0.03</v>
      </c>
      <c r="Z197" s="259"/>
    </row>
    <row r="198" spans="2:26" x14ac:dyDescent="0.3">
      <c r="J198" s="32"/>
      <c r="K198" s="32"/>
      <c r="L198" s="32"/>
      <c r="M198" s="32"/>
      <c r="N198" s="32"/>
      <c r="R198" s="332" t="s">
        <v>259</v>
      </c>
      <c r="S198" s="276">
        <v>-8.9999999999999993E-3</v>
      </c>
      <c r="T198" s="276">
        <v>0</v>
      </c>
      <c r="U198" s="273">
        <v>-8.9999999999999993E-3</v>
      </c>
      <c r="V198" s="333"/>
      <c r="W198" s="334">
        <v>0.08</v>
      </c>
      <c r="X198" s="129">
        <v>-7.0000000000000007E-2</v>
      </c>
      <c r="Y198" s="130">
        <v>0.05</v>
      </c>
      <c r="Z198" s="259"/>
    </row>
    <row r="199" spans="2:26" x14ac:dyDescent="0.3">
      <c r="J199" s="32"/>
      <c r="K199" s="32"/>
      <c r="L199" s="32"/>
      <c r="M199" s="32"/>
      <c r="N199" s="32"/>
      <c r="R199" s="308" t="s">
        <v>261</v>
      </c>
      <c r="S199" s="309">
        <v>-1.5547758244013299E-2</v>
      </c>
      <c r="T199" s="309">
        <v>9.2929543053288399E-4</v>
      </c>
      <c r="U199" s="335">
        <v>-1.46329112741732E-2</v>
      </c>
      <c r="V199" s="336"/>
      <c r="W199" s="310">
        <v>0.04</v>
      </c>
      <c r="X199" s="337">
        <v>-0.08</v>
      </c>
      <c r="Y199" s="286">
        <v>0.02</v>
      </c>
      <c r="Z199" s="259"/>
    </row>
    <row r="200" spans="2:26" x14ac:dyDescent="0.3">
      <c r="J200" s="26"/>
      <c r="K200" s="32"/>
      <c r="L200" s="32"/>
      <c r="M200" s="32"/>
      <c r="N200" s="32"/>
      <c r="R200" s="322" t="s">
        <v>263</v>
      </c>
      <c r="S200" s="323">
        <v>-3.3643301234280797E-2</v>
      </c>
      <c r="T200" s="323">
        <v>-7.3863418400484902E-3</v>
      </c>
      <c r="U200" s="323">
        <v>-4.0781142150785203E-2</v>
      </c>
      <c r="V200" s="324"/>
      <c r="W200" s="325">
        <v>0.04</v>
      </c>
      <c r="X200" s="326">
        <v>-0.06</v>
      </c>
      <c r="Y200" s="327">
        <v>0.02</v>
      </c>
      <c r="Z200" s="259"/>
    </row>
    <row r="201" spans="2:26" x14ac:dyDescent="0.3">
      <c r="J201" s="32"/>
      <c r="K201" s="32"/>
      <c r="L201" s="32"/>
      <c r="M201" s="32"/>
      <c r="N201" s="32"/>
    </row>
    <row r="202" spans="2:26" x14ac:dyDescent="0.3">
      <c r="J202" s="32"/>
      <c r="K202" s="32"/>
      <c r="L202" s="32"/>
      <c r="M202" s="32"/>
      <c r="N202" s="32"/>
      <c r="R202" s="29"/>
      <c r="S202" s="21"/>
      <c r="T202" s="243"/>
      <c r="U202" s="243"/>
      <c r="V202" s="243"/>
      <c r="W202" s="243"/>
      <c r="X202" s="243"/>
    </row>
    <row r="203" spans="2:26" x14ac:dyDescent="0.3">
      <c r="J203" s="32"/>
      <c r="K203" s="32"/>
      <c r="L203" s="32"/>
      <c r="M203" s="32"/>
      <c r="N203" s="32"/>
      <c r="R203" s="29"/>
      <c r="S203" s="21"/>
      <c r="T203" s="243"/>
      <c r="U203" s="243"/>
      <c r="V203" s="243"/>
      <c r="W203" s="243"/>
      <c r="X203" s="243"/>
    </row>
    <row r="204" spans="2:26" x14ac:dyDescent="0.3">
      <c r="J204" s="32"/>
      <c r="K204" s="32"/>
      <c r="L204" s="32"/>
      <c r="M204" s="32"/>
      <c r="R204" s="86" t="s">
        <v>268</v>
      </c>
      <c r="X204" s="242" t="s">
        <v>217</v>
      </c>
    </row>
    <row r="205" spans="2:26" x14ac:dyDescent="0.3">
      <c r="J205" s="32"/>
      <c r="K205" s="32"/>
      <c r="L205" s="32"/>
      <c r="M205" s="32"/>
    </row>
    <row r="206" spans="2:26" x14ac:dyDescent="0.3">
      <c r="J206" s="29"/>
      <c r="K206" s="29"/>
      <c r="L206" s="29"/>
      <c r="M206" s="29"/>
    </row>
  </sheetData>
  <sheetProtection formatCells="0" formatColumns="0" formatRows="0" insertColumns="0" insertRows="0" insertHyperlinks="0" deleteColumns="0" deleteRows="0" sort="0" autoFilter="0" pivotTables="0"/>
  <mergeCells count="33">
    <mergeCell ref="AG48:AG54"/>
    <mergeCell ref="AH48:AH54"/>
    <mergeCell ref="C166:E166"/>
    <mergeCell ref="G166:H166"/>
    <mergeCell ref="K166:L166"/>
    <mergeCell ref="S166:U166"/>
    <mergeCell ref="W166:Y166"/>
    <mergeCell ref="C136:E136"/>
    <mergeCell ref="G136:H136"/>
    <mergeCell ref="K136:L136"/>
    <mergeCell ref="S136:U136"/>
    <mergeCell ref="K165:L165"/>
    <mergeCell ref="S46:U46"/>
    <mergeCell ref="K69:L69"/>
    <mergeCell ref="C74:E74"/>
    <mergeCell ref="G74:H74"/>
    <mergeCell ref="K74:L74"/>
    <mergeCell ref="S74:U74"/>
    <mergeCell ref="G45:I45"/>
    <mergeCell ref="K45:M45"/>
    <mergeCell ref="C46:E46"/>
    <mergeCell ref="G46:H46"/>
    <mergeCell ref="K46:L46"/>
    <mergeCell ref="AF2:AG2"/>
    <mergeCell ref="C24:E24"/>
    <mergeCell ref="G24:H24"/>
    <mergeCell ref="K24:L24"/>
    <mergeCell ref="S24:U24"/>
    <mergeCell ref="C2:E2"/>
    <mergeCell ref="G2:I2"/>
    <mergeCell ref="S2:U2"/>
    <mergeCell ref="W2:Y2"/>
    <mergeCell ref="AB2:AD2"/>
  </mergeCells>
  <phoneticPr fontId="26" type="noConversion"/>
  <pageMargins left="0.7" right="0.7" top="0.75" bottom="0.75" header="0.3" footer="0.3"/>
  <pageSetup paperSize="9" orientation="portrait"/>
  <ignoredErrors>
    <ignoredError sqref="K63 C61:E64 G63:I63 L63:M64 H64:I64 C81:E87 C89:L89 C91:L91 C90:E90 G90:L90 K92:L92 G92:I92 C168:E168" formulaRange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H32" sqref="H32"/>
    </sheetView>
  </sheetViews>
  <sheetFormatPr defaultColWidth="9" defaultRowHeight="14" x14ac:dyDescent="0.3"/>
  <cols>
    <col min="2" max="3" width="10" customWidth="1"/>
    <col min="6" max="7" width="10" customWidth="1"/>
  </cols>
  <sheetData>
    <row r="1" spans="1:8" x14ac:dyDescent="0.3">
      <c r="B1" s="87">
        <v>2023</v>
      </c>
      <c r="C1" s="87">
        <v>2026</v>
      </c>
      <c r="D1" s="88" t="s">
        <v>269</v>
      </c>
      <c r="F1" s="87">
        <v>2023</v>
      </c>
      <c r="G1" s="87" t="s">
        <v>270</v>
      </c>
      <c r="H1" s="88" t="s">
        <v>271</v>
      </c>
    </row>
    <row r="2" spans="1:8" x14ac:dyDescent="0.3">
      <c r="A2" t="s">
        <v>272</v>
      </c>
      <c r="B2" s="89">
        <v>3.48</v>
      </c>
      <c r="C2" s="89">
        <v>10.38</v>
      </c>
      <c r="D2" s="90">
        <f>(C2/B2)^(1/3)-1</f>
        <v>0.43948133016166602</v>
      </c>
      <c r="E2" t="s">
        <v>272</v>
      </c>
      <c r="F2" s="89">
        <v>3.48</v>
      </c>
      <c r="G2" s="89">
        <v>6.64</v>
      </c>
      <c r="H2" s="90">
        <f>G2/F2-1</f>
        <v>0.90804597701149403</v>
      </c>
    </row>
    <row r="3" spans="1:8" x14ac:dyDescent="0.3">
      <c r="A3" t="s">
        <v>273</v>
      </c>
      <c r="B3" s="89">
        <v>10.72</v>
      </c>
      <c r="C3" s="89">
        <v>31.84</v>
      </c>
      <c r="D3" s="90">
        <f t="shared" ref="D3:D26" si="0">(C3/B3)^(1/3)-1</f>
        <v>0.43745003541220201</v>
      </c>
      <c r="E3" t="s">
        <v>273</v>
      </c>
      <c r="F3" s="89">
        <v>10.72</v>
      </c>
      <c r="G3" s="89">
        <v>16.12</v>
      </c>
      <c r="H3" s="90">
        <f t="shared" ref="H3:H26" si="1">G3/F3-1</f>
        <v>0.50373134328358204</v>
      </c>
    </row>
    <row r="4" spans="1:8" x14ac:dyDescent="0.3">
      <c r="A4" t="s">
        <v>274</v>
      </c>
      <c r="B4" s="89">
        <v>46.51</v>
      </c>
      <c r="C4" s="89">
        <v>120.5</v>
      </c>
      <c r="D4" s="90">
        <f t="shared" si="0"/>
        <v>0.37345226256401798</v>
      </c>
      <c r="E4" t="s">
        <v>274</v>
      </c>
      <c r="F4" s="89">
        <v>46.51</v>
      </c>
      <c r="G4" s="89">
        <v>85.03</v>
      </c>
      <c r="H4" s="90">
        <f t="shared" si="1"/>
        <v>0.82820898731455606</v>
      </c>
    </row>
    <row r="5" spans="1:8" x14ac:dyDescent="0.3">
      <c r="A5" t="s">
        <v>275</v>
      </c>
      <c r="B5" s="89">
        <v>4.78</v>
      </c>
      <c r="C5" s="89">
        <v>8.19</v>
      </c>
      <c r="D5" s="90">
        <f t="shared" si="0"/>
        <v>0.19660827469320299</v>
      </c>
      <c r="E5" t="s">
        <v>275</v>
      </c>
      <c r="F5" s="89">
        <v>4.78</v>
      </c>
      <c r="G5" s="89">
        <v>5.83</v>
      </c>
      <c r="H5" s="90">
        <f t="shared" si="1"/>
        <v>0.21966527196652699</v>
      </c>
    </row>
    <row r="6" spans="1:8" x14ac:dyDescent="0.3">
      <c r="A6" t="s">
        <v>276</v>
      </c>
      <c r="B6" s="89">
        <v>2.63</v>
      </c>
      <c r="C6" s="89">
        <v>5.72</v>
      </c>
      <c r="D6" s="90">
        <f t="shared" si="0"/>
        <v>0.295627309055566</v>
      </c>
      <c r="E6" t="s">
        <v>276</v>
      </c>
      <c r="F6" s="89">
        <v>2.63</v>
      </c>
      <c r="G6" s="89">
        <v>3.46</v>
      </c>
      <c r="H6" s="90">
        <f t="shared" si="1"/>
        <v>0.315589353612167</v>
      </c>
    </row>
    <row r="7" spans="1:8" x14ac:dyDescent="0.3">
      <c r="A7" t="s">
        <v>277</v>
      </c>
      <c r="B7" s="89">
        <v>16.32</v>
      </c>
      <c r="C7" s="89">
        <v>27.91</v>
      </c>
      <c r="D7" s="90">
        <f t="shared" si="0"/>
        <v>0.19585877326774001</v>
      </c>
      <c r="E7" t="s">
        <v>277</v>
      </c>
      <c r="F7" s="89">
        <v>16.32</v>
      </c>
      <c r="G7" s="89">
        <v>22.45</v>
      </c>
      <c r="H7" s="90">
        <f t="shared" si="1"/>
        <v>0.37561274509803899</v>
      </c>
    </row>
    <row r="8" spans="1:8" x14ac:dyDescent="0.3">
      <c r="A8" t="s">
        <v>278</v>
      </c>
      <c r="B8" s="89">
        <v>54.56</v>
      </c>
      <c r="C8" s="89">
        <v>70.36</v>
      </c>
      <c r="D8" s="90">
        <f t="shared" si="0"/>
        <v>8.8471736106281507E-2</v>
      </c>
      <c r="E8" t="s">
        <v>278</v>
      </c>
      <c r="F8" s="89">
        <v>54.56</v>
      </c>
      <c r="G8" s="89">
        <v>62.23</v>
      </c>
      <c r="H8" s="90">
        <f t="shared" si="1"/>
        <v>0.14057917888563001</v>
      </c>
    </row>
    <row r="9" spans="1:8" x14ac:dyDescent="0.3">
      <c r="A9" t="s">
        <v>279</v>
      </c>
      <c r="B9" s="89">
        <v>11.08</v>
      </c>
      <c r="C9" s="89">
        <v>17.149999999999999</v>
      </c>
      <c r="D9" s="90">
        <f t="shared" si="0"/>
        <v>0.15675518451803699</v>
      </c>
      <c r="E9" t="s">
        <v>279</v>
      </c>
      <c r="F9" s="89">
        <v>11.08</v>
      </c>
      <c r="G9" s="89">
        <v>15.71</v>
      </c>
      <c r="H9" s="90">
        <f t="shared" si="1"/>
        <v>0.41787003610108298</v>
      </c>
    </row>
    <row r="10" spans="1:8" x14ac:dyDescent="0.3">
      <c r="A10" t="s">
        <v>280</v>
      </c>
      <c r="B10" s="89">
        <v>19.48</v>
      </c>
      <c r="C10" s="89">
        <v>29.26</v>
      </c>
      <c r="D10" s="90">
        <f t="shared" si="0"/>
        <v>0.14523634718333001</v>
      </c>
      <c r="E10" t="s">
        <v>280</v>
      </c>
      <c r="F10" s="89">
        <v>19.48</v>
      </c>
      <c r="G10" s="89">
        <v>24.2</v>
      </c>
      <c r="H10" s="90">
        <f t="shared" si="1"/>
        <v>0.242299794661191</v>
      </c>
    </row>
    <row r="11" spans="1:8" x14ac:dyDescent="0.3">
      <c r="A11" t="s">
        <v>281</v>
      </c>
      <c r="B11" s="89">
        <v>3.74</v>
      </c>
      <c r="C11" s="89">
        <v>6.25</v>
      </c>
      <c r="D11" s="90">
        <f t="shared" si="0"/>
        <v>0.18668687329363801</v>
      </c>
      <c r="E11" t="s">
        <v>281</v>
      </c>
      <c r="F11" s="89">
        <v>3.74</v>
      </c>
      <c r="G11" s="89">
        <v>4.7300000000000004</v>
      </c>
      <c r="H11" s="90">
        <f t="shared" si="1"/>
        <v>0.26470588235294101</v>
      </c>
    </row>
    <row r="12" spans="1:8" x14ac:dyDescent="0.3">
      <c r="A12" t="s">
        <v>282</v>
      </c>
      <c r="B12" s="89">
        <v>5.55</v>
      </c>
      <c r="C12" s="89">
        <v>9.02</v>
      </c>
      <c r="D12" s="90">
        <f t="shared" si="0"/>
        <v>0.17572165723677799</v>
      </c>
      <c r="E12" t="s">
        <v>282</v>
      </c>
      <c r="F12" s="89">
        <v>5.55</v>
      </c>
      <c r="G12" s="89">
        <v>4</v>
      </c>
      <c r="H12" s="90">
        <f t="shared" si="1"/>
        <v>-0.27927927927927898</v>
      </c>
    </row>
    <row r="13" spans="1:8" x14ac:dyDescent="0.3">
      <c r="A13" t="s">
        <v>283</v>
      </c>
      <c r="B13" s="89">
        <v>2.7</v>
      </c>
      <c r="C13" s="89">
        <v>3.04</v>
      </c>
      <c r="D13" s="90">
        <f t="shared" si="0"/>
        <v>4.0327167138589901E-2</v>
      </c>
      <c r="E13" t="s">
        <v>283</v>
      </c>
      <c r="F13" s="89">
        <v>2.7</v>
      </c>
      <c r="G13" s="89">
        <v>2.36</v>
      </c>
      <c r="H13" s="90">
        <f t="shared" si="1"/>
        <v>-0.125925925925926</v>
      </c>
    </row>
    <row r="14" spans="1:8" x14ac:dyDescent="0.3">
      <c r="A14" t="s">
        <v>284</v>
      </c>
      <c r="B14" s="89">
        <v>29.84</v>
      </c>
      <c r="C14" s="89">
        <v>42.75</v>
      </c>
      <c r="D14" s="90">
        <f t="shared" si="0"/>
        <v>0.127316248584224</v>
      </c>
      <c r="E14" t="s">
        <v>284</v>
      </c>
      <c r="F14" s="89">
        <v>29.84</v>
      </c>
      <c r="G14" s="89">
        <v>33.049999999999997</v>
      </c>
      <c r="H14" s="90">
        <f t="shared" si="1"/>
        <v>0.107573726541555</v>
      </c>
    </row>
    <row r="15" spans="1:8" x14ac:dyDescent="0.3">
      <c r="A15" t="s">
        <v>285</v>
      </c>
      <c r="B15" s="89">
        <v>10.6</v>
      </c>
      <c r="C15" s="89">
        <v>16.190000000000001</v>
      </c>
      <c r="D15" s="90">
        <f t="shared" si="0"/>
        <v>0.15163183346768799</v>
      </c>
      <c r="E15" t="s">
        <v>285</v>
      </c>
      <c r="F15" s="89">
        <v>10.6</v>
      </c>
      <c r="G15" s="89">
        <v>11.75</v>
      </c>
      <c r="H15" s="90">
        <f t="shared" si="1"/>
        <v>0.10849056603773601</v>
      </c>
    </row>
    <row r="16" spans="1:8" x14ac:dyDescent="0.3">
      <c r="A16" t="s">
        <v>286</v>
      </c>
      <c r="B16" s="89">
        <v>14.2</v>
      </c>
      <c r="C16" s="89">
        <v>19.87</v>
      </c>
      <c r="D16" s="90">
        <f t="shared" si="0"/>
        <v>0.118501337023027</v>
      </c>
      <c r="E16" t="s">
        <v>286</v>
      </c>
      <c r="F16" s="89">
        <v>14.2</v>
      </c>
      <c r="G16" s="89">
        <v>15.73</v>
      </c>
      <c r="H16" s="90">
        <f t="shared" si="1"/>
        <v>0.10774647887324</v>
      </c>
    </row>
    <row r="17" spans="1:8" x14ac:dyDescent="0.3">
      <c r="A17" t="s">
        <v>287</v>
      </c>
      <c r="B17" s="89">
        <v>50.15</v>
      </c>
      <c r="C17" s="89">
        <v>59.79</v>
      </c>
      <c r="D17" s="90">
        <f t="shared" si="0"/>
        <v>6.0358052178632403E-2</v>
      </c>
      <c r="E17" t="s">
        <v>287</v>
      </c>
      <c r="F17" s="89">
        <v>50.15</v>
      </c>
      <c r="G17" s="89">
        <v>49.94</v>
      </c>
      <c r="H17" s="90">
        <f t="shared" si="1"/>
        <v>-4.18743768693919E-3</v>
      </c>
    </row>
    <row r="18" spans="1:8" x14ac:dyDescent="0.3">
      <c r="A18" t="s">
        <v>288</v>
      </c>
      <c r="B18" s="89">
        <v>1.25</v>
      </c>
      <c r="C18" s="89">
        <v>1.66</v>
      </c>
      <c r="D18" s="90">
        <f t="shared" si="0"/>
        <v>9.9172932019002694E-2</v>
      </c>
      <c r="E18" t="s">
        <v>288</v>
      </c>
      <c r="F18" s="89">
        <v>1.25</v>
      </c>
      <c r="G18" s="89">
        <v>1.26</v>
      </c>
      <c r="H18" s="90">
        <f t="shared" si="1"/>
        <v>8.0000000000000106E-3</v>
      </c>
    </row>
    <row r="19" spans="1:8" x14ac:dyDescent="0.3">
      <c r="A19" t="s">
        <v>289</v>
      </c>
      <c r="B19" s="89">
        <v>81.06</v>
      </c>
      <c r="C19" s="89">
        <v>87.07</v>
      </c>
      <c r="D19" s="90">
        <f t="shared" si="0"/>
        <v>2.4127390720476E-2</v>
      </c>
      <c r="E19" t="s">
        <v>289</v>
      </c>
      <c r="F19" s="89">
        <v>81.06</v>
      </c>
      <c r="G19" s="89">
        <v>80.23</v>
      </c>
      <c r="H19" s="90">
        <f t="shared" si="1"/>
        <v>-1.0239328892178601E-2</v>
      </c>
    </row>
    <row r="20" spans="1:8" x14ac:dyDescent="0.3">
      <c r="A20" t="s">
        <v>290</v>
      </c>
      <c r="B20" s="89">
        <v>16.899999999999999</v>
      </c>
      <c r="C20" s="89">
        <v>17.84</v>
      </c>
      <c r="D20" s="90">
        <f t="shared" si="0"/>
        <v>1.8206929812866601E-2</v>
      </c>
      <c r="E20" t="s">
        <v>290</v>
      </c>
      <c r="F20" s="89">
        <v>16.899999999999999</v>
      </c>
      <c r="G20" s="89">
        <v>16.239999999999998</v>
      </c>
      <c r="H20" s="90">
        <f t="shared" si="1"/>
        <v>-3.9053254437869903E-2</v>
      </c>
    </row>
    <row r="21" spans="1:8" x14ac:dyDescent="0.3">
      <c r="A21" t="s">
        <v>291</v>
      </c>
      <c r="B21" s="89">
        <v>-11.92</v>
      </c>
      <c r="C21" s="89">
        <v>-0.37</v>
      </c>
      <c r="D21" s="90">
        <f t="shared" si="0"/>
        <v>-0.68572597366825705</v>
      </c>
      <c r="E21" t="s">
        <v>291</v>
      </c>
      <c r="F21" s="89">
        <v>-11.92</v>
      </c>
      <c r="G21" s="89"/>
      <c r="H21" s="90">
        <f t="shared" si="1"/>
        <v>-1</v>
      </c>
    </row>
    <row r="22" spans="1:8" x14ac:dyDescent="0.3">
      <c r="A22" t="s">
        <v>292</v>
      </c>
      <c r="B22" s="89">
        <v>-8.2899999999999991</v>
      </c>
      <c r="C22" s="89">
        <v>6.89</v>
      </c>
      <c r="D22" s="90">
        <f t="shared" si="0"/>
        <v>-1.9402028510212601</v>
      </c>
      <c r="E22" t="s">
        <v>292</v>
      </c>
      <c r="F22" s="89">
        <v>-8.2899999999999991</v>
      </c>
      <c r="G22" s="89"/>
      <c r="H22" s="90">
        <f t="shared" si="1"/>
        <v>-1</v>
      </c>
    </row>
    <row r="23" spans="1:8" x14ac:dyDescent="0.3">
      <c r="A23" t="s">
        <v>293</v>
      </c>
      <c r="B23" s="89">
        <v>-0.28000000000000003</v>
      </c>
      <c r="C23" s="89">
        <v>3.17</v>
      </c>
      <c r="D23" s="90">
        <f t="shared" si="0"/>
        <v>-3.2454345993166598</v>
      </c>
      <c r="E23" t="s">
        <v>293</v>
      </c>
      <c r="F23" s="89">
        <v>-0.28000000000000003</v>
      </c>
      <c r="G23" s="89"/>
      <c r="H23" s="90">
        <f t="shared" si="1"/>
        <v>-1</v>
      </c>
    </row>
    <row r="24" spans="1:8" x14ac:dyDescent="0.3">
      <c r="A24" t="s">
        <v>294</v>
      </c>
      <c r="B24" s="89">
        <v>-10.87</v>
      </c>
      <c r="C24" s="89"/>
      <c r="D24" s="90">
        <f t="shared" si="0"/>
        <v>-1</v>
      </c>
      <c r="E24" t="s">
        <v>294</v>
      </c>
      <c r="F24" s="89">
        <v>-10.87</v>
      </c>
      <c r="G24" s="89"/>
      <c r="H24" s="90">
        <f t="shared" si="1"/>
        <v>-1</v>
      </c>
    </row>
    <row r="25" spans="1:8" x14ac:dyDescent="0.3">
      <c r="A25" t="s">
        <v>295</v>
      </c>
      <c r="B25" s="89"/>
      <c r="C25" s="89"/>
      <c r="D25" s="90" t="e">
        <f t="shared" si="0"/>
        <v>#DIV/0!</v>
      </c>
      <c r="E25" t="s">
        <v>295</v>
      </c>
      <c r="F25" s="89"/>
      <c r="G25" s="89"/>
      <c r="H25" s="90" t="e">
        <f t="shared" si="1"/>
        <v>#DIV/0!</v>
      </c>
    </row>
    <row r="26" spans="1:8" x14ac:dyDescent="0.3">
      <c r="A26" t="s">
        <v>296</v>
      </c>
      <c r="B26" s="89"/>
      <c r="C26" s="89"/>
      <c r="D26" s="90" t="e">
        <f t="shared" si="0"/>
        <v>#DIV/0!</v>
      </c>
      <c r="E26" t="s">
        <v>296</v>
      </c>
      <c r="F26" s="89"/>
      <c r="G26" s="89"/>
      <c r="H26" s="90" t="e">
        <f t="shared" si="1"/>
        <v>#DIV/0!</v>
      </c>
    </row>
  </sheetData>
  <sheetProtection formatCells="0" formatColumns="0" formatRows="0" insertColumns="0" insertRows="0" insertHyperlinks="0" deleteColumns="0" deleteRows="0" sort="0" autoFilter="0" pivotTables="0"/>
  <phoneticPr fontId="2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42"/>
  <sheetViews>
    <sheetView topLeftCell="A29" workbookViewId="0">
      <selection activeCell="J41" sqref="J41"/>
    </sheetView>
  </sheetViews>
  <sheetFormatPr defaultColWidth="9" defaultRowHeight="14" x14ac:dyDescent="0.3"/>
  <cols>
    <col min="1" max="1" width="1.75" customWidth="1"/>
    <col min="2" max="2" width="10.08203125" customWidth="1"/>
    <col min="6" max="6" width="1.25" customWidth="1"/>
    <col min="9" max="9" width="11.08203125" customWidth="1"/>
    <col min="10" max="10" width="1.4140625" customWidth="1"/>
    <col min="11" max="11" width="15.6640625" customWidth="1"/>
    <col min="12" max="12" width="12.5" customWidth="1"/>
    <col min="13" max="13" width="12.4140625" customWidth="1"/>
  </cols>
  <sheetData>
    <row r="2" spans="2:13" x14ac:dyDescent="0.3">
      <c r="B2" s="1" t="s">
        <v>88</v>
      </c>
      <c r="C2" s="352" t="s">
        <v>6</v>
      </c>
      <c r="D2" s="352"/>
      <c r="E2" s="352"/>
      <c r="F2" s="2"/>
      <c r="G2" s="380" t="s">
        <v>60</v>
      </c>
      <c r="H2" s="381"/>
      <c r="I2" s="3" t="s">
        <v>61</v>
      </c>
      <c r="J2" s="4"/>
      <c r="K2" s="382" t="s">
        <v>62</v>
      </c>
      <c r="L2" s="383"/>
      <c r="M2" s="5" t="s">
        <v>89</v>
      </c>
    </row>
    <row r="3" spans="2:13" ht="28.5" x14ac:dyDescent="0.3">
      <c r="B3" s="6" t="s">
        <v>7</v>
      </c>
      <c r="C3" s="7" t="s">
        <v>8</v>
      </c>
      <c r="D3" s="7" t="s">
        <v>9</v>
      </c>
      <c r="E3" s="7" t="s">
        <v>10</v>
      </c>
      <c r="F3" s="8"/>
      <c r="G3" s="9" t="s">
        <v>11</v>
      </c>
      <c r="H3" s="10" t="s">
        <v>12</v>
      </c>
      <c r="I3" s="11" t="s">
        <v>65</v>
      </c>
      <c r="J3" s="12"/>
      <c r="K3" s="9" t="s">
        <v>93</v>
      </c>
      <c r="L3" s="13" t="s">
        <v>12</v>
      </c>
      <c r="M3" s="14" t="s">
        <v>94</v>
      </c>
    </row>
    <row r="4" spans="2:13" x14ac:dyDescent="0.3">
      <c r="B4" s="15" t="s">
        <v>15</v>
      </c>
      <c r="C4" s="16">
        <v>0.29199017941213201</v>
      </c>
      <c r="D4" s="16">
        <v>-0.11517280428823901</v>
      </c>
      <c r="E4" s="16">
        <v>0.143188047336371</v>
      </c>
      <c r="F4" s="17"/>
      <c r="G4" s="18">
        <f>[3]Summary!$CY$5</f>
        <v>0.33385295545730997</v>
      </c>
      <c r="H4" s="19">
        <f>[3]Summary!$CY$15</f>
        <v>0.34941029122677097</v>
      </c>
      <c r="I4" s="20">
        <v>0.39300000000000002</v>
      </c>
      <c r="J4" s="21"/>
      <c r="K4" s="18">
        <f>[3]Summary!$CY$6</f>
        <v>-0.27535002121340701</v>
      </c>
      <c r="L4" s="16">
        <f>[3]Summary!$CY$16</f>
        <v>-0.242187493080496</v>
      </c>
      <c r="M4" s="22">
        <f>65.8%-1</f>
        <v>-0.34200000000000003</v>
      </c>
    </row>
    <row r="5" spans="2:13" x14ac:dyDescent="0.3">
      <c r="B5" s="15" t="s">
        <v>17</v>
      </c>
      <c r="C5" s="16">
        <v>-0.17996754033422099</v>
      </c>
      <c r="D5" s="16">
        <v>0.18084789916906699</v>
      </c>
      <c r="E5" s="16">
        <v>-3.1666392753223603E-2</v>
      </c>
      <c r="F5" s="17"/>
      <c r="G5" s="18">
        <f>[3]Summary!$CZ$5</f>
        <v>0.34474675001775901</v>
      </c>
      <c r="H5" s="19">
        <v>0.34</v>
      </c>
      <c r="I5" s="20">
        <v>0.33500000000000002</v>
      </c>
      <c r="J5" s="21"/>
      <c r="K5" s="18">
        <f>[3]Summary!$CZ$6</f>
        <v>-0.18589009730967401</v>
      </c>
      <c r="L5" s="16">
        <v>-0.15</v>
      </c>
      <c r="M5" s="22">
        <f>72.3%-1</f>
        <v>-0.27700000000000002</v>
      </c>
    </row>
    <row r="6" spans="2:13" x14ac:dyDescent="0.3">
      <c r="B6" s="23" t="s">
        <v>20</v>
      </c>
      <c r="C6" s="16">
        <v>-3.2984346031459298E-2</v>
      </c>
      <c r="D6" s="16">
        <v>-2.7741277220009401E-2</v>
      </c>
      <c r="E6" s="16">
        <v>-5.9810595364290002E-2</v>
      </c>
      <c r="F6" s="17"/>
      <c r="G6" s="18">
        <f>[4]Summary!$DF$5</f>
        <v>0.17234904187688099</v>
      </c>
      <c r="H6" s="19">
        <f>[4]Summary!$DF$15</f>
        <v>0.183657787266884</v>
      </c>
      <c r="I6" s="20">
        <v>0.14599999999999999</v>
      </c>
      <c r="J6" s="21"/>
      <c r="K6" s="18">
        <f>[4]Summary!$DF$6</f>
        <v>-0.20625265242608601</v>
      </c>
      <c r="L6" s="16">
        <f>[4]Summary!$DF$16</f>
        <v>-0.17464767497792399</v>
      </c>
      <c r="M6" s="22">
        <f>69.7%-1</f>
        <v>-0.30299999999999999</v>
      </c>
    </row>
    <row r="7" spans="2:13" x14ac:dyDescent="0.3">
      <c r="B7" s="23" t="s">
        <v>22</v>
      </c>
      <c r="C7" s="16">
        <v>-2.0074053289423899E-2</v>
      </c>
      <c r="D7" s="16">
        <v>-7.1155372802326297E-2</v>
      </c>
      <c r="E7" s="16">
        <v>-8.98010493462887E-2</v>
      </c>
      <c r="F7" s="17"/>
      <c r="G7" s="18" t="e">
        <f>[5]Summary!$DG$5</f>
        <v>#REF!</v>
      </c>
      <c r="H7" s="19" t="e">
        <f>[6]Summary!$DG$15</f>
        <v>#REF!</v>
      </c>
      <c r="I7" s="20">
        <v>9.6000000000000002E-2</v>
      </c>
      <c r="J7" s="21"/>
      <c r="K7" s="18" t="e">
        <f>[5]Summary!$DG$6</f>
        <v>#REF!</v>
      </c>
      <c r="L7" s="16" t="e">
        <f>[6]Summary!$DG$16</f>
        <v>#REF!</v>
      </c>
      <c r="M7" s="22">
        <f>71%-1</f>
        <v>-0.28999999999999998</v>
      </c>
    </row>
    <row r="8" spans="2:13" x14ac:dyDescent="0.3">
      <c r="B8" s="23" t="s">
        <v>24</v>
      </c>
      <c r="C8" s="16">
        <v>-3.5999999999999997E-2</v>
      </c>
      <c r="D8" s="16">
        <v>-5.6000000000000001E-2</v>
      </c>
      <c r="E8" s="16">
        <v>-8.8999999999999996E-2</v>
      </c>
      <c r="F8" s="17"/>
      <c r="G8" s="18">
        <v>0.08</v>
      </c>
      <c r="H8" s="19" t="e">
        <f>[7]Summary!$DH$15</f>
        <v>#REF!</v>
      </c>
      <c r="I8" s="20">
        <v>0.108</v>
      </c>
      <c r="J8" s="21"/>
      <c r="K8" s="18">
        <v>-0.17</v>
      </c>
      <c r="L8" s="16" t="e">
        <f>[7]Summary!$DH$16</f>
        <v>#REF!</v>
      </c>
      <c r="M8" s="22">
        <f>72.4%-1</f>
        <v>-0.27600000000000002</v>
      </c>
    </row>
    <row r="9" spans="2:13" x14ac:dyDescent="0.3">
      <c r="B9" s="15" t="s">
        <v>27</v>
      </c>
      <c r="C9" s="16">
        <v>-1.8333978167691799E-2</v>
      </c>
      <c r="D9" s="16">
        <v>-5.9955239867915101E-2</v>
      </c>
      <c r="E9" s="16">
        <v>-7.7189999976828405E-2</v>
      </c>
      <c r="F9" s="17"/>
      <c r="G9" s="18" t="e">
        <f>[7]Summary!$DI$5</f>
        <v>#REF!</v>
      </c>
      <c r="H9" s="19" t="e">
        <f>[7]Summary!$DI$15</f>
        <v>#REF!</v>
      </c>
      <c r="I9" s="20">
        <v>0.10199999999999999</v>
      </c>
      <c r="J9" s="21"/>
      <c r="K9" s="18" t="e">
        <f>[7]Summary!$DI$6</f>
        <v>#REF!</v>
      </c>
      <c r="L9" s="16" t="e">
        <f>[7]Summary!$DI$16</f>
        <v>#REF!</v>
      </c>
      <c r="M9" s="22">
        <f>73.2%-1</f>
        <v>-0.26800000000000002</v>
      </c>
    </row>
    <row r="10" spans="2:13" x14ac:dyDescent="0.3">
      <c r="B10" s="15" t="s">
        <v>30</v>
      </c>
      <c r="C10" s="16">
        <v>-0.04</v>
      </c>
      <c r="D10" s="16">
        <v>-0.09</v>
      </c>
      <c r="E10" s="16">
        <v>-0.13</v>
      </c>
      <c r="F10" s="17"/>
      <c r="G10" s="18">
        <v>6.7000000000000004E-2</v>
      </c>
      <c r="H10" s="19">
        <v>0.06</v>
      </c>
      <c r="I10" s="20">
        <v>4.2999999999999997E-2</v>
      </c>
      <c r="J10" s="21"/>
      <c r="K10" s="18">
        <v>-9.0999999999999998E-2</v>
      </c>
      <c r="L10" s="16">
        <v>-0.04</v>
      </c>
      <c r="M10" s="22">
        <v>-0.22</v>
      </c>
    </row>
    <row r="11" spans="2:13" x14ac:dyDescent="0.3">
      <c r="B11" s="15" t="s">
        <v>33</v>
      </c>
      <c r="C11" s="16">
        <v>0.02</v>
      </c>
      <c r="D11" s="16">
        <v>-6.6000000000000003E-2</v>
      </c>
      <c r="E11" s="16">
        <v>-4.5999999999999999E-2</v>
      </c>
      <c r="F11" s="17"/>
      <c r="G11" s="18">
        <v>0.1</v>
      </c>
      <c r="H11" s="19">
        <v>0.1</v>
      </c>
      <c r="I11" s="20">
        <v>0.106</v>
      </c>
      <c r="J11" s="21"/>
      <c r="K11" s="18">
        <v>-7.0000000000000007E-2</v>
      </c>
      <c r="L11" s="16">
        <v>-0.01</v>
      </c>
      <c r="M11" s="22">
        <v>-0.21</v>
      </c>
    </row>
    <row r="12" spans="2:13" x14ac:dyDescent="0.3">
      <c r="B12" s="15" t="s">
        <v>36</v>
      </c>
      <c r="C12" s="16">
        <v>-0.03</v>
      </c>
      <c r="D12" s="16">
        <v>-7.0000000000000007E-2</v>
      </c>
      <c r="E12" s="16">
        <v>-0.1</v>
      </c>
      <c r="F12" s="17"/>
      <c r="G12" s="18">
        <v>0.08</v>
      </c>
      <c r="H12" s="19">
        <v>0.1</v>
      </c>
      <c r="I12" s="20">
        <v>0.05</v>
      </c>
      <c r="J12" s="21"/>
      <c r="K12" s="18">
        <v>-0.06</v>
      </c>
      <c r="L12" s="16">
        <v>-0.01</v>
      </c>
      <c r="M12" s="22">
        <v>-0.214</v>
      </c>
    </row>
    <row r="13" spans="2:13" x14ac:dyDescent="0.3">
      <c r="B13" s="15" t="s">
        <v>39</v>
      </c>
      <c r="C13" s="16">
        <v>-0.03</v>
      </c>
      <c r="D13" s="16">
        <v>-4.4999999999999998E-2</v>
      </c>
      <c r="E13" s="16">
        <v>-7.5999999999999998E-2</v>
      </c>
      <c r="F13" s="17"/>
      <c r="G13" s="18">
        <v>0.1</v>
      </c>
      <c r="H13" s="19">
        <v>0.1</v>
      </c>
      <c r="I13" s="20">
        <v>0.06</v>
      </c>
      <c r="J13" s="21"/>
      <c r="K13" s="18">
        <v>-0.03</v>
      </c>
      <c r="L13" s="16">
        <v>0.02</v>
      </c>
      <c r="M13" s="22">
        <v>-0.19</v>
      </c>
    </row>
    <row r="14" spans="2:13" x14ac:dyDescent="0.3">
      <c r="B14" s="15" t="s">
        <v>42</v>
      </c>
      <c r="C14" s="16">
        <v>8.0000000000000002E-3</v>
      </c>
      <c r="D14" s="16">
        <v>-3.3000000000000002E-2</v>
      </c>
      <c r="E14" s="16">
        <v>-2.5999999999999999E-2</v>
      </c>
      <c r="F14" s="19"/>
      <c r="G14" s="18">
        <v>0.11</v>
      </c>
      <c r="H14" s="19">
        <v>0.08</v>
      </c>
      <c r="I14" s="20">
        <v>8.7999999999999995E-2</v>
      </c>
      <c r="J14" s="21"/>
      <c r="K14" s="18">
        <v>-0.04</v>
      </c>
      <c r="L14" s="16">
        <v>0.01</v>
      </c>
      <c r="M14" s="22">
        <v>-0.23899999999999999</v>
      </c>
    </row>
    <row r="15" spans="2:13" x14ac:dyDescent="0.3">
      <c r="B15" s="15" t="s">
        <v>45</v>
      </c>
      <c r="C15" s="16">
        <v>-1.9E-2</v>
      </c>
      <c r="D15" s="16">
        <v>-2.4E-2</v>
      </c>
      <c r="E15" s="16">
        <v>-4.2000000000000003E-2</v>
      </c>
      <c r="F15" s="17"/>
      <c r="G15" s="18">
        <v>0.09</v>
      </c>
      <c r="H15" s="19">
        <v>0.05</v>
      </c>
      <c r="I15" s="20">
        <v>2.5999999999999999E-2</v>
      </c>
      <c r="J15" s="21"/>
      <c r="K15" s="18">
        <v>0.01</v>
      </c>
      <c r="L15" s="16">
        <v>0.04</v>
      </c>
      <c r="M15" s="22">
        <v>-0.2</v>
      </c>
    </row>
    <row r="16" spans="2:13" x14ac:dyDescent="0.3">
      <c r="B16" s="384" t="s">
        <v>48</v>
      </c>
      <c r="C16" s="385"/>
      <c r="D16" s="385"/>
      <c r="E16" s="385"/>
      <c r="F16" s="385"/>
      <c r="G16" s="385"/>
      <c r="H16" s="385"/>
      <c r="I16" s="385"/>
      <c r="J16" s="385"/>
      <c r="K16" s="385"/>
      <c r="L16" s="385"/>
      <c r="M16" s="386"/>
    </row>
    <row r="17" spans="1:14" x14ac:dyDescent="0.3">
      <c r="B17" s="24" t="s">
        <v>54</v>
      </c>
      <c r="C17" s="25">
        <f>AVERAGE(C4:C6)</f>
        <v>2.6346097682150599E-2</v>
      </c>
      <c r="D17" s="25">
        <f>AVERAGE(D4:D6)</f>
        <v>1.2644605886939501E-2</v>
      </c>
      <c r="E17" s="25">
        <f>AVERAGE(E4:E6)</f>
        <v>1.7237019739619101E-2</v>
      </c>
      <c r="F17" s="26"/>
      <c r="G17" s="27">
        <f>[4]Summary!$CY$5</f>
        <v>0.28066388984016</v>
      </c>
      <c r="H17" s="26">
        <f>[4]Summary!$CY$15</f>
        <v>0.28826577424398497</v>
      </c>
      <c r="I17" s="28">
        <v>0.28499999999999998</v>
      </c>
      <c r="J17" s="29"/>
      <c r="K17" s="27">
        <f>[4]Summary!$CY$6</f>
        <v>-0.22264293828095399</v>
      </c>
      <c r="L17" s="25">
        <f>[4]Summary!$CY$16</f>
        <v>-0.188847859811655</v>
      </c>
      <c r="M17" s="30">
        <f>AVERAGE(M4:M6)</f>
        <v>-0.30733333333333301</v>
      </c>
    </row>
    <row r="18" spans="1:14" x14ac:dyDescent="0.3">
      <c r="B18" s="24" t="s">
        <v>55</v>
      </c>
      <c r="C18" s="25">
        <f>AVERAGE(C7:C9)</f>
        <v>-2.4802677152371898E-2</v>
      </c>
      <c r="D18" s="25">
        <f t="shared" ref="D18:E18" si="0">AVERAGE(D7:D9)</f>
        <v>-6.23702042234138E-2</v>
      </c>
      <c r="E18" s="25">
        <f t="shared" si="0"/>
        <v>-8.5330349774372399E-2</v>
      </c>
      <c r="F18" s="26"/>
      <c r="G18" s="27" t="e">
        <f>[7]Summary!$CZ$5</f>
        <v>#REF!</v>
      </c>
      <c r="H18" s="26" t="e">
        <f>[7]Summary!$CZ$15</f>
        <v>#REF!</v>
      </c>
      <c r="I18" s="28">
        <v>0.102258827366876</v>
      </c>
      <c r="J18" s="31"/>
      <c r="K18" s="27" t="e">
        <f>[7]Summary!$CZ$6</f>
        <v>#REF!</v>
      </c>
      <c r="L18" s="25" t="e">
        <f>[7]Summary!$CZ$16</f>
        <v>#REF!</v>
      </c>
      <c r="M18" s="30">
        <f>AVERAGE(M7:M9)</f>
        <v>-0.27800000000000002</v>
      </c>
    </row>
    <row r="19" spans="1:14" x14ac:dyDescent="0.3">
      <c r="B19" s="24" t="s">
        <v>56</v>
      </c>
      <c r="C19" s="25">
        <f>AVERAGE(C10:C12)</f>
        <v>-1.6666666666666701E-2</v>
      </c>
      <c r="D19" s="25">
        <f>AVERAGE(D10:D12)</f>
        <v>-7.5333333333333294E-2</v>
      </c>
      <c r="E19" s="25">
        <f>AVERAGE(E10:E12)</f>
        <v>-9.1999999999999998E-2</v>
      </c>
      <c r="F19" s="26"/>
      <c r="G19" s="27">
        <f>AVERAGE(G10:G12)</f>
        <v>8.23333333333333E-2</v>
      </c>
      <c r="H19" s="26">
        <f>AVERAGE(H10:H12)</f>
        <v>8.6666666666666697E-2</v>
      </c>
      <c r="I19" s="28">
        <f>AVERAGE(I10:I12)</f>
        <v>6.63333333333333E-2</v>
      </c>
      <c r="J19" s="32"/>
      <c r="K19" s="27">
        <f>AVERAGE(K10:K12)</f>
        <v>-7.36666666666667E-2</v>
      </c>
      <c r="L19" s="25">
        <f>AVERAGE(L10:L12)</f>
        <v>-0.02</v>
      </c>
      <c r="M19" s="30">
        <f>AVERAGE(M10:M12)</f>
        <v>-0.21466666666666701</v>
      </c>
    </row>
    <row r="20" spans="1:14" x14ac:dyDescent="0.3">
      <c r="B20" s="24" t="s">
        <v>57</v>
      </c>
      <c r="C20" s="25">
        <f>AVERAGE(C13:C15)</f>
        <v>-1.36666666666667E-2</v>
      </c>
      <c r="D20" s="25">
        <f>AVERAGE(D13:D15)</f>
        <v>-3.4000000000000002E-2</v>
      </c>
      <c r="E20" s="25">
        <f>AVERAGE(E13:E15)</f>
        <v>-4.8000000000000001E-2</v>
      </c>
      <c r="F20" s="33"/>
      <c r="G20" s="27">
        <v>0.1</v>
      </c>
      <c r="H20" s="26">
        <f>AVERAGE(H13:H15)</f>
        <v>7.6666666666666702E-2</v>
      </c>
      <c r="I20" s="28">
        <f>AVERAGE(I13:I15)</f>
        <v>5.8000000000000003E-2</v>
      </c>
      <c r="J20" s="31"/>
      <c r="K20" s="27">
        <v>-0.02</v>
      </c>
      <c r="L20" s="25">
        <f>AVERAGE(L13:L15)</f>
        <v>2.33333333333333E-2</v>
      </c>
      <c r="M20" s="30">
        <f>AVERAGE(M13:M15)</f>
        <v>-0.209666666666667</v>
      </c>
    </row>
    <row r="21" spans="1:14" x14ac:dyDescent="0.3">
      <c r="B21" s="387" t="s">
        <v>175</v>
      </c>
      <c r="C21" s="388"/>
      <c r="D21" s="388"/>
      <c r="E21" s="388"/>
      <c r="F21" s="388"/>
      <c r="G21" s="388"/>
      <c r="H21" s="388"/>
      <c r="I21" s="388"/>
      <c r="J21" s="388"/>
      <c r="K21" s="388"/>
      <c r="L21" s="388"/>
      <c r="M21" s="389"/>
    </row>
    <row r="22" spans="1:14" x14ac:dyDescent="0.3">
      <c r="B22" s="6" t="s">
        <v>123</v>
      </c>
      <c r="C22" s="34">
        <v>-4.7E-2</v>
      </c>
      <c r="D22" s="34">
        <v>1E-3</v>
      </c>
      <c r="E22" s="34">
        <v>-4.7E-2</v>
      </c>
      <c r="F22" s="35"/>
      <c r="G22" s="36"/>
      <c r="H22" s="35"/>
      <c r="I22" s="37"/>
      <c r="J22" s="38"/>
      <c r="K22" s="36"/>
      <c r="L22" s="39"/>
      <c r="M22" s="40"/>
    </row>
    <row r="23" spans="1:14" x14ac:dyDescent="0.3">
      <c r="B23" s="6" t="s">
        <v>145</v>
      </c>
      <c r="C23" s="34">
        <v>-1.7000000000000001E-2</v>
      </c>
      <c r="D23" s="34">
        <v>1E-3</v>
      </c>
      <c r="E23" s="34">
        <v>-1.7000000000000001E-2</v>
      </c>
      <c r="F23" s="35"/>
      <c r="G23" s="36"/>
      <c r="H23" s="35"/>
      <c r="I23" s="37"/>
      <c r="J23" s="38"/>
      <c r="K23" s="36"/>
      <c r="L23" s="39"/>
      <c r="M23" s="40"/>
    </row>
    <row r="24" spans="1:14" x14ac:dyDescent="0.3">
      <c r="B24" s="41" t="s">
        <v>147</v>
      </c>
      <c r="C24" s="42">
        <v>-5.0000000000000001E-3</v>
      </c>
      <c r="D24" s="42">
        <v>3.0000000000000001E-3</v>
      </c>
      <c r="E24" s="42">
        <v>-2E-3</v>
      </c>
      <c r="F24" s="43"/>
      <c r="G24" s="44"/>
      <c r="H24" s="43"/>
      <c r="I24" s="45"/>
      <c r="J24" s="46"/>
      <c r="K24" s="44"/>
      <c r="L24" s="47"/>
      <c r="M24" s="48"/>
    </row>
    <row r="27" spans="1:14" x14ac:dyDescent="0.3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</row>
    <row r="28" spans="1:14" x14ac:dyDescent="0.3">
      <c r="A28" s="49"/>
      <c r="B28" s="50" t="s">
        <v>135</v>
      </c>
      <c r="C28" s="51"/>
      <c r="D28" s="51"/>
      <c r="E28" s="51"/>
      <c r="F28" s="51"/>
      <c r="G28" s="52"/>
      <c r="H28" s="52"/>
      <c r="I28" s="52"/>
      <c r="J28" s="51"/>
      <c r="K28" s="53" t="s">
        <v>86</v>
      </c>
      <c r="L28" s="53"/>
      <c r="M28" s="54"/>
      <c r="N28" s="49"/>
    </row>
    <row r="29" spans="1:14" x14ac:dyDescent="0.3">
      <c r="A29" s="49"/>
      <c r="B29" s="1" t="s">
        <v>137</v>
      </c>
      <c r="C29" s="352" t="s">
        <v>6</v>
      </c>
      <c r="D29" s="352"/>
      <c r="E29" s="390"/>
      <c r="F29" s="55"/>
      <c r="G29" s="380" t="s">
        <v>60</v>
      </c>
      <c r="H29" s="391"/>
      <c r="I29" s="56" t="s">
        <v>61</v>
      </c>
      <c r="J29" s="57"/>
      <c r="K29" s="382" t="s">
        <v>62</v>
      </c>
      <c r="L29" s="392"/>
      <c r="M29" s="5" t="s">
        <v>89</v>
      </c>
      <c r="N29" s="49"/>
    </row>
    <row r="30" spans="1:14" ht="42" x14ac:dyDescent="0.3">
      <c r="A30" s="49"/>
      <c r="B30" s="6" t="s">
        <v>7</v>
      </c>
      <c r="C30" s="7" t="s">
        <v>8</v>
      </c>
      <c r="D30" s="7" t="s">
        <v>9</v>
      </c>
      <c r="E30" s="58" t="s">
        <v>10</v>
      </c>
      <c r="F30" s="59"/>
      <c r="G30" s="9" t="s">
        <v>11</v>
      </c>
      <c r="H30" s="13" t="s">
        <v>12</v>
      </c>
      <c r="I30" s="14" t="s">
        <v>65</v>
      </c>
      <c r="J30" s="60"/>
      <c r="K30" s="61" t="s">
        <v>140</v>
      </c>
      <c r="L30" s="62" t="s">
        <v>141</v>
      </c>
      <c r="M30" s="14" t="s">
        <v>142</v>
      </c>
      <c r="N30" s="49"/>
    </row>
    <row r="31" spans="1:14" x14ac:dyDescent="0.3">
      <c r="A31" s="49"/>
      <c r="B31" s="15" t="s">
        <v>15</v>
      </c>
      <c r="C31" s="16">
        <v>-0.03</v>
      </c>
      <c r="D31" s="16">
        <v>-0.01</v>
      </c>
      <c r="E31" s="22">
        <v>-0.05</v>
      </c>
      <c r="F31" s="63"/>
      <c r="G31" s="18">
        <v>0.11</v>
      </c>
      <c r="H31" s="16">
        <v>7.0000000000000007E-2</v>
      </c>
      <c r="I31" s="22">
        <v>0.121</v>
      </c>
      <c r="J31" s="64"/>
      <c r="K31" s="18">
        <v>0.09</v>
      </c>
      <c r="L31" s="16">
        <v>0.08</v>
      </c>
      <c r="M31" s="22">
        <v>-0.12</v>
      </c>
      <c r="N31" s="49"/>
    </row>
    <row r="32" spans="1:14" x14ac:dyDescent="0.3">
      <c r="A32" s="49"/>
      <c r="B32" s="15" t="s">
        <v>17</v>
      </c>
      <c r="C32" s="16">
        <v>0.1</v>
      </c>
      <c r="D32" s="16">
        <v>-0.14000000000000001</v>
      </c>
      <c r="E32" s="22">
        <v>-0.04</v>
      </c>
      <c r="F32" s="63"/>
      <c r="G32" s="18">
        <v>-0.03</v>
      </c>
      <c r="H32" s="16">
        <v>-0.04</v>
      </c>
      <c r="I32" s="22">
        <v>1.2E-2</v>
      </c>
      <c r="J32" s="64"/>
      <c r="K32" s="18">
        <v>-0.05</v>
      </c>
      <c r="L32" s="16">
        <v>-0.05</v>
      </c>
      <c r="M32" s="22">
        <v>-0.15</v>
      </c>
      <c r="N32" s="49"/>
    </row>
    <row r="33" spans="1:14" x14ac:dyDescent="0.3">
      <c r="A33" s="49"/>
      <c r="B33" s="65" t="s">
        <v>20</v>
      </c>
      <c r="C33" s="66">
        <v>-0.02</v>
      </c>
      <c r="D33" s="66">
        <v>-0.06</v>
      </c>
      <c r="E33" s="67">
        <v>-0.08</v>
      </c>
      <c r="F33" s="68"/>
      <c r="G33" s="69">
        <v>0.02</v>
      </c>
      <c r="H33" s="66">
        <v>0.01</v>
      </c>
      <c r="I33" s="67">
        <v>4.9000000000000002E-2</v>
      </c>
      <c r="J33" s="70"/>
      <c r="K33" s="69">
        <v>-0.03</v>
      </c>
      <c r="L33" s="66">
        <v>-0.02</v>
      </c>
      <c r="M33" s="67">
        <v>-0.2</v>
      </c>
      <c r="N33" s="49"/>
    </row>
    <row r="34" spans="1:14" x14ac:dyDescent="0.3">
      <c r="A34" s="49"/>
      <c r="B34" s="393" t="s">
        <v>48</v>
      </c>
      <c r="C34" s="394"/>
      <c r="D34" s="394"/>
      <c r="E34" s="394"/>
      <c r="F34" s="395"/>
      <c r="G34" s="394"/>
      <c r="H34" s="394"/>
      <c r="I34" s="394"/>
      <c r="J34" s="395"/>
      <c r="K34" s="394"/>
      <c r="L34" s="394"/>
      <c r="M34" s="396"/>
      <c r="N34" s="49"/>
    </row>
    <row r="35" spans="1:14" x14ac:dyDescent="0.3">
      <c r="A35" s="49"/>
      <c r="B35" s="71" t="s">
        <v>54</v>
      </c>
      <c r="C35" s="72">
        <v>1.6666666666666701E-2</v>
      </c>
      <c r="D35" s="72">
        <v>-7.0000000000000007E-2</v>
      </c>
      <c r="E35" s="73">
        <v>-5.6666666666666698E-2</v>
      </c>
      <c r="F35" s="29"/>
      <c r="G35" s="74">
        <v>3.3333333333333298E-2</v>
      </c>
      <c r="H35" s="72">
        <v>1.3333333333333299E-2</v>
      </c>
      <c r="I35" s="73">
        <v>6.0666666666666702E-2</v>
      </c>
      <c r="J35" s="32"/>
      <c r="K35" s="74">
        <v>3.3333333333333301E-3</v>
      </c>
      <c r="L35" s="72">
        <v>3.3333333333333301E-3</v>
      </c>
      <c r="M35" s="73">
        <v>-0.16</v>
      </c>
      <c r="N35" s="49"/>
    </row>
    <row r="36" spans="1:14" x14ac:dyDescent="0.3">
      <c r="A36" s="49"/>
      <c r="B36" s="397" t="s">
        <v>175</v>
      </c>
      <c r="C36" s="398"/>
      <c r="D36" s="398"/>
      <c r="E36" s="398"/>
      <c r="F36" s="399"/>
      <c r="G36" s="398"/>
      <c r="H36" s="398"/>
      <c r="I36" s="398"/>
      <c r="J36" s="399"/>
      <c r="K36" s="398"/>
      <c r="L36" s="398"/>
      <c r="M36" s="400"/>
      <c r="N36" s="49"/>
    </row>
    <row r="37" spans="1:14" x14ac:dyDescent="0.3">
      <c r="A37" s="49"/>
      <c r="B37" s="75" t="s">
        <v>170</v>
      </c>
      <c r="C37" s="76">
        <v>-0.03</v>
      </c>
      <c r="D37" s="76">
        <v>-0.08</v>
      </c>
      <c r="E37" s="77">
        <v>-0.1</v>
      </c>
      <c r="F37" s="78"/>
      <c r="G37" s="79"/>
      <c r="H37" s="80"/>
      <c r="I37" s="81"/>
      <c r="J37" s="78"/>
      <c r="K37" s="79"/>
      <c r="L37" s="80"/>
      <c r="M37" s="81"/>
      <c r="N37" s="49"/>
    </row>
    <row r="38" spans="1:14" x14ac:dyDescent="0.3">
      <c r="A38" s="49"/>
      <c r="B38" s="6" t="s">
        <v>172</v>
      </c>
      <c r="C38" s="34">
        <v>0.04</v>
      </c>
      <c r="D38" s="34">
        <v>-0.08</v>
      </c>
      <c r="E38" s="82">
        <v>-0.05</v>
      </c>
      <c r="F38" s="83"/>
      <c r="G38" s="36"/>
      <c r="H38" s="39"/>
      <c r="I38" s="40"/>
      <c r="J38" s="83"/>
      <c r="K38" s="36"/>
      <c r="L38" s="39"/>
      <c r="M38" s="40"/>
      <c r="N38" s="49"/>
    </row>
    <row r="39" spans="1:14" x14ac:dyDescent="0.3">
      <c r="A39" s="49"/>
      <c r="B39" s="6" t="s">
        <v>173</v>
      </c>
      <c r="C39" s="34">
        <v>-0.1</v>
      </c>
      <c r="D39" s="34">
        <v>-0.1</v>
      </c>
      <c r="E39" s="82">
        <v>-0.19</v>
      </c>
      <c r="F39" s="83"/>
      <c r="G39" s="36"/>
      <c r="H39" s="39"/>
      <c r="I39" s="40"/>
      <c r="J39" s="83"/>
      <c r="K39" s="36"/>
      <c r="L39" s="39"/>
      <c r="M39" s="40"/>
      <c r="N39" s="49"/>
    </row>
    <row r="40" spans="1:14" x14ac:dyDescent="0.3">
      <c r="A40" s="49"/>
      <c r="B40" s="6" t="s">
        <v>174</v>
      </c>
      <c r="C40" s="34">
        <v>-0.02</v>
      </c>
      <c r="D40" s="34">
        <v>-0.06</v>
      </c>
      <c r="E40" s="82">
        <v>-0.08</v>
      </c>
      <c r="F40" s="83"/>
      <c r="G40" s="36"/>
      <c r="H40" s="39"/>
      <c r="I40" s="40"/>
      <c r="J40" s="83"/>
      <c r="K40" s="36"/>
      <c r="L40" s="39"/>
      <c r="M40" s="40"/>
      <c r="N40" s="49"/>
    </row>
    <row r="41" spans="1:14" x14ac:dyDescent="0.3">
      <c r="A41" s="49"/>
      <c r="B41" s="41" t="s">
        <v>176</v>
      </c>
      <c r="C41" s="42">
        <v>-0.02</v>
      </c>
      <c r="D41" s="42">
        <v>-7.0000000000000007E-2</v>
      </c>
      <c r="E41" s="84">
        <v>-0.09</v>
      </c>
      <c r="F41" s="85"/>
      <c r="G41" s="44"/>
      <c r="H41" s="47"/>
      <c r="I41" s="48"/>
      <c r="J41" s="85"/>
      <c r="K41" s="44"/>
      <c r="L41" s="47"/>
      <c r="M41" s="48"/>
      <c r="N41" s="49"/>
    </row>
    <row r="42" spans="1:14" x14ac:dyDescent="0.3">
      <c r="A42" s="49"/>
      <c r="B42" s="86" t="s">
        <v>297</v>
      </c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</row>
  </sheetData>
  <sheetProtection formatCells="0" formatColumns="0" formatRows="0" insertColumns="0" insertRows="0" insertHyperlinks="0" deleteColumns="0" deleteRows="0" sort="0" autoFilter="0" pivotTables="0"/>
  <mergeCells count="10">
    <mergeCell ref="C29:E29"/>
    <mergeCell ref="G29:H29"/>
    <mergeCell ref="K29:L29"/>
    <mergeCell ref="B34:M34"/>
    <mergeCell ref="B36:M36"/>
    <mergeCell ref="C2:E2"/>
    <mergeCell ref="G2:H2"/>
    <mergeCell ref="K2:L2"/>
    <mergeCell ref="B16:M16"/>
    <mergeCell ref="B21:M21"/>
  </mergeCells>
  <phoneticPr fontId="26" type="noConversion"/>
  <pageMargins left="0.7" right="0.7" top="0.75" bottom="0.75" header="0.3" footer="0.3"/>
  <ignoredErrors>
    <ignoredError sqref="C17:E20 G19:I20 K19:M20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3.xml><?xml version="1.0" encoding="utf-8"?>
<comments xmlns="https://web.wps.cn/et/2018/main" xmlns:s="http://schemas.openxmlformats.org/spreadsheetml/2006/main">
  <commentList sheetStid="1">
    <commentChains s:ref="I74" rgbClr="FF0000">
      <unresolved>
        <commentChain chainId="56e25a48096827d14930f5c6f619a11735030d6d">
          <item id="6f1e008c1fee43158cf91ef2530a73f288eb972b" isNormal="1">
            <s:text>
              <s:r>
                <s:t xml:space="preserve">Shiyuan Tian （田诗园）:
5月份全国铁路主要指标完成情况，旅客发送量比上年同比增长%
12-14号左右更新</s:t>
              </s:r>
            </s:text>
          </item>
        </commentChain>
      </unresolved>
      <resolved/>
    </commentChains>
    <commentChains s:ref="R74" rgbClr="FF0000">
      <unresolved>
        <commentChain chainId="fc1ee16a06a37d1f0a7a3e445b51f5efc1d430cc">
          <item id="48e488fe77b2f71f4e8db819c1ca5df7c47094a6" isNormal="1">
            <s:text>
              <s:r>
                <s:t xml:space="preserve">Shiyuan Tian （田诗园）:
STR邮件,看set10
</s:t>
              </s:r>
            </s:text>
          </item>
          <item id="cbdde4ac320ffefe5c16f952f809cc38a8b4607f" userID="7514528329606594564" userName="Shiyuan Tian (田诗园)" dateTime="2025-09-08T06:01:13" isNormal="0">
            <s:text>
              <s:r>
                <s:t xml:space="preserve">中金互联网旅游周度数据 - 看“汇总-当周” tab</s:t>
              </s:r>
            </s:text>
          </item>
        </commentChain>
      </unresolved>
      <resolved/>
    </commentChains>
    <commentChains s:ref="M75" rgbClr="FF0000">
      <unresolved>
        <commentChain chainId="867cec21adb634f644ecc9a69bf74170e1ec09a9">
          <item id="47e987561ce45d7db41ea6b3a57a0563d652b7aa" isNormal="1">
            <s:text>
              <s:r>
                <s:t xml:space="preserve">Shiyuan Tian （田诗园）:
国际客运航班量月趋势</s:t>
              </s:r>
            </s:text>
          </item>
        </commentChain>
      </unresolved>
      <resolved/>
    </commentChains>
    <commentChains s:ref="V75" rgbClr="FF0000">
      <unresolved>
        <commentChain chainId="7c8e7932fc6d2d7650f3c6944553d0ebb5f05233">
          <item id="cceb8cd75c83b981e0d70389459bb7981e1db371" isNormal="1">
            <s:text>
              <s:r>
                <s:t xml:space="preserve">Shiyuan Tian （田诗园）:
飞常准大数据 周运输旅客量 同比增长%</s:t>
              </s:r>
            </s:text>
          </item>
        </commentChain>
      </unresolved>
      <resolved/>
    </commentChains>
  </commentList>
</comment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国内行业数据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wjy吴佳盈</dc:creator>
  <cp:lastModifiedBy>Zeyi Chen (SME, 121090077)</cp:lastModifiedBy>
  <dcterms:created xsi:type="dcterms:W3CDTF">2024-05-02T11:03:00Z</dcterms:created>
  <dcterms:modified xsi:type="dcterms:W3CDTF">2026-08-25T04:39:44Z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73E543FD8BFD4094BC53E048407CBD53_12</vt:lpwstr>
  </property>
  <property fmtid="{D5CDD505-2E9C-101B-9397-08002B2CF9AE}" pid="4" name="CalculationRule">
    <vt:i4>0</vt:i4>
  </property>
</Properties>
</file>