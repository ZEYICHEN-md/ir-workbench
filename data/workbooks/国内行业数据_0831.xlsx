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s\zeyichen\Desktop\IR_workbench\data\workbooks\"/>
    </mc:Choice>
  </mc:AlternateContent>
  <bookViews>
    <workbookView windowWidth="27950" windowHeight="11830"/>
  </bookViews>
  <sheets>
    <sheet name="国内行业数据" sheetId="1" r:id="rId1"/>
    <sheet name="Sheet3" sheetId="4" r:id="rId2"/>
    <sheet name="Sheet1" sheetId="2" state="hidden" r:id="rId3"/>
    <sheet name="Sheet2" sheetId="3" state="hidden" r:id="rId4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____________a1">{"Client Name or Project Name"}</definedName>
    <definedName name="_____________a1_1">{"Client Name or Project Name"}</definedName>
    <definedName name="_____________a2">{"Client Name or Project Name"}</definedName>
    <definedName name="_____________a2_1">{"Client Name or Project Name"}</definedName>
    <definedName name="___________a1">{"Client Name or Project Name"}</definedName>
    <definedName name="___________a1_1">{"Client Name or Project Name"}</definedName>
    <definedName name="___________a2">{"Client Name or Project Name"}</definedName>
    <definedName name="___________a2_1">{"Client Name or Project Name"}</definedName>
    <definedName name="__________a1">{"Client Name or Project Name"}</definedName>
    <definedName name="__________a1_1">{"Client Name or Project Name"}</definedName>
    <definedName name="__________a2">{"Client Name or Project Name"}</definedName>
    <definedName name="__________a2_1">{"Client Name or Project Name"}</definedName>
    <definedName name="_________a1">{"Client Name or Project Name"}</definedName>
    <definedName name="_________a1_1">{"Client Name or Project Name"}</definedName>
    <definedName name="_________a2">{"Client Name or Project Name"}</definedName>
    <definedName name="_________a2_1">{"Client Name or Project Name"}</definedName>
    <definedName name="________a1">{"Client Name or Project Name"}</definedName>
    <definedName name="________a1_1">{"Client Name or Project Name"}</definedName>
    <definedName name="________a2">{"Client Name or Project Name"}</definedName>
    <definedName name="________a2_1">{"Client Name or Project Name"}</definedName>
    <definedName name="_______a1">{"Client Name or Project Name"}</definedName>
    <definedName name="_______a1_1">{"Client Name or Project Name"}</definedName>
    <definedName name="_______a2">{"Client Name or Project Name"}</definedName>
    <definedName name="_______a2_1">{"Client Name or Project Name"}</definedName>
    <definedName name="_____a1">{"Client Name or Project Name"}</definedName>
    <definedName name="_____a1_1">{"Client Name or Project Name"}</definedName>
    <definedName name="_____a2">{"Client Name or Project Name"}</definedName>
    <definedName name="_____a2_1">{"Client Name or Project Name"}</definedName>
    <definedName name="___a1">{"Client Name or Project Name"}</definedName>
    <definedName name="___a1_1">{"Client Name or Project Name"}</definedName>
    <definedName name="___a2">{"Client Name or Project Name"}</definedName>
    <definedName name="___a2_1">{"Client Name or Project Name"}</definedName>
    <definedName name="__a1">{"Client Name or Project Name"}</definedName>
    <definedName name="__a1_1">{"Client Name or Project Name"}</definedName>
    <definedName name="__a1_1_1">{"Client Name or Project Name"}</definedName>
    <definedName name="__a1_2">{"Client Name or Project Name"}</definedName>
    <definedName name="__a2">{"Client Name or Project Name"}</definedName>
    <definedName name="__a2_1">{"Client Name or Project Name"}</definedName>
    <definedName name="__a2_1_1">{"Client Name or Project Name"}</definedName>
    <definedName name="__a2_2">{"Client Name or Project Name"}</definedName>
    <definedName name="__FDS_UNIQUE_RANGE_ID_GENERATOR_COUNTER">28</definedName>
    <definedName name="__FDS_USED_FOR_REUSING_RANGE_IDS_RECYCLE">{16,16,16,16,16,16,16,16,16,16,16}</definedName>
    <definedName name="__FDS_USED_FOR_REUSING_RANGE_IDS_RECYCLE_1">{16,16,16,16,16,16,16,16,16,16,16}</definedName>
    <definedName name="__FDS_USED_FOR_REUSING_RANGE_IDS_RECYCLE_1_1">{16,16,16,16,16,16,16,16,16,16,16}</definedName>
    <definedName name="__FDS_USED_FOR_REUSING_RANGE_IDS_RECYCLE_1_1_1">{16,16,16,16,16,16,16,16,16,16,16}</definedName>
    <definedName name="__FDS_USED_FOR_REUSING_RANGE_IDS_RECYCLE_1_2">{16,16,16,16,16,16,16,16,16,16,16}</definedName>
    <definedName name="__FDS_USED_FOR_REUSING_RANGE_IDS_RECYCLE_2">{16,16,16,16,16,16,16,16,16,16,16}</definedName>
    <definedName name="__FDS_USED_FOR_REUSING_RANGE_IDS_RECYCLE_2_1">{16,16,16,16,16,16,16,16,16,16,16}</definedName>
    <definedName name="__FDS_USED_FOR_REUSING_RANGE_IDS_RECYCLE_3">{16,16,16,16,16,16,16,16,16,16,16}</definedName>
    <definedName name="__FDS_USED_FOR_REUSING_RANGE_IDS_RECYCLE_3_1">{16,16,16,16,16,16,16,16,16,16,16}</definedName>
    <definedName name="__FDS_USED_FOR_REUSING_RANGE_IDS_RECYCLE_4">{16,16,16,16,16,16,16,16,16,16,16}</definedName>
    <definedName name="__FDS_USED_FOR_REUSING_RANGE_IDS_RECYCLE_4_1">{16,16,16,16,16,16,16,16,16,16,16}</definedName>
    <definedName name="__FDS_USED_FOR_REUSING_RANGE_IDS_RECYCLE_5">{16,16,16,16,16,16,16,16,16,16,16}</definedName>
    <definedName name="__FDS_USED_FOR_REUSING_RANGE_IDS_RECYCLE_5_1">{16,16,16,16,16,16,16,16,16,16,16}</definedName>
    <definedName name="_1__FDSAUDITLINK__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1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1_1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1_1_1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1_2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2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2_1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3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3_1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4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4_1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5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5_1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0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a1_">{"Client Name or Project Name"}</definedName>
    <definedName name="_10a1__1">{"Client Name or Project Name"}</definedName>
    <definedName name="_10a1__1_1">{"Client Name or Project Name"}</definedName>
    <definedName name="_10a1__2">{"Client Name or Project Name"}</definedName>
    <definedName name="_10a1__2_1">{"Client Name or Project Name"}</definedName>
    <definedName name="_10a1__3">{"Client Name or Project Name"}</definedName>
    <definedName name="_10a1__3_1">{"Client Name or Project Name"}</definedName>
    <definedName name="_10a1__4">{"Client Name or Project Name"}</definedName>
    <definedName name="_10a1__4_1">{"Client Name or Project Name"}</definedName>
    <definedName name="_10a1__5">{"Client Name or Project Name"}</definedName>
    <definedName name="_10a1__5_1">{"Client Name or Project Name"}</definedName>
    <definedName name="_11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a1_">{"Client Name or Project Name"}</definedName>
    <definedName name="_11a1__1">{"Client Name or Project Name"}</definedName>
    <definedName name="_11a1__1_1">{"Client Name or Project Name"}</definedName>
    <definedName name="_11a1__2">{"Client Name or Project Name"}</definedName>
    <definedName name="_11a1__2_1">{"Client Name or Project Name"}</definedName>
    <definedName name="_11a1__3">{"Client Name or Project Name"}</definedName>
    <definedName name="_11a1__3_1">{"Client Name or Project Name"}</definedName>
    <definedName name="_11a1__4">{"Client Name or Project Name"}</definedName>
    <definedName name="_11a1__4_1">{"Client Name or Project Name"}</definedName>
    <definedName name="_11a1__5">{"Client Name or Project Name"}</definedName>
    <definedName name="_11a1__5_1">{"Client Name or Project Name"}</definedName>
    <definedName name="_12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a2_">{"Client Name or Project Name"}</definedName>
    <definedName name="_12a2__1">{"Client Name or Project Name"}</definedName>
    <definedName name="_12a2__1_1">{"Client Name or Project Name"}</definedName>
    <definedName name="_12a2__2">{"Client Name or Project Name"}</definedName>
    <definedName name="_13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a2_">{"Client Name or Project Name"}</definedName>
    <definedName name="_14a2__1">{"Client Name or Project Name"}</definedName>
    <definedName name="_14a2__1_1">{"Client Name or Project Name"}</definedName>
    <definedName name="_14a2__2">{"Client Name or Project Name"}</definedName>
    <definedName name="_14a67_">{"Client Name or Project Name"}</definedName>
    <definedName name="_14a67__1">{"Client Name or Project Name"}</definedName>
    <definedName name="_15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a2_">{"Client Name or Project Name"}</definedName>
    <definedName name="_16a2__1">{"Client Name or Project Name"}</definedName>
    <definedName name="_16a2__1_1">{"Client Name or Project Name"}</definedName>
    <definedName name="_16a2__2">{"Client Name or Project Name"}</definedName>
    <definedName name="_16a2__2_1">{"Client Name or Project Name"}</definedName>
    <definedName name="_16a2__3">{"Client Name or Project Name"}</definedName>
    <definedName name="_17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__FDSAUDITLINK__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1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1_1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1_1_1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1_2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2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2_1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3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3_1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4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4_1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5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5_1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a2_">{"Client Name or Project Name"}</definedName>
    <definedName name="_18a2__1">{"Client Name or Project Name"}</definedName>
    <definedName name="_18a2__1_1">{"Client Name or Project Name"}</definedName>
    <definedName name="_18a2__2">{"Client Name or Project Name"}</definedName>
    <definedName name="_19__FDSAUDITLINK__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1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1_1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1_1_1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1_2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2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2_1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3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3_1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4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4_1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5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5_1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2__FDSAUDITLINK__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1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1_1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1_1_1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1_2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2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2_1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3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3_1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4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4_1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5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5_1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0__FDSAUDITLINK__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1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1_1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1_1_1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1_2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2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2_1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3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3_1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4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4_1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5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5_1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a2_">{"Client Name or Project Name"}</definedName>
    <definedName name="_20a2__1">{"Client Name or Project Name"}</definedName>
    <definedName name="_20a2__1_1">{"Client Name or Project Name"}</definedName>
    <definedName name="_20a2__2">{"Client Name or Project Name"}</definedName>
    <definedName name="_20a2__2_1">{"Client Name or Project Name"}</definedName>
    <definedName name="_20a2__3">{"Client Name or Project Name"}</definedName>
    <definedName name="_20a2__3_1">{"Client Name or Project Name"}</definedName>
    <definedName name="_20a2__4">{"Client Name or Project Name"}</definedName>
    <definedName name="_20a2__4_1">{"Client Name or Project Name"}</definedName>
    <definedName name="_20a2__5">{"Client Name or Project Name"}</definedName>
    <definedName name="_20a2__5_1">{"Client Name or Project Name"}</definedName>
    <definedName name="_21__FDSAUDITLINK__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1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1_1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1_1_1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1_2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2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2_1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3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3_1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4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4_1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5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5_1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2__FDSAUDITLINK__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1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1_1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1_1_1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1_2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2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2_1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3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3_1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4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4_1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5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5_1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a2_">{"Client Name or Project Name"}</definedName>
    <definedName name="_22a2__1">{"Client Name or Project Name"}</definedName>
    <definedName name="_22a2__1_1">{"Client Name or Project Name"}</definedName>
    <definedName name="_22a2__2">{"Client Name or Project Name"}</definedName>
    <definedName name="_22a2__2_1">{"Client Name or Project Name"}</definedName>
    <definedName name="_22a2__3">{"Client Name or Project Name"}</definedName>
    <definedName name="_22a2__3_1">{"Client Name or Project Name"}</definedName>
    <definedName name="_22a2__4">{"Client Name or Project Name"}</definedName>
    <definedName name="_22a2__4_1">{"Client Name or Project Name"}</definedName>
    <definedName name="_22a2__5">{"Client Name or Project Name"}</definedName>
    <definedName name="_22a2__5_1">{"Client Name or Project Name"}</definedName>
    <definedName name="_23__FDSAUDITLINK__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1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1_1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1_1_1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1_2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2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2_1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3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3_1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4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4_1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5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5_1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4__FDSAUDITLINK__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1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1_1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1_1_1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1_2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2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2_1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3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3_1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4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4_1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5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5_1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5__FDSAUDITLINK__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1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1_1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1_1_1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1_2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2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2_1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3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3_1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4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4_1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5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5_1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6__FDSAUDITLINK__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1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1_1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1_1_1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1_2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2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2_1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3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3_1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4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4_1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5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5_1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7__FDSAUDITLINK__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1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1_1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1_1_1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1_2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2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2_1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3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3_1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4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4_1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5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5_1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a1_">{"Client Name or Project Name"}</definedName>
    <definedName name="_2a1__1">{"Client Name or Project Name"}</definedName>
    <definedName name="_3__FDSAUDITLINK__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1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1_1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1_1_1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1_2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2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2_1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3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3_1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4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4_1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5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5_1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__FDSAUDITLINK__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1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1_1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1_1_1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1_2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2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2_1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3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3_1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4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4_1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5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5_1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a1_">{"Client Name or Project Name"}</definedName>
    <definedName name="_4a1__1">{"Client Name or Project Name"}</definedName>
    <definedName name="_4a1__1_1">{"Client Name or Project Name"}</definedName>
    <definedName name="_4a1__2">{"Client Name or Project Name"}</definedName>
    <definedName name="_4a1__2_1">{"Client Name or Project Name"}</definedName>
    <definedName name="_4a1__3">{"Client Name or Project Name"}</definedName>
    <definedName name="_4a2_">{"Client Name or Project Name"}</definedName>
    <definedName name="_4a2__1">{"Client Name or Project Name"}</definedName>
    <definedName name="_5__FDSAUDITLINK__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1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1_1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1_1_1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1_2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2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2_1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3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3_1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4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4_1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5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5_1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__FDSAUDITLINK__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1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1_1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1_1_1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1_2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2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2_1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3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3_1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4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4_1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5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5_1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a1_">{"Client Name or Project Name"}</definedName>
    <definedName name="_6a1__1">{"Client Name or Project Name"}</definedName>
    <definedName name="_6a1__1_1">{"Client Name or Project Name"}</definedName>
    <definedName name="_6a1__2">{"Client Name or Project Name"}</definedName>
    <definedName name="_7__FDSAUDITLINK__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1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1_1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1_1_1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1_2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2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2_1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3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3_1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4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4_1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5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5_1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a1_">{"Client Name or Project Name"}</definedName>
    <definedName name="_7a1__1">{"Client Name or Project Name"}</definedName>
    <definedName name="_7a1__1_1">{"Client Name or Project Name"}</definedName>
    <definedName name="_7a1__2">{"Client Name or Project Name"}</definedName>
    <definedName name="_8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a1_">{"Client Name or Project Name"}</definedName>
    <definedName name="_8a1__1">{"Client Name or Project Name"}</definedName>
    <definedName name="_8a1__1_1">{"Client Name or Project Name"}</definedName>
    <definedName name="_8a1__2">{"Client Name or Project Name"}</definedName>
    <definedName name="_8a1__2_1">{"Client Name or Project Name"}</definedName>
    <definedName name="_8a1__3">{"Client Name or Project Name"}</definedName>
    <definedName name="_8a2_">{"Client Name or Project Name"}</definedName>
    <definedName name="_8a2__1">{"Client Name or Project Name"}</definedName>
    <definedName name="_8a2__1_1">{"Client Name or Project Name"}</definedName>
    <definedName name="_8a2__2">{"Client Name or Project Name"}</definedName>
    <definedName name="_8a2__2_1">{"Client Name or Project Name"}</definedName>
    <definedName name="_8a2__3">{"Client Name or Project Name"}</definedName>
    <definedName name="_9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a1_">{"Client Name or Project Name"}</definedName>
    <definedName name="_9a1__1">{"Client Name or Project Name"}</definedName>
    <definedName name="_9a1__1_1">{"Client Name or Project Name"}</definedName>
    <definedName name="_9a1__2">{"Client Name or Project Name"}</definedName>
    <definedName name="_a1">{"Client Name or Project Name"}</definedName>
    <definedName name="_a1_1">{"Client Name or Project Name"}</definedName>
    <definedName name="_a1_1_1">{"Client Name or Project Name"}</definedName>
    <definedName name="_a1_2">{"Client Name or Project Name"}</definedName>
    <definedName name="_a2">{"Client Name or Project Name"}</definedName>
    <definedName name="_a2_1">{"Client Name or Project Name"}</definedName>
    <definedName name="_a2_1_1">{"Client Name or Project Name"}</definedName>
    <definedName name="_a2_2">{"Client Name or Project Name"}</definedName>
    <definedName name="_map2">{"Client Name or Project Name"}</definedName>
    <definedName name="_map2_1">{"Client Name or Project Name"}</definedName>
    <definedName name="_map2_1_1">{"Client Name or Project Name"}</definedName>
    <definedName name="_map2_2">{"Client Name or Project Name"}</definedName>
    <definedName name="_ProjectName">"Project Mayflower"</definedName>
    <definedName name="aa">{"Client Name or Project Name"}</definedName>
    <definedName name="aa_1">{"Client Name or Project Name"}</definedName>
    <definedName name="aaaa">{"Client Name or Project Name"}</definedName>
    <definedName name="aaaa_1">{"Client Name or Project Name"}</definedName>
    <definedName name="AB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1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1_1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1_2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2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2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3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3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4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4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5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5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ctual_start_year">1992</definedName>
    <definedName name="adfqwf">{"Client Name or Project Name"}</definedName>
    <definedName name="adfqwf_1">{"Client Name or Project Name"}</definedName>
    <definedName name="admin">1</definedName>
    <definedName name="adsf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1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1_1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1_2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2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2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3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3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4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4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5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5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llTables">{7}</definedName>
    <definedName name="AllTables_1">{7}</definedName>
    <definedName name="AllTables_1_1">{7}</definedName>
    <definedName name="AllTables_1_1_1">{7}</definedName>
    <definedName name="AllTables_1_2">{7}</definedName>
    <definedName name="AllTables_2">{7}</definedName>
    <definedName name="AllTables_2_1">{7}</definedName>
    <definedName name="AllTables_3">{7}</definedName>
    <definedName name="AllTables_3_1">{7}</definedName>
    <definedName name="AllTables_4">{7}</definedName>
    <definedName name="AllTables_4_1">{7}</definedName>
    <definedName name="AllTables_5">{7}</definedName>
    <definedName name="AllTables_5_1">{7}</definedName>
    <definedName name="anscount">3</definedName>
    <definedName name="as_1">{"Client Name or Project Name"}</definedName>
    <definedName name="as_1_1">{"Client Name or Project Name"}</definedName>
    <definedName name="asdf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1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1_1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1_2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2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2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3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3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4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4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5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5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234">{"Client Name or Project Name"}</definedName>
    <definedName name="asdf234_1">{"Client Name or Project Name"}</definedName>
    <definedName name="asdf234_1_1">{"Client Name or Project Name"}</definedName>
    <definedName name="asdf234_1_1_1">{"Client Name or Project Name"}</definedName>
    <definedName name="asdf234_1_2">{"Client Name or Project Name"}</definedName>
    <definedName name="asdf234_2">{"Client Name or Project Name"}</definedName>
    <definedName name="asdf234_2_1">{"Client Name or Project Name"}</definedName>
    <definedName name="asdf234_3">{"Client Name or Project Name"}</definedName>
    <definedName name="asdf234_3_1">{"Client Name or Project Name"}</definedName>
    <definedName name="asdf234_4">{"Client Name or Project Name"}</definedName>
    <definedName name="asdf234_4_1">{"Client Name or Project Name"}</definedName>
    <definedName name="asdf234_5">{"Client Name or Project Name"}</definedName>
    <definedName name="asdf234_5_1">{"Client Name or Project Name"}</definedName>
    <definedName name="asdf4">{7}</definedName>
    <definedName name="asdf4_1">{7}</definedName>
    <definedName name="asdf4_1_1">{7}</definedName>
    <definedName name="asdf4_1_1_1">{7}</definedName>
    <definedName name="asdf4_1_2">{7}</definedName>
    <definedName name="asdf4_2">{7}</definedName>
    <definedName name="asdf4_2_1">{7}</definedName>
    <definedName name="asdf4_3">{7}</definedName>
    <definedName name="asdf4_3_1">{7}</definedName>
    <definedName name="asdf4_4">{7}</definedName>
    <definedName name="asdf4_4_1">{7}</definedName>
    <definedName name="asdf4_5">{7}</definedName>
    <definedName name="asdf4_5_1">{7}</definedName>
    <definedName name="AssetsCurrentDeferredIncomeTaxes">0</definedName>
    <definedName name="AssetsCurrentShortTermInvestments">0</definedName>
    <definedName name="AssetsIntangiblesAccumulatedAmortization">0</definedName>
    <definedName name="AssetsIntangiblesGross">0</definedName>
    <definedName name="AssetsOtherAccumulatedAmortization">0</definedName>
    <definedName name="AssetsOtherGross">0</definedName>
    <definedName name="AssetsOtherNet">0</definedName>
    <definedName name="ax">{"Client Name or Project Name"}</definedName>
    <definedName name="ax_1">{"Client Name or Project Name"}</definedName>
    <definedName name="bb">{"Client Name or Project Name"}</definedName>
    <definedName name="bb_1">{"Client Name or Project Name"}</definedName>
    <definedName name="BoxPlot">"BoxPlot"</definedName>
    <definedName name="Bubble">"Bubble"</definedName>
    <definedName name="Candlestick">"Candlestick"</definedName>
    <definedName name="case_num">1</definedName>
    <definedName name="CashFlowCapitalExpenditureCellular">0</definedName>
    <definedName name="CashFlowCapitalExpenditureOther">0</definedName>
    <definedName name="CashFlowCapitalExpenditurePaging">0</definedName>
    <definedName name="CashFlowCapitalExpenditureTelephone">0</definedName>
    <definedName name="CashFlowCapitalExpenditureWireless">0</definedName>
    <definedName name="CashFlowDividendPaidPreferredStock">0</definedName>
    <definedName name="cb_sChart16EBA7BA_opts">"1, 1, 1, False, 2, True, False, , 0, False, True, 1, 2"</definedName>
    <definedName name="cb_sChart1AC0211C_opts">"1, 1, 1, False, 2, False, False, , 0, False, False, 2, 2"</definedName>
    <definedName name="cb_sChart1AC021B3_opts">"1, 1, 1, False, 2, False, False, , 0, False, False, 2, 2"</definedName>
    <definedName name="cb_sChart1AC02226_opts">"1, 1, 1, False, 2, False, False, , 0, False, False, 2, 2"</definedName>
    <definedName name="cb_sChart1AC02446_opts">"1, 1, 1, False, 2, True, False, , 0, False, True, 2, 2"</definedName>
    <definedName name="cb_sChart1AC02765_opts">"1, 1, 1, False, 2, True, False, , 0, False, True, 2, 2"</definedName>
    <definedName name="cb_sChart1AC027D9_opts">"1, 1, 1, False, 2, True, False, , 0, False, True, 2, 2"</definedName>
    <definedName name="Chart">"Chart"</definedName>
    <definedName name="ChartImage">"ChartImage"</definedName>
    <definedName name="Class_B">68.45</definedName>
    <definedName name="cm">1</definedName>
    <definedName name="Co_Name">"Henderson China Holdings Limited"</definedName>
    <definedName name="ColumnRange">"ColumnRange"</definedName>
    <definedName name="dcf">"311A3B95-A1F3-11D5-89A6-009027910F4C"</definedName>
    <definedName name="dee">#N/A</definedName>
    <definedName name="Dis_Rate">16%</definedName>
    <definedName name="drsfewde">{"Client Name or Project Name"}</definedName>
    <definedName name="drsfewde_1">{"Client Name or Project Name"}</definedName>
    <definedName name="drsfewde_1_1">{"Client Name or Project Name"}</definedName>
    <definedName name="drsfewde_1_1_1">{"Client Name or Project Name"}</definedName>
    <definedName name="drsfewde_1_2">{"Client Name or Project Name"}</definedName>
    <definedName name="drsfewde_2">{"Client Name or Project Name"}</definedName>
    <definedName name="drsfewde_2_1">{"Client Name or Project Name"}</definedName>
    <definedName name="drsfewde_3">{"Client Name or Project Name"}</definedName>
    <definedName name="drsfewde_3_1">{"Client Name or Project Name"}</definedName>
    <definedName name="drsfewde_4">{"Client Name or Project Name"}</definedName>
    <definedName name="drsfewde_4_1">{"Client Name or Project Name"}</definedName>
    <definedName name="drsfewde_5">{"Client Name or Project Name"}</definedName>
    <definedName name="drsfewde_5_1">{"Client Name or Project Name"}</definedName>
    <definedName name="Dumbbell">"Dumbbell"</definedName>
    <definedName name="EquityAdjustments">0</definedName>
    <definedName name="EquityEmployeeStockOwnershipPlan">0</definedName>
    <definedName name="EquityPaidInCapital">0</definedName>
    <definedName name="EquityTreasuryStock">0</definedName>
    <definedName name="er">{"Client Name or Project Name"}</definedName>
    <definedName name="er_1">{"Client Name or Project Name"}</definedName>
    <definedName name="Exch">" Sheet2!$F$2"</definedName>
    <definedName name="fq3fe">{7}</definedName>
    <definedName name="fq3fe_1">{7}</definedName>
    <definedName name="fsd2q">{"Client Name or Project Name"}</definedName>
    <definedName name="fsd2q_1">{"Client Name or Project Name"}</definedName>
    <definedName name="fsd2q_1_1">{"Client Name or Project Name"}</definedName>
    <definedName name="fsd2q_1_1_1">{"Client Name or Project Name"}</definedName>
    <definedName name="fsd2q_1_2">{"Client Name or Project Name"}</definedName>
    <definedName name="fsd2q_2">{"Client Name or Project Name"}</definedName>
    <definedName name="fsd2q_2_1">{"Client Name or Project Name"}</definedName>
    <definedName name="fsd2q_3">{"Client Name or Project Name"}</definedName>
    <definedName name="fsd2q_3_1">{"Client Name or Project Name"}</definedName>
    <definedName name="fsd2q_4">{"Client Name or Project Name"}</definedName>
    <definedName name="fsd2q_4_1">{"Client Name or Project Name"}</definedName>
    <definedName name="fsd2q_5">{"Client Name or Project Name"}</definedName>
    <definedName name="fsd2q_5_1">{"Client Name or Project Name"}</definedName>
    <definedName name="Germany">{"Cereva Networks, Inc"}</definedName>
    <definedName name="Germany_1">{"Cereva Networks, Inc"}</definedName>
    <definedName name="Germany_1_1">{"Cereva Networks, Inc"}</definedName>
    <definedName name="Germany_1_1_1">{"Cereva Networks, Inc"}</definedName>
    <definedName name="Germany_1_2">{"Cereva Networks, Inc"}</definedName>
    <definedName name="Germany_2">{"Cereva Networks, Inc"}</definedName>
    <definedName name="Germany_2_1">{"Cereva Networks, Inc"}</definedName>
    <definedName name="Germany_3">{"Cereva Networks, Inc"}</definedName>
    <definedName name="Germany_3_1">{"Cereva Networks, Inc"}</definedName>
    <definedName name="Germany_4">{"Cereva Networks, Inc"}</definedName>
    <definedName name="Germany_4_1">{"Cereva Networks, Inc"}</definedName>
    <definedName name="Germany_5">{"Cereva Networks, Inc"}</definedName>
    <definedName name="Germany_5_1">{"Cereva Networks, Inc"}</definedName>
    <definedName name="gersfed4">{"Client Name or Project Name"}</definedName>
    <definedName name="gersfed4_1">{"Client Name or Project Name"}</definedName>
    <definedName name="gersfed4_1_1">{"Client Name or Project Name"}</definedName>
    <definedName name="gersfed4_1_1_1">{"Client Name or Project Name"}</definedName>
    <definedName name="gersfed4_1_2">{"Client Name or Project Name"}</definedName>
    <definedName name="gersfed4_2">{"Client Name or Project Name"}</definedName>
    <definedName name="gersfed4_2_1">{"Client Name or Project Name"}</definedName>
    <definedName name="gersfed4_3">{"Client Name or Project Name"}</definedName>
    <definedName name="gersfed4_3_1">{"Client Name or Project Name"}</definedName>
    <definedName name="gersfed4_4">{"Client Name or Project Name"}</definedName>
    <definedName name="gersfed4_4_1">{"Client Name or Project Name"}</definedName>
    <definedName name="gersfed4_5">{"Client Name or Project Name"}</definedName>
    <definedName name="gersfed4_5_1">{"Client Name or Project Name"}</definedName>
    <definedName name="ges">#N/A</definedName>
    <definedName name="Goodwill_Amortization">25</definedName>
    <definedName name="grefrg43">{"Client Name or Project Name"}</definedName>
    <definedName name="grefrg43_1">{"Client Name or Project Name"}</definedName>
    <definedName name="grefrg43_1_1">{"Client Name or Project Name"}</definedName>
    <definedName name="grefrg43_1_1_1">{"Client Name or Project Name"}</definedName>
    <definedName name="grefrg43_1_2">{"Client Name or Project Name"}</definedName>
    <definedName name="grefrg43_2">{"Client Name or Project Name"}</definedName>
    <definedName name="grefrg43_2_1">{"Client Name or Project Name"}</definedName>
    <definedName name="grefrg43_3">{"Client Name or Project Name"}</definedName>
    <definedName name="grefrg43_3_1">{"Client Name or Project Name"}</definedName>
    <definedName name="grefrg43_4">{"Client Name or Project Name"}</definedName>
    <definedName name="grefrg43_4_1">{"Client Name or Project Name"}</definedName>
    <definedName name="grefrg43_5">{"Client Name or Project Name"}</definedName>
    <definedName name="grefrg43_5_1">{"Client Name or Project Name"}</definedName>
    <definedName name="grtrfe">{7}</definedName>
    <definedName name="grtrfe_1">{7}</definedName>
    <definedName name="grtrfe_1_1">{7}</definedName>
    <definedName name="grtrfe_1_1_1">{7}</definedName>
    <definedName name="grtrfe_1_2">{7}</definedName>
    <definedName name="grtrfe_2">{7}</definedName>
    <definedName name="grtrfe_2_1">{7}</definedName>
    <definedName name="grtrfe_3">{7}</definedName>
    <definedName name="grtrfe_3_1">{7}</definedName>
    <definedName name="grtrfe_4">{7}</definedName>
    <definedName name="grtrfe_4_1">{7}</definedName>
    <definedName name="grtrfe_5">{7}</definedName>
    <definedName name="grtrfe_5_1">{7}</definedName>
    <definedName name="GWyears">40</definedName>
    <definedName name="HalfReview">{"Client Name or Project Name"}</definedName>
    <definedName name="HalfReview_1">{"Client Name or Project Name"}</definedName>
    <definedName name="HalfReview_1_1">{"Client Name or Project Name"}</definedName>
    <definedName name="HalfReview_2">{"Client Name or Project Name"}</definedName>
    <definedName name="HalfReview_2_1">{"Client Name or Project Name"}</definedName>
    <definedName name="HalfReview_3">{"Client Name or Project Name"}</definedName>
    <definedName name="Heatmap">"Heatmap"</definedName>
    <definedName name="Histogram">"Histogram"</definedName>
    <definedName name="hjhjhj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1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1_1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1_2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2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2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3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3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4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4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5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5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TML_CodePage">1252</definedName>
    <definedName name="HTML_Control">{"'Segment'!$A$1:$J$45"}</definedName>
    <definedName name="HTML_Control_1">{"'Segment'!$A$1:$J$45"}</definedName>
    <definedName name="HTML_Control_1_1">{"'Segment'!$A$1:$J$45"}</definedName>
    <definedName name="HTML_Control_1_1_1">{"'Segment'!$A$1:$J$45"}</definedName>
    <definedName name="HTML_Control_1_2">{"'Segment'!$A$1:$J$45"}</definedName>
    <definedName name="HTML_Control_2">{"'Segment'!$A$1:$J$45"}</definedName>
    <definedName name="HTML_Control_2_1">{"'Segment'!$A$1:$J$45"}</definedName>
    <definedName name="HTML_Control_3">{"'Segment'!$A$1:$J$45"}</definedName>
    <definedName name="HTML_Control_3_1">{"'Segment'!$A$1:$J$45"}</definedName>
    <definedName name="HTML_Control_4">{"'Segment'!$A$1:$J$45"}</definedName>
    <definedName name="HTML_Control_4_1">{"'Segment'!$A$1:$J$45"}</definedName>
    <definedName name="HTML_Control_5">{"'Segment'!$A$1:$J$45"}</definedName>
    <definedName name="HTML_Control_5_1">{"'Segment'!$A$1:$J$45"}</definedName>
    <definedName name="HTML_Description">""</definedName>
    <definedName name="HTML_Email">""</definedName>
    <definedName name="HTML_Header">""</definedName>
    <definedName name="HTML_LastUpdate">""</definedName>
    <definedName name="HTML_LineAfter">FALSE</definedName>
    <definedName name="HTML_LineBefore">FALSE</definedName>
    <definedName name="HTML_Name">""</definedName>
    <definedName name="HTML_OBDlg2">TRUE</definedName>
    <definedName name="HTML_OBDlg4">TRUE</definedName>
    <definedName name="HTML_OS">0</definedName>
    <definedName name="HTML_PathFile">"J:\carpente\Releases\Q2-00\segment2Q-00.htm"</definedName>
    <definedName name="HTML_Title">"Segment and Supplemental Information"</definedName>
    <definedName name="IncomeEPSFullyDiluted">0</definedName>
    <definedName name="IncomeEPSPrimary">0</definedName>
    <definedName name="IncomeEPSRegular">0</definedName>
    <definedName name="input">{"0.614608629108408";"0.089";"0.07";"0.036";"0.09";"0.39";"0.177761404547907";"0.116071428571429";"0.708";"0.0556964285714285";"0.127160714285714"}</definedName>
    <definedName name="input_1">{"0.614608629108408";"0.089";"0.07";"0.036";"0.09";"0.39";"0.177761404547907";"0.116071428571429";"0.708";"0.0556964285714285";"0.127160714285714"}</definedName>
    <definedName name="input_1_1">{"0.614608629108408";"0.089";"0.07";"0.036";"0.09";"0.39";"0.177761404547907";"0.116071428571429";"0.708";"0.0556964285714285";"0.127160714285714"}</definedName>
    <definedName name="input_1_1_1">{"0.614608629108408";"0.089";"0.07";"0.036";"0.09";"0.39";"0.177761404547907";"0.116071428571429";"0.708";"0.0556964285714285";"0.127160714285714"}</definedName>
    <definedName name="input_1_2">{"0.614608629108408";"0.089";"0.07";"0.036";"0.09";"0.39";"0.177761404547907";"0.116071428571429";"0.708";"0.0556964285714285";"0.127160714285714"}</definedName>
    <definedName name="input_2">{"0.614608629108408";"0.089";"0.07";"0.036";"0.09";"0.39";"0.177761404547907";"0.116071428571429";"0.708";"0.0556964285714285";"0.127160714285714"}</definedName>
    <definedName name="input_2_1">{"0.614608629108408";"0.089";"0.07";"0.036";"0.09";"0.39";"0.177761404547907";"0.116071428571429";"0.708";"0.0556964285714285";"0.127160714285714"}</definedName>
    <definedName name="input_3">{"0.614608629108408";"0.089";"0.07";"0.036";"0.09";"0.39";"0.177761404547907";"0.116071428571429";"0.708";"0.0556964285714285";"0.127160714285714"}</definedName>
    <definedName name="input_3_1">{"0.614608629108408";"0.089";"0.07";"0.036";"0.09";"0.39";"0.177761404547907";"0.116071428571429";"0.708";"0.0556964285714285";"0.127160714285714"}</definedName>
    <definedName name="input_4">{"0.614608629108408";"0.089";"0.07";"0.036";"0.09";"0.39";"0.177761404547907";"0.116071428571429";"0.708";"0.0556964285714285";"0.127160714285714"}</definedName>
    <definedName name="input_4_1">{"0.614608629108408";"0.089";"0.07";"0.036";"0.09";"0.39";"0.177761404547907";"0.116071428571429";"0.708";"0.0556964285714285";"0.127160714285714"}</definedName>
    <definedName name="input_5">{"0.614608629108408";"0.089";"0.07";"0.036";"0.09";"0.39";"0.177761404547907";"0.116071428571429";"0.708";"0.0556964285714285";"0.127160714285714"}</definedName>
    <definedName name="input_5_1">{"0.614608629108408";"0.089";"0.07";"0.036";"0.09";"0.39";"0.177761404547907";"0.116071428571429";"0.708";"0.0556964285714285";"0.127160714285714"}</definedName>
    <definedName name="Int_exp">8%</definedName>
    <definedName name="IQ_CH">110000</definedName>
    <definedName name="IQ_DAILY">500000</definedName>
    <definedName name="IQ_FH">100000</definedName>
    <definedName name="iRepType">1</definedName>
    <definedName name="iujyht">{"Client Name or Project Name"}</definedName>
    <definedName name="iujyht_1">{"Client Name or Project Name"}</definedName>
    <definedName name="iujyht_1_1">{"Client Name or Project Name"}</definedName>
    <definedName name="iujyht_1_1_1">{"Client Name or Project Name"}</definedName>
    <definedName name="iujyht_1_2">{"Client Name or Project Name"}</definedName>
    <definedName name="iujyht_2">{"Client Name or Project Name"}</definedName>
    <definedName name="iujyht_2_1">{"Client Name or Project Name"}</definedName>
    <definedName name="iujyht_3">{"Client Name or Project Name"}</definedName>
    <definedName name="iujyht_3_1">{"Client Name or Project Name"}</definedName>
    <definedName name="iujyht_4">{"Client Name or Project Name"}</definedName>
    <definedName name="iujyht_4_1">{"Client Name or Project Name"}</definedName>
    <definedName name="iujyht_5">{"Client Name or Project Name"}</definedName>
    <definedName name="iujyht_5_1">{"Client Name or Project Name"}</definedName>
    <definedName name="Japan">{"twx1",#N/A,FALSE,"twltm.xls";"twx2",#N/A,FALSE,"twltm.xls";"twx3",#N/A,FALSE,"twltm.xls"}</definedName>
    <definedName name="Japan_1">{"twx1",#N/A,FALSE,"twltm.xls";"twx2",#N/A,FALSE,"twltm.xls";"twx3",#N/A,FALSE,"twltm.xls"}</definedName>
    <definedName name="Japan_1_1">{"twx1",#N/A,FALSE,"twltm.xls";"twx2",#N/A,FALSE,"twltm.xls";"twx3",#N/A,FALSE,"twltm.xls"}</definedName>
    <definedName name="Japan_1_1_1">{"twx1",#N/A,FALSE,"twltm.xls";"twx2",#N/A,FALSE,"twltm.xls";"twx3",#N/A,FALSE,"twltm.xls"}</definedName>
    <definedName name="Japan_1_2">{"twx1",#N/A,FALSE,"twltm.xls";"twx2",#N/A,FALSE,"twltm.xls";"twx3",#N/A,FALSE,"twltm.xls"}</definedName>
    <definedName name="Japan_2">{"twx1",#N/A,FALSE,"twltm.xls";"twx2",#N/A,FALSE,"twltm.xls";"twx3",#N/A,FALSE,"twltm.xls"}</definedName>
    <definedName name="Japan_2_1">{"twx1",#N/A,FALSE,"twltm.xls";"twx2",#N/A,FALSE,"twltm.xls";"twx3",#N/A,FALSE,"twltm.xls"}</definedName>
    <definedName name="Japan_3">{"twx1",#N/A,FALSE,"twltm.xls";"twx2",#N/A,FALSE,"twltm.xls";"twx3",#N/A,FALSE,"twltm.xls"}</definedName>
    <definedName name="Japan_3_1">{"twx1",#N/A,FALSE,"twltm.xls";"twx2",#N/A,FALSE,"twltm.xls";"twx3",#N/A,FALSE,"twltm.xls"}</definedName>
    <definedName name="Japan_4">{"twx1",#N/A,FALSE,"twltm.xls";"twx2",#N/A,FALSE,"twltm.xls";"twx3",#N/A,FALSE,"twltm.xls"}</definedName>
    <definedName name="Japan_4_1">{"twx1",#N/A,FALSE,"twltm.xls";"twx2",#N/A,FALSE,"twltm.xls";"twx3",#N/A,FALSE,"twltm.xls"}</definedName>
    <definedName name="Japan_5">{"twx1",#N/A,FALSE,"twltm.xls";"twx2",#N/A,FALSE,"twltm.xls";"twx3",#N/A,FALSE,"twltm.xls"}</definedName>
    <definedName name="Japan_5_1">{"twx1",#N/A,FALSE,"twltm.xls";"twx2",#N/A,FALSE,"twltm.xls";"twx3",#N/A,FALSE,"twltm.xls"}</definedName>
    <definedName name="jen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1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1_1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1_2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2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2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3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3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4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4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5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5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ust">{7}</definedName>
    <definedName name="just_1">{7}</definedName>
    <definedName name="just_1_1">{7}</definedName>
    <definedName name="just_1_1_1">{7}</definedName>
    <definedName name="just_1_2">{7}</definedName>
    <definedName name="just_2">{7}</definedName>
    <definedName name="just_2_1">{7}</definedName>
    <definedName name="just_3">{7}</definedName>
    <definedName name="just_3_1">{7}</definedName>
    <definedName name="just_4">{7}</definedName>
    <definedName name="just_4_1">{7}</definedName>
    <definedName name="just_5">{7}</definedName>
    <definedName name="just_5_1">{7}</definedName>
    <definedName name="klklklkl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1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1_1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1_2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2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2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3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3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4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4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5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5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LiabilitiesCurrentAccruedLiabilities">0</definedName>
    <definedName name="LiabilitiesCurrentNotesPayable">0</definedName>
    <definedName name="LiabilitiesDeferredIncomeTaxes">0</definedName>
    <definedName name="LiabilitiesOther">0</definedName>
    <definedName name="LiabilitiesUnamortizedInvestmentTaxCredits">0</definedName>
    <definedName name="limcount">1</definedName>
    <definedName name="Map">"Map"</definedName>
    <definedName name="mil">1000000</definedName>
    <definedName name="misc">1</definedName>
    <definedName name="misc2">1</definedName>
    <definedName name="mmmmm">{#N/A,#N/A,FALSE,"Cover";#N/A,#N/A,FALSE,"LUMI";#N/A,#N/A,FALSE,"COMD";#N/A,#N/A,FALSE,"Valuation";#N/A,#N/A,FALSE,"Assumptions";#N/A,#N/A,FALSE,"Pooling";#N/A,#N/A,FALSE,"BalanceSheet"}</definedName>
    <definedName name="mmmmm_1">{#N/A,#N/A,FALSE,"Cover";#N/A,#N/A,FALSE,"LUMI";#N/A,#N/A,FALSE,"COMD";#N/A,#N/A,FALSE,"Valuation";#N/A,#N/A,FALSE,"Assumptions";#N/A,#N/A,FALSE,"Pooling";#N/A,#N/A,FALSE,"BalanceSheet"}</definedName>
    <definedName name="mmmmm_1_1">{#N/A,#N/A,FALSE,"Cover";#N/A,#N/A,FALSE,"LUMI";#N/A,#N/A,FALSE,"COMD";#N/A,#N/A,FALSE,"Valuation";#N/A,#N/A,FALSE,"Assumptions";#N/A,#N/A,FALSE,"Pooling";#N/A,#N/A,FALSE,"BalanceSheet"}</definedName>
    <definedName name="mmmmm_1_1_1">{#N/A,#N/A,FALSE,"Cover";#N/A,#N/A,FALSE,"LUMI";#N/A,#N/A,FALSE,"COMD";#N/A,#N/A,FALSE,"Valuation";#N/A,#N/A,FALSE,"Assumptions";#N/A,#N/A,FALSE,"Pooling";#N/A,#N/A,FALSE,"BalanceSheet"}</definedName>
    <definedName name="mmmmm_1_2">{#N/A,#N/A,FALSE,"Cover";#N/A,#N/A,FALSE,"LUMI";#N/A,#N/A,FALSE,"COMD";#N/A,#N/A,FALSE,"Valuation";#N/A,#N/A,FALSE,"Assumptions";#N/A,#N/A,FALSE,"Pooling";#N/A,#N/A,FALSE,"BalanceSheet"}</definedName>
    <definedName name="mmmmm_2">{#N/A,#N/A,FALSE,"Cover";#N/A,#N/A,FALSE,"LUMI";#N/A,#N/A,FALSE,"COMD";#N/A,#N/A,FALSE,"Valuation";#N/A,#N/A,FALSE,"Assumptions";#N/A,#N/A,FALSE,"Pooling";#N/A,#N/A,FALSE,"BalanceSheet"}</definedName>
    <definedName name="mmmmm_2_1">{#N/A,#N/A,FALSE,"Cover";#N/A,#N/A,FALSE,"LUMI";#N/A,#N/A,FALSE,"COMD";#N/A,#N/A,FALSE,"Valuation";#N/A,#N/A,FALSE,"Assumptions";#N/A,#N/A,FALSE,"Pooling";#N/A,#N/A,FALSE,"BalanceSheet"}</definedName>
    <definedName name="mmmmm_3">{#N/A,#N/A,FALSE,"Cover";#N/A,#N/A,FALSE,"LUMI";#N/A,#N/A,FALSE,"COMD";#N/A,#N/A,FALSE,"Valuation";#N/A,#N/A,FALSE,"Assumptions";#N/A,#N/A,FALSE,"Pooling";#N/A,#N/A,FALSE,"BalanceSheet"}</definedName>
    <definedName name="mmmmm_3_1">{#N/A,#N/A,FALSE,"Cover";#N/A,#N/A,FALSE,"LUMI";#N/A,#N/A,FALSE,"COMD";#N/A,#N/A,FALSE,"Valuation";#N/A,#N/A,FALSE,"Assumptions";#N/A,#N/A,FALSE,"Pooling";#N/A,#N/A,FALSE,"BalanceSheet"}</definedName>
    <definedName name="mmmmm_4">{#N/A,#N/A,FALSE,"Cover";#N/A,#N/A,FALSE,"LUMI";#N/A,#N/A,FALSE,"COMD";#N/A,#N/A,FALSE,"Valuation";#N/A,#N/A,FALSE,"Assumptions";#N/A,#N/A,FALSE,"Pooling";#N/A,#N/A,FALSE,"BalanceSheet"}</definedName>
    <definedName name="mmmmm_4_1">{#N/A,#N/A,FALSE,"Cover";#N/A,#N/A,FALSE,"LUMI";#N/A,#N/A,FALSE,"COMD";#N/A,#N/A,FALSE,"Valuation";#N/A,#N/A,FALSE,"Assumptions";#N/A,#N/A,FALSE,"Pooling";#N/A,#N/A,FALSE,"BalanceSheet"}</definedName>
    <definedName name="mmmmm_5">{#N/A,#N/A,FALSE,"Cover";#N/A,#N/A,FALSE,"LUMI";#N/A,#N/A,FALSE,"COMD";#N/A,#N/A,FALSE,"Valuation";#N/A,#N/A,FALSE,"Assumptions";#N/A,#N/A,FALSE,"Pooling";#N/A,#N/A,FALSE,"BalanceSheet"}</definedName>
    <definedName name="mmmmm_5_1">{#N/A,#N/A,FALSE,"Cover";#N/A,#N/A,FALSE,"LUMI";#N/A,#N/A,FALSE,"COMD";#N/A,#N/A,FALSE,"Valuation";#N/A,#N/A,FALSE,"Assumptions";#N/A,#N/A,FALSE,"Pooling";#N/A,#N/A,FALSE,"BalanceSheet"}</definedName>
    <definedName name="MonitorCol">1</definedName>
    <definedName name="MonitorRow">1</definedName>
    <definedName name="New">{"twx1",#N/A,FALSE,"twltm.xls";"twx2",#N/A,FALSE,"twltm.xls";"twx3",#N/A,FALSE,"twltm.xls"}</definedName>
    <definedName name="New_1">{"twx1",#N/A,FALSE,"twltm.xls";"twx2",#N/A,FALSE,"twltm.xls";"twx3",#N/A,FALSE,"twltm.xls"}</definedName>
    <definedName name="New_1_1">{"twx1",#N/A,FALSE,"twltm.xls";"twx2",#N/A,FALSE,"twltm.xls";"twx3",#N/A,FALSE,"twltm.xls"}</definedName>
    <definedName name="New_1_1_1">{"twx1",#N/A,FALSE,"twltm.xls";"twx2",#N/A,FALSE,"twltm.xls";"twx3",#N/A,FALSE,"twltm.xls"}</definedName>
    <definedName name="New_1_2">{"twx1",#N/A,FALSE,"twltm.xls";"twx2",#N/A,FALSE,"twltm.xls";"twx3",#N/A,FALSE,"twltm.xls"}</definedName>
    <definedName name="New_2">{"twx1",#N/A,FALSE,"twltm.xls";"twx2",#N/A,FALSE,"twltm.xls";"twx3",#N/A,FALSE,"twltm.xls"}</definedName>
    <definedName name="New_2_1">{"twx1",#N/A,FALSE,"twltm.xls";"twx2",#N/A,FALSE,"twltm.xls";"twx3",#N/A,FALSE,"twltm.xls"}</definedName>
    <definedName name="New_3">{"twx1",#N/A,FALSE,"twltm.xls";"twx2",#N/A,FALSE,"twltm.xls";"twx3",#N/A,FALSE,"twltm.xls"}</definedName>
    <definedName name="New_3_1">{"twx1",#N/A,FALSE,"twltm.xls";"twx2",#N/A,FALSE,"twltm.xls";"twx3",#N/A,FALSE,"twltm.xls"}</definedName>
    <definedName name="New_4">{"twx1",#N/A,FALSE,"twltm.xls";"twx2",#N/A,FALSE,"twltm.xls";"twx3",#N/A,FALSE,"twltm.xls"}</definedName>
    <definedName name="New_4_1">{"twx1",#N/A,FALSE,"twltm.xls";"twx2",#N/A,FALSE,"twltm.xls";"twx3",#N/A,FALSE,"twltm.xls"}</definedName>
    <definedName name="New_5">{"twx1",#N/A,FALSE,"twltm.xls";"twx2",#N/A,FALSE,"twltm.xls";"twx3",#N/A,FALSE,"twltm.xls"}</definedName>
    <definedName name="New_5_1">{"twx1",#N/A,FALSE,"twltm.xls";"twx2",#N/A,FALSE,"twltm.xls";"twx3",#N/A,FALSE,"twltm.xls"}</definedName>
    <definedName name="Newer">{"'Segment'!$A$1:$J$45"}</definedName>
    <definedName name="Newer_1">{"'Segment'!$A$1:$J$45"}</definedName>
    <definedName name="Newer_1_1">{"'Segment'!$A$1:$J$45"}</definedName>
    <definedName name="Newer_1_1_1">{"'Segment'!$A$1:$J$45"}</definedName>
    <definedName name="Newer_1_2">{"'Segment'!$A$1:$J$45"}</definedName>
    <definedName name="Newer_2">{"'Segment'!$A$1:$J$45"}</definedName>
    <definedName name="Newer_2_1">{"'Segment'!$A$1:$J$45"}</definedName>
    <definedName name="Newer_3">{"'Segment'!$A$1:$J$45"}</definedName>
    <definedName name="Newer_3_1">{"'Segment'!$A$1:$J$45"}</definedName>
    <definedName name="Newer_4">{"'Segment'!$A$1:$J$45"}</definedName>
    <definedName name="Newer_4_1">{"'Segment'!$A$1:$J$45"}</definedName>
    <definedName name="Newer_5">{"'Segment'!$A$1:$J$45"}</definedName>
    <definedName name="Newer_5_1">{"'Segment'!$A$1:$J$45"}</definedName>
    <definedName name="nmnmm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1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1_1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1_2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2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2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3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3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4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4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5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5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ormalized_Income_Statement">"IS_Annual"</definedName>
    <definedName name="NvsASD">"V2001-12-31"</definedName>
    <definedName name="NvsAutoDrillOk">"VN"</definedName>
    <definedName name="NvsElapsedTime">0.000181828705535736</definedName>
    <definedName name="NvsEndTime">37274.7274061343</definedName>
    <definedName name="NvsInstSpec">"%"</definedName>
    <definedName name="NvsLayoutType">"M3"</definedName>
    <definedName name="NvsNplSpec">"%,X,RZF..,CZF.."</definedName>
    <definedName name="NvsPanelEffdt">"V1900-01-01"</definedName>
    <definedName name="NvsPanelSetid">"VFCMNY"</definedName>
    <definedName name="NvsReqBU">"VFCMHK"</definedName>
    <definedName name="NvsReqBUOnly">"VY"</definedName>
    <definedName name="NvsTransLed">"VN"</definedName>
    <definedName name="NvsTreeASD">"V2001-12-31"</definedName>
    <definedName name="NvsValTbl.ACCOUNT">"GL_ACCOUNT_TBL"</definedName>
    <definedName name="NvsValTbl.PRODUCT">"MI_GL_PRODCT_VW"</definedName>
    <definedName name="OHLC">"OHLC"</definedName>
    <definedName name="OK">{#N/A,#N/A,FALSE,"Cover";#N/A,#N/A,FALSE,"LUMI";#N/A,#N/A,FALSE,"COMD";#N/A,#N/A,FALSE,"Valuation";#N/A,#N/A,FALSE,"Assumptions";#N/A,#N/A,FALSE,"Pooling";#N/A,#N/A,FALSE,"BalanceSheet"}</definedName>
    <definedName name="OK_1">{#N/A,#N/A,FALSE,"Cover";#N/A,#N/A,FALSE,"LUMI";#N/A,#N/A,FALSE,"COMD";#N/A,#N/A,FALSE,"Valuation";#N/A,#N/A,FALSE,"Assumptions";#N/A,#N/A,FALSE,"Pooling";#N/A,#N/A,FALSE,"BalanceSheet"}</definedName>
    <definedName name="OK_1_1">{#N/A,#N/A,FALSE,"Cover";#N/A,#N/A,FALSE,"LUMI";#N/A,#N/A,FALSE,"COMD";#N/A,#N/A,FALSE,"Valuation";#N/A,#N/A,FALSE,"Assumptions";#N/A,#N/A,FALSE,"Pooling";#N/A,#N/A,FALSE,"BalanceSheet"}</definedName>
    <definedName name="OK_1_1_1">{#N/A,#N/A,FALSE,"Cover";#N/A,#N/A,FALSE,"LUMI";#N/A,#N/A,FALSE,"COMD";#N/A,#N/A,FALSE,"Valuation";#N/A,#N/A,FALSE,"Assumptions";#N/A,#N/A,FALSE,"Pooling";#N/A,#N/A,FALSE,"BalanceSheet"}</definedName>
    <definedName name="OK_1_2">{#N/A,#N/A,FALSE,"Cover";#N/A,#N/A,FALSE,"LUMI";#N/A,#N/A,FALSE,"COMD";#N/A,#N/A,FALSE,"Valuation";#N/A,#N/A,FALSE,"Assumptions";#N/A,#N/A,FALSE,"Pooling";#N/A,#N/A,FALSE,"BalanceSheet"}</definedName>
    <definedName name="OK_2">{#N/A,#N/A,FALSE,"Cover";#N/A,#N/A,FALSE,"LUMI";#N/A,#N/A,FALSE,"COMD";#N/A,#N/A,FALSE,"Valuation";#N/A,#N/A,FALSE,"Assumptions";#N/A,#N/A,FALSE,"Pooling";#N/A,#N/A,FALSE,"BalanceSheet"}</definedName>
    <definedName name="OK_2_1">{#N/A,#N/A,FALSE,"Cover";#N/A,#N/A,FALSE,"LUMI";#N/A,#N/A,FALSE,"COMD";#N/A,#N/A,FALSE,"Valuation";#N/A,#N/A,FALSE,"Assumptions";#N/A,#N/A,FALSE,"Pooling";#N/A,#N/A,FALSE,"BalanceSheet"}</definedName>
    <definedName name="OK_3">{#N/A,#N/A,FALSE,"Cover";#N/A,#N/A,FALSE,"LUMI";#N/A,#N/A,FALSE,"COMD";#N/A,#N/A,FALSE,"Valuation";#N/A,#N/A,FALSE,"Assumptions";#N/A,#N/A,FALSE,"Pooling";#N/A,#N/A,FALSE,"BalanceSheet"}</definedName>
    <definedName name="OK_3_1">{#N/A,#N/A,FALSE,"Cover";#N/A,#N/A,FALSE,"LUMI";#N/A,#N/A,FALSE,"COMD";#N/A,#N/A,FALSE,"Valuation";#N/A,#N/A,FALSE,"Assumptions";#N/A,#N/A,FALSE,"Pooling";#N/A,#N/A,FALSE,"BalanceSheet"}</definedName>
    <definedName name="OK_4">{#N/A,#N/A,FALSE,"Cover";#N/A,#N/A,FALSE,"LUMI";#N/A,#N/A,FALSE,"COMD";#N/A,#N/A,FALSE,"Valuation";#N/A,#N/A,FALSE,"Assumptions";#N/A,#N/A,FALSE,"Pooling";#N/A,#N/A,FALSE,"BalanceSheet"}</definedName>
    <definedName name="OK_4_1">{#N/A,#N/A,FALSE,"Cover";#N/A,#N/A,FALSE,"LUMI";#N/A,#N/A,FALSE,"COMD";#N/A,#N/A,FALSE,"Valuation";#N/A,#N/A,FALSE,"Assumptions";#N/A,#N/A,FALSE,"Pooling";#N/A,#N/A,FALSE,"BalanceSheet"}</definedName>
    <definedName name="OK_5">{#N/A,#N/A,FALSE,"Cover";#N/A,#N/A,FALSE,"LUMI";#N/A,#N/A,FALSE,"COMD";#N/A,#N/A,FALSE,"Valuation";#N/A,#N/A,FALSE,"Assumptions";#N/A,#N/A,FALSE,"Pooling";#N/A,#N/A,FALSE,"BalanceSheet"}</definedName>
    <definedName name="OK_5_1">{#N/A,#N/A,FALSE,"Cover";#N/A,#N/A,FALSE,"LUMI";#N/A,#N/A,FALSE,"COMD";#N/A,#N/A,FALSE,"Valuation";#N/A,#N/A,FALSE,"Assumptions";#N/A,#N/A,FALSE,"Pooling";#N/A,#N/A,FALSE,"BalanceSheet"}</definedName>
    <definedName name="OpExAmortization">0</definedName>
    <definedName name="OpExBeforeDepreciationAmortizationExtraordinariesOther">0</definedName>
    <definedName name="OpExBeforeDepreciationAmortizationExtraordinariesTotal">0</definedName>
    <definedName name="OpExCostOfEquipment">0</definedName>
    <definedName name="OpExDepreciation">0</definedName>
    <definedName name="OpExGeneralAdministrative">0</definedName>
    <definedName name="OpExSellingMarketing">0</definedName>
    <definedName name="OpExTotal">0</definedName>
    <definedName name="OtherExEquityIncome">0</definedName>
    <definedName name="OtherExGainOnSale">0</definedName>
    <definedName name="OtherExInterestIncome">0</definedName>
    <definedName name="OtherExMinorityInterest">0</definedName>
    <definedName name="OtherExTotal">0</definedName>
    <definedName name="Pdate">35902</definedName>
    <definedName name="perc">{"0.85","0.875","0.9","0.925","0.95","0.975","1","1.025","1.05","1.075","1.1","1.125","1.15"}</definedName>
    <definedName name="perc_1">{"0.85","0.875","0.9","0.925","0.95","0.975","1","1.025","1.05","1.075","1.1","1.125","1.15"}</definedName>
    <definedName name="perc_1_1">{"0.85","0.875","0.9","0.925","0.95","0.975","1","1.025","1.05","1.075","1.1","1.125","1.15"}</definedName>
    <definedName name="perc_1_1_1">{"0.85","0.875","0.9","0.925","0.95","0.975","1","1.025","1.05","1.075","1.1","1.125","1.15"}</definedName>
    <definedName name="perc_1_2">{"0.85","0.875","0.9","0.925","0.95","0.975","1","1.025","1.05","1.075","1.1","1.125","1.15"}</definedName>
    <definedName name="perc_2">{"0.85","0.875","0.9","0.925","0.95","0.975","1","1.025","1.05","1.075","1.1","1.125","1.15"}</definedName>
    <definedName name="perc_2_1">{"0.85","0.875","0.9","0.925","0.95","0.975","1","1.025","1.05","1.075","1.1","1.125","1.15"}</definedName>
    <definedName name="perc_3">{"0.85","0.875","0.9","0.925","0.95","0.975","1","1.025","1.05","1.075","1.1","1.125","1.15"}</definedName>
    <definedName name="perc_3_1">{"0.85","0.875","0.9","0.925","0.95","0.975","1","1.025","1.05","1.075","1.1","1.125","1.15"}</definedName>
    <definedName name="perc_4">{"0.85","0.875","0.9","0.925","0.95","0.975","1","1.025","1.05","1.075","1.1","1.125","1.15"}</definedName>
    <definedName name="perc_4_1">{"0.85","0.875","0.9","0.925","0.95","0.975","1","1.025","1.05","1.075","1.1","1.125","1.15"}</definedName>
    <definedName name="perc_5">{"0.85","0.875","0.9","0.925","0.95","0.975","1","1.025","1.05","1.075","1.1","1.125","1.15"}</definedName>
    <definedName name="perc_5_1">{"0.85","0.875","0.9","0.925","0.95","0.975","1","1.025","1.05","1.075","1.1","1.125","1.15"}</definedName>
    <definedName name="PieChart">"PieChart"</definedName>
    <definedName name="pooling_Premium">25%</definedName>
    <definedName name="price_date">36098</definedName>
    <definedName name="ProjectName">{"Client Name or Project Name"}</definedName>
    <definedName name="ProjectName_1">{"Client Name or Project Name"}</definedName>
    <definedName name="ProjectName_1_1">{"Client Name or Project Name"}</definedName>
    <definedName name="ProjectName_1_1_1">{"Client Name or Project Name"}</definedName>
    <definedName name="ProjectName_1_2">{"Client Name or Project Name"}</definedName>
    <definedName name="ProjectName_2">{"Client Name or Project Name"}</definedName>
    <definedName name="ProjectName_2_1">{"Client Name or Project Name"}</definedName>
    <definedName name="ProjectName_3">{"Client Name or Project Name"}</definedName>
    <definedName name="ProjectName_3_1">{"Client Name or Project Name"}</definedName>
    <definedName name="ProjectName_4">{"Client Name or Project Name"}</definedName>
    <definedName name="ProjectName_4_1">{"Client Name or Project Name"}</definedName>
    <definedName name="ProjectName_5">{"Client Name or Project Name"}</definedName>
    <definedName name="ProjectName_5_1">{"Client Name or Project Name"}</definedName>
    <definedName name="Purchase_Premium_A">25%</definedName>
    <definedName name="Purchase_Premium_B">0.25</definedName>
    <definedName name="qw">{"Client Name or Project Name"}</definedName>
    <definedName name="qw_1">{"Client Name or Project Name"}</definedName>
    <definedName name="qw_1_1">{"Client Name or Project Name"}</definedName>
    <definedName name="qw_2">{"Client Name or Project Name"}</definedName>
    <definedName name="redux">1</definedName>
    <definedName name="referf">{"Client Name or Project Name"}</definedName>
    <definedName name="referf_1">{"Client Name or Project Name"}</definedName>
    <definedName name="referf_1_1">{"Client Name or Project Name"}</definedName>
    <definedName name="referf_1_1_1">{"Client Name or Project Name"}</definedName>
    <definedName name="referf_1_2">{"Client Name or Project Name"}</definedName>
    <definedName name="referf_2">{"Client Name or Project Name"}</definedName>
    <definedName name="referf_2_1">{"Client Name or Project Name"}</definedName>
    <definedName name="referf_3">{"Client Name or Project Name"}</definedName>
    <definedName name="referf_3_1">{"Client Name or Project Name"}</definedName>
    <definedName name="referf_4">{"Client Name or Project Name"}</definedName>
    <definedName name="referf_4_1">{"Client Name or Project Name"}</definedName>
    <definedName name="referf_5">{"Client Name or Project Name"}</definedName>
    <definedName name="referf_5_1">{"Client Name or Project Name"}</definedName>
    <definedName name="refw2324">{7}</definedName>
    <definedName name="refw2324_1">{7}</definedName>
    <definedName name="refw2324_1_1">{7}</definedName>
    <definedName name="refw2324_1_1_1">{7}</definedName>
    <definedName name="refw2324_1_2">{7}</definedName>
    <definedName name="refw2324_2">{7}</definedName>
    <definedName name="refw2324_2_1">{7}</definedName>
    <definedName name="refw2324_3">{7}</definedName>
    <definedName name="refw2324_3_1">{7}</definedName>
    <definedName name="refw2324_4">{7}</definedName>
    <definedName name="refw2324_4_1">{7}</definedName>
    <definedName name="refw2324_5">{7}</definedName>
    <definedName name="refw2324_5_1">{7}</definedName>
    <definedName name="refww43wed">{7}</definedName>
    <definedName name="refww43wed_1">{7}</definedName>
    <definedName name="refww43wed_1_1">{7}</definedName>
    <definedName name="refww43wed_1_1_1">{7}</definedName>
    <definedName name="refww43wed_1_2">{7}</definedName>
    <definedName name="refww43wed_2">{7}</definedName>
    <definedName name="refww43wed_2_1">{7}</definedName>
    <definedName name="refww43wed_3">{7}</definedName>
    <definedName name="refww43wed_3_1">{7}</definedName>
    <definedName name="refww43wed_4">{7}</definedName>
    <definedName name="refww43wed_4_1">{7}</definedName>
    <definedName name="refww43wed_5">{7}</definedName>
    <definedName name="refww43wed_5_1">{7}</definedName>
    <definedName name="RevenuesCellularEquipment">0</definedName>
    <definedName name="RevenuesCellularOther">0</definedName>
    <definedName name="RevenuesCellularService">0</definedName>
    <definedName name="RevenuesCellularTotal">0</definedName>
    <definedName name="RevenuesPagingEquipment">0</definedName>
    <definedName name="RevenuesPagingOther">0</definedName>
    <definedName name="RevenuesPagingService">0</definedName>
    <definedName name="RevenuesPagingTotal">0</definedName>
    <definedName name="RevenuesWirelessEquipment">0</definedName>
    <definedName name="RevenuesWirelessOther">0</definedName>
    <definedName name="RevenuesWirelessService">0</definedName>
    <definedName name="rsdfg4">{7}</definedName>
    <definedName name="rsdfg4_1">{7}</definedName>
    <definedName name="rsdfg4_1_1">{7}</definedName>
    <definedName name="rsdfg4_1_1_1">{7}</definedName>
    <definedName name="rsdfg4_1_2">{7}</definedName>
    <definedName name="rsdfg4_2">{7}</definedName>
    <definedName name="rsdfg4_2_1">{7}</definedName>
    <definedName name="rsdfg4_3">{7}</definedName>
    <definedName name="rsdfg4_3_1">{7}</definedName>
    <definedName name="rsdfg4_4">{7}</definedName>
    <definedName name="rsdfg4_4_1">{7}</definedName>
    <definedName name="rsdfg4_5">{7}</definedName>
    <definedName name="rsdfg4_5_1">{7}</definedName>
    <definedName name="sadfa">{"Client Name or Project Name"}</definedName>
    <definedName name="sadfa_1">{"Client Name or Project Name"}</definedName>
    <definedName name="sadfa_1_1">{"Client Name or Project Name"}</definedName>
    <definedName name="sadfa_1_1_1">{"Client Name or Project Name"}</definedName>
    <definedName name="sadfa_1_2">{"Client Name or Project Name"}</definedName>
    <definedName name="sadfa_2">{"Client Name or Project Name"}</definedName>
    <definedName name="sadfa_2_1">{"Client Name or Project Name"}</definedName>
    <definedName name="sadfa_3">{"Client Name or Project Name"}</definedName>
    <definedName name="sadfa_3_1">{"Client Name or Project Name"}</definedName>
    <definedName name="sadfa_4">{"Client Name or Project Name"}</definedName>
    <definedName name="sadfa_4_1">{"Client Name or Project Name"}</definedName>
    <definedName name="sadfa_5">{"Client Name or Project Name"}</definedName>
    <definedName name="sadfa_5_1">{"Client Name or Project Name"}</definedName>
    <definedName name="Scatter">"Scatter"</definedName>
    <definedName name="sdaf43">{"Client Name or Project Name"}</definedName>
    <definedName name="sdaf43_1">{"Client Name or Project Name"}</definedName>
    <definedName name="sdaf43_1_1">{"Client Name or Project Name"}</definedName>
    <definedName name="sdaf43_1_1_1">{"Client Name or Project Name"}</definedName>
    <definedName name="sdaf43_1_2">{"Client Name or Project Name"}</definedName>
    <definedName name="sdaf43_2">{"Client Name or Project Name"}</definedName>
    <definedName name="sdaf43_2_1">{"Client Name or Project Name"}</definedName>
    <definedName name="sdaf43_3">{"Client Name or Project Name"}</definedName>
    <definedName name="sdaf43_3_1">{"Client Name or Project Name"}</definedName>
    <definedName name="sdaf43_4">{"Client Name or Project Name"}</definedName>
    <definedName name="sdaf43_4_1">{"Client Name or Project Name"}</definedName>
    <definedName name="sdaf43_5">{"Client Name or Project Name"}</definedName>
    <definedName name="sdaf43_5_1">{"Client Name or Project Name"}</definedName>
    <definedName name="segment">{"Client Name or Project Name"}</definedName>
    <definedName name="segment_1">{"Client Name or Project Name"}</definedName>
    <definedName name="segment_1_1">{"Client Name or Project Name"}</definedName>
    <definedName name="segment_1_1_1">{"Client Name or Project Name"}</definedName>
    <definedName name="segment_1_2">{"Client Name or Project Name"}</definedName>
    <definedName name="segment_2">{"Client Name or Project Name"}</definedName>
    <definedName name="segment_2_1">{"Client Name or Project Name"}</definedName>
    <definedName name="segment_3">{"Client Name or Project Name"}</definedName>
    <definedName name="segment_3_1">{"Client Name or Project Name"}</definedName>
    <definedName name="segment_4">{"Client Name or Project Name"}</definedName>
    <definedName name="segment_4_1">{"Client Name or Project Name"}</definedName>
    <definedName name="segment_5">{"Client Name or Project Name"}</definedName>
    <definedName name="segment_5_1">{"Client Name or Project Name"}</definedName>
    <definedName name="sencount">1</definedName>
    <definedName name="seniorRate">"SrRate"</definedName>
    <definedName name="Series">"Series"</definedName>
    <definedName name="SharesConvertibleSecurities">0</definedName>
    <definedName name="SharesFullyDiluted">0</definedName>
    <definedName name="SharesOptions">0</definedName>
    <definedName name="SharesOutstandingLatestDate">0</definedName>
    <definedName name="SharesOutstandingOther">0</definedName>
    <definedName name="SharesOutstandingSenior">0</definedName>
    <definedName name="SharesOutstandingSubordinate">0</definedName>
    <definedName name="SharesPrimary">0</definedName>
    <definedName name="SharesWarrants">0</definedName>
    <definedName name="springland">{"Client Name or Project Name"}</definedName>
    <definedName name="springland_1">{"Client Name or Project Name"}</definedName>
    <definedName name="springland_1_1">{"Client Name or Project Name"}</definedName>
    <definedName name="springland_2">{"Client Name or Project Name"}</definedName>
    <definedName name="SPWS_WBID">"BBD18B9B-24A7-11D7-89C2-00105AC8DCBF"</definedName>
    <definedName name="SrRate">"SrRating"</definedName>
    <definedName name="StatsAccessLinesDomesticInternationalTotalAverage">0</definedName>
    <definedName name="StatsAccessLinesTotalAverage">0</definedName>
    <definedName name="StatsAverageMonthlyRevenue">0</definedName>
    <definedName name="StatsEmployeesConsolidatedInternational">0</definedName>
    <definedName name="StatsEmployeesTelephoneInternational">0</definedName>
    <definedName name="StatsPagingAverageMonthlyRevenue">0</definedName>
    <definedName name="StatsPagingSubscribers">0</definedName>
    <definedName name="StatsPenetration">0</definedName>
    <definedName name="StatsPOPS">0</definedName>
    <definedName name="StatsProportionatePenetration">0</definedName>
    <definedName name="StatsProportionatePOPS">0</definedName>
    <definedName name="StatsProportionateSubscribersAverage">0</definedName>
    <definedName name="StatsProportionateSubscribersBeginning">0</definedName>
    <definedName name="StatsProportionateSubscribersEnding">0</definedName>
    <definedName name="StatsProportionateSubscribersNetAdds">0</definedName>
    <definedName name="StatsSubscribersAverage">0</definedName>
    <definedName name="StatsSubscribersBeginning">0</definedName>
    <definedName name="StatsSubscribersEnding">0</definedName>
    <definedName name="StatsSubscribersNetAdds">0</definedName>
    <definedName name="Stripe">"Stripe"</definedName>
    <definedName name="swe">#N/A</definedName>
    <definedName name="T_Dis">16%</definedName>
    <definedName name="T_growth">6%</definedName>
    <definedName name="Table">"Table"</definedName>
    <definedName name="Target_Net_Debt">"targ_netdebt"</definedName>
    <definedName name="tax_rate">38%</definedName>
    <definedName name="This_Year">"1998E"</definedName>
    <definedName name="TreeMap">"TreeMap"</definedName>
    <definedName name="tuiytre">{7}</definedName>
    <definedName name="tuiytre_1">{7}</definedName>
    <definedName name="Tx_Rate">16%</definedName>
    <definedName name="ui_1">{7}</definedName>
    <definedName name="ui_1_1">{7}</definedName>
    <definedName name="ui_1_1_1">{7}</definedName>
    <definedName name="ui_1_2">{7}</definedName>
    <definedName name="ui_2">{7}</definedName>
    <definedName name="ui_2_1">{7}</definedName>
    <definedName name="ui_3">{7}</definedName>
    <definedName name="ui_3_1">{7}</definedName>
    <definedName name="ui_4">{7}</definedName>
    <definedName name="ui_4_1">{7}</definedName>
    <definedName name="ui_5">{7}</definedName>
    <definedName name="ui_5_1">{7}</definedName>
    <definedName name="ukryjethrg">{"Client Name or Project Name"}</definedName>
    <definedName name="ukryjethrg_1">{"Client Name or Project Name"}</definedName>
    <definedName name="ValuationAdjustmentsOther">0</definedName>
    <definedName name="ValuationAdjustmentsValue">0</definedName>
    <definedName name="ValuationCellularValue">0</definedName>
    <definedName name="ValuationDebtAdjustment">0</definedName>
    <definedName name="ValuationDebtNet">0</definedName>
    <definedName name="ValuationDebtTotal">0</definedName>
    <definedName name="ValuationFirmValue">0</definedName>
    <definedName name="ValuationInvestments">0</definedName>
    <definedName name="ValuationMarketCapitalization">0</definedName>
    <definedName name="ValuationOtherValue">0</definedName>
    <definedName name="ValuationPagingValue">0</definedName>
    <definedName name="ValuationTelephoneValue">0</definedName>
    <definedName name="ValuationWirelessValue">0</definedName>
    <definedName name="Waterfall">"Waterfall"</definedName>
    <definedName name="wrn.Accounts.">{"turnover",#N/A,FALSE;"profits",#N/A,FALSE;"cash",#N/A,FALSE}</definedName>
    <definedName name="wrn.Accounts._1">{"turnover",#N/A,FALSE;"profits",#N/A,FALSE;"cash",#N/A,FALSE}</definedName>
    <definedName name="wrn.Accounts._1_1">{"turnover",#N/A,FALSE;"profits",#N/A,FALSE;"cash",#N/A,FALSE}</definedName>
    <definedName name="wrn.Accounts._1_1_1">{"turnover",#N/A,FALSE;"profits",#N/A,FALSE;"cash",#N/A,FALSE}</definedName>
    <definedName name="wrn.Accounts._1_2">{"turnover",#N/A,FALSE;"profits",#N/A,FALSE;"cash",#N/A,FALSE}</definedName>
    <definedName name="wrn.Accounts._2">{"turnover",#N/A,FALSE;"profits",#N/A,FALSE;"cash",#N/A,FALSE}</definedName>
    <definedName name="wrn.Accounts._2_1">{"turnover",#N/A,FALSE;"profits",#N/A,FALSE;"cash",#N/A,FALSE}</definedName>
    <definedName name="wrn.Accounts._3">{"turnover",#N/A,FALSE;"profits",#N/A,FALSE;"cash",#N/A,FALSE}</definedName>
    <definedName name="wrn.Accounts._3_1">{"turnover",#N/A,FALSE;"profits",#N/A,FALSE;"cash",#N/A,FALSE}</definedName>
    <definedName name="wrn.Accounts._4">{"turnover",#N/A,FALSE;"profits",#N/A,FALSE;"cash",#N/A,FALSE}</definedName>
    <definedName name="wrn.Accounts._4_1">{"turnover",#N/A,FALSE;"profits",#N/A,FALSE;"cash",#N/A,FALSE}</definedName>
    <definedName name="wrn.Accounts._5">{"turnover",#N/A,FALSE;"profits",#N/A,FALSE;"cash",#N/A,FALSE}</definedName>
    <definedName name="wrn.Accounts._5_1">{"turnover",#N/A,FALSE;"profits",#N/A,FALSE;"cash",#N/A,FALSE}</definedName>
    <definedName name="wrn.allpages.">{#N/A,#N/A,TRUE,"Historicals";#N/A,#N/A,TRUE,"Charts";#N/A,#N/A,TRUE,"Forecasts"}</definedName>
    <definedName name="wrn.allpages._1">{#N/A,#N/A,TRUE,"Historicals";#N/A,#N/A,TRUE,"Charts";#N/A,#N/A,TRUE,"Forecasts"}</definedName>
    <definedName name="wrn.allpages._1_1">{#N/A,#N/A,TRUE,"Historicals";#N/A,#N/A,TRUE,"Charts";#N/A,#N/A,TRUE,"Forecasts"}</definedName>
    <definedName name="wrn.allpages._1_1_1">{#N/A,#N/A,TRUE,"Historicals";#N/A,#N/A,TRUE,"Charts";#N/A,#N/A,TRUE,"Forecasts"}</definedName>
    <definedName name="wrn.allpages._1_2">{#N/A,#N/A,TRUE,"Historicals";#N/A,#N/A,TRUE,"Charts";#N/A,#N/A,TRUE,"Forecasts"}</definedName>
    <definedName name="wrn.allpages._2">{#N/A,#N/A,TRUE,"Historicals";#N/A,#N/A,TRUE,"Charts";#N/A,#N/A,TRUE,"Forecasts"}</definedName>
    <definedName name="wrn.allpages._2_1">{#N/A,#N/A,TRUE,"Historicals";#N/A,#N/A,TRUE,"Charts";#N/A,#N/A,TRUE,"Forecasts"}</definedName>
    <definedName name="wrn.allpages._3">{#N/A,#N/A,TRUE,"Historicals";#N/A,#N/A,TRUE,"Charts";#N/A,#N/A,TRUE,"Forecasts"}</definedName>
    <definedName name="wrn.allpages._3_1">{#N/A,#N/A,TRUE,"Historicals";#N/A,#N/A,TRUE,"Charts";#N/A,#N/A,TRUE,"Forecasts"}</definedName>
    <definedName name="wrn.allpages._4">{#N/A,#N/A,TRUE,"Historicals";#N/A,#N/A,TRUE,"Charts";#N/A,#N/A,TRUE,"Forecasts"}</definedName>
    <definedName name="wrn.allpages._4_1">{#N/A,#N/A,TRUE,"Historicals";#N/A,#N/A,TRUE,"Charts";#N/A,#N/A,TRUE,"Forecasts"}</definedName>
    <definedName name="wrn.allpages._5">{#N/A,#N/A,TRUE,"Historicals";#N/A,#N/A,TRUE,"Charts";#N/A,#N/A,TRUE,"Forecasts"}</definedName>
    <definedName name="wrn.allpages._5_1">{#N/A,#N/A,TRUE,"Historicals";#N/A,#N/A,TRUE,"Charts";#N/A,#N/A,TRUE,"Forecasts"}</definedName>
    <definedName name="wrn.Comcast.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1_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1_1_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1_2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2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2_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3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3_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4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4_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5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5_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nsolidated._.Statements.">{"view1",#N/A,FALSE,"EARN (US$)";"view1",#N/A,FALSE,"DASTBS (US$)";"view1",#N/A,FALSE,"DASTCF (US$)"}</definedName>
    <definedName name="wrn.Consolidated._.Statements._1">{"view1",#N/A,FALSE,"EARN (US$)";"view1",#N/A,FALSE,"DASTBS (US$)";"view1",#N/A,FALSE,"DASTCF (US$)"}</definedName>
    <definedName name="wrn.Consolidated._.Statements._1_1">{"view1",#N/A,FALSE,"EARN (US$)";"view1",#N/A,FALSE,"DASTBS (US$)";"view1",#N/A,FALSE,"DASTCF (US$)"}</definedName>
    <definedName name="wrn.Consolidated._.Statements._1_1_1">{"view1",#N/A,FALSE,"EARN (US$)";"view1",#N/A,FALSE,"DASTBS (US$)";"view1",#N/A,FALSE,"DASTCF (US$)"}</definedName>
    <definedName name="wrn.Consolidated._.Statements._1_2">{"view1",#N/A,FALSE,"EARN (US$)";"view1",#N/A,FALSE,"DASTBS (US$)";"view1",#N/A,FALSE,"DASTCF (US$)"}</definedName>
    <definedName name="wrn.Consolidated._.Statements._2">{"view1",#N/A,FALSE,"EARN (US$)";"view1",#N/A,FALSE,"DASTBS (US$)";"view1",#N/A,FALSE,"DASTCF (US$)"}</definedName>
    <definedName name="wrn.Consolidated._.Statements._2_1">{"view1",#N/A,FALSE,"EARN (US$)";"view1",#N/A,FALSE,"DASTBS (US$)";"view1",#N/A,FALSE,"DASTCF (US$)"}</definedName>
    <definedName name="wrn.Consolidated._.Statements._3">{"view1",#N/A,FALSE,"EARN (US$)";"view1",#N/A,FALSE,"DASTBS (US$)";"view1",#N/A,FALSE,"DASTCF (US$)"}</definedName>
    <definedName name="wrn.Consolidated._.Statements._3_1">{"view1",#N/A,FALSE,"EARN (US$)";"view1",#N/A,FALSE,"DASTBS (US$)";"view1",#N/A,FALSE,"DASTCF (US$)"}</definedName>
    <definedName name="wrn.Consolidated._.Statements._4">{"view1",#N/A,FALSE,"EARN (US$)";"view1",#N/A,FALSE,"DASTBS (US$)";"view1",#N/A,FALSE,"DASTCF (US$)"}</definedName>
    <definedName name="wrn.Consolidated._.Statements._4_1">{"view1",#N/A,FALSE,"EARN (US$)";"view1",#N/A,FALSE,"DASTBS (US$)";"view1",#N/A,FALSE,"DASTCF (US$)"}</definedName>
    <definedName name="wrn.Consolidated._.Statements._5">{"view1",#N/A,FALSE,"EARN (US$)";"view1",#N/A,FALSE,"DASTBS (US$)";"view1",#N/A,FALSE,"DASTCF (US$)"}</definedName>
    <definedName name="wrn.Consolidated._.Statements._5_1">{"view1",#N/A,FALSE,"EARN (US$)";"view1",#N/A,FALSE,"DASTBS (US$)";"view1",#N/A,FALSE,"DASTCF (US$)"}</definedName>
    <definedName name="wrn.Covers.">{"view1",#N/A,FALSE,"MOTEARN";"view1",#N/A,FALSE,"Bal Sht";"view1",#N/A,FALSE,"Cash Flows"}</definedName>
    <definedName name="wrn.Covers._1">{"view1",#N/A,FALSE,"MOTEARN";"view1",#N/A,FALSE,"Bal Sht";"view1",#N/A,FALSE,"Cash Flows"}</definedName>
    <definedName name="wrn.Covers._1_1">{"view1",#N/A,FALSE,"MOTEARN";"view1",#N/A,FALSE,"Bal Sht";"view1",#N/A,FALSE,"Cash Flows"}</definedName>
    <definedName name="wrn.Covers._1_1_1">{"view1",#N/A,FALSE,"MOTEARN";"view1",#N/A,FALSE,"Bal Sht";"view1",#N/A,FALSE,"Cash Flows"}</definedName>
    <definedName name="wrn.Covers._1_2">{"view1",#N/A,FALSE,"MOTEARN";"view1",#N/A,FALSE,"Bal Sht";"view1",#N/A,FALSE,"Cash Flows"}</definedName>
    <definedName name="wrn.Covers._2">{"view1",#N/A,FALSE,"MOTEARN";"view1",#N/A,FALSE,"Bal Sht";"view1",#N/A,FALSE,"Cash Flows"}</definedName>
    <definedName name="wrn.Covers._2_1">{"view1",#N/A,FALSE,"MOTEARN";"view1",#N/A,FALSE,"Bal Sht";"view1",#N/A,FALSE,"Cash Flows"}</definedName>
    <definedName name="wrn.Covers._3">{"view1",#N/A,FALSE,"MOTEARN";"view1",#N/A,FALSE,"Bal Sht";"view1",#N/A,FALSE,"Cash Flows"}</definedName>
    <definedName name="wrn.Covers._3_1">{"view1",#N/A,FALSE,"MOTEARN";"view1",#N/A,FALSE,"Bal Sht";"view1",#N/A,FALSE,"Cash Flows"}</definedName>
    <definedName name="wrn.Covers._4">{"view1",#N/A,FALSE,"MOTEARN";"view1",#N/A,FALSE,"Bal Sht";"view1",#N/A,FALSE,"Cash Flows"}</definedName>
    <definedName name="wrn.Covers._4_1">{"view1",#N/A,FALSE,"MOTEARN";"view1",#N/A,FALSE,"Bal Sht";"view1",#N/A,FALSE,"Cash Flows"}</definedName>
    <definedName name="wrn.Covers._5">{"view1",#N/A,FALSE,"MOTEARN";"view1",#N/A,FALSE,"Bal Sht";"view1",#N/A,FALSE,"Cash Flows"}</definedName>
    <definedName name="wrn.Covers._5_1">{"view1",#N/A,FALSE,"MOTEARN";"view1",#N/A,FALSE,"Bal Sht";"view1",#N/A,FALSE,"Cash Flows"}</definedName>
    <definedName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_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_1_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_2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_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3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3_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4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4_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5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5_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Leases.xls.">{#N/A,#N/A,FALSE,"Initial Year";#N/A,#N/A,FALSE,"Historical";#N/A,#N/A,FALSE,"balsheet";#N/A,#N/A,FALSE,"incstate";#N/A,#N/A,FALSE,"Fleet"}</definedName>
    <definedName name="wrn.Leases.xls._1">{#N/A,#N/A,FALSE,"Initial Year";#N/A,#N/A,FALSE,"Historical";#N/A,#N/A,FALSE,"balsheet";#N/A,#N/A,FALSE,"incstate";#N/A,#N/A,FALSE,"Fleet"}</definedName>
    <definedName name="wrn.Leases.xls._1_1">{#N/A,#N/A,FALSE,"Initial Year";#N/A,#N/A,FALSE,"Historical";#N/A,#N/A,FALSE,"balsheet";#N/A,#N/A,FALSE,"incstate";#N/A,#N/A,FALSE,"Fleet"}</definedName>
    <definedName name="wrn.Leases.xls._1_1_1">{#N/A,#N/A,FALSE,"Initial Year";#N/A,#N/A,FALSE,"Historical";#N/A,#N/A,FALSE,"balsheet";#N/A,#N/A,FALSE,"incstate";#N/A,#N/A,FALSE,"Fleet"}</definedName>
    <definedName name="wrn.Leases.xls._1_2">{#N/A,#N/A,FALSE,"Initial Year";#N/A,#N/A,FALSE,"Historical";#N/A,#N/A,FALSE,"balsheet";#N/A,#N/A,FALSE,"incstate";#N/A,#N/A,FALSE,"Fleet"}</definedName>
    <definedName name="wrn.Leases.xls._2">{#N/A,#N/A,FALSE,"Initial Year";#N/A,#N/A,FALSE,"Historical";#N/A,#N/A,FALSE,"balsheet";#N/A,#N/A,FALSE,"incstate";#N/A,#N/A,FALSE,"Fleet"}</definedName>
    <definedName name="wrn.Leases.xls._2_1">{#N/A,#N/A,FALSE,"Initial Year";#N/A,#N/A,FALSE,"Historical";#N/A,#N/A,FALSE,"balsheet";#N/A,#N/A,FALSE,"incstate";#N/A,#N/A,FALSE,"Fleet"}</definedName>
    <definedName name="wrn.Leases.xls._3">{#N/A,#N/A,FALSE,"Initial Year";#N/A,#N/A,FALSE,"Historical";#N/A,#N/A,FALSE,"balsheet";#N/A,#N/A,FALSE,"incstate";#N/A,#N/A,FALSE,"Fleet"}</definedName>
    <definedName name="wrn.Leases.xls._3_1">{#N/A,#N/A,FALSE,"Initial Year";#N/A,#N/A,FALSE,"Historical";#N/A,#N/A,FALSE,"balsheet";#N/A,#N/A,FALSE,"incstate";#N/A,#N/A,FALSE,"Fleet"}</definedName>
    <definedName name="wrn.Leases.xls._4">{#N/A,#N/A,FALSE,"Initial Year";#N/A,#N/A,FALSE,"Historical";#N/A,#N/A,FALSE,"balsheet";#N/A,#N/A,FALSE,"incstate";#N/A,#N/A,FALSE,"Fleet"}</definedName>
    <definedName name="wrn.Leases.xls._4_1">{#N/A,#N/A,FALSE,"Initial Year";#N/A,#N/A,FALSE,"Historical";#N/A,#N/A,FALSE,"balsheet";#N/A,#N/A,FALSE,"incstate";#N/A,#N/A,FALSE,"Fleet"}</definedName>
    <definedName name="wrn.Leases.xls._5">{#N/A,#N/A,FALSE,"Initial Year";#N/A,#N/A,FALSE,"Historical";#N/A,#N/A,FALSE,"balsheet";#N/A,#N/A,FALSE,"incstate";#N/A,#N/A,FALSE,"Fleet"}</definedName>
    <definedName name="wrn.Leases.xls._5_1">{#N/A,#N/A,FALSE,"Initial Year";#N/A,#N/A,FALSE,"Historical";#N/A,#N/A,FALSE,"balsheet";#N/A,#N/A,FALSE,"incstate";#N/A,#N/A,FALSE,"Fleet"}</definedName>
    <definedName name="wrn.Model.">{#N/A,#N/A,FALSE,"Cover";#N/A,#N/A,FALSE,"LUMI";#N/A,#N/A,FALSE,"COMD";#N/A,#N/A,FALSE,"Valuation";#N/A,#N/A,FALSE,"Assumptions";#N/A,#N/A,FALSE,"Pooling";#N/A,#N/A,FALSE,"BalanceSheet"}</definedName>
    <definedName name="wrn.Model._1">{#N/A,#N/A,FALSE,"Cover";#N/A,#N/A,FALSE,"LUMI";#N/A,#N/A,FALSE,"COMD";#N/A,#N/A,FALSE,"Valuation";#N/A,#N/A,FALSE,"Assumptions";#N/A,#N/A,FALSE,"Pooling";#N/A,#N/A,FALSE,"BalanceSheet"}</definedName>
    <definedName name="wrn.Model._1_1">{#N/A,#N/A,FALSE,"Cover";#N/A,#N/A,FALSE,"LUMI";#N/A,#N/A,FALSE,"COMD";#N/A,#N/A,FALSE,"Valuation";#N/A,#N/A,FALSE,"Assumptions";#N/A,#N/A,FALSE,"Pooling";#N/A,#N/A,FALSE,"BalanceSheet"}</definedName>
    <definedName name="wrn.Model._1_1_1">{#N/A,#N/A,FALSE,"Cover";#N/A,#N/A,FALSE,"LUMI";#N/A,#N/A,FALSE,"COMD";#N/A,#N/A,FALSE,"Valuation";#N/A,#N/A,FALSE,"Assumptions";#N/A,#N/A,FALSE,"Pooling";#N/A,#N/A,FALSE,"BalanceSheet"}</definedName>
    <definedName name="wrn.Model._1_2">{#N/A,#N/A,FALSE,"Cover";#N/A,#N/A,FALSE,"LUMI";#N/A,#N/A,FALSE,"COMD";#N/A,#N/A,FALSE,"Valuation";#N/A,#N/A,FALSE,"Assumptions";#N/A,#N/A,FALSE,"Pooling";#N/A,#N/A,FALSE,"BalanceSheet"}</definedName>
    <definedName name="wrn.Model._2">{#N/A,#N/A,FALSE,"Cover";#N/A,#N/A,FALSE,"LUMI";#N/A,#N/A,FALSE,"COMD";#N/A,#N/A,FALSE,"Valuation";#N/A,#N/A,FALSE,"Assumptions";#N/A,#N/A,FALSE,"Pooling";#N/A,#N/A,FALSE,"BalanceSheet"}</definedName>
    <definedName name="wrn.Model._2_1">{#N/A,#N/A,FALSE,"Cover";#N/A,#N/A,FALSE,"LUMI";#N/A,#N/A,FALSE,"COMD";#N/A,#N/A,FALSE,"Valuation";#N/A,#N/A,FALSE,"Assumptions";#N/A,#N/A,FALSE,"Pooling";#N/A,#N/A,FALSE,"BalanceSheet"}</definedName>
    <definedName name="wrn.Model._3">{#N/A,#N/A,FALSE,"Cover";#N/A,#N/A,FALSE,"LUMI";#N/A,#N/A,FALSE,"COMD";#N/A,#N/A,FALSE,"Valuation";#N/A,#N/A,FALSE,"Assumptions";#N/A,#N/A,FALSE,"Pooling";#N/A,#N/A,FALSE,"BalanceSheet"}</definedName>
    <definedName name="wrn.Model._3_1">{#N/A,#N/A,FALSE,"Cover";#N/A,#N/A,FALSE,"LUMI";#N/A,#N/A,FALSE,"COMD";#N/A,#N/A,FALSE,"Valuation";#N/A,#N/A,FALSE,"Assumptions";#N/A,#N/A,FALSE,"Pooling";#N/A,#N/A,FALSE,"BalanceSheet"}</definedName>
    <definedName name="wrn.Model._4">{#N/A,#N/A,FALSE,"Cover";#N/A,#N/A,FALSE,"LUMI";#N/A,#N/A,FALSE,"COMD";#N/A,#N/A,FALSE,"Valuation";#N/A,#N/A,FALSE,"Assumptions";#N/A,#N/A,FALSE,"Pooling";#N/A,#N/A,FALSE,"BalanceSheet"}</definedName>
    <definedName name="wrn.Model._4_1">{#N/A,#N/A,FALSE,"Cover";#N/A,#N/A,FALSE,"LUMI";#N/A,#N/A,FALSE,"COMD";#N/A,#N/A,FALSE,"Valuation";#N/A,#N/A,FALSE,"Assumptions";#N/A,#N/A,FALSE,"Pooling";#N/A,#N/A,FALSE,"BalanceSheet"}</definedName>
    <definedName name="wrn.Model._5">{#N/A,#N/A,FALSE,"Cover";#N/A,#N/A,FALSE,"LUMI";#N/A,#N/A,FALSE,"COMD";#N/A,#N/A,FALSE,"Valuation";#N/A,#N/A,FALSE,"Assumptions";#N/A,#N/A,FALSE,"Pooling";#N/A,#N/A,FALSE,"BalanceSheet"}</definedName>
    <definedName name="wrn.Model._5_1">{#N/A,#N/A,FALSE,"Cover";#N/A,#N/A,FALSE,"LUMI";#N/A,#N/A,FALSE,"COMD";#N/A,#N/A,FALSE,"Valuation";#N/A,#N/A,FALSE,"Assumptions";#N/A,#N/A,FALSE,"Pooling";#N/A,#N/A,FALSE,"BalanceSheet"}</definedName>
    <definedName name="wrn.Models.">{"cable_one",#N/A,FALSE,"cable 96-02";"cable_two",#N/A,FALSE,"cable 96-02";"Newrev_one",#N/A,FALSE,"New rev 97 - 02";"Newrev_two",#N/A,FALSE,"New rev 97 - 02"}</definedName>
    <definedName name="wrn.Models._1">{"cable_one",#N/A,FALSE,"cable 96-02";"cable_two",#N/A,FALSE,"cable 96-02";"Newrev_one",#N/A,FALSE,"New rev 97 - 02";"Newrev_two",#N/A,FALSE,"New rev 97 - 02"}</definedName>
    <definedName name="wrn.Models._1_1">{"cable_one",#N/A,FALSE,"cable 96-02";"cable_two",#N/A,FALSE,"cable 96-02";"Newrev_one",#N/A,FALSE,"New rev 97 - 02";"Newrev_two",#N/A,FALSE,"New rev 97 - 02"}</definedName>
    <definedName name="wrn.Models._1_1_1">{"cable_one",#N/A,FALSE,"cable 96-02";"cable_two",#N/A,FALSE,"cable 96-02";"Newrev_one",#N/A,FALSE,"New rev 97 - 02";"Newrev_two",#N/A,FALSE,"New rev 97 - 02"}</definedName>
    <definedName name="wrn.Models._1_2">{"cable_one",#N/A,FALSE,"cable 96-02";"cable_two",#N/A,FALSE,"cable 96-02";"Newrev_one",#N/A,FALSE,"New rev 97 - 02";"Newrev_two",#N/A,FALSE,"New rev 97 - 02"}</definedName>
    <definedName name="wrn.Models._2">{"cable_one",#N/A,FALSE,"cable 96-02";"cable_two",#N/A,FALSE,"cable 96-02";"Newrev_one",#N/A,FALSE,"New rev 97 - 02";"Newrev_two",#N/A,FALSE,"New rev 97 - 02"}</definedName>
    <definedName name="wrn.Models._2_1">{"cable_one",#N/A,FALSE,"cable 96-02";"cable_two",#N/A,FALSE,"cable 96-02";"Newrev_one",#N/A,FALSE,"New rev 97 - 02";"Newrev_two",#N/A,FALSE,"New rev 97 - 02"}</definedName>
    <definedName name="wrn.Models._3">{"cable_one",#N/A,FALSE,"cable 96-02";"cable_two",#N/A,FALSE,"cable 96-02";"Newrev_one",#N/A,FALSE,"New rev 97 - 02";"Newrev_two",#N/A,FALSE,"New rev 97 - 02"}</definedName>
    <definedName name="wrn.Models._3_1">{"cable_one",#N/A,FALSE,"cable 96-02";"cable_two",#N/A,FALSE,"cable 96-02";"Newrev_one",#N/A,FALSE,"New rev 97 - 02";"Newrev_two",#N/A,FALSE,"New rev 97 - 02"}</definedName>
    <definedName name="wrn.Models._4">{"cable_one",#N/A,FALSE,"cable 96-02";"cable_two",#N/A,FALSE,"cable 96-02";"Newrev_one",#N/A,FALSE,"New rev 97 - 02";"Newrev_two",#N/A,FALSE,"New rev 97 - 02"}</definedName>
    <definedName name="wrn.Models._4_1">{"cable_one",#N/A,FALSE,"cable 96-02";"cable_two",#N/A,FALSE,"cable 96-02";"Newrev_one",#N/A,FALSE,"New rev 97 - 02";"Newrev_two",#N/A,FALSE,"New rev 97 - 02"}</definedName>
    <definedName name="wrn.Models._5">{"cable_one",#N/A,FALSE,"cable 96-02";"cable_two",#N/A,FALSE,"cable 96-02";"Newrev_one",#N/A,FALSE,"New rev 97 - 02";"Newrev_two",#N/A,FALSE,"New rev 97 - 02"}</definedName>
    <definedName name="wrn.Models._5_1">{"cable_one",#N/A,FALSE,"cable 96-02";"cable_two",#N/A,FALSE,"cable 96-02";"Newrev_one",#N/A,FALSE,"New rev 97 - 02";"Newrev_two",#N/A,FALSE,"New rev 97 - 02"}</definedName>
    <definedName name="wrn.Print._.24.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1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1_1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1_2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2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2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3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3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4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4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5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5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ublish.">{"Contents",#N/A,FALSE,"Comparisons";"ShareInfo",#N/A,FALSE,"Comparisons";"Profitability",#N/A,FALSE,"Comparisons";"FirmValue",#N/A,FALSE,"Comparisons";"Labour",#N/A,FALSE,"Comparisons";"Capital",#N/A,FALSE,"Comparisons"}</definedName>
    <definedName name="wrn.Publish._1">{"Contents",#N/A,FALSE,"Comparisons";"ShareInfo",#N/A,FALSE,"Comparisons";"Profitability",#N/A,FALSE,"Comparisons";"FirmValue",#N/A,FALSE,"Comparisons";"Labour",#N/A,FALSE,"Comparisons";"Capital",#N/A,FALSE,"Comparisons"}</definedName>
    <definedName name="wrn.Publish._1_1">{"Contents",#N/A,FALSE,"Comparisons";"ShareInfo",#N/A,FALSE,"Comparisons";"Profitability",#N/A,FALSE,"Comparisons";"FirmValue",#N/A,FALSE,"Comparisons";"Labour",#N/A,FALSE,"Comparisons";"Capital",#N/A,FALSE,"Comparisons"}</definedName>
    <definedName name="wrn.Publish._1_1_1">{"Contents",#N/A,FALSE,"Comparisons";"ShareInfo",#N/A,FALSE,"Comparisons";"Profitability",#N/A,FALSE,"Comparisons";"FirmValue",#N/A,FALSE,"Comparisons";"Labour",#N/A,FALSE,"Comparisons";"Capital",#N/A,FALSE,"Comparisons"}</definedName>
    <definedName name="wrn.Publish._1_2">{"Contents",#N/A,FALSE,"Comparisons";"ShareInfo",#N/A,FALSE,"Comparisons";"Profitability",#N/A,FALSE,"Comparisons";"FirmValue",#N/A,FALSE,"Comparisons";"Labour",#N/A,FALSE,"Comparisons";"Capital",#N/A,FALSE,"Comparisons"}</definedName>
    <definedName name="wrn.Publish._2">{"Contents",#N/A,FALSE,"Comparisons";"ShareInfo",#N/A,FALSE,"Comparisons";"Profitability",#N/A,FALSE,"Comparisons";"FirmValue",#N/A,FALSE,"Comparisons";"Labour",#N/A,FALSE,"Comparisons";"Capital",#N/A,FALSE,"Comparisons"}</definedName>
    <definedName name="wrn.Publish._2_1">{"Contents",#N/A,FALSE,"Comparisons";"ShareInfo",#N/A,FALSE,"Comparisons";"Profitability",#N/A,FALSE,"Comparisons";"FirmValue",#N/A,FALSE,"Comparisons";"Labour",#N/A,FALSE,"Comparisons";"Capital",#N/A,FALSE,"Comparisons"}</definedName>
    <definedName name="wrn.Publish._3">{"Contents",#N/A,FALSE,"Comparisons";"ShareInfo",#N/A,FALSE,"Comparisons";"Profitability",#N/A,FALSE,"Comparisons";"FirmValue",#N/A,FALSE,"Comparisons";"Labour",#N/A,FALSE,"Comparisons";"Capital",#N/A,FALSE,"Comparisons"}</definedName>
    <definedName name="wrn.Publish._3_1">{"Contents",#N/A,FALSE,"Comparisons";"ShareInfo",#N/A,FALSE,"Comparisons";"Profitability",#N/A,FALSE,"Comparisons";"FirmValue",#N/A,FALSE,"Comparisons";"Labour",#N/A,FALSE,"Comparisons";"Capital",#N/A,FALSE,"Comparisons"}</definedName>
    <definedName name="wrn.Publish._4">{"Contents",#N/A,FALSE,"Comparisons";"ShareInfo",#N/A,FALSE,"Comparisons";"Profitability",#N/A,FALSE,"Comparisons";"FirmValue",#N/A,FALSE,"Comparisons";"Labour",#N/A,FALSE,"Comparisons";"Capital",#N/A,FALSE,"Comparisons"}</definedName>
    <definedName name="wrn.Publish._4_1">{"Contents",#N/A,FALSE,"Comparisons";"ShareInfo",#N/A,FALSE,"Comparisons";"Profitability",#N/A,FALSE,"Comparisons";"FirmValue",#N/A,FALSE,"Comparisons";"Labour",#N/A,FALSE,"Comparisons";"Capital",#N/A,FALSE,"Comparisons"}</definedName>
    <definedName name="wrn.Publish._5">{"Contents",#N/A,FALSE,"Comparisons";"ShareInfo",#N/A,FALSE,"Comparisons";"Profitability",#N/A,FALSE,"Comparisons";"FirmValue",#N/A,FALSE,"Comparisons";"Labour",#N/A,FALSE,"Comparisons";"Capital",#N/A,FALSE,"Comparisons"}</definedName>
    <definedName name="wrn.Publish._5_1">{"Contents",#N/A,FALSE,"Comparisons";"ShareInfo",#N/A,FALSE,"Comparisons";"Profitability",#N/A,FALSE,"Comparisons";"FirmValue",#N/A,FALSE,"Comparisons";"Labour",#N/A,FALSE,"Comparisons";"Capital",#N/A,FALSE,"Comparisons"}</definedName>
    <definedName name="wrn.Segments.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1_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1_1_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1_2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2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2_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3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3_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4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4_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5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5_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Tables.">{"view1",#N/A,FALSE,"Tables";"view2",#N/A,FALSE,"Tables";"view3",#N/A,FALSE,"Tables"}</definedName>
    <definedName name="wrn.Tables._1">{"view1",#N/A,FALSE,"Tables";"view2",#N/A,FALSE,"Tables";"view3",#N/A,FALSE,"Tables"}</definedName>
    <definedName name="wrn.Tables._1_1">{"view1",#N/A,FALSE,"Tables";"view2",#N/A,FALSE,"Tables";"view3",#N/A,FALSE,"Tables"}</definedName>
    <definedName name="wrn.Tables._1_1_1">{"view1",#N/A,FALSE,"Tables";"view2",#N/A,FALSE,"Tables";"view3",#N/A,FALSE,"Tables"}</definedName>
    <definedName name="wrn.Tables._1_2">{"view1",#N/A,FALSE,"Tables";"view2",#N/A,FALSE,"Tables";"view3",#N/A,FALSE,"Tables"}</definedName>
    <definedName name="wrn.Tables._2">{"view1",#N/A,FALSE,"Tables";"view2",#N/A,FALSE,"Tables";"view3",#N/A,FALSE,"Tables"}</definedName>
    <definedName name="wrn.Tables._2_1">{"view1",#N/A,FALSE,"Tables";"view2",#N/A,FALSE,"Tables";"view3",#N/A,FALSE,"Tables"}</definedName>
    <definedName name="wrn.Tables._3">{"view1",#N/A,FALSE,"Tables";"view2",#N/A,FALSE,"Tables";"view3",#N/A,FALSE,"Tables"}</definedName>
    <definedName name="wrn.Tables._3_1">{"view1",#N/A,FALSE,"Tables";"view2",#N/A,FALSE,"Tables";"view3",#N/A,FALSE,"Tables"}</definedName>
    <definedName name="wrn.Tables._4">{"view1",#N/A,FALSE,"Tables";"view2",#N/A,FALSE,"Tables";"view3",#N/A,FALSE,"Tables"}</definedName>
    <definedName name="wrn.Tables._4_1">{"view1",#N/A,FALSE,"Tables";"view2",#N/A,FALSE,"Tables";"view3",#N/A,FALSE,"Tables"}</definedName>
    <definedName name="wrn.Tables._5">{"view1",#N/A,FALSE,"Tables";"view2",#N/A,FALSE,"Tables";"view3",#N/A,FALSE,"Tables"}</definedName>
    <definedName name="wrn.Tables._5_1">{"view1",#N/A,FALSE,"Tables";"view2",#N/A,FALSE,"Tables";"view3",#N/A,FALSE,"Tables"}</definedName>
    <definedName name="wrn.twxmodel.">{"twx1",#N/A,FALSE,"twltm.xls";"twx2",#N/A,FALSE,"twltm.xls";"twx3",#N/A,FALSE,"twltm.xls"}</definedName>
    <definedName name="wrn.twxmodel._1">{"twx1",#N/A,FALSE,"twltm.xls";"twx2",#N/A,FALSE,"twltm.xls";"twx3",#N/A,FALSE,"twltm.xls"}</definedName>
    <definedName name="wrn.twxmodel._1_1">{"twx1",#N/A,FALSE,"twltm.xls";"twx2",#N/A,FALSE,"twltm.xls";"twx3",#N/A,FALSE,"twltm.xls"}</definedName>
    <definedName name="wrn.twxmodel._1_1_1">{"twx1",#N/A,FALSE,"twltm.xls";"twx2",#N/A,FALSE,"twltm.xls";"twx3",#N/A,FALSE,"twltm.xls"}</definedName>
    <definedName name="wrn.twxmodel._1_2">{"twx1",#N/A,FALSE,"twltm.xls";"twx2",#N/A,FALSE,"twltm.xls";"twx3",#N/A,FALSE,"twltm.xls"}</definedName>
    <definedName name="wrn.twxmodel._2">{"twx1",#N/A,FALSE,"twltm.xls";"twx2",#N/A,FALSE,"twltm.xls";"twx3",#N/A,FALSE,"twltm.xls"}</definedName>
    <definedName name="wrn.twxmodel._2_1">{"twx1",#N/A,FALSE,"twltm.xls";"twx2",#N/A,FALSE,"twltm.xls";"twx3",#N/A,FALSE,"twltm.xls"}</definedName>
    <definedName name="wrn.twxmodel._3">{"twx1",#N/A,FALSE,"twltm.xls";"twx2",#N/A,FALSE,"twltm.xls";"twx3",#N/A,FALSE,"twltm.xls"}</definedName>
    <definedName name="wrn.twxmodel._3_1">{"twx1",#N/A,FALSE,"twltm.xls";"twx2",#N/A,FALSE,"twltm.xls";"twx3",#N/A,FALSE,"twltm.xls"}</definedName>
    <definedName name="wrn.twxmodel._4">{"twx1",#N/A,FALSE,"twltm.xls";"twx2",#N/A,FALSE,"twltm.xls";"twx3",#N/A,FALSE,"twltm.xls"}</definedName>
    <definedName name="wrn.twxmodel._4_1">{"twx1",#N/A,FALSE,"twltm.xls";"twx2",#N/A,FALSE,"twltm.xls";"twx3",#N/A,FALSE,"twltm.xls"}</definedName>
    <definedName name="wrn.twxmodel._5">{"twx1",#N/A,FALSE,"twltm.xls";"twx2",#N/A,FALSE,"twltm.xls";"twx3",#N/A,FALSE,"twltm.xls"}</definedName>
    <definedName name="wrn.twxmodel._5_1">{"twx1",#N/A,FALSE,"twltm.xls";"twx2",#N/A,FALSE,"twltm.xls";"twx3",#N/A,FALSE,"twltm.xls"}</definedName>
    <definedName name="wvu.cash.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_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_1_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_2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2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2_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3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3_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4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4_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5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5_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profits.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_1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_2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2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2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3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3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4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4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5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5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turnover.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_1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_2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2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2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3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3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4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4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5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5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xysz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1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1_1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1_2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2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2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3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3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4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4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5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5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Year_End">1988</definedName>
    <definedName name="YrEnd_FFr_USD">0.1767</definedName>
    <definedName name="yutrg">{7}</definedName>
    <definedName name="yutrg_1">{7}</definedName>
    <definedName name="yutrg_1_1">{7}</definedName>
    <definedName name="yutrg_1_1_1">{7}</definedName>
    <definedName name="yutrg_1_2">{7}</definedName>
    <definedName name="yutrg_2">{7}</definedName>
    <definedName name="yutrg_2_1">{7}</definedName>
    <definedName name="yutrg_3">{7}</definedName>
    <definedName name="yutrg_3_1">{7}</definedName>
    <definedName name="yutrg_4">{7}</definedName>
    <definedName name="yutrg_4_1">{7}</definedName>
    <definedName name="yutrg_5">{7}</definedName>
    <definedName name="yutrg_5_1">{7}</definedName>
  </definedName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Shiyuan Tian （田诗园）</author>
  </authors>
  <commentList>
    <comment ref="I74" authorId="0">
      <text>
        <r>
          <rPr>
            <b/>
            <sz val="9"/>
            <rFont val="宋体"/>
            <charset val="134"/>
          </rPr>
          <t>Shiyuan Tian （田诗园）:</t>
        </r>
        <r>
          <rPr>
            <sz val="9"/>
            <rFont val="宋体"/>
            <charset val="134"/>
          </rPr>
          <t xml:space="preserve">
5月份全国铁路主要指标完成情况，旅客发送量比上年同比增长%
12-14号左右更新</t>
        </r>
      </text>
    </comment>
    <comment ref="S74" authorId="0">
      <text>
        <r>
          <rPr>
            <sz val="9"/>
            <rFont val="宋体"/>
            <charset val="134"/>
          </rPr>
          <t xml:space="preserve">Shiyuan Tian （田诗园）:
STR邮件,看set10
</t>
        </r>
        <r>
          <rPr>
            <b/>
            <sz val="9"/>
            <rFont val="宋体"/>
            <charset val="134"/>
          </rPr>
          <t xml:space="preserve">
Shiyuan Tian (田诗园):</t>
        </r>
        <r>
          <rPr>
            <sz val="9"/>
            <rFont val="宋体"/>
            <charset val="134"/>
          </rPr>
          <t xml:space="preserve">
中金互联网旅游周度数据 - 看“汇总-当周” tab</t>
        </r>
      </text>
    </comment>
    <comment ref="M75" authorId="0">
      <text>
        <r>
          <rPr>
            <b/>
            <sz val="9"/>
            <rFont val="宋体"/>
            <charset val="134"/>
          </rPr>
          <t>Shiyuan Tian （田诗园）:</t>
        </r>
        <r>
          <rPr>
            <sz val="9"/>
            <rFont val="宋体"/>
            <charset val="134"/>
          </rPr>
          <t xml:space="preserve">
国际客运航班量月趋势</t>
        </r>
      </text>
    </comment>
    <comment ref="W75" authorId="0">
      <text>
        <r>
          <rPr>
            <b/>
            <sz val="9"/>
            <rFont val="宋体"/>
            <charset val="134"/>
          </rPr>
          <t>Shiyuan Tian （田诗园）:</t>
        </r>
        <r>
          <rPr>
            <sz val="9"/>
            <rFont val="宋体"/>
            <charset val="134"/>
          </rPr>
          <t xml:space="preserve">
飞常准大数据 周运输旅客量 同比增长%</t>
        </r>
      </text>
    </comment>
    <comment ref="I136" authorId="0">
      <text>
        <r>
          <rPr>
            <b/>
            <sz val="9"/>
            <rFont val="宋体"/>
            <charset val="134"/>
          </rPr>
          <t>Shiyuan Tian （田诗园）:</t>
        </r>
        <r>
          <rPr>
            <sz val="9"/>
            <rFont val="宋体"/>
            <charset val="134"/>
          </rPr>
          <t xml:space="preserve">
5月份全国铁路主要指标完成情况，旅客发送量比上年同比增长%
12-14号左右更新</t>
        </r>
      </text>
    </comment>
    <comment ref="S136" authorId="0">
      <text>
        <r>
          <rPr>
            <sz val="9"/>
            <rFont val="宋体"/>
            <charset val="134"/>
          </rPr>
          <t xml:space="preserve">Shiyuan Tian （田诗园）:
STR邮件,看set10
</t>
        </r>
        <r>
          <rPr>
            <b/>
            <sz val="9"/>
            <rFont val="宋体"/>
            <charset val="134"/>
          </rPr>
          <t xml:space="preserve">
Shiyuan Tian (田诗园):</t>
        </r>
        <r>
          <rPr>
            <sz val="9"/>
            <rFont val="宋体"/>
            <charset val="134"/>
          </rPr>
          <t xml:space="preserve">
中金互联网旅游周度数据 - 看“汇总-当周” tab</t>
        </r>
      </text>
    </comment>
    <comment ref="M137" authorId="0">
      <text>
        <r>
          <rPr>
            <b/>
            <sz val="9"/>
            <rFont val="宋体"/>
            <charset val="134"/>
          </rPr>
          <t>Shiyuan Tian （田诗园）:</t>
        </r>
        <r>
          <rPr>
            <sz val="9"/>
            <rFont val="宋体"/>
            <charset val="134"/>
          </rPr>
          <t xml:space="preserve">
国际客运航班量月趋势</t>
        </r>
      </text>
    </comment>
    <comment ref="W137" authorId="0">
      <text>
        <r>
          <rPr>
            <b/>
            <sz val="9"/>
            <rFont val="宋体"/>
            <charset val="134"/>
          </rPr>
          <t>Shiyuan Tian （田诗园）:</t>
        </r>
        <r>
          <rPr>
            <sz val="9"/>
            <rFont val="宋体"/>
            <charset val="134"/>
          </rPr>
          <t xml:space="preserve">
飞常准大数据 周运输旅客量 同比增长%</t>
        </r>
      </text>
    </comment>
    <comment ref="I166" authorId="0">
      <text>
        <r>
          <rPr>
            <b/>
            <sz val="9"/>
            <rFont val="宋体"/>
            <charset val="134"/>
          </rPr>
          <t>Shiyuan Tian （田诗园）:</t>
        </r>
        <r>
          <rPr>
            <sz val="9"/>
            <rFont val="宋体"/>
            <charset val="134"/>
          </rPr>
          <t xml:space="preserve">
5月份全国铁路主要指标完成情况，旅客发送量比上年同比增长%
12-14号左右更新</t>
        </r>
      </text>
    </comment>
    <comment ref="S166" authorId="0">
      <text>
        <r>
          <rPr>
            <sz val="9"/>
            <rFont val="宋体"/>
            <charset val="134"/>
          </rPr>
          <t xml:space="preserve">Shiyuan Tian （田诗园）:
STR邮件,看set10
</t>
        </r>
        <r>
          <rPr>
            <b/>
            <sz val="9"/>
            <rFont val="宋体"/>
            <charset val="134"/>
          </rPr>
          <t xml:space="preserve">
Shiyuan Tian (田诗园):</t>
        </r>
        <r>
          <rPr>
            <sz val="9"/>
            <rFont val="宋体"/>
            <charset val="134"/>
          </rPr>
          <t xml:space="preserve">
中金互联网旅游周度数据 - 看“汇总-当周” tab</t>
        </r>
      </text>
    </comment>
    <comment ref="M167" authorId="0">
      <text>
        <r>
          <rPr>
            <b/>
            <sz val="9"/>
            <rFont val="宋体"/>
            <charset val="134"/>
          </rPr>
          <t>Shiyuan Tian （田诗园）:</t>
        </r>
        <r>
          <rPr>
            <sz val="9"/>
            <rFont val="宋体"/>
            <charset val="134"/>
          </rPr>
          <t xml:space="preserve">
国际客运航班量月趋势</t>
        </r>
      </text>
    </comment>
    <comment ref="W167" authorId="0">
      <text>
        <r>
          <rPr>
            <b/>
            <sz val="9"/>
            <rFont val="宋体"/>
            <charset val="134"/>
          </rPr>
          <t>Shiyuan Tian （田诗园）:</t>
        </r>
        <r>
          <rPr>
            <sz val="9"/>
            <rFont val="宋体"/>
            <charset val="134"/>
          </rPr>
          <t xml:space="preserve">
飞常准大数据 周运输旅客量 同比增长%</t>
        </r>
      </text>
    </comment>
  </commentList>
</comments>
</file>

<file path=xl/sharedStrings.xml><?xml version="1.0" encoding="utf-8"?>
<sst xmlns="http://schemas.openxmlformats.org/spreadsheetml/2006/main" count="694" uniqueCount="301">
  <si>
    <r>
      <rPr>
        <b/>
        <u/>
        <sz val="11"/>
        <color theme="1"/>
        <rFont val="Times New Roman"/>
        <charset val="134"/>
      </rPr>
      <t>2020</t>
    </r>
    <r>
      <rPr>
        <b/>
        <u/>
        <sz val="11"/>
        <color theme="1"/>
        <rFont val="宋体"/>
        <charset val="134"/>
      </rPr>
      <t>年</t>
    </r>
  </si>
  <si>
    <r>
      <rPr>
        <b/>
        <sz val="11"/>
        <color theme="1"/>
        <rFont val="Times New Roman"/>
        <charset val="134"/>
      </rPr>
      <t>2021</t>
    </r>
    <r>
      <rPr>
        <b/>
        <sz val="11"/>
        <color theme="1"/>
        <rFont val="宋体"/>
        <charset val="134"/>
      </rPr>
      <t>年</t>
    </r>
  </si>
  <si>
    <r>
      <rPr>
        <b/>
        <sz val="11"/>
        <color theme="1"/>
        <rFont val="Times New Roman"/>
        <charset val="134"/>
      </rPr>
      <t>2022</t>
    </r>
    <r>
      <rPr>
        <sz val="11"/>
        <color theme="1"/>
        <rFont val="宋体"/>
        <charset val="134"/>
      </rPr>
      <t>年</t>
    </r>
  </si>
  <si>
    <r>
      <rPr>
        <b/>
        <i/>
        <sz val="11"/>
        <color theme="1"/>
        <rFont val="宋体"/>
        <charset val="134"/>
      </rPr>
      <t>同比</t>
    </r>
    <r>
      <rPr>
        <b/>
        <i/>
        <sz val="11"/>
        <color theme="1"/>
        <rFont val="Times New Roman"/>
        <charset val="134"/>
      </rPr>
      <t>2019</t>
    </r>
  </si>
  <si>
    <r>
      <rPr>
        <b/>
        <sz val="11"/>
        <color theme="1"/>
        <rFont val="宋体"/>
        <charset val="134"/>
      </rPr>
      <t>国内酒店</t>
    </r>
  </si>
  <si>
    <r>
      <rPr>
        <b/>
        <sz val="11"/>
        <color theme="1"/>
        <rFont val="宋体"/>
        <charset val="134"/>
      </rPr>
      <t>国内机票</t>
    </r>
  </si>
  <si>
    <r>
      <rPr>
        <b/>
        <sz val="11"/>
        <color theme="1"/>
        <rFont val="宋体"/>
        <charset val="134"/>
      </rPr>
      <t>国内酒店</t>
    </r>
    <r>
      <rPr>
        <b/>
        <sz val="11"/>
        <color theme="1"/>
        <rFont val="Times New Roman"/>
        <charset val="134"/>
      </rPr>
      <t>(STR)</t>
    </r>
  </si>
  <si>
    <r>
      <rPr>
        <b/>
        <sz val="11"/>
        <color theme="1"/>
        <rFont val="宋体"/>
        <charset val="134"/>
      </rPr>
      <t>月份</t>
    </r>
  </si>
  <si>
    <r>
      <rPr>
        <b/>
        <sz val="11"/>
        <color theme="1"/>
        <rFont val="宋体"/>
        <charset val="134"/>
      </rPr>
      <t>入住率</t>
    </r>
  </si>
  <si>
    <t>ADR</t>
  </si>
  <si>
    <t>RevPAR</t>
  </si>
  <si>
    <r>
      <rPr>
        <b/>
        <sz val="11"/>
        <color theme="1"/>
        <rFont val="宋体"/>
        <charset val="134"/>
      </rPr>
      <t>民航局</t>
    </r>
  </si>
  <si>
    <r>
      <rPr>
        <b/>
        <sz val="11"/>
        <color theme="1"/>
        <rFont val="宋体"/>
        <charset val="134"/>
      </rPr>
      <t>三大航</t>
    </r>
  </si>
  <si>
    <r>
      <rPr>
        <b/>
        <sz val="11"/>
        <color theme="1"/>
        <rFont val="宋体"/>
        <charset val="134"/>
      </rPr>
      <t>中航信</t>
    </r>
  </si>
  <si>
    <t>市场数据</t>
  </si>
  <si>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月</t>
    </r>
  </si>
  <si>
    <t>1月</t>
  </si>
  <si>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月</t>
    </r>
  </si>
  <si>
    <t>2月</t>
  </si>
  <si>
    <r>
      <rPr>
        <sz val="11"/>
        <color theme="1"/>
        <rFont val="Times New Roman"/>
        <charset val="134"/>
      </rPr>
      <t>2月</t>
    </r>
  </si>
  <si>
    <r>
      <rPr>
        <sz val="11"/>
        <color theme="1"/>
        <rFont val="Times New Roman"/>
        <charset val="134"/>
      </rPr>
      <t>3</t>
    </r>
    <r>
      <rPr>
        <sz val="11"/>
        <color theme="1"/>
        <rFont val="宋体"/>
        <charset val="134"/>
      </rPr>
      <t>月</t>
    </r>
  </si>
  <si>
    <t>3月</t>
  </si>
  <si>
    <r>
      <rPr>
        <sz val="11"/>
        <color theme="1"/>
        <rFont val="Times New Roman"/>
        <charset val="134"/>
      </rPr>
      <t>4</t>
    </r>
    <r>
      <rPr>
        <sz val="11"/>
        <color theme="1"/>
        <rFont val="宋体"/>
        <charset val="134"/>
      </rPr>
      <t>月</t>
    </r>
  </si>
  <si>
    <t>4月</t>
  </si>
  <si>
    <r>
      <rPr>
        <sz val="11"/>
        <color theme="1"/>
        <rFont val="Times New Roman"/>
        <charset val="134"/>
      </rPr>
      <t>5</t>
    </r>
    <r>
      <rPr>
        <sz val="11"/>
        <color theme="1"/>
        <rFont val="宋体"/>
        <charset val="134"/>
      </rPr>
      <t>月</t>
    </r>
  </si>
  <si>
    <t>5月</t>
  </si>
  <si>
    <r>
      <rPr>
        <sz val="11"/>
        <color theme="1"/>
        <rFont val="Times New Roman"/>
        <charset val="134"/>
      </rPr>
      <t>5月</t>
    </r>
  </si>
  <si>
    <r>
      <rPr>
        <sz val="11"/>
        <color theme="1"/>
        <rFont val="Times New Roman"/>
        <charset val="134"/>
      </rPr>
      <t>6</t>
    </r>
    <r>
      <rPr>
        <sz val="11"/>
        <color theme="1"/>
        <rFont val="宋体"/>
        <charset val="134"/>
      </rPr>
      <t>月</t>
    </r>
  </si>
  <si>
    <t>6月</t>
  </si>
  <si>
    <r>
      <rPr>
        <sz val="11"/>
        <color theme="1"/>
        <rFont val="Times New Roman"/>
        <charset val="134"/>
      </rPr>
      <t>6月</t>
    </r>
  </si>
  <si>
    <r>
      <rPr>
        <sz val="11"/>
        <color theme="1"/>
        <rFont val="Times New Roman"/>
        <charset val="134"/>
      </rPr>
      <t>7</t>
    </r>
    <r>
      <rPr>
        <sz val="11"/>
        <color theme="1"/>
        <rFont val="宋体"/>
        <charset val="134"/>
      </rPr>
      <t>月</t>
    </r>
  </si>
  <si>
    <t>7月</t>
  </si>
  <si>
    <r>
      <rPr>
        <sz val="11"/>
        <color theme="1"/>
        <rFont val="Times New Roman"/>
        <charset val="134"/>
      </rPr>
      <t>7月</t>
    </r>
  </si>
  <si>
    <r>
      <rPr>
        <sz val="11"/>
        <color theme="1"/>
        <rFont val="Times New Roman"/>
        <charset val="134"/>
      </rPr>
      <t>8</t>
    </r>
    <r>
      <rPr>
        <sz val="11"/>
        <color theme="1"/>
        <rFont val="宋体"/>
        <charset val="134"/>
      </rPr>
      <t>月</t>
    </r>
  </si>
  <si>
    <t>8月</t>
  </si>
  <si>
    <r>
      <rPr>
        <sz val="11"/>
        <color theme="1"/>
        <rFont val="Times New Roman"/>
        <charset val="134"/>
      </rPr>
      <t>8月</t>
    </r>
  </si>
  <si>
    <r>
      <rPr>
        <sz val="11"/>
        <color theme="1"/>
        <rFont val="Times New Roman"/>
        <charset val="134"/>
      </rPr>
      <t>9</t>
    </r>
    <r>
      <rPr>
        <sz val="11"/>
        <color theme="1"/>
        <rFont val="宋体"/>
        <charset val="134"/>
      </rPr>
      <t>月</t>
    </r>
  </si>
  <si>
    <t>9月</t>
  </si>
  <si>
    <r>
      <rPr>
        <sz val="11"/>
        <color theme="1"/>
        <rFont val="Times New Roman"/>
        <charset val="134"/>
      </rPr>
      <t>9月</t>
    </r>
  </si>
  <si>
    <r>
      <rPr>
        <sz val="11"/>
        <color theme="1"/>
        <rFont val="Times New Roman"/>
        <charset val="134"/>
      </rPr>
      <t>10</t>
    </r>
    <r>
      <rPr>
        <sz val="11"/>
        <color theme="1"/>
        <rFont val="宋体"/>
        <charset val="134"/>
      </rPr>
      <t>月</t>
    </r>
  </si>
  <si>
    <t>10月</t>
  </si>
  <si>
    <r>
      <rPr>
        <sz val="11"/>
        <color theme="1"/>
        <rFont val="Times New Roman"/>
        <charset val="134"/>
      </rPr>
      <t>10月</t>
    </r>
  </si>
  <si>
    <r>
      <rPr>
        <sz val="11"/>
        <color theme="1"/>
        <rFont val="Times New Roman"/>
        <charset val="134"/>
      </rPr>
      <t>11</t>
    </r>
    <r>
      <rPr>
        <sz val="11"/>
        <color theme="1"/>
        <rFont val="宋体"/>
        <charset val="134"/>
      </rPr>
      <t>月</t>
    </r>
  </si>
  <si>
    <t>11月</t>
  </si>
  <si>
    <r>
      <rPr>
        <sz val="11"/>
        <color theme="1"/>
        <rFont val="Times New Roman"/>
        <charset val="134"/>
      </rPr>
      <t>11月</t>
    </r>
  </si>
  <si>
    <r>
      <rPr>
        <sz val="11"/>
        <color theme="1"/>
        <rFont val="Times New Roman"/>
        <charset val="134"/>
      </rPr>
      <t>12</t>
    </r>
    <r>
      <rPr>
        <sz val="11"/>
        <color theme="1"/>
        <rFont val="宋体"/>
        <charset val="134"/>
      </rPr>
      <t>月</t>
    </r>
  </si>
  <si>
    <t>12月</t>
  </si>
  <si>
    <r>
      <rPr>
        <sz val="11"/>
        <color theme="1"/>
        <rFont val="Times New Roman"/>
        <charset val="134"/>
      </rPr>
      <t>12月</t>
    </r>
  </si>
  <si>
    <r>
      <rPr>
        <b/>
        <sz val="11"/>
        <color theme="1"/>
        <rFont val="宋体"/>
        <charset val="134"/>
      </rPr>
      <t>季度</t>
    </r>
  </si>
  <si>
    <t>季度</t>
  </si>
  <si>
    <t>入住率</t>
  </si>
  <si>
    <t>民航局</t>
  </si>
  <si>
    <t>三大航</t>
  </si>
  <si>
    <t>中航信</t>
  </si>
  <si>
    <t>Q1</t>
  </si>
  <si>
    <t xml:space="preserve">Q2 </t>
  </si>
  <si>
    <t>Q3</t>
  </si>
  <si>
    <t>Q4</t>
  </si>
  <si>
    <t>全年</t>
  </si>
  <si>
    <r>
      <rPr>
        <b/>
        <sz val="11"/>
        <color theme="1"/>
        <rFont val="Times New Roman"/>
        <charset val="134"/>
      </rPr>
      <t>2023</t>
    </r>
    <r>
      <rPr>
        <b/>
        <sz val="11"/>
        <color theme="1"/>
        <rFont val="宋体"/>
        <charset val="134"/>
      </rPr>
      <t>年</t>
    </r>
  </si>
  <si>
    <t>国内机票客运量</t>
  </si>
  <si>
    <t>铁路客运量</t>
  </si>
  <si>
    <t>国际机票客运量（含港澳台）</t>
  </si>
  <si>
    <r>
      <rPr>
        <b/>
        <sz val="11"/>
        <color theme="1"/>
        <rFont val="宋体"/>
        <charset val="134"/>
      </rPr>
      <t>国内酒店（</t>
    </r>
    <r>
      <rPr>
        <b/>
        <sz val="11"/>
        <color theme="1"/>
        <rFont val="Times New Roman"/>
        <charset val="134"/>
      </rPr>
      <t>STR</t>
    </r>
    <r>
      <rPr>
        <b/>
        <sz val="11"/>
        <color theme="1"/>
        <rFont val="宋体"/>
        <charset val="134"/>
      </rPr>
      <t>）</t>
    </r>
  </si>
  <si>
    <t>火车票</t>
  </si>
  <si>
    <t>国铁</t>
  </si>
  <si>
    <r>
      <rPr>
        <b/>
        <sz val="11"/>
        <color theme="1"/>
        <rFont val="宋体"/>
        <charset val="134"/>
      </rPr>
      <t>周</t>
    </r>
  </si>
  <si>
    <t>客运量</t>
  </si>
  <si>
    <t>10/1-10/7</t>
  </si>
  <si>
    <t>国庆（日均）</t>
  </si>
  <si>
    <t>10/8-10/14</t>
  </si>
  <si>
    <t>10/15-10/21</t>
  </si>
  <si>
    <t>10/22-10/28</t>
  </si>
  <si>
    <t>10/29-11/4</t>
  </si>
  <si>
    <t>11/5-11/11</t>
  </si>
  <si>
    <t>11/12-11/18</t>
  </si>
  <si>
    <t>11/19-11/25</t>
  </si>
  <si>
    <t>11/26-12/2</t>
  </si>
  <si>
    <t>12/3-12/9</t>
  </si>
  <si>
    <t>12/10-12/16</t>
  </si>
  <si>
    <t>12/17-12/23</t>
  </si>
  <si>
    <t>12/24-12/30</t>
  </si>
  <si>
    <t>12/31-1/6</t>
  </si>
  <si>
    <t>STR</t>
  </si>
  <si>
    <t>飞常准</t>
  </si>
  <si>
    <r>
      <rPr>
        <b/>
        <sz val="11"/>
        <color theme="1"/>
        <rFont val="Times New Roman"/>
        <charset val="134"/>
      </rPr>
      <t>2024</t>
    </r>
    <r>
      <rPr>
        <b/>
        <sz val="11"/>
        <color theme="1"/>
        <rFont val="宋体"/>
        <charset val="134"/>
      </rPr>
      <t>年</t>
    </r>
  </si>
  <si>
    <t>vs 2019</t>
  </si>
  <si>
    <t xml:space="preserve"> </t>
  </si>
  <si>
    <r>
      <rPr>
        <b/>
        <i/>
        <sz val="11"/>
        <color theme="1"/>
        <rFont val="宋体"/>
        <charset val="134"/>
      </rPr>
      <t>同比</t>
    </r>
    <r>
      <rPr>
        <b/>
        <i/>
        <sz val="11"/>
        <color theme="1"/>
        <rFont val="Times New Roman"/>
        <charset val="134"/>
      </rPr>
      <t>2023</t>
    </r>
  </si>
  <si>
    <t>国际航班运力</t>
  </si>
  <si>
    <t>同比2023</t>
  </si>
  <si>
    <t>机票</t>
  </si>
  <si>
    <t>1/7-1/13</t>
  </si>
  <si>
    <r>
      <rPr>
        <b/>
        <sz val="11"/>
        <color theme="1"/>
        <rFont val="宋体"/>
        <charset val="134"/>
      </rPr>
      <t xml:space="preserve">民航局
</t>
    </r>
    <r>
      <rPr>
        <b/>
        <i/>
        <sz val="11"/>
        <rFont val="Times New Roman"/>
        <charset val="134"/>
      </rPr>
      <t>(</t>
    </r>
    <r>
      <rPr>
        <b/>
        <i/>
        <sz val="11"/>
        <rFont val="宋体"/>
        <charset val="134"/>
      </rPr>
      <t>仅含国内航司）</t>
    </r>
  </si>
  <si>
    <t>航班管家</t>
  </si>
  <si>
    <t>客运量（含出入境）</t>
  </si>
  <si>
    <t>1/14-1/20</t>
  </si>
  <si>
    <t>10/6-10/12</t>
  </si>
  <si>
    <t>1/21-1/27</t>
  </si>
  <si>
    <r>
      <rPr>
        <sz val="11"/>
        <color theme="1"/>
        <rFont val="宋体"/>
        <charset val="134"/>
      </rPr>
      <t>（农历对齐）
春运</t>
    </r>
    <r>
      <rPr>
        <sz val="11"/>
        <color theme="1"/>
        <rFont val="Times New Roman"/>
        <charset val="134"/>
      </rPr>
      <t>40</t>
    </r>
    <r>
      <rPr>
        <sz val="11"/>
        <color theme="1"/>
        <rFont val="宋体"/>
        <charset val="134"/>
      </rPr>
      <t xml:space="preserve">天
</t>
    </r>
    <r>
      <rPr>
        <sz val="11"/>
        <color theme="1"/>
        <rFont val="Times New Roman"/>
        <charset val="134"/>
      </rPr>
      <t xml:space="preserve">51% vs 2023
</t>
    </r>
    <r>
      <rPr>
        <i/>
        <sz val="11"/>
        <color theme="1"/>
        <rFont val="Times New Roman"/>
        <charset val="134"/>
      </rPr>
      <t>(</t>
    </r>
    <r>
      <rPr>
        <i/>
        <sz val="11"/>
        <color theme="1"/>
        <rFont val="宋体"/>
        <charset val="134"/>
      </rPr>
      <t>含出境）</t>
    </r>
  </si>
  <si>
    <r>
      <rPr>
        <sz val="11"/>
        <color theme="1"/>
        <rFont val="宋体"/>
        <charset val="134"/>
      </rPr>
      <t>（农历对齐）
春运</t>
    </r>
    <r>
      <rPr>
        <sz val="11"/>
        <color theme="1"/>
        <rFont val="Times New Roman"/>
        <charset val="134"/>
      </rPr>
      <t>40</t>
    </r>
    <r>
      <rPr>
        <sz val="11"/>
        <color theme="1"/>
        <rFont val="宋体"/>
        <charset val="134"/>
      </rPr>
      <t xml:space="preserve">天
</t>
    </r>
    <r>
      <rPr>
        <sz val="11"/>
        <color theme="1"/>
        <rFont val="Times New Roman"/>
        <charset val="134"/>
      </rPr>
      <t>39% vs 2023</t>
    </r>
  </si>
  <si>
    <t>10/13-10/19</t>
  </si>
  <si>
    <t>1/28-2/3</t>
  </si>
  <si>
    <t>10/20-10/26</t>
  </si>
  <si>
    <t>2/4-2/10</t>
  </si>
  <si>
    <t>10/27-11/2</t>
  </si>
  <si>
    <t>2/11-2/17</t>
  </si>
  <si>
    <t>11/3-11/9</t>
  </si>
  <si>
    <t>2/18-2/24</t>
  </si>
  <si>
    <t>11/10-11/16</t>
  </si>
  <si>
    <t>2/25-3/2</t>
  </si>
  <si>
    <t>11/17-11/23</t>
  </si>
  <si>
    <t>3/3-3/9</t>
  </si>
  <si>
    <t>11/24-11/30</t>
  </si>
  <si>
    <t>3/10-3/16</t>
  </si>
  <si>
    <t>12/1-12/7</t>
  </si>
  <si>
    <t>3/17-3/23</t>
  </si>
  <si>
    <t>12/8-12/14</t>
  </si>
  <si>
    <t>3/24-3/30</t>
  </si>
  <si>
    <t>12/15-12/21</t>
  </si>
  <si>
    <t>3/31-4/6</t>
  </si>
  <si>
    <t>12/22-12/28</t>
  </si>
  <si>
    <t>4/7-4/13</t>
  </si>
  <si>
    <t>12/29-1/4</t>
  </si>
  <si>
    <t>4/14-4/21</t>
  </si>
  <si>
    <t>4/21-4/27</t>
  </si>
  <si>
    <t>五一假期</t>
  </si>
  <si>
    <r>
      <rPr>
        <sz val="11"/>
        <color theme="1"/>
        <rFont val="Times New Roman"/>
        <charset val="134"/>
      </rPr>
      <t>8.1%</t>
    </r>
    <r>
      <rPr>
        <sz val="11"/>
        <color theme="1"/>
        <rFont val="宋体"/>
        <charset val="134"/>
      </rPr>
      <t>（交通部含出入境）</t>
    </r>
    <r>
      <rPr>
        <sz val="11"/>
        <color theme="1"/>
        <rFont val="宋体"/>
        <charset val="134"/>
      </rPr>
      <t xml:space="preserve">
</t>
    </r>
    <r>
      <rPr>
        <sz val="11"/>
        <color theme="1"/>
        <rFont val="Times New Roman"/>
        <charset val="134"/>
      </rPr>
      <t>-0.9%</t>
    </r>
    <r>
      <rPr>
        <sz val="11"/>
        <color theme="1"/>
        <rFont val="宋体"/>
        <charset val="134"/>
      </rPr>
      <t>（国内航班运力）</t>
    </r>
  </si>
  <si>
    <r>
      <rPr>
        <sz val="11"/>
        <color theme="1"/>
        <rFont val="Times New Roman"/>
        <charset val="134"/>
      </rPr>
      <t>1.4%</t>
    </r>
    <r>
      <rPr>
        <sz val="11"/>
        <color theme="1"/>
        <rFont val="宋体"/>
        <charset val="134"/>
      </rPr>
      <t>（交通部）</t>
    </r>
  </si>
  <si>
    <t>5/5-5/11</t>
  </si>
  <si>
    <t>5/12-5/18</t>
  </si>
  <si>
    <r>
      <rPr>
        <i/>
        <sz val="11"/>
        <color theme="1"/>
        <rFont val="Times New Roman"/>
        <charset val="134"/>
      </rPr>
      <t>Note</t>
    </r>
    <r>
      <rPr>
        <i/>
        <sz val="11"/>
        <color theme="1"/>
        <rFont val="宋体"/>
        <charset val="134"/>
      </rPr>
      <t>：民航局数据不含外航</t>
    </r>
  </si>
  <si>
    <t>5/19-5/25</t>
  </si>
  <si>
    <t>5/26-6/1</t>
  </si>
  <si>
    <t>6/2-6/8</t>
  </si>
  <si>
    <r>
      <rPr>
        <b/>
        <sz val="11"/>
        <color theme="1"/>
        <rFont val="Times New Roman"/>
        <charset val="134"/>
      </rPr>
      <t>2025</t>
    </r>
    <r>
      <rPr>
        <b/>
        <sz val="11"/>
        <color theme="1"/>
        <rFont val="宋体"/>
        <charset val="134"/>
      </rPr>
      <t>年</t>
    </r>
  </si>
  <si>
    <t>6/9-6/15</t>
  </si>
  <si>
    <r>
      <rPr>
        <b/>
        <i/>
        <sz val="11"/>
        <color theme="1"/>
        <rFont val="宋体"/>
        <charset val="134"/>
      </rPr>
      <t>同比</t>
    </r>
    <r>
      <rPr>
        <b/>
        <i/>
        <sz val="11"/>
        <color theme="1"/>
        <rFont val="Times New Roman"/>
        <charset val="134"/>
      </rPr>
      <t>2024</t>
    </r>
  </si>
  <si>
    <t>同比2024</t>
  </si>
  <si>
    <t>6/16-6/22</t>
  </si>
  <si>
    <r>
      <rPr>
        <b/>
        <sz val="11"/>
        <color theme="1"/>
        <rFont val="宋体"/>
        <charset val="134"/>
      </rPr>
      <t xml:space="preserve">民航局
</t>
    </r>
    <r>
      <rPr>
        <b/>
        <i/>
        <sz val="11"/>
        <rFont val="宋体"/>
        <charset val="134"/>
      </rPr>
      <t>(仅含国内航司
出境+入境）</t>
    </r>
  </si>
  <si>
    <t>三大航
(出境+入境）</t>
  </si>
  <si>
    <t>飞友</t>
  </si>
  <si>
    <t>6/23-6/29</t>
  </si>
  <si>
    <t>6/30-7/6</t>
  </si>
  <si>
    <t>1/5-1/11</t>
  </si>
  <si>
    <t>7/7-7/13</t>
  </si>
  <si>
    <t>1/12-1/18</t>
  </si>
  <si>
    <t>7/14-7/20</t>
  </si>
  <si>
    <t>2/2-2/8</t>
  </si>
  <si>
    <t>7/21-7/27</t>
  </si>
  <si>
    <t>2/9-2/15</t>
  </si>
  <si>
    <t>7/28-8/3</t>
  </si>
  <si>
    <t>春节（7天)</t>
  </si>
  <si>
    <r>
      <rPr>
        <sz val="11"/>
        <color theme="1"/>
        <rFont val="Times New Roman"/>
        <charset val="134"/>
      </rPr>
      <t>STR</t>
    </r>
    <r>
      <rPr>
        <sz val="11"/>
        <color theme="1"/>
        <rFont val="宋体"/>
        <charset val="134"/>
      </rPr>
      <t>公众号会有单独数据报告</t>
    </r>
  </si>
  <si>
    <t>8/4-8/10</t>
  </si>
  <si>
    <t>春运（40天)</t>
  </si>
  <si>
    <t>8/11-8/17</t>
  </si>
  <si>
    <r>
      <rPr>
        <i/>
        <sz val="11"/>
        <color theme="1"/>
        <rFont val="Times New Roman"/>
        <charset val="134"/>
      </rPr>
      <t>1/19-2/15 (28</t>
    </r>
    <r>
      <rPr>
        <i/>
        <sz val="11"/>
        <color theme="1"/>
        <rFont val="宋体"/>
        <charset val="134"/>
      </rPr>
      <t>天)</t>
    </r>
  </si>
  <si>
    <t>8/18-8/24</t>
  </si>
  <si>
    <t>2/16-2/22</t>
  </si>
  <si>
    <t>8/25-8/31</t>
  </si>
  <si>
    <t>2/23-3/1</t>
  </si>
  <si>
    <t>9/1-9/7</t>
  </si>
  <si>
    <t>3/2-3/8</t>
  </si>
  <si>
    <t>9/8-9/14</t>
  </si>
  <si>
    <t>3/9-3/15</t>
  </si>
  <si>
    <t>9/15-9/21</t>
  </si>
  <si>
    <t>3/16-3/22</t>
  </si>
  <si>
    <t>9/22-9/28</t>
  </si>
  <si>
    <t>3/23-3/29</t>
  </si>
  <si>
    <t>9/29-10/5</t>
  </si>
  <si>
    <t>3/30-4/5</t>
  </si>
  <si>
    <t>4/6-4/12</t>
  </si>
  <si>
    <t>4/13-4/19</t>
  </si>
  <si>
    <t>周度</t>
  </si>
  <si>
    <t>4/20-4/26</t>
  </si>
  <si>
    <t>11/30-12/6</t>
  </si>
  <si>
    <t>4/27-5/3</t>
  </si>
  <si>
    <t>12/7-12/13</t>
  </si>
  <si>
    <t>5/4-5/10</t>
  </si>
  <si>
    <t>12/14-12/20</t>
  </si>
  <si>
    <t>5/11-5/17</t>
  </si>
  <si>
    <t>12/21-12/27</t>
  </si>
  <si>
    <t>5/18-5/24</t>
  </si>
  <si>
    <t>12/28-1/3</t>
  </si>
  <si>
    <t>5/24-5/31</t>
  </si>
  <si>
    <t>1/4-1/10</t>
  </si>
  <si>
    <t>6/1-6/7</t>
  </si>
  <si>
    <t>Note：民航局、航班管家数据不含外航，一月整体数据因春节提前相对偏高</t>
  </si>
  <si>
    <t>6/8-6/14</t>
  </si>
  <si>
    <t>6/15-6/21</t>
  </si>
  <si>
    <t>6/22-6/28</t>
  </si>
  <si>
    <t>6/29-7/5</t>
  </si>
  <si>
    <t>7/6-7/12</t>
  </si>
  <si>
    <t>7/13-7/19</t>
  </si>
  <si>
    <t>7/20-7/26</t>
  </si>
  <si>
    <t>7/27-8/2</t>
  </si>
  <si>
    <t>8/3-8/9</t>
  </si>
  <si>
    <t>8/10-8/16</t>
  </si>
  <si>
    <t>8/17-8/23</t>
  </si>
  <si>
    <t>8/24-8/30</t>
  </si>
  <si>
    <t>08/31-09/06</t>
  </si>
  <si>
    <t>09/07-09/13</t>
  </si>
  <si>
    <t>09/14-09/20</t>
  </si>
  <si>
    <t>09/21-09/27</t>
  </si>
  <si>
    <t>09/28-10/04</t>
  </si>
  <si>
    <t>10/05-10/11</t>
  </si>
  <si>
    <t>10/12-10/18</t>
  </si>
  <si>
    <t>10/19-10/25</t>
  </si>
  <si>
    <t>10/26-11/1</t>
  </si>
  <si>
    <t>11/2-11/8</t>
  </si>
  <si>
    <t>11/9-11/15</t>
  </si>
  <si>
    <t>11/16-11/22</t>
  </si>
  <si>
    <t>11/23-11/29</t>
  </si>
  <si>
    <t>1/11-1/17</t>
  </si>
  <si>
    <t>Note：春运数据为交通部日均（含出境）</t>
  </si>
  <si>
    <t>** 火车票不发</t>
  </si>
  <si>
    <r>
      <rPr>
        <b/>
        <sz val="11"/>
        <color theme="1"/>
        <rFont val="Times New Roman"/>
        <charset val="134"/>
      </rPr>
      <t>2026</t>
    </r>
    <r>
      <rPr>
        <b/>
        <sz val="11"/>
        <color theme="1"/>
        <rFont val="宋体"/>
        <charset val="134"/>
      </rPr>
      <t>年</t>
    </r>
  </si>
  <si>
    <r>
      <rPr>
        <b/>
        <sz val="11"/>
        <color theme="3"/>
        <rFont val="宋体"/>
        <charset val="134"/>
      </rPr>
      <t>同比</t>
    </r>
    <r>
      <rPr>
        <b/>
        <sz val="11"/>
        <color theme="3"/>
        <rFont val="Times New Roman"/>
        <charset val="134"/>
      </rPr>
      <t>2025</t>
    </r>
  </si>
  <si>
    <r>
      <rPr>
        <b/>
        <sz val="11"/>
        <color theme="3"/>
        <rFont val="宋体"/>
        <charset val="134"/>
      </rPr>
      <t>同比</t>
    </r>
    <r>
      <rPr>
        <b/>
        <sz val="11"/>
        <color theme="3"/>
        <rFont val="Times New Roman"/>
        <charset val="134"/>
      </rPr>
      <t>2019</t>
    </r>
  </si>
  <si>
    <r>
      <rPr>
        <b/>
        <i/>
        <sz val="11"/>
        <color theme="1"/>
        <rFont val="宋体"/>
        <charset val="134"/>
      </rPr>
      <t>同比</t>
    </r>
    <r>
      <rPr>
        <b/>
        <i/>
        <sz val="11"/>
        <color theme="1"/>
        <rFont val="Times New Roman"/>
        <charset val="134"/>
      </rPr>
      <t>2025</t>
    </r>
  </si>
  <si>
    <t>国内航空客运量</t>
  </si>
  <si>
    <t>国际航空客运量（含港澳台）</t>
  </si>
  <si>
    <t>同比2025</t>
  </si>
  <si>
    <t>航空</t>
  </si>
  <si>
    <t>月度</t>
  </si>
  <si>
    <r>
      <rPr>
        <b/>
        <sz val="10"/>
        <color theme="1"/>
        <rFont val="宋体"/>
        <charset val="134"/>
      </rPr>
      <t xml:space="preserve">民航局
</t>
    </r>
    <r>
      <rPr>
        <b/>
        <i/>
        <sz val="10"/>
        <rFont val="宋体"/>
        <charset val="134"/>
      </rPr>
      <t>(仅国内航司,出入境）</t>
    </r>
  </si>
  <si>
    <r>
      <rPr>
        <b/>
        <sz val="11"/>
        <color theme="1"/>
        <rFont val="宋体"/>
        <charset val="134"/>
      </rPr>
      <t xml:space="preserve">三大航
</t>
    </r>
    <r>
      <rPr>
        <b/>
        <i/>
        <sz val="11"/>
        <color theme="1"/>
        <rFont val="宋体"/>
        <charset val="134"/>
      </rPr>
      <t>(出入境）</t>
    </r>
  </si>
  <si>
    <t>客运量
（含出入境）</t>
  </si>
  <si>
    <t>票价</t>
  </si>
  <si>
    <t>客运航班量</t>
  </si>
  <si>
    <t>1/18-1/24</t>
  </si>
  <si>
    <t>1/25-1/31</t>
  </si>
  <si>
    <r>
      <rPr>
        <sz val="11"/>
        <rFont val="Times New Roman"/>
        <charset val="134"/>
      </rPr>
      <t>5</t>
    </r>
    <r>
      <rPr>
        <sz val="11"/>
        <rFont val="宋体"/>
        <charset val="134"/>
      </rPr>
      <t>月</t>
    </r>
  </si>
  <si>
    <t>2/1-2/7</t>
  </si>
  <si>
    <t>2/8-2/14</t>
  </si>
  <si>
    <t>2/15-2/21</t>
  </si>
  <si>
    <t>春节(日均)</t>
  </si>
  <si>
    <t>2/22-2/28</t>
  </si>
  <si>
    <t>3/1-3/7</t>
  </si>
  <si>
    <t>3/8-3/14</t>
  </si>
  <si>
    <t>3/15-3/21</t>
  </si>
  <si>
    <t>3/22-3/28</t>
  </si>
  <si>
    <t>3/29-4/4</t>
  </si>
  <si>
    <t>4/5-4/11</t>
  </si>
  <si>
    <t>4/12-4/18</t>
  </si>
  <si>
    <t>4/19-4/25</t>
  </si>
  <si>
    <t>QTD周度</t>
  </si>
  <si>
    <t>机票客运量</t>
  </si>
  <si>
    <t>4/26-5/2</t>
  </si>
  <si>
    <t>6/28-7/4</t>
  </si>
  <si>
    <t>5/3-5/9</t>
  </si>
  <si>
    <t>7/5-7/11</t>
  </si>
  <si>
    <t>5/10-5/16</t>
  </si>
  <si>
    <t>7/12-7/18</t>
  </si>
  <si>
    <t>5/17-5/23</t>
  </si>
  <si>
    <t>7/19-7/25</t>
  </si>
  <si>
    <t>5/24-5/30</t>
  </si>
  <si>
    <t>7/26-8/1</t>
  </si>
  <si>
    <t>5/31-6/06</t>
  </si>
  <si>
    <t>8/2-8/8</t>
  </si>
  <si>
    <t>6/07-6/13</t>
  </si>
  <si>
    <t>8/9-8/15</t>
  </si>
  <si>
    <t>6/14-6/20</t>
  </si>
  <si>
    <t>8/16-8/22</t>
  </si>
  <si>
    <t>6/21-6/27</t>
  </si>
  <si>
    <t>Note：民航局、航班管家数据不含外航</t>
  </si>
  <si>
    <t>周度民航客运数据来自飞常准</t>
  </si>
  <si>
    <t>Note：春节数据为民航局日均（含出境）</t>
  </si>
  <si>
    <t>1-6月</t>
  </si>
  <si>
    <t>1-7月</t>
  </si>
  <si>
    <t>CAGR</t>
  </si>
  <si>
    <t>2024</t>
  </si>
  <si>
    <t>YOY</t>
  </si>
  <si>
    <t>meituan</t>
  </si>
  <si>
    <t>EDU</t>
  </si>
  <si>
    <t>PDD</t>
  </si>
  <si>
    <t>Kanzhun</t>
  </si>
  <si>
    <t>YMM</t>
  </si>
  <si>
    <t>Tencent</t>
  </si>
  <si>
    <t>Alibaba</t>
  </si>
  <si>
    <t>JD</t>
  </si>
  <si>
    <t>TCOM</t>
  </si>
  <si>
    <t>TME</t>
  </si>
  <si>
    <t>LI</t>
  </si>
  <si>
    <t>KE Holdings</t>
  </si>
  <si>
    <t>FUTU</t>
  </si>
  <si>
    <t>ZTO</t>
  </si>
  <si>
    <t>Yum China</t>
  </si>
  <si>
    <t>NetEase</t>
  </si>
  <si>
    <t>H World</t>
  </si>
  <si>
    <t>BIDU</t>
  </si>
  <si>
    <t>VIP Shop</t>
  </si>
  <si>
    <t>XPEV</t>
  </si>
  <si>
    <t>BILI</t>
  </si>
  <si>
    <t>TAL</t>
  </si>
  <si>
    <t>NIO</t>
  </si>
  <si>
    <t>BGNE</t>
  </si>
  <si>
    <t>ZK</t>
  </si>
  <si>
    <t>Note：民航局数据不含外航，一月整体数据因春节提前相对偏高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</si>
</sst>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[$€-2]* #,##0.00_);_([$€-2]* \(#,##0.00\);_([$€-2]* &quot;-&quot;??_)"/>
    <numFmt numFmtId="177" formatCode="0.00_);[Red]\(0.00\)"/>
    <numFmt numFmtId="178" formatCode="0.0%"/>
  </numFmts>
  <fonts count="45">
    <font>
      <sz val="11"/>
      <color theme="1"/>
      <name val="等线"/>
      <charset val="134"/>
      <scheme val="minor"/>
    </font>
    <font>
      <b/>
      <i/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</font>
    <font>
      <sz val="11"/>
      <color theme="1"/>
      <name val="Times New Roman"/>
      <charset val="134"/>
    </font>
    <font>
      <b/>
      <i/>
      <sz val="11"/>
      <color rgb="FFFF0000"/>
      <name val="Times New Roman"/>
      <charset val="134"/>
    </font>
    <font>
      <i/>
      <sz val="11"/>
      <color theme="1"/>
      <name val="宋体"/>
      <charset val="134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u/>
      <sz val="11"/>
      <color theme="1"/>
      <name val="Times New Roman"/>
      <charset val="134"/>
    </font>
    <font>
      <sz val="11"/>
      <color theme="1"/>
      <name val="宋体"/>
      <charset val="134"/>
    </font>
    <font>
      <b/>
      <i/>
      <sz val="11"/>
      <color theme="1"/>
      <name val="宋体"/>
      <charset val="134"/>
    </font>
    <font>
      <i/>
      <sz val="11"/>
      <color theme="1"/>
      <name val="Times New Roman"/>
      <charset val="134"/>
    </font>
    <font>
      <sz val="11"/>
      <color rgb="FF000000"/>
      <name val="Times New Roman"/>
      <charset val="134"/>
    </font>
    <font>
      <b/>
      <sz val="11"/>
      <color theme="3"/>
      <name val="Times New Roman"/>
      <charset val="134"/>
    </font>
    <font>
      <b/>
      <sz val="10"/>
      <color theme="1"/>
      <name val="宋体"/>
      <charset val="134"/>
    </font>
    <font>
      <sz val="11"/>
      <name val="Times New Roman"/>
      <charset val="134"/>
    </font>
    <font>
      <sz val="11"/>
      <color theme="8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宋体"/>
      <charset val="134"/>
    </font>
    <font>
      <b/>
      <i/>
      <sz val="11"/>
      <name val="Times New Roman"/>
      <charset val="134"/>
    </font>
    <font>
      <b/>
      <i/>
      <sz val="11"/>
      <name val="宋体"/>
      <charset val="134"/>
    </font>
    <font>
      <b/>
      <sz val="11"/>
      <color theme="3"/>
      <name val="宋体"/>
      <charset val="134"/>
    </font>
    <font>
      <b/>
      <u/>
      <sz val="11"/>
      <color theme="1"/>
      <name val="宋体"/>
      <charset val="134"/>
    </font>
    <font>
      <b/>
      <i/>
      <sz val="1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5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85961485641"/>
        <bgColor indexed="64"/>
      </patternFill>
    </fill>
    <fill>
      <patternFill patternType="solid">
        <fgColor theme="9" tint="0.79985961485641"/>
        <bgColor indexed="64"/>
      </patternFill>
    </fill>
    <fill>
      <patternFill patternType="solid">
        <fgColor theme="5" tint="0.79985961485641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4" tint="0.79985961485641"/>
        <bgColor indexed="64"/>
      </patternFill>
    </fill>
    <fill>
      <patternFill patternType="solid">
        <fgColor theme="6" tint="0.399853511154515"/>
        <bgColor indexed="64"/>
      </patternFill>
    </fill>
    <fill>
      <patternFill patternType="solid">
        <fgColor theme="8" tint="0.39985351115451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176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9" borderId="62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63" applyNumberFormat="0" applyFill="0" applyAlignment="0" applyProtection="0">
      <alignment vertical="center"/>
    </xf>
    <xf numFmtId="0" fontId="24" fillId="0" borderId="63" applyNumberFormat="0" applyFill="0" applyAlignment="0" applyProtection="0">
      <alignment vertical="center"/>
    </xf>
    <xf numFmtId="0" fontId="25" fillId="0" borderId="64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20" borderId="65" applyNumberFormat="0" applyAlignment="0" applyProtection="0">
      <alignment vertical="center"/>
    </xf>
    <xf numFmtId="0" fontId="27" fillId="21" borderId="66" applyNumberFormat="0" applyAlignment="0" applyProtection="0">
      <alignment vertical="center"/>
    </xf>
    <xf numFmtId="0" fontId="28" fillId="21" borderId="65" applyNumberFormat="0" applyAlignment="0" applyProtection="0">
      <alignment vertical="center"/>
    </xf>
    <xf numFmtId="0" fontId="29" fillId="22" borderId="67" applyNumberFormat="0" applyAlignment="0" applyProtection="0">
      <alignment vertical="center"/>
    </xf>
    <xf numFmtId="0" fontId="30" fillId="0" borderId="68" applyNumberFormat="0" applyFill="0" applyAlignment="0" applyProtection="0">
      <alignment vertical="center"/>
    </xf>
    <xf numFmtId="0" fontId="31" fillId="0" borderId="69" applyNumberFormat="0" applyFill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6" fontId="8" fillId="0" borderId="0">
      <alignment vertical="center"/>
    </xf>
  </cellStyleXfs>
  <cellXfs count="416">
    <xf numFmtId="176" fontId="0" fillId="0" borderId="0" xfId="0">
      <alignment vertical="center"/>
    </xf>
    <xf numFmtId="176" fontId="1" fillId="2" borderId="1" xfId="50" applyFont="1" applyFill="1" applyBorder="1">
      <alignment vertical="center"/>
    </xf>
    <xf numFmtId="176" fontId="2" fillId="3" borderId="2" xfId="50" applyFont="1" applyFill="1" applyBorder="1" applyAlignment="1">
      <alignment horizontal="center" vertical="center"/>
    </xf>
    <xf numFmtId="176" fontId="2" fillId="3" borderId="3" xfId="50" applyFont="1" applyFill="1" applyBorder="1">
      <alignment vertical="center"/>
    </xf>
    <xf numFmtId="176" fontId="3" fillId="3" borderId="1" xfId="50" applyFont="1" applyFill="1" applyBorder="1" applyAlignment="1">
      <alignment horizontal="center" vertical="center"/>
    </xf>
    <xf numFmtId="176" fontId="3" fillId="3" borderId="3" xfId="50" applyFont="1" applyFill="1" applyBorder="1" applyAlignment="1">
      <alignment horizontal="center" vertical="center"/>
    </xf>
    <xf numFmtId="176" fontId="3" fillId="3" borderId="4" xfId="50" applyFont="1" applyFill="1" applyBorder="1" applyAlignment="1">
      <alignment vertical="center"/>
    </xf>
    <xf numFmtId="176" fontId="2" fillId="2" borderId="5" xfId="50" applyFont="1" applyFill="1" applyBorder="1" applyAlignment="1">
      <alignment vertical="center"/>
    </xf>
    <xf numFmtId="176" fontId="3" fillId="4" borderId="1" xfId="50" applyFont="1" applyFill="1" applyBorder="1" applyAlignment="1">
      <alignment horizontal="center" vertical="center"/>
    </xf>
    <xf numFmtId="176" fontId="2" fillId="4" borderId="2" xfId="50" applyFont="1" applyFill="1" applyBorder="1" applyAlignment="1">
      <alignment horizontal="center" vertical="center"/>
    </xf>
    <xf numFmtId="176" fontId="3" fillId="4" borderId="6" xfId="50" applyFont="1" applyFill="1" applyBorder="1" applyAlignment="1">
      <alignment horizontal="center" vertical="center"/>
    </xf>
    <xf numFmtId="176" fontId="2" fillId="2" borderId="7" xfId="50" applyFont="1" applyFill="1" applyBorder="1">
      <alignment vertical="center"/>
    </xf>
    <xf numFmtId="176" fontId="2" fillId="2" borderId="8" xfId="50" applyFont="1" applyFill="1" applyBorder="1" applyAlignment="1">
      <alignment horizontal="center" vertical="center"/>
    </xf>
    <xf numFmtId="176" fontId="4" fillId="2" borderId="9" xfId="50" applyFont="1" applyFill="1" applyBorder="1" applyAlignment="1">
      <alignment horizontal="center" vertical="center"/>
    </xf>
    <xf numFmtId="176" fontId="2" fillId="2" borderId="7" xfId="50" applyFont="1" applyFill="1" applyBorder="1" applyAlignment="1">
      <alignment horizontal="center" vertical="center" wrapText="1"/>
    </xf>
    <xf numFmtId="176" fontId="2" fillId="2" borderId="9" xfId="50" applyFont="1" applyFill="1" applyBorder="1" applyAlignment="1">
      <alignment horizontal="center" vertical="center" wrapText="1"/>
    </xf>
    <xf numFmtId="176" fontId="3" fillId="2" borderId="10" xfId="50" applyFont="1" applyFill="1" applyBorder="1" applyAlignment="1">
      <alignment horizontal="center" vertical="center" wrapText="1"/>
    </xf>
    <xf numFmtId="176" fontId="3" fillId="2" borderId="0" xfId="50" applyFont="1" applyFill="1" applyBorder="1" applyAlignment="1">
      <alignment horizontal="center" vertical="center" wrapText="1"/>
    </xf>
    <xf numFmtId="176" fontId="2" fillId="2" borderId="8" xfId="50" applyFont="1" applyFill="1" applyBorder="1" applyAlignment="1">
      <alignment horizontal="center" vertical="center" wrapText="1"/>
    </xf>
    <xf numFmtId="176" fontId="3" fillId="2" borderId="11" xfId="50" applyFont="1" applyFill="1" applyBorder="1" applyAlignment="1">
      <alignment horizontal="center" vertical="center" wrapText="1"/>
    </xf>
    <xf numFmtId="176" fontId="4" fillId="0" borderId="7" xfId="50" applyFont="1" applyBorder="1">
      <alignment vertical="center"/>
    </xf>
    <xf numFmtId="9" fontId="4" fillId="2" borderId="8" xfId="49" applyNumberFormat="1" applyFont="1" applyFill="1" applyBorder="1" applyAlignment="1">
      <alignment horizontal="center" vertical="center"/>
    </xf>
    <xf numFmtId="176" fontId="4" fillId="2" borderId="9" xfId="50" applyFont="1" applyFill="1" applyBorder="1">
      <alignment vertical="center"/>
    </xf>
    <xf numFmtId="9" fontId="4" fillId="2" borderId="7" xfId="49" applyNumberFormat="1" applyFont="1" applyFill="1" applyBorder="1" applyAlignment="1">
      <alignment horizontal="center" vertical="center"/>
    </xf>
    <xf numFmtId="9" fontId="4" fillId="2" borderId="9" xfId="49" applyNumberFormat="1" applyFont="1" applyFill="1" applyBorder="1" applyAlignment="1">
      <alignment horizontal="center" vertical="center"/>
    </xf>
    <xf numFmtId="9" fontId="4" fillId="2" borderId="10" xfId="49" applyNumberFormat="1" applyFont="1" applyFill="1" applyBorder="1" applyAlignment="1">
      <alignment horizontal="center" vertical="center"/>
    </xf>
    <xf numFmtId="9" fontId="4" fillId="2" borderId="0" xfId="49" applyNumberFormat="1" applyFont="1" applyFill="1" applyBorder="1" applyAlignment="1">
      <alignment horizontal="center" vertical="center"/>
    </xf>
    <xf numFmtId="9" fontId="4" fillId="2" borderId="11" xfId="49" applyNumberFormat="1" applyFont="1" applyFill="1" applyBorder="1" applyAlignment="1">
      <alignment horizontal="center" vertical="center"/>
    </xf>
    <xf numFmtId="176" fontId="4" fillId="2" borderId="7" xfId="50" applyFont="1" applyFill="1" applyBorder="1">
      <alignment vertical="center"/>
    </xf>
    <xf numFmtId="176" fontId="2" fillId="5" borderId="12" xfId="50" applyFont="1" applyFill="1" applyBorder="1" applyAlignment="1">
      <alignment horizontal="left" vertical="center"/>
    </xf>
    <xf numFmtId="176" fontId="2" fillId="5" borderId="0" xfId="50" applyFont="1" applyFill="1" applyBorder="1" applyAlignment="1">
      <alignment horizontal="left" vertical="center"/>
    </xf>
    <xf numFmtId="176" fontId="2" fillId="5" borderId="13" xfId="50" applyFont="1" applyFill="1" applyBorder="1" applyAlignment="1">
      <alignment horizontal="left" vertical="center"/>
    </xf>
    <xf numFmtId="176" fontId="4" fillId="0" borderId="7" xfId="50" applyFont="1" applyFill="1" applyBorder="1">
      <alignment vertical="center"/>
    </xf>
    <xf numFmtId="9" fontId="4" fillId="2" borderId="8" xfId="50" applyNumberFormat="1" applyFont="1" applyFill="1" applyBorder="1" applyAlignment="1">
      <alignment horizontal="center" vertical="center"/>
    </xf>
    <xf numFmtId="9" fontId="4" fillId="2" borderId="9" xfId="50" applyNumberFormat="1" applyFont="1" applyFill="1" applyBorder="1" applyAlignment="1">
      <alignment horizontal="center" vertical="center"/>
    </xf>
    <xf numFmtId="9" fontId="4" fillId="2" borderId="7" xfId="50" applyNumberFormat="1" applyFont="1" applyFill="1" applyBorder="1" applyAlignment="1">
      <alignment horizontal="center" vertical="center"/>
    </xf>
    <xf numFmtId="9" fontId="4" fillId="2" borderId="10" xfId="50" applyNumberFormat="1" applyFont="1" applyFill="1" applyBorder="1" applyAlignment="1">
      <alignment horizontal="center" vertical="center"/>
    </xf>
    <xf numFmtId="176" fontId="4" fillId="2" borderId="0" xfId="50" applyFont="1" applyFill="1" applyBorder="1">
      <alignment vertical="center"/>
    </xf>
    <xf numFmtId="9" fontId="4" fillId="2" borderId="11" xfId="50" applyNumberFormat="1" applyFont="1" applyFill="1" applyBorder="1" applyAlignment="1">
      <alignment horizontal="center" vertical="center"/>
    </xf>
    <xf numFmtId="9" fontId="4" fillId="2" borderId="0" xfId="3" applyFont="1" applyFill="1" applyBorder="1" applyAlignment="1">
      <alignment horizontal="center" vertical="center"/>
    </xf>
    <xf numFmtId="9" fontId="4" fillId="2" borderId="0" xfId="50" applyNumberFormat="1" applyFont="1" applyFill="1" applyBorder="1" applyAlignment="1">
      <alignment horizontal="center" vertical="center"/>
    </xf>
    <xf numFmtId="9" fontId="4" fillId="2" borderId="9" xfId="3" applyFont="1" applyFill="1" applyBorder="1" applyAlignment="1">
      <alignment horizontal="center" vertical="center"/>
    </xf>
    <xf numFmtId="176" fontId="3" fillId="5" borderId="12" xfId="50" applyFont="1" applyFill="1" applyBorder="1" applyAlignment="1">
      <alignment horizontal="left" vertical="center"/>
    </xf>
    <xf numFmtId="176" fontId="3" fillId="5" borderId="0" xfId="50" applyFont="1" applyFill="1" applyBorder="1" applyAlignment="1">
      <alignment horizontal="left" vertical="center"/>
    </xf>
    <xf numFmtId="176" fontId="3" fillId="5" borderId="13" xfId="50" applyFont="1" applyFill="1" applyBorder="1" applyAlignment="1">
      <alignment horizontal="left" vertical="center"/>
    </xf>
    <xf numFmtId="9" fontId="4" fillId="2" borderId="8" xfId="49" applyFont="1" applyFill="1" applyBorder="1" applyAlignment="1">
      <alignment horizontal="center" vertical="center"/>
    </xf>
    <xf numFmtId="176" fontId="0" fillId="0" borderId="9" xfId="0" applyBorder="1">
      <alignment vertical="center"/>
    </xf>
    <xf numFmtId="176" fontId="0" fillId="0" borderId="7" xfId="0" applyBorder="1">
      <alignment vertical="center"/>
    </xf>
    <xf numFmtId="176" fontId="0" fillId="0" borderId="10" xfId="0" applyBorder="1">
      <alignment vertical="center"/>
    </xf>
    <xf numFmtId="176" fontId="0" fillId="0" borderId="0" xfId="0" applyBorder="1">
      <alignment vertical="center"/>
    </xf>
    <xf numFmtId="176" fontId="0" fillId="0" borderId="8" xfId="0" applyBorder="1">
      <alignment vertical="center"/>
    </xf>
    <xf numFmtId="176" fontId="0" fillId="0" borderId="11" xfId="0" applyBorder="1">
      <alignment vertical="center"/>
    </xf>
    <xf numFmtId="176" fontId="2" fillId="2" borderId="14" xfId="50" applyFont="1" applyFill="1" applyBorder="1">
      <alignment vertical="center"/>
    </xf>
    <xf numFmtId="9" fontId="4" fillId="2" borderId="15" xfId="49" applyFont="1" applyFill="1" applyBorder="1" applyAlignment="1">
      <alignment horizontal="center" vertical="center"/>
    </xf>
    <xf numFmtId="176" fontId="0" fillId="0" borderId="16" xfId="0" applyBorder="1">
      <alignment vertical="center"/>
    </xf>
    <xf numFmtId="176" fontId="0" fillId="0" borderId="14" xfId="0" applyBorder="1">
      <alignment vertical="center"/>
    </xf>
    <xf numFmtId="176" fontId="0" fillId="0" borderId="17" xfId="0" applyBorder="1">
      <alignment vertical="center"/>
    </xf>
    <xf numFmtId="176" fontId="0" fillId="0" borderId="18" xfId="0" applyBorder="1">
      <alignment vertical="center"/>
    </xf>
    <xf numFmtId="176" fontId="0" fillId="0" borderId="15" xfId="0" applyBorder="1">
      <alignment vertical="center"/>
    </xf>
    <xf numFmtId="176" fontId="0" fillId="0" borderId="19" xfId="0" applyBorder="1">
      <alignment vertical="center"/>
    </xf>
    <xf numFmtId="176" fontId="0" fillId="2" borderId="0" xfId="0" applyFill="1">
      <alignment vertical="center"/>
    </xf>
    <xf numFmtId="176" fontId="2" fillId="6" borderId="20" xfId="50" applyFont="1" applyFill="1" applyBorder="1">
      <alignment vertical="center"/>
    </xf>
    <xf numFmtId="176" fontId="4" fillId="6" borderId="21" xfId="50" applyFont="1" applyFill="1" applyBorder="1">
      <alignment vertical="center"/>
    </xf>
    <xf numFmtId="176" fontId="4" fillId="6" borderId="21" xfId="50" applyFont="1" applyFill="1" applyBorder="1" applyAlignment="1">
      <alignment horizontal="center" vertical="center"/>
    </xf>
    <xf numFmtId="176" fontId="5" fillId="6" borderId="21" xfId="50" applyFont="1" applyFill="1" applyBorder="1" applyAlignment="1">
      <alignment horizontal="center" vertical="center"/>
    </xf>
    <xf numFmtId="176" fontId="5" fillId="6" borderId="22" xfId="50" applyFont="1" applyFill="1" applyBorder="1" applyAlignment="1">
      <alignment horizontal="center" vertical="center"/>
    </xf>
    <xf numFmtId="176" fontId="2" fillId="3" borderId="6" xfId="50" applyFont="1" applyFill="1" applyBorder="1" applyAlignment="1">
      <alignment horizontal="center" vertical="center"/>
    </xf>
    <xf numFmtId="176" fontId="2" fillId="3" borderId="23" xfId="50" applyFont="1" applyFill="1" applyBorder="1">
      <alignment vertical="center"/>
    </xf>
    <xf numFmtId="176" fontId="3" fillId="3" borderId="2" xfId="50" applyFont="1" applyFill="1" applyBorder="1" applyAlignment="1">
      <alignment horizontal="center" vertical="center"/>
    </xf>
    <xf numFmtId="176" fontId="3" fillId="3" borderId="6" xfId="50" applyFont="1" applyFill="1" applyBorder="1" applyAlignment="1">
      <alignment vertical="center"/>
    </xf>
    <xf numFmtId="176" fontId="2" fillId="2" borderId="23" xfId="50" applyFont="1" applyFill="1" applyBorder="1" applyAlignment="1">
      <alignment vertical="center"/>
    </xf>
    <xf numFmtId="176" fontId="3" fillId="4" borderId="2" xfId="50" applyFont="1" applyFill="1" applyBorder="1" applyAlignment="1">
      <alignment horizontal="center" vertical="center"/>
    </xf>
    <xf numFmtId="176" fontId="2" fillId="2" borderId="11" xfId="50" applyFont="1" applyFill="1" applyBorder="1" applyAlignment="1">
      <alignment horizontal="center" vertical="center"/>
    </xf>
    <xf numFmtId="176" fontId="4" fillId="2" borderId="24" xfId="50" applyFont="1" applyFill="1" applyBorder="1" applyAlignment="1">
      <alignment horizontal="center" vertical="center"/>
    </xf>
    <xf numFmtId="176" fontId="3" fillId="2" borderId="24" xfId="50" applyFont="1" applyFill="1" applyBorder="1" applyAlignment="1">
      <alignment horizontal="center" vertical="center" wrapText="1"/>
    </xf>
    <xf numFmtId="176" fontId="3" fillId="2" borderId="7" xfId="50" applyFont="1" applyFill="1" applyBorder="1" applyAlignment="1">
      <alignment horizontal="center" vertical="center" wrapText="1"/>
    </xf>
    <xf numFmtId="176" fontId="3" fillId="2" borderId="9" xfId="50" applyFont="1" applyFill="1" applyBorder="1" applyAlignment="1">
      <alignment horizontal="center" vertical="center" wrapText="1"/>
    </xf>
    <xf numFmtId="176" fontId="4" fillId="2" borderId="24" xfId="50" applyFont="1" applyFill="1" applyBorder="1">
      <alignment vertical="center"/>
    </xf>
    <xf numFmtId="9" fontId="4" fillId="2" borderId="24" xfId="49" applyNumberFormat="1" applyFont="1" applyFill="1" applyBorder="1" applyAlignment="1">
      <alignment horizontal="center" vertical="center"/>
    </xf>
    <xf numFmtId="176" fontId="4" fillId="2" borderId="14" xfId="50" applyFont="1" applyFill="1" applyBorder="1">
      <alignment vertical="center"/>
    </xf>
    <xf numFmtId="9" fontId="4" fillId="2" borderId="15" xfId="49" applyNumberFormat="1" applyFont="1" applyFill="1" applyBorder="1" applyAlignment="1">
      <alignment horizontal="center" vertical="center"/>
    </xf>
    <xf numFmtId="9" fontId="4" fillId="2" borderId="19" xfId="49" applyNumberFormat="1" applyFont="1" applyFill="1" applyBorder="1" applyAlignment="1">
      <alignment horizontal="center" vertical="center"/>
    </xf>
    <xf numFmtId="176" fontId="4" fillId="2" borderId="25" xfId="50" applyFont="1" applyFill="1" applyBorder="1">
      <alignment vertical="center"/>
    </xf>
    <xf numFmtId="9" fontId="4" fillId="2" borderId="14" xfId="49" applyNumberFormat="1" applyFont="1" applyFill="1" applyBorder="1" applyAlignment="1">
      <alignment horizontal="center" vertical="center"/>
    </xf>
    <xf numFmtId="9" fontId="4" fillId="2" borderId="25" xfId="49" applyNumberFormat="1" applyFont="1" applyFill="1" applyBorder="1" applyAlignment="1">
      <alignment horizontal="center" vertical="center"/>
    </xf>
    <xf numFmtId="176" fontId="2" fillId="5" borderId="26" xfId="50" applyFont="1" applyFill="1" applyBorder="1" applyAlignment="1">
      <alignment horizontal="left" vertical="center"/>
    </xf>
    <xf numFmtId="176" fontId="2" fillId="5" borderId="27" xfId="50" applyFont="1" applyFill="1" applyBorder="1" applyAlignment="1">
      <alignment horizontal="left" vertical="center"/>
    </xf>
    <xf numFmtId="176" fontId="2" fillId="5" borderId="8" xfId="50" applyFont="1" applyFill="1" applyBorder="1" applyAlignment="1">
      <alignment horizontal="left" vertical="center"/>
    </xf>
    <xf numFmtId="176" fontId="2" fillId="5" borderId="28" xfId="50" applyFont="1" applyFill="1" applyBorder="1" applyAlignment="1">
      <alignment horizontal="left" vertical="center"/>
    </xf>
    <xf numFmtId="176" fontId="4" fillId="0" borderId="29" xfId="50" applyFont="1" applyFill="1" applyBorder="1">
      <alignment vertical="center"/>
    </xf>
    <xf numFmtId="9" fontId="4" fillId="2" borderId="30" xfId="50" applyNumberFormat="1" applyFont="1" applyFill="1" applyBorder="1" applyAlignment="1">
      <alignment horizontal="center" vertical="center"/>
    </xf>
    <xf numFmtId="9" fontId="4" fillId="2" borderId="31" xfId="50" applyNumberFormat="1" applyFont="1" applyFill="1" applyBorder="1" applyAlignment="1">
      <alignment horizontal="center" vertical="center"/>
    </xf>
    <xf numFmtId="9" fontId="4" fillId="2" borderId="29" xfId="50" applyNumberFormat="1" applyFont="1" applyFill="1" applyBorder="1" applyAlignment="1">
      <alignment horizontal="center" vertical="center"/>
    </xf>
    <xf numFmtId="176" fontId="3" fillId="5" borderId="26" xfId="50" applyFont="1" applyFill="1" applyBorder="1" applyAlignment="1">
      <alignment horizontal="left" vertical="center"/>
    </xf>
    <xf numFmtId="176" fontId="3" fillId="5" borderId="27" xfId="50" applyFont="1" applyFill="1" applyBorder="1" applyAlignment="1">
      <alignment horizontal="left" vertical="center"/>
    </xf>
    <xf numFmtId="176" fontId="3" fillId="5" borderId="8" xfId="50" applyFont="1" applyFill="1" applyBorder="1" applyAlignment="1">
      <alignment horizontal="left" vertical="center"/>
    </xf>
    <xf numFmtId="176" fontId="3" fillId="5" borderId="28" xfId="50" applyFont="1" applyFill="1" applyBorder="1" applyAlignment="1">
      <alignment horizontal="left" vertical="center"/>
    </xf>
    <xf numFmtId="176" fontId="2" fillId="2" borderId="1" xfId="50" applyFont="1" applyFill="1" applyBorder="1">
      <alignment vertical="center"/>
    </xf>
    <xf numFmtId="9" fontId="4" fillId="2" borderId="2" xfId="49" applyFont="1" applyFill="1" applyBorder="1" applyAlignment="1">
      <alignment horizontal="center" vertical="center"/>
    </xf>
    <xf numFmtId="9" fontId="4" fillId="2" borderId="6" xfId="49" applyFont="1" applyFill="1" applyBorder="1" applyAlignment="1">
      <alignment horizontal="center" vertical="center"/>
    </xf>
    <xf numFmtId="176" fontId="0" fillId="0" borderId="32" xfId="0" applyBorder="1">
      <alignment vertical="center"/>
    </xf>
    <xf numFmtId="176" fontId="0" fillId="0" borderId="1" xfId="0" applyBorder="1">
      <alignment vertical="center"/>
    </xf>
    <xf numFmtId="176" fontId="0" fillId="0" borderId="2" xfId="0" applyBorder="1">
      <alignment vertical="center"/>
    </xf>
    <xf numFmtId="176" fontId="0" fillId="0" borderId="6" xfId="0" applyBorder="1">
      <alignment vertical="center"/>
    </xf>
    <xf numFmtId="9" fontId="4" fillId="2" borderId="11" xfId="49" applyFont="1" applyFill="1" applyBorder="1" applyAlignment="1">
      <alignment horizontal="center" vertical="center"/>
    </xf>
    <xf numFmtId="176" fontId="0" fillId="0" borderId="24" xfId="0" applyBorder="1">
      <alignment vertical="center"/>
    </xf>
    <xf numFmtId="9" fontId="4" fillId="2" borderId="19" xfId="49" applyFont="1" applyFill="1" applyBorder="1" applyAlignment="1">
      <alignment horizontal="center" vertical="center"/>
    </xf>
    <xf numFmtId="176" fontId="0" fillId="0" borderId="33" xfId="0" applyBorder="1">
      <alignment vertical="center"/>
    </xf>
    <xf numFmtId="176" fontId="6" fillId="2" borderId="0" xfId="50" applyFont="1" applyFill="1">
      <alignment vertical="center"/>
    </xf>
    <xf numFmtId="49" fontId="7" fillId="0" borderId="0" xfId="0" applyNumberFormat="1" applyFont="1" applyAlignment="1">
      <alignment horizontal="center" vertical="center"/>
    </xf>
    <xf numFmtId="176" fontId="7" fillId="0" borderId="0" xfId="0" applyFont="1" applyAlignment="1">
      <alignment horizontal="center" vertical="center"/>
    </xf>
    <xf numFmtId="177" fontId="0" fillId="0" borderId="0" xfId="0" applyNumberFormat="1">
      <alignment vertical="center"/>
    </xf>
    <xf numFmtId="10" fontId="0" fillId="7" borderId="0" xfId="0" applyNumberFormat="1" applyFill="1">
      <alignment vertical="center"/>
    </xf>
    <xf numFmtId="176" fontId="8" fillId="0" borderId="0" xfId="0" applyFont="1">
      <alignment vertical="center"/>
    </xf>
    <xf numFmtId="9" fontId="0" fillId="0" borderId="0" xfId="3" applyFont="1">
      <alignment vertical="center"/>
    </xf>
    <xf numFmtId="176" fontId="4" fillId="8" borderId="0" xfId="50" applyFont="1" applyFill="1">
      <alignment vertical="center"/>
    </xf>
    <xf numFmtId="176" fontId="4" fillId="9" borderId="0" xfId="50" applyFont="1" applyFill="1">
      <alignment vertical="center"/>
    </xf>
    <xf numFmtId="176" fontId="4" fillId="2" borderId="0" xfId="50" applyFont="1" applyFill="1">
      <alignment vertical="center"/>
    </xf>
    <xf numFmtId="176" fontId="9" fillId="8" borderId="0" xfId="50" applyFont="1" applyFill="1">
      <alignment vertical="center"/>
    </xf>
    <xf numFmtId="176" fontId="2" fillId="8" borderId="0" xfId="50" applyFont="1" applyFill="1">
      <alignment vertical="center"/>
    </xf>
    <xf numFmtId="176" fontId="2" fillId="2" borderId="2" xfId="50" applyFont="1" applyFill="1" applyBorder="1" applyAlignment="1">
      <alignment horizontal="center" vertical="center"/>
    </xf>
    <xf numFmtId="176" fontId="2" fillId="2" borderId="2" xfId="50" applyFont="1" applyFill="1" applyBorder="1">
      <alignment vertical="center"/>
    </xf>
    <xf numFmtId="176" fontId="2" fillId="2" borderId="3" xfId="50" applyFont="1" applyFill="1" applyBorder="1" applyAlignment="1">
      <alignment horizontal="center" vertical="center"/>
    </xf>
    <xf numFmtId="176" fontId="2" fillId="2" borderId="6" xfId="50" applyFont="1" applyFill="1" applyBorder="1" applyAlignment="1">
      <alignment horizontal="center" vertical="center"/>
    </xf>
    <xf numFmtId="176" fontId="2" fillId="2" borderId="0" xfId="50" applyFont="1" applyFill="1" applyBorder="1" applyAlignment="1">
      <alignment horizontal="center" vertical="center"/>
    </xf>
    <xf numFmtId="176" fontId="2" fillId="2" borderId="23" xfId="50" applyFont="1" applyFill="1" applyBorder="1" applyAlignment="1">
      <alignment horizontal="center" vertical="center"/>
    </xf>
    <xf numFmtId="176" fontId="2" fillId="2" borderId="34" xfId="50" applyFont="1" applyFill="1" applyBorder="1" applyAlignment="1">
      <alignment horizontal="center" vertical="center"/>
    </xf>
    <xf numFmtId="176" fontId="2" fillId="2" borderId="35" xfId="50" applyFont="1" applyFill="1" applyBorder="1" applyAlignment="1">
      <alignment horizontal="center" vertical="center"/>
    </xf>
    <xf numFmtId="176" fontId="2" fillId="2" borderId="6" xfId="50" applyFont="1" applyFill="1" applyBorder="1" applyAlignment="1">
      <alignment vertical="center"/>
    </xf>
    <xf numFmtId="176" fontId="2" fillId="2" borderId="8" xfId="50" applyFont="1" applyFill="1" applyBorder="1">
      <alignment vertical="center"/>
    </xf>
    <xf numFmtId="176" fontId="2" fillId="2" borderId="0" xfId="50" applyFont="1" applyFill="1" applyBorder="1" applyAlignment="1">
      <alignment horizontal="center" vertical="center" wrapText="1"/>
    </xf>
    <xf numFmtId="176" fontId="2" fillId="2" borderId="11" xfId="50" applyFont="1" applyFill="1" applyBorder="1" applyAlignment="1">
      <alignment horizontal="center" vertical="center" wrapText="1"/>
    </xf>
    <xf numFmtId="176" fontId="4" fillId="2" borderId="8" xfId="50" applyFont="1" applyFill="1" applyBorder="1" applyAlignment="1">
      <alignment horizontal="center" vertical="center"/>
    </xf>
    <xf numFmtId="176" fontId="4" fillId="0" borderId="8" xfId="50" applyFont="1" applyBorder="1">
      <alignment vertical="center"/>
    </xf>
    <xf numFmtId="9" fontId="4" fillId="0" borderId="8" xfId="49" applyNumberFormat="1" applyFont="1" applyBorder="1" applyAlignment="1">
      <alignment horizontal="center" vertical="center"/>
    </xf>
    <xf numFmtId="9" fontId="4" fillId="0" borderId="0" xfId="50" applyNumberFormat="1" applyFont="1">
      <alignment vertical="center"/>
    </xf>
    <xf numFmtId="9" fontId="4" fillId="0" borderId="8" xfId="50" applyNumberFormat="1" applyFont="1" applyBorder="1" applyAlignment="1">
      <alignment horizontal="center"/>
    </xf>
    <xf numFmtId="9" fontId="4" fillId="0" borderId="0" xfId="50" applyNumberFormat="1" applyFont="1" applyBorder="1" applyAlignment="1">
      <alignment horizontal="center"/>
    </xf>
    <xf numFmtId="178" fontId="4" fillId="10" borderId="8" xfId="50" applyNumberFormat="1" applyFont="1" applyFill="1" applyBorder="1" applyAlignment="1">
      <alignment horizontal="center"/>
    </xf>
    <xf numFmtId="176" fontId="4" fillId="2" borderId="8" xfId="50" applyFont="1" applyFill="1" applyBorder="1">
      <alignment vertical="center"/>
    </xf>
    <xf numFmtId="9" fontId="4" fillId="0" borderId="8" xfId="50" applyNumberFormat="1" applyFont="1" applyBorder="1" applyAlignment="1">
      <alignment horizontal="center" vertical="center"/>
    </xf>
    <xf numFmtId="9" fontId="4" fillId="0" borderId="0" xfId="49" applyNumberFormat="1" applyFont="1" applyAlignment="1">
      <alignment horizontal="center" vertical="center"/>
    </xf>
    <xf numFmtId="9" fontId="4" fillId="2" borderId="0" xfId="50" applyNumberFormat="1" applyFont="1" applyFill="1">
      <alignment vertical="center"/>
    </xf>
    <xf numFmtId="9" fontId="4" fillId="2" borderId="8" xfId="50" applyNumberFormat="1" applyFont="1" applyFill="1" applyBorder="1" applyAlignment="1">
      <alignment horizontal="center"/>
    </xf>
    <xf numFmtId="9" fontId="4" fillId="2" borderId="0" xfId="50" applyNumberFormat="1" applyFont="1" applyFill="1" applyBorder="1" applyAlignment="1">
      <alignment horizontal="center"/>
    </xf>
    <xf numFmtId="178" fontId="4" fillId="2" borderId="8" xfId="50" applyNumberFormat="1" applyFont="1" applyFill="1" applyBorder="1" applyAlignment="1">
      <alignment horizontal="center"/>
    </xf>
    <xf numFmtId="176" fontId="4" fillId="2" borderId="36" xfId="50" applyFont="1" applyFill="1" applyBorder="1">
      <alignment vertical="center"/>
    </xf>
    <xf numFmtId="9" fontId="4" fillId="2" borderId="37" xfId="49" applyNumberFormat="1" applyFont="1" applyFill="1" applyBorder="1" applyAlignment="1">
      <alignment horizontal="center" vertical="center"/>
    </xf>
    <xf numFmtId="176" fontId="4" fillId="2" borderId="37" xfId="50" applyFont="1" applyFill="1" applyBorder="1">
      <alignment vertical="center"/>
    </xf>
    <xf numFmtId="9" fontId="4" fillId="2" borderId="38" xfId="49" applyNumberFormat="1" applyFont="1" applyFill="1" applyBorder="1" applyAlignment="1">
      <alignment horizontal="center" vertical="center"/>
    </xf>
    <xf numFmtId="9" fontId="4" fillId="2" borderId="39" xfId="49" applyNumberFormat="1" applyFont="1" applyFill="1" applyBorder="1" applyAlignment="1">
      <alignment horizontal="center" vertical="center"/>
    </xf>
    <xf numFmtId="9" fontId="4" fillId="10" borderId="8" xfId="50" applyNumberFormat="1" applyFont="1" applyFill="1" applyBorder="1" applyAlignment="1">
      <alignment horizontal="center"/>
    </xf>
    <xf numFmtId="176" fontId="4" fillId="2" borderId="2" xfId="50" applyFont="1" applyFill="1" applyBorder="1">
      <alignment vertical="center"/>
    </xf>
    <xf numFmtId="176" fontId="2" fillId="2" borderId="2" xfId="50" applyFont="1" applyFill="1" applyBorder="1" applyAlignment="1">
      <alignment horizontal="center" vertical="center" wrapText="1"/>
    </xf>
    <xf numFmtId="176" fontId="2" fillId="2" borderId="3" xfId="50" applyFont="1" applyFill="1" applyBorder="1" applyAlignment="1">
      <alignment horizontal="center" vertical="center" wrapText="1"/>
    </xf>
    <xf numFmtId="176" fontId="2" fillId="2" borderId="6" xfId="50" applyFont="1" applyFill="1" applyBorder="1" applyAlignment="1">
      <alignment horizontal="center" vertical="center" wrapText="1"/>
    </xf>
    <xf numFmtId="176" fontId="3" fillId="2" borderId="6" xfId="50" applyFont="1" applyFill="1" applyBorder="1" applyAlignment="1">
      <alignment horizontal="center" vertical="center" wrapText="1"/>
    </xf>
    <xf numFmtId="9" fontId="4" fillId="0" borderId="8" xfId="50" applyNumberFormat="1" applyFont="1" applyFill="1" applyBorder="1" applyAlignment="1">
      <alignment horizontal="center" vertical="center"/>
    </xf>
    <xf numFmtId="9" fontId="4" fillId="0" borderId="11" xfId="50" applyNumberFormat="1" applyFont="1" applyFill="1" applyBorder="1" applyAlignment="1">
      <alignment horizontal="center" vertical="center"/>
    </xf>
    <xf numFmtId="9" fontId="4" fillId="0" borderId="0" xfId="50" applyNumberFormat="1" applyFont="1" applyFill="1" applyBorder="1" applyAlignment="1">
      <alignment horizontal="center" vertical="center"/>
    </xf>
    <xf numFmtId="176" fontId="4" fillId="0" borderId="0" xfId="50" applyFont="1" applyFill="1">
      <alignment vertical="center"/>
    </xf>
    <xf numFmtId="9" fontId="4" fillId="2" borderId="7" xfId="3" applyFont="1" applyFill="1" applyBorder="1" applyAlignment="1">
      <alignment horizontal="center" vertical="center"/>
    </xf>
    <xf numFmtId="176" fontId="4" fillId="0" borderId="8" xfId="50" applyFont="1" applyFill="1" applyBorder="1">
      <alignment vertical="center"/>
    </xf>
    <xf numFmtId="176" fontId="4" fillId="0" borderId="14" xfId="50" applyFont="1" applyFill="1" applyBorder="1">
      <alignment vertical="center"/>
    </xf>
    <xf numFmtId="9" fontId="4" fillId="0" borderId="15" xfId="50" applyNumberFormat="1" applyFont="1" applyFill="1" applyBorder="1" applyAlignment="1">
      <alignment horizontal="center" vertical="center"/>
    </xf>
    <xf numFmtId="176" fontId="4" fillId="0" borderId="15" xfId="50" applyFont="1" applyFill="1" applyBorder="1">
      <alignment vertical="center"/>
    </xf>
    <xf numFmtId="9" fontId="4" fillId="0" borderId="15" xfId="3" applyFont="1" applyFill="1" applyBorder="1" applyAlignment="1">
      <alignment horizontal="center" vertical="center"/>
    </xf>
    <xf numFmtId="9" fontId="4" fillId="0" borderId="19" xfId="50" applyNumberFormat="1" applyFont="1" applyFill="1" applyBorder="1" applyAlignment="1">
      <alignment horizontal="center" vertical="center"/>
    </xf>
    <xf numFmtId="9" fontId="4" fillId="2" borderId="15" xfId="50" applyNumberFormat="1" applyFont="1" applyFill="1" applyBorder="1" applyAlignment="1">
      <alignment horizontal="center" vertical="center"/>
    </xf>
    <xf numFmtId="9" fontId="4" fillId="2" borderId="15" xfId="3" applyFont="1" applyFill="1" applyBorder="1" applyAlignment="1">
      <alignment horizontal="center" vertical="center"/>
    </xf>
    <xf numFmtId="9" fontId="4" fillId="2" borderId="19" xfId="50" applyNumberFormat="1" applyFont="1" applyFill="1" applyBorder="1" applyAlignment="1">
      <alignment horizontal="center" vertical="center"/>
    </xf>
    <xf numFmtId="9" fontId="4" fillId="2" borderId="14" xfId="3" applyFont="1" applyFill="1" applyBorder="1" applyAlignment="1">
      <alignment horizontal="center" vertical="center"/>
    </xf>
    <xf numFmtId="176" fontId="2" fillId="0" borderId="1" xfId="50" applyFont="1" applyFill="1" applyBorder="1">
      <alignment vertical="center"/>
    </xf>
    <xf numFmtId="9" fontId="2" fillId="0" borderId="2" xfId="3" applyFont="1" applyFill="1" applyBorder="1" applyAlignment="1">
      <alignment horizontal="center" vertical="center"/>
    </xf>
    <xf numFmtId="9" fontId="2" fillId="0" borderId="0" xfId="3" applyFont="1" applyFill="1" applyBorder="1" applyAlignment="1">
      <alignment horizontal="center" vertical="center"/>
    </xf>
    <xf numFmtId="9" fontId="2" fillId="2" borderId="2" xfId="3" applyFont="1" applyFill="1" applyBorder="1" applyAlignment="1">
      <alignment horizontal="center" vertical="center"/>
    </xf>
    <xf numFmtId="9" fontId="2" fillId="2" borderId="1" xfId="3" applyFont="1" applyFill="1" applyBorder="1" applyAlignment="1">
      <alignment horizontal="center" vertical="center"/>
    </xf>
    <xf numFmtId="176" fontId="2" fillId="2" borderId="0" xfId="50" applyFont="1" applyFill="1" applyBorder="1">
      <alignment vertical="center"/>
    </xf>
    <xf numFmtId="178" fontId="4" fillId="2" borderId="0" xfId="49" applyNumberFormat="1" applyFont="1" applyFill="1" applyBorder="1" applyAlignment="1">
      <alignment horizontal="center" vertical="center"/>
    </xf>
    <xf numFmtId="178" fontId="4" fillId="2" borderId="0" xfId="50" applyNumberFormat="1" applyFont="1" applyFill="1" applyBorder="1" applyAlignment="1">
      <alignment horizontal="center"/>
    </xf>
    <xf numFmtId="176" fontId="4" fillId="11" borderId="0" xfId="50" applyFont="1" applyFill="1">
      <alignment vertical="center"/>
    </xf>
    <xf numFmtId="176" fontId="2" fillId="11" borderId="0" xfId="50" applyFont="1" applyFill="1">
      <alignment vertical="center"/>
    </xf>
    <xf numFmtId="176" fontId="2" fillId="2" borderId="3" xfId="50" applyFont="1" applyFill="1" applyBorder="1">
      <alignment vertical="center"/>
    </xf>
    <xf numFmtId="176" fontId="3" fillId="2" borderId="40" xfId="50" applyFont="1" applyFill="1" applyBorder="1" applyAlignment="1">
      <alignment horizontal="center" vertical="center"/>
    </xf>
    <xf numFmtId="176" fontId="3" fillId="2" borderId="34" xfId="50" applyFont="1" applyFill="1" applyBorder="1" applyAlignment="1">
      <alignment horizontal="center" vertical="center"/>
    </xf>
    <xf numFmtId="176" fontId="3" fillId="2" borderId="34" xfId="50" applyFont="1" applyFill="1" applyBorder="1" applyAlignment="1">
      <alignment vertical="center"/>
    </xf>
    <xf numFmtId="176" fontId="3" fillId="2" borderId="3" xfId="50" applyFont="1" applyFill="1" applyBorder="1" applyAlignment="1">
      <alignment horizontal="center" vertical="center"/>
    </xf>
    <xf numFmtId="176" fontId="2" fillId="2" borderId="0" xfId="50" applyFont="1" applyFill="1" applyBorder="1" applyAlignment="1">
      <alignment vertical="center"/>
    </xf>
    <xf numFmtId="176" fontId="1" fillId="2" borderId="8" xfId="50" applyFont="1" applyFill="1" applyBorder="1">
      <alignment vertical="center"/>
    </xf>
    <xf numFmtId="176" fontId="2" fillId="2" borderId="9" xfId="50" applyFont="1" applyFill="1" applyBorder="1" applyAlignment="1">
      <alignment horizontal="center" vertical="center"/>
    </xf>
    <xf numFmtId="176" fontId="2" fillId="2" borderId="24" xfId="50" applyFont="1" applyFill="1" applyBorder="1" applyAlignment="1">
      <alignment horizontal="center" vertical="center"/>
    </xf>
    <xf numFmtId="176" fontId="2" fillId="2" borderId="41" xfId="50" applyFont="1" applyFill="1" applyBorder="1" applyAlignment="1">
      <alignment horizontal="center" vertical="center"/>
    </xf>
    <xf numFmtId="176" fontId="3" fillId="2" borderId="8" xfId="50" applyFont="1" applyFill="1" applyBorder="1" applyAlignment="1">
      <alignment horizontal="center" vertical="center" wrapText="1"/>
    </xf>
    <xf numFmtId="176" fontId="3" fillId="2" borderId="41" xfId="50" applyFont="1" applyFill="1" applyBorder="1" applyAlignment="1">
      <alignment horizontal="center" vertical="center" wrapText="1"/>
    </xf>
    <xf numFmtId="9" fontId="4" fillId="2" borderId="42" xfId="49" applyNumberFormat="1" applyFont="1" applyFill="1" applyBorder="1" applyAlignment="1">
      <alignment horizontal="center" vertical="center"/>
    </xf>
    <xf numFmtId="9" fontId="4" fillId="2" borderId="37" xfId="50" applyNumberFormat="1" applyFont="1" applyFill="1" applyBorder="1" applyAlignment="1">
      <alignment vertical="center"/>
    </xf>
    <xf numFmtId="176" fontId="10" fillId="2" borderId="0" xfId="50" applyFont="1" applyFill="1">
      <alignment vertical="center"/>
    </xf>
    <xf numFmtId="176" fontId="4" fillId="3" borderId="8" xfId="50" applyFont="1" applyFill="1" applyBorder="1">
      <alignment vertical="center"/>
    </xf>
    <xf numFmtId="9" fontId="4" fillId="3" borderId="8" xfId="50" applyNumberFormat="1" applyFont="1" applyFill="1" applyBorder="1" applyAlignment="1">
      <alignment horizontal="center" vertical="center"/>
    </xf>
    <xf numFmtId="9" fontId="4" fillId="3" borderId="37" xfId="50" applyNumberFormat="1" applyFont="1" applyFill="1" applyBorder="1" applyAlignment="1">
      <alignment vertical="center"/>
    </xf>
    <xf numFmtId="9" fontId="4" fillId="3" borderId="8" xfId="49" applyFont="1" applyFill="1" applyBorder="1" applyAlignment="1">
      <alignment horizontal="center" vertical="center"/>
    </xf>
    <xf numFmtId="176" fontId="4" fillId="2" borderId="38" xfId="50" applyFont="1" applyFill="1" applyBorder="1">
      <alignment vertical="center"/>
    </xf>
    <xf numFmtId="9" fontId="4" fillId="2" borderId="36" xfId="49" applyNumberFormat="1" applyFont="1" applyFill="1" applyBorder="1" applyAlignment="1">
      <alignment horizontal="center" vertical="center"/>
    </xf>
    <xf numFmtId="9" fontId="4" fillId="2" borderId="43" xfId="49" applyNumberFormat="1" applyFont="1" applyFill="1" applyBorder="1" applyAlignment="1">
      <alignment horizontal="center" vertical="center"/>
    </xf>
    <xf numFmtId="176" fontId="4" fillId="2" borderId="3" xfId="50" applyFont="1" applyFill="1" applyBorder="1">
      <alignment vertical="center"/>
    </xf>
    <xf numFmtId="176" fontId="2" fillId="2" borderId="1" xfId="50" applyFont="1" applyFill="1" applyBorder="1" applyAlignment="1">
      <alignment horizontal="center" vertical="center" wrapText="1"/>
    </xf>
    <xf numFmtId="176" fontId="2" fillId="2" borderId="35" xfId="50" applyFont="1" applyFill="1" applyBorder="1" applyAlignment="1">
      <alignment horizontal="center" vertical="center" wrapText="1"/>
    </xf>
    <xf numFmtId="9" fontId="4" fillId="2" borderId="41" xfId="50" applyNumberFormat="1" applyFont="1" applyFill="1" applyBorder="1" applyAlignment="1">
      <alignment horizontal="center" vertical="center"/>
    </xf>
    <xf numFmtId="9" fontId="4" fillId="2" borderId="16" xfId="3" applyFont="1" applyFill="1" applyBorder="1" applyAlignment="1">
      <alignment horizontal="center" vertical="center"/>
    </xf>
    <xf numFmtId="9" fontId="4" fillId="2" borderId="14" xfId="50" applyNumberFormat="1" applyFont="1" applyFill="1" applyBorder="1" applyAlignment="1">
      <alignment horizontal="center" vertical="center"/>
    </xf>
    <xf numFmtId="9" fontId="4" fillId="2" borderId="44" xfId="50" applyNumberFormat="1" applyFont="1" applyFill="1" applyBorder="1" applyAlignment="1">
      <alignment horizontal="center" vertical="center"/>
    </xf>
    <xf numFmtId="176" fontId="2" fillId="0" borderId="29" xfId="50" applyFont="1" applyFill="1" applyBorder="1">
      <alignment vertical="center"/>
    </xf>
    <xf numFmtId="9" fontId="2" fillId="2" borderId="30" xfId="3" applyFont="1" applyFill="1" applyBorder="1" applyAlignment="1">
      <alignment horizontal="center" vertical="center"/>
    </xf>
    <xf numFmtId="9" fontId="2" fillId="2" borderId="45" xfId="3" applyFont="1" applyFill="1" applyBorder="1" applyAlignment="1">
      <alignment horizontal="center" vertical="center"/>
    </xf>
    <xf numFmtId="9" fontId="2" fillId="2" borderId="29" xfId="3" applyFont="1" applyFill="1" applyBorder="1" applyAlignment="1">
      <alignment horizontal="center" vertical="center"/>
    </xf>
    <xf numFmtId="9" fontId="2" fillId="2" borderId="31" xfId="3" applyFont="1" applyFill="1" applyBorder="1" applyAlignment="1">
      <alignment horizontal="center" vertical="center"/>
    </xf>
    <xf numFmtId="9" fontId="2" fillId="2" borderId="46" xfId="3" applyFont="1" applyFill="1" applyBorder="1" applyAlignment="1">
      <alignment horizontal="center" vertical="center"/>
    </xf>
    <xf numFmtId="9" fontId="2" fillId="2" borderId="18" xfId="3" applyFont="1" applyFill="1" applyBorder="1" applyAlignment="1">
      <alignment horizontal="center" vertical="center"/>
    </xf>
    <xf numFmtId="9" fontId="2" fillId="2" borderId="0" xfId="3" applyFont="1" applyFill="1" applyBorder="1" applyAlignment="1">
      <alignment horizontal="center" vertical="center"/>
    </xf>
    <xf numFmtId="9" fontId="4" fillId="2" borderId="0" xfId="3" applyFont="1" applyFill="1">
      <alignment vertical="center"/>
    </xf>
    <xf numFmtId="176" fontId="2" fillId="12" borderId="0" xfId="50" applyFont="1" applyFill="1">
      <alignment vertical="center"/>
    </xf>
    <xf numFmtId="176" fontId="4" fillId="12" borderId="0" xfId="50" applyFont="1" applyFill="1">
      <alignment vertical="center"/>
    </xf>
    <xf numFmtId="176" fontId="4" fillId="12" borderId="0" xfId="50" applyFont="1" applyFill="1" applyBorder="1" applyAlignment="1">
      <alignment horizontal="center" vertical="center"/>
    </xf>
    <xf numFmtId="176" fontId="5" fillId="12" borderId="18" xfId="50" applyFont="1" applyFill="1" applyBorder="1" applyAlignment="1">
      <alignment horizontal="center" vertical="center"/>
    </xf>
    <xf numFmtId="176" fontId="5" fillId="12" borderId="0" xfId="50" applyFont="1" applyFill="1" applyBorder="1" applyAlignment="1">
      <alignment horizontal="center" vertical="center"/>
    </xf>
    <xf numFmtId="176" fontId="3" fillId="3" borderId="40" xfId="50" applyFont="1" applyFill="1" applyBorder="1" applyAlignment="1">
      <alignment horizontal="center" vertical="center"/>
    </xf>
    <xf numFmtId="176" fontId="3" fillId="3" borderId="23" xfId="50" applyFont="1" applyFill="1" applyBorder="1" applyAlignment="1">
      <alignment horizontal="center" vertical="center"/>
    </xf>
    <xf numFmtId="176" fontId="3" fillId="4" borderId="3" xfId="50" applyFont="1" applyFill="1" applyBorder="1" applyAlignment="1">
      <alignment horizontal="center" vertical="center"/>
    </xf>
    <xf numFmtId="176" fontId="2" fillId="4" borderId="23" xfId="50" applyFont="1" applyFill="1" applyBorder="1" applyAlignment="1">
      <alignment horizontal="center" vertical="center"/>
    </xf>
    <xf numFmtId="176" fontId="3" fillId="4" borderId="4" xfId="50" applyFont="1" applyFill="1" applyBorder="1" applyAlignment="1">
      <alignment horizontal="center" vertical="center"/>
    </xf>
    <xf numFmtId="176" fontId="3" fillId="4" borderId="0" xfId="50" applyFont="1" applyFill="1" applyBorder="1" applyAlignment="1">
      <alignment horizontal="center" vertical="center"/>
    </xf>
    <xf numFmtId="176" fontId="11" fillId="2" borderId="8" xfId="50" applyFont="1" applyFill="1" applyBorder="1">
      <alignment vertical="center"/>
    </xf>
    <xf numFmtId="9" fontId="4" fillId="2" borderId="47" xfId="49" applyFont="1" applyFill="1" applyBorder="1" applyAlignment="1">
      <alignment horizontal="center" vertical="center" wrapText="1"/>
    </xf>
    <xf numFmtId="9" fontId="4" fillId="2" borderId="48" xfId="49" applyFont="1" applyFill="1" applyBorder="1" applyAlignment="1">
      <alignment horizontal="center" vertical="center" wrapText="1"/>
    </xf>
    <xf numFmtId="9" fontId="4" fillId="2" borderId="49" xfId="49" applyFont="1" applyFill="1" applyBorder="1" applyAlignment="1">
      <alignment horizontal="center" vertical="center" wrapText="1"/>
    </xf>
    <xf numFmtId="9" fontId="4" fillId="2" borderId="27" xfId="49" applyFont="1" applyFill="1" applyBorder="1" applyAlignment="1">
      <alignment horizontal="center" vertical="center" wrapText="1"/>
    </xf>
    <xf numFmtId="9" fontId="4" fillId="2" borderId="50" xfId="49" applyNumberFormat="1" applyFont="1" applyFill="1" applyBorder="1" applyAlignment="1">
      <alignment horizontal="center" vertical="center"/>
    </xf>
    <xf numFmtId="9" fontId="4" fillId="2" borderId="38" xfId="49" applyFont="1" applyFill="1" applyBorder="1" applyAlignment="1">
      <alignment horizontal="center" vertical="center" wrapText="1"/>
    </xf>
    <xf numFmtId="9" fontId="4" fillId="2" borderId="37" xfId="49" applyFont="1" applyFill="1" applyBorder="1" applyAlignment="1">
      <alignment horizontal="center" vertical="center" wrapText="1"/>
    </xf>
    <xf numFmtId="176" fontId="4" fillId="0" borderId="51" xfId="50" applyFont="1" applyBorder="1">
      <alignment vertical="center"/>
    </xf>
    <xf numFmtId="9" fontId="4" fillId="2" borderId="27" xfId="49" applyNumberFormat="1" applyFont="1" applyFill="1" applyBorder="1" applyAlignment="1">
      <alignment horizontal="center" vertical="center"/>
    </xf>
    <xf numFmtId="176" fontId="4" fillId="2" borderId="49" xfId="50" applyFont="1" applyFill="1" applyBorder="1">
      <alignment vertical="center"/>
    </xf>
    <xf numFmtId="9" fontId="4" fillId="2" borderId="26" xfId="49" applyNumberFormat="1" applyFont="1" applyFill="1" applyBorder="1" applyAlignment="1">
      <alignment horizontal="center" vertical="center"/>
    </xf>
    <xf numFmtId="9" fontId="4" fillId="2" borderId="49" xfId="49" applyNumberFormat="1" applyFont="1" applyFill="1" applyBorder="1" applyAlignment="1">
      <alignment horizontal="center" vertical="center"/>
    </xf>
    <xf numFmtId="9" fontId="4" fillId="2" borderId="52" xfId="49" applyNumberFormat="1" applyFont="1" applyFill="1" applyBorder="1" applyAlignment="1">
      <alignment horizontal="center" vertical="center"/>
    </xf>
    <xf numFmtId="176" fontId="2" fillId="2" borderId="4" xfId="50" applyFont="1" applyFill="1" applyBorder="1" applyAlignment="1">
      <alignment horizontal="center" vertical="center" wrapText="1"/>
    </xf>
    <xf numFmtId="176" fontId="3" fillId="2" borderId="5" xfId="50" applyFont="1" applyFill="1" applyBorder="1" applyAlignment="1">
      <alignment horizontal="center" vertical="center" wrapText="1"/>
    </xf>
    <xf numFmtId="176" fontId="10" fillId="2" borderId="8" xfId="50" applyFont="1" applyFill="1" applyBorder="1">
      <alignment vertical="center"/>
    </xf>
    <xf numFmtId="178" fontId="4" fillId="2" borderId="8" xfId="49" applyNumberFormat="1" applyFont="1" applyFill="1" applyBorder="1" applyAlignment="1">
      <alignment horizontal="center" vertical="center" wrapText="1"/>
    </xf>
    <xf numFmtId="178" fontId="4" fillId="2" borderId="8" xfId="49" applyNumberFormat="1" applyFont="1" applyFill="1" applyBorder="1" applyAlignment="1">
      <alignment horizontal="center" vertical="center"/>
    </xf>
    <xf numFmtId="9" fontId="4" fillId="2" borderId="16" xfId="50" applyNumberFormat="1" applyFont="1" applyFill="1" applyBorder="1" applyAlignment="1">
      <alignment horizontal="center" vertical="center"/>
    </xf>
    <xf numFmtId="9" fontId="4" fillId="2" borderId="17" xfId="50" applyNumberFormat="1" applyFont="1" applyFill="1" applyBorder="1" applyAlignment="1">
      <alignment horizontal="center" vertical="center"/>
    </xf>
    <xf numFmtId="9" fontId="4" fillId="2" borderId="18" xfId="3" applyFont="1" applyFill="1" applyBorder="1" applyAlignment="1">
      <alignment horizontal="center" vertical="center"/>
    </xf>
    <xf numFmtId="9" fontId="4" fillId="2" borderId="53" xfId="50" applyNumberFormat="1" applyFont="1" applyFill="1" applyBorder="1" applyAlignment="1">
      <alignment horizontal="center" vertical="center"/>
    </xf>
    <xf numFmtId="9" fontId="4" fillId="2" borderId="48" xfId="50" applyNumberFormat="1" applyFont="1" applyFill="1" applyBorder="1" applyAlignment="1">
      <alignment horizontal="center" vertical="center"/>
    </xf>
    <xf numFmtId="9" fontId="4" fillId="2" borderId="47" xfId="50" applyNumberFormat="1" applyFont="1" applyFill="1" applyBorder="1" applyAlignment="1">
      <alignment horizontal="center" vertical="center"/>
    </xf>
    <xf numFmtId="176" fontId="12" fillId="2" borderId="0" xfId="50" applyFont="1" applyFill="1">
      <alignment vertical="center"/>
    </xf>
    <xf numFmtId="176" fontId="3" fillId="4" borderId="9" xfId="50" applyFont="1" applyFill="1" applyBorder="1" applyAlignment="1">
      <alignment horizontal="center" vertical="center"/>
    </xf>
    <xf numFmtId="176" fontId="3" fillId="4" borderId="41" xfId="50" applyFont="1" applyFill="1" applyBorder="1" applyAlignment="1">
      <alignment horizontal="center" vertical="center"/>
    </xf>
    <xf numFmtId="9" fontId="4" fillId="2" borderId="0" xfId="49" applyFont="1" applyFill="1" applyBorder="1" applyAlignment="1">
      <alignment horizontal="center" vertical="center" wrapText="1"/>
    </xf>
    <xf numFmtId="176" fontId="2" fillId="6" borderId="0" xfId="50" applyFont="1" applyFill="1">
      <alignment vertical="center"/>
    </xf>
    <xf numFmtId="176" fontId="4" fillId="6" borderId="0" xfId="50" applyFont="1" applyFill="1">
      <alignment vertical="center"/>
    </xf>
    <xf numFmtId="176" fontId="4" fillId="6" borderId="0" xfId="50" applyFont="1" applyFill="1" applyBorder="1" applyAlignment="1">
      <alignment horizontal="center" vertical="center"/>
    </xf>
    <xf numFmtId="176" fontId="5" fillId="6" borderId="0" xfId="50" applyFont="1" applyFill="1" applyBorder="1" applyAlignment="1">
      <alignment horizontal="center" vertical="center"/>
    </xf>
    <xf numFmtId="176" fontId="2" fillId="3" borderId="3" xfId="50" applyFont="1" applyFill="1" applyBorder="1" applyAlignment="1">
      <alignment horizontal="center" vertical="center"/>
    </xf>
    <xf numFmtId="176" fontId="2" fillId="3" borderId="23" xfId="50" applyFont="1" applyFill="1" applyBorder="1" applyAlignment="1">
      <alignment horizontal="center" vertical="center"/>
    </xf>
    <xf numFmtId="176" fontId="2" fillId="3" borderId="35" xfId="50" applyFont="1" applyFill="1" applyBorder="1" applyAlignment="1">
      <alignment horizontal="center" vertical="center"/>
    </xf>
    <xf numFmtId="176" fontId="3" fillId="4" borderId="40" xfId="50" applyFont="1" applyFill="1" applyBorder="1" applyAlignment="1">
      <alignment horizontal="center" vertical="center"/>
    </xf>
    <xf numFmtId="176" fontId="3" fillId="4" borderId="23" xfId="50" applyFont="1" applyFill="1" applyBorder="1" applyAlignment="1">
      <alignment horizontal="center" vertical="center"/>
    </xf>
    <xf numFmtId="176" fontId="6" fillId="7" borderId="8" xfId="50" applyFont="1" applyFill="1" applyBorder="1">
      <alignment vertical="center"/>
    </xf>
    <xf numFmtId="9" fontId="4" fillId="7" borderId="8" xfId="49" applyFont="1" applyFill="1" applyBorder="1" applyAlignment="1">
      <alignment horizontal="center" vertical="center"/>
    </xf>
    <xf numFmtId="176" fontId="6" fillId="7" borderId="9" xfId="50" applyFont="1" applyFill="1" applyBorder="1" applyAlignment="1">
      <alignment vertical="center"/>
    </xf>
    <xf numFmtId="176" fontId="6" fillId="7" borderId="8" xfId="50" applyFont="1" applyFill="1" applyBorder="1" applyAlignment="1">
      <alignment vertical="center"/>
    </xf>
    <xf numFmtId="176" fontId="12" fillId="7" borderId="8" xfId="50" applyFont="1" applyFill="1" applyBorder="1">
      <alignment vertical="center"/>
    </xf>
    <xf numFmtId="9" fontId="4" fillId="7" borderId="8" xfId="50" applyNumberFormat="1" applyFont="1" applyFill="1" applyBorder="1" applyAlignment="1">
      <alignment horizontal="center" vertical="center"/>
    </xf>
    <xf numFmtId="9" fontId="4" fillId="2" borderId="54" xfId="49" applyNumberFormat="1" applyFont="1" applyFill="1" applyBorder="1" applyAlignment="1">
      <alignment horizontal="center" vertical="center"/>
    </xf>
    <xf numFmtId="9" fontId="4" fillId="2" borderId="55" xfId="49" applyNumberFormat="1" applyFont="1" applyFill="1" applyBorder="1" applyAlignment="1">
      <alignment horizontal="center" vertical="center"/>
    </xf>
    <xf numFmtId="176" fontId="2" fillId="13" borderId="1" xfId="50" applyFont="1" applyFill="1" applyBorder="1">
      <alignment vertical="center"/>
    </xf>
    <xf numFmtId="176" fontId="2" fillId="13" borderId="2" xfId="50" applyFont="1" applyFill="1" applyBorder="1" applyAlignment="1">
      <alignment horizontal="center" vertical="center"/>
    </xf>
    <xf numFmtId="176" fontId="4" fillId="13" borderId="56" xfId="50" applyFont="1" applyFill="1" applyBorder="1">
      <alignment vertical="center"/>
    </xf>
    <xf numFmtId="176" fontId="2" fillId="13" borderId="1" xfId="50" applyFont="1" applyFill="1" applyBorder="1" applyAlignment="1">
      <alignment horizontal="center" vertical="center" wrapText="1"/>
    </xf>
    <xf numFmtId="176" fontId="2" fillId="13" borderId="3" xfId="50" applyFont="1" applyFill="1" applyBorder="1" applyAlignment="1">
      <alignment horizontal="center" vertical="center" wrapText="1"/>
    </xf>
    <xf numFmtId="176" fontId="2" fillId="13" borderId="6" xfId="50" applyFont="1" applyFill="1" applyBorder="1" applyAlignment="1">
      <alignment horizontal="center" vertical="center" wrapText="1"/>
    </xf>
    <xf numFmtId="176" fontId="3" fillId="13" borderId="0" xfId="50" applyFont="1" applyFill="1" applyBorder="1" applyAlignment="1">
      <alignment horizontal="center" vertical="center" wrapText="1"/>
    </xf>
    <xf numFmtId="176" fontId="4" fillId="2" borderId="11" xfId="50" applyFont="1" applyFill="1" applyBorder="1">
      <alignment vertical="center"/>
    </xf>
    <xf numFmtId="9" fontId="4" fillId="2" borderId="57" xfId="50" applyNumberFormat="1" applyFont="1" applyFill="1" applyBorder="1" applyAlignment="1">
      <alignment horizontal="center" vertical="center"/>
    </xf>
    <xf numFmtId="9" fontId="4" fillId="2" borderId="42" xfId="50" applyNumberFormat="1" applyFont="1" applyFill="1" applyBorder="1" applyAlignment="1">
      <alignment horizontal="center" vertical="center"/>
    </xf>
    <xf numFmtId="9" fontId="4" fillId="2" borderId="24" xfId="50" applyNumberFormat="1" applyFont="1" applyFill="1" applyBorder="1" applyAlignment="1">
      <alignment horizontal="center" vertical="center"/>
    </xf>
    <xf numFmtId="9" fontId="4" fillId="2" borderId="19" xfId="3" applyFont="1" applyFill="1" applyBorder="1" applyAlignment="1">
      <alignment horizontal="center" vertical="center"/>
    </xf>
    <xf numFmtId="176" fontId="3" fillId="13" borderId="5" xfId="50" applyFont="1" applyFill="1" applyBorder="1" applyAlignment="1">
      <alignment horizontal="center" vertical="center" wrapText="1"/>
    </xf>
    <xf numFmtId="176" fontId="13" fillId="2" borderId="7" xfId="50" applyFont="1" applyFill="1" applyBorder="1">
      <alignment vertical="center"/>
    </xf>
    <xf numFmtId="176" fontId="13" fillId="2" borderId="14" xfId="50" applyFont="1" applyFill="1" applyBorder="1">
      <alignment vertical="center"/>
    </xf>
    <xf numFmtId="176" fontId="6" fillId="2" borderId="0" xfId="50" applyFont="1" applyFill="1" applyAlignment="1">
      <alignment horizontal="left" vertical="center"/>
    </xf>
    <xf numFmtId="176" fontId="13" fillId="2" borderId="8" xfId="50" applyFont="1" applyFill="1" applyBorder="1">
      <alignment vertical="center"/>
    </xf>
    <xf numFmtId="176" fontId="4" fillId="14" borderId="0" xfId="50" applyFont="1" applyFill="1">
      <alignment vertical="center"/>
    </xf>
    <xf numFmtId="9" fontId="4" fillId="2" borderId="0" xfId="49" applyFont="1" applyFill="1" applyBorder="1" applyAlignment="1">
      <alignment horizontal="center" vertical="center"/>
    </xf>
    <xf numFmtId="176" fontId="2" fillId="15" borderId="0" xfId="50" applyFont="1" applyFill="1">
      <alignment vertical="center"/>
    </xf>
    <xf numFmtId="176" fontId="4" fillId="15" borderId="0" xfId="50" applyFont="1" applyFill="1">
      <alignment vertical="center"/>
    </xf>
    <xf numFmtId="176" fontId="4" fillId="15" borderId="0" xfId="50" applyFont="1" applyFill="1" applyBorder="1" applyAlignment="1">
      <alignment horizontal="center" vertical="center"/>
    </xf>
    <xf numFmtId="176" fontId="14" fillId="15" borderId="18" xfId="50" applyFont="1" applyFill="1" applyBorder="1" applyAlignment="1">
      <alignment horizontal="center" vertical="center"/>
    </xf>
    <xf numFmtId="176" fontId="14" fillId="15" borderId="0" xfId="50" applyFont="1" applyFill="1" applyBorder="1" applyAlignment="1">
      <alignment horizontal="center" vertical="center"/>
    </xf>
    <xf numFmtId="176" fontId="1" fillId="16" borderId="1" xfId="50" applyFont="1" applyFill="1" applyBorder="1">
      <alignment vertical="center"/>
    </xf>
    <xf numFmtId="176" fontId="2" fillId="16" borderId="3" xfId="50" applyFont="1" applyFill="1" applyBorder="1" applyAlignment="1">
      <alignment horizontal="center" vertical="center"/>
    </xf>
    <xf numFmtId="176" fontId="2" fillId="16" borderId="23" xfId="50" applyFont="1" applyFill="1" applyBorder="1" applyAlignment="1">
      <alignment horizontal="center" vertical="center"/>
    </xf>
    <xf numFmtId="176" fontId="2" fillId="16" borderId="35" xfId="50" applyFont="1" applyFill="1" applyBorder="1" applyAlignment="1">
      <alignment horizontal="center" vertical="center"/>
    </xf>
    <xf numFmtId="176" fontId="2" fillId="16" borderId="3" xfId="50" applyFont="1" applyFill="1" applyBorder="1">
      <alignment vertical="center"/>
    </xf>
    <xf numFmtId="176" fontId="3" fillId="16" borderId="40" xfId="50" applyFont="1" applyFill="1" applyBorder="1" applyAlignment="1">
      <alignment horizontal="center" vertical="center"/>
    </xf>
    <xf numFmtId="176" fontId="3" fillId="16" borderId="23" xfId="50" applyFont="1" applyFill="1" applyBorder="1" applyAlignment="1">
      <alignment horizontal="center" vertical="center"/>
    </xf>
    <xf numFmtId="176" fontId="3" fillId="16" borderId="6" xfId="50" applyFont="1" applyFill="1" applyBorder="1" applyAlignment="1">
      <alignment vertical="center"/>
    </xf>
    <xf numFmtId="176" fontId="3" fillId="4" borderId="6" xfId="50" applyFont="1" applyFill="1" applyBorder="1" applyAlignment="1">
      <alignment horizontal="center" vertical="center" wrapText="1"/>
    </xf>
    <xf numFmtId="176" fontId="11" fillId="2" borderId="1" xfId="50" applyFont="1" applyFill="1" applyBorder="1">
      <alignment vertical="center"/>
    </xf>
    <xf numFmtId="176" fontId="3" fillId="2" borderId="40" xfId="50" applyFont="1" applyFill="1" applyBorder="1" applyAlignment="1">
      <alignment horizontal="center" vertical="center" wrapText="1"/>
    </xf>
    <xf numFmtId="176" fontId="3" fillId="2" borderId="23" xfId="50" applyFont="1" applyFill="1" applyBorder="1" applyAlignment="1">
      <alignment horizontal="center" vertical="center" wrapText="1"/>
    </xf>
    <xf numFmtId="176" fontId="3" fillId="2" borderId="34" xfId="50" applyFont="1" applyFill="1" applyBorder="1" applyAlignment="1">
      <alignment horizontal="center" vertical="center" wrapText="1"/>
    </xf>
    <xf numFmtId="176" fontId="3" fillId="2" borderId="7" xfId="50" applyFont="1" applyFill="1" applyBorder="1">
      <alignment vertical="center"/>
    </xf>
    <xf numFmtId="176" fontId="3" fillId="2" borderId="8" xfId="50" applyFont="1" applyFill="1" applyBorder="1" applyAlignment="1">
      <alignment horizontal="center" vertical="center"/>
    </xf>
    <xf numFmtId="176" fontId="10" fillId="2" borderId="9" xfId="50" applyFont="1" applyFill="1" applyBorder="1" applyAlignment="1">
      <alignment horizontal="center" vertical="center"/>
    </xf>
    <xf numFmtId="176" fontId="15" fillId="2" borderId="7" xfId="50" applyFont="1" applyFill="1" applyBorder="1" applyAlignment="1">
      <alignment horizontal="center" vertical="center" wrapText="1"/>
    </xf>
    <xf numFmtId="9" fontId="4" fillId="2" borderId="24" xfId="49" applyFont="1" applyFill="1" applyBorder="1" applyAlignment="1">
      <alignment horizontal="center" vertical="center"/>
    </xf>
    <xf numFmtId="9" fontId="4" fillId="2" borderId="7" xfId="49" applyFont="1" applyFill="1" applyBorder="1" applyAlignment="1">
      <alignment horizontal="center" vertical="center"/>
    </xf>
    <xf numFmtId="9" fontId="4" fillId="2" borderId="41" xfId="49" applyFont="1" applyFill="1" applyBorder="1" applyAlignment="1">
      <alignment horizontal="center" vertical="center"/>
    </xf>
    <xf numFmtId="176" fontId="4" fillId="2" borderId="16" xfId="50" applyFont="1" applyFill="1" applyBorder="1">
      <alignment vertical="center"/>
    </xf>
    <xf numFmtId="9" fontId="4" fillId="2" borderId="16" xfId="49" applyNumberFormat="1" applyFont="1" applyFill="1" applyBorder="1" applyAlignment="1">
      <alignment horizontal="center" vertical="center"/>
    </xf>
    <xf numFmtId="9" fontId="4" fillId="2" borderId="18" xfId="49" applyNumberFormat="1" applyFont="1" applyFill="1" applyBorder="1" applyAlignment="1">
      <alignment horizontal="center" vertical="center"/>
    </xf>
    <xf numFmtId="176" fontId="4" fillId="2" borderId="1" xfId="50" applyFont="1" applyFill="1" applyBorder="1">
      <alignment vertical="center"/>
    </xf>
    <xf numFmtId="9" fontId="4" fillId="2" borderId="2" xfId="49" applyNumberFormat="1" applyFont="1" applyFill="1" applyBorder="1" applyAlignment="1">
      <alignment horizontal="center" vertical="center"/>
    </xf>
    <xf numFmtId="9" fontId="4" fillId="2" borderId="1" xfId="49" applyNumberFormat="1" applyFont="1" applyFill="1" applyBorder="1" applyAlignment="1">
      <alignment horizontal="center" vertical="center"/>
    </xf>
    <xf numFmtId="9" fontId="4" fillId="2" borderId="3" xfId="49" applyNumberFormat="1" applyFont="1" applyFill="1" applyBorder="1" applyAlignment="1">
      <alignment horizontal="center" vertical="center"/>
    </xf>
    <xf numFmtId="9" fontId="4" fillId="2" borderId="6" xfId="49" applyNumberFormat="1" applyFont="1" applyFill="1" applyBorder="1" applyAlignment="1">
      <alignment horizontal="center" vertical="center"/>
    </xf>
    <xf numFmtId="9" fontId="4" fillId="2" borderId="5" xfId="49" applyNumberFormat="1" applyFont="1" applyFill="1" applyBorder="1" applyAlignment="1">
      <alignment horizontal="center" vertical="center"/>
    </xf>
    <xf numFmtId="9" fontId="4" fillId="2" borderId="1" xfId="49" applyFont="1" applyFill="1" applyBorder="1" applyAlignment="1">
      <alignment horizontal="center" vertical="center"/>
    </xf>
    <xf numFmtId="9" fontId="4" fillId="2" borderId="3" xfId="49" applyFont="1" applyFill="1" applyBorder="1" applyAlignment="1">
      <alignment horizontal="center" vertical="center"/>
    </xf>
    <xf numFmtId="176" fontId="16" fillId="2" borderId="7" xfId="50" applyFont="1" applyFill="1" applyBorder="1">
      <alignment vertical="center"/>
    </xf>
    <xf numFmtId="9" fontId="16" fillId="2" borderId="37" xfId="49" applyNumberFormat="1" applyFont="1" applyFill="1" applyBorder="1" applyAlignment="1">
      <alignment horizontal="center" vertical="center"/>
    </xf>
    <xf numFmtId="176" fontId="16" fillId="2" borderId="38" xfId="50" applyFont="1" applyFill="1" applyBorder="1">
      <alignment vertical="center"/>
    </xf>
    <xf numFmtId="9" fontId="16" fillId="2" borderId="36" xfId="49" applyFont="1" applyFill="1" applyBorder="1" applyAlignment="1">
      <alignment horizontal="center" vertical="center"/>
    </xf>
    <xf numFmtId="9" fontId="16" fillId="2" borderId="38" xfId="49" applyFont="1" applyFill="1" applyBorder="1" applyAlignment="1">
      <alignment horizontal="center" vertical="center"/>
    </xf>
    <xf numFmtId="9" fontId="16" fillId="2" borderId="11" xfId="49" applyFont="1" applyFill="1" applyBorder="1" applyAlignment="1">
      <alignment horizontal="center" vertical="center"/>
    </xf>
    <xf numFmtId="9" fontId="17" fillId="2" borderId="0" xfId="49" applyNumberFormat="1" applyFont="1" applyFill="1" applyBorder="1" applyAlignment="1">
      <alignment horizontal="center" vertical="center"/>
    </xf>
    <xf numFmtId="9" fontId="4" fillId="0" borderId="11" xfId="49" applyFont="1" applyFill="1" applyBorder="1" applyAlignment="1">
      <alignment horizontal="center" vertical="center"/>
    </xf>
    <xf numFmtId="176" fontId="4" fillId="0" borderId="14" xfId="50" applyFont="1" applyBorder="1">
      <alignment vertical="center"/>
    </xf>
    <xf numFmtId="9" fontId="4" fillId="2" borderId="58" xfId="49" applyNumberFormat="1" applyFont="1" applyFill="1" applyBorder="1" applyAlignment="1">
      <alignment horizontal="center" vertical="center"/>
    </xf>
    <xf numFmtId="176" fontId="4" fillId="2" borderId="55" xfId="50" applyFont="1" applyFill="1" applyBorder="1">
      <alignment vertical="center"/>
    </xf>
    <xf numFmtId="9" fontId="4" fillId="2" borderId="54" xfId="49" applyFont="1" applyFill="1" applyBorder="1" applyAlignment="1">
      <alignment horizontal="center" vertical="center"/>
    </xf>
    <xf numFmtId="9" fontId="4" fillId="2" borderId="55" xfId="49" applyFont="1" applyFill="1" applyBorder="1" applyAlignment="1">
      <alignment horizontal="center" vertical="center"/>
    </xf>
    <xf numFmtId="9" fontId="4" fillId="0" borderId="24" xfId="49" applyFont="1" applyFill="1" applyBorder="1" applyAlignment="1">
      <alignment horizontal="center" vertical="center"/>
    </xf>
    <xf numFmtId="9" fontId="4" fillId="0" borderId="7" xfId="49" applyFont="1" applyFill="1" applyBorder="1" applyAlignment="1">
      <alignment horizontal="center" vertical="center"/>
    </xf>
    <xf numFmtId="9" fontId="4" fillId="0" borderId="8" xfId="49" applyFont="1" applyFill="1" applyBorder="1" applyAlignment="1">
      <alignment horizontal="center" vertical="center"/>
    </xf>
    <xf numFmtId="176" fontId="4" fillId="2" borderId="13" xfId="50" applyFont="1" applyFill="1" applyBorder="1">
      <alignment vertical="center"/>
    </xf>
    <xf numFmtId="9" fontId="4" fillId="0" borderId="41" xfId="49" applyFont="1" applyFill="1" applyBorder="1" applyAlignment="1">
      <alignment horizontal="center" vertical="center"/>
    </xf>
    <xf numFmtId="176" fontId="4" fillId="0" borderId="36" xfId="50" applyFont="1" applyBorder="1">
      <alignment vertical="center"/>
    </xf>
    <xf numFmtId="176" fontId="6" fillId="15" borderId="7" xfId="50" applyFont="1" applyFill="1" applyBorder="1">
      <alignment vertical="center"/>
    </xf>
    <xf numFmtId="9" fontId="4" fillId="15" borderId="8" xfId="49" applyFont="1" applyFill="1" applyBorder="1" applyAlignment="1">
      <alignment horizontal="center" vertical="center"/>
    </xf>
    <xf numFmtId="9" fontId="4" fillId="15" borderId="11" xfId="49" applyFont="1" applyFill="1" applyBorder="1" applyAlignment="1">
      <alignment horizontal="center" vertical="center"/>
    </xf>
    <xf numFmtId="9" fontId="4" fillId="15" borderId="24" xfId="49" applyFont="1" applyFill="1" applyBorder="1" applyAlignment="1">
      <alignment horizontal="center" vertical="center"/>
    </xf>
    <xf numFmtId="9" fontId="4" fillId="15" borderId="7" xfId="49" applyFont="1" applyFill="1" applyBorder="1" applyAlignment="1">
      <alignment horizontal="center" vertical="center"/>
    </xf>
    <xf numFmtId="176" fontId="4" fillId="17" borderId="7" xfId="50" applyFont="1" applyFill="1" applyBorder="1">
      <alignment vertical="center"/>
    </xf>
    <xf numFmtId="9" fontId="4" fillId="17" borderId="8" xfId="50" applyNumberFormat="1" applyFont="1" applyFill="1" applyBorder="1" applyAlignment="1">
      <alignment horizontal="center" vertical="center"/>
    </xf>
    <xf numFmtId="9" fontId="4" fillId="17" borderId="11" xfId="50" applyNumberFormat="1" applyFont="1" applyFill="1" applyBorder="1" applyAlignment="1">
      <alignment horizontal="center" vertical="center"/>
    </xf>
    <xf numFmtId="9" fontId="4" fillId="17" borderId="57" xfId="50" applyNumberFormat="1" applyFont="1" applyFill="1" applyBorder="1" applyAlignment="1">
      <alignment horizontal="center" vertical="center"/>
    </xf>
    <xf numFmtId="176" fontId="3" fillId="18" borderId="1" xfId="50" applyFont="1" applyFill="1" applyBorder="1">
      <alignment vertical="center"/>
    </xf>
    <xf numFmtId="176" fontId="2" fillId="18" borderId="2" xfId="50" applyFont="1" applyFill="1" applyBorder="1" applyAlignment="1">
      <alignment horizontal="center" vertical="center"/>
    </xf>
    <xf numFmtId="176" fontId="4" fillId="18" borderId="56" xfId="50" applyFont="1" applyFill="1" applyBorder="1">
      <alignment vertical="center"/>
    </xf>
    <xf numFmtId="176" fontId="3" fillId="18" borderId="1" xfId="50" applyFont="1" applyFill="1" applyBorder="1" applyAlignment="1">
      <alignment horizontal="left" vertical="center"/>
    </xf>
    <xf numFmtId="176" fontId="3" fillId="18" borderId="3" xfId="50" applyFont="1" applyFill="1" applyBorder="1" applyAlignment="1">
      <alignment horizontal="center" vertical="center" wrapText="1"/>
    </xf>
    <xf numFmtId="176" fontId="3" fillId="18" borderId="6" xfId="50" applyFont="1" applyFill="1" applyBorder="1" applyAlignment="1">
      <alignment horizontal="center" vertical="center" wrapText="1"/>
    </xf>
    <xf numFmtId="176" fontId="3" fillId="18" borderId="5" xfId="50" applyFont="1" applyFill="1" applyBorder="1" applyAlignment="1">
      <alignment horizontal="center" vertical="center" wrapText="1"/>
    </xf>
    <xf numFmtId="176" fontId="2" fillId="18" borderId="1" xfId="50" applyFont="1" applyFill="1" applyBorder="1" applyAlignment="1">
      <alignment horizontal="center" vertical="center" wrapText="1"/>
    </xf>
    <xf numFmtId="176" fontId="2" fillId="18" borderId="3" xfId="50" applyFont="1" applyFill="1" applyBorder="1" applyAlignment="1">
      <alignment horizontal="center" vertical="center" wrapText="1"/>
    </xf>
    <xf numFmtId="176" fontId="2" fillId="18" borderId="6" xfId="50" applyFont="1" applyFill="1" applyBorder="1" applyAlignment="1">
      <alignment horizontal="center" vertical="center" wrapText="1"/>
    </xf>
    <xf numFmtId="176" fontId="13" fillId="17" borderId="36" xfId="50" applyFont="1" applyFill="1" applyBorder="1">
      <alignment vertical="center"/>
    </xf>
    <xf numFmtId="9" fontId="4" fillId="17" borderId="37" xfId="49" applyFont="1" applyFill="1" applyBorder="1" applyAlignment="1">
      <alignment horizontal="center" vertical="center"/>
    </xf>
    <xf numFmtId="9" fontId="4" fillId="17" borderId="39" xfId="50" applyNumberFormat="1" applyFont="1" applyFill="1" applyBorder="1" applyAlignment="1">
      <alignment horizontal="center" vertical="center"/>
    </xf>
    <xf numFmtId="9" fontId="4" fillId="17" borderId="36" xfId="50" applyNumberFormat="1" applyFont="1" applyFill="1" applyBorder="1" applyAlignment="1">
      <alignment horizontal="center" vertical="center"/>
    </xf>
    <xf numFmtId="9" fontId="4" fillId="17" borderId="38" xfId="50" applyNumberFormat="1" applyFont="1" applyFill="1" applyBorder="1" applyAlignment="1">
      <alignment horizontal="center" vertical="center"/>
    </xf>
    <xf numFmtId="176" fontId="13" fillId="2" borderId="51" xfId="50" applyFont="1" applyFill="1" applyBorder="1">
      <alignment vertical="center"/>
    </xf>
    <xf numFmtId="9" fontId="4" fillId="2" borderId="48" xfId="49" applyNumberFormat="1" applyFont="1" applyFill="1" applyBorder="1" applyAlignment="1">
      <alignment horizontal="center" vertical="center"/>
    </xf>
    <xf numFmtId="9" fontId="4" fillId="2" borderId="59" xfId="49" applyNumberFormat="1" applyFont="1" applyFill="1" applyBorder="1" applyAlignment="1">
      <alignment horizontal="center" vertical="center"/>
    </xf>
    <xf numFmtId="9" fontId="4" fillId="2" borderId="51" xfId="50" applyNumberFormat="1" applyFont="1" applyFill="1" applyBorder="1" applyAlignment="1">
      <alignment horizontal="center" vertical="center"/>
    </xf>
    <xf numFmtId="9" fontId="4" fillId="2" borderId="59" xfId="50" applyNumberFormat="1" applyFont="1" applyFill="1" applyBorder="1" applyAlignment="1">
      <alignment horizontal="center" vertical="center"/>
    </xf>
    <xf numFmtId="176" fontId="13" fillId="17" borderId="7" xfId="50" applyFont="1" applyFill="1" applyBorder="1">
      <alignment vertical="center"/>
    </xf>
    <xf numFmtId="9" fontId="4" fillId="17" borderId="8" xfId="49" applyFont="1" applyFill="1" applyBorder="1" applyAlignment="1">
      <alignment horizontal="center" vertical="center"/>
    </xf>
    <xf numFmtId="9" fontId="4" fillId="17" borderId="7" xfId="50" applyNumberFormat="1" applyFont="1" applyFill="1" applyBorder="1" applyAlignment="1">
      <alignment horizontal="center" vertical="center"/>
    </xf>
    <xf numFmtId="9" fontId="4" fillId="17" borderId="9" xfId="50" applyNumberFormat="1" applyFont="1" applyFill="1" applyBorder="1" applyAlignment="1">
      <alignment horizontal="center" vertical="center"/>
    </xf>
    <xf numFmtId="176" fontId="13" fillId="17" borderId="51" xfId="50" applyFont="1" applyFill="1" applyBorder="1">
      <alignment vertical="center"/>
    </xf>
    <xf numFmtId="9" fontId="4" fillId="17" borderId="48" xfId="49" applyFont="1" applyFill="1" applyBorder="1" applyAlignment="1">
      <alignment horizontal="center" vertical="center"/>
    </xf>
    <xf numFmtId="9" fontId="4" fillId="17" borderId="59" xfId="50" applyNumberFormat="1" applyFont="1" applyFill="1" applyBorder="1" applyAlignment="1">
      <alignment horizontal="center" vertical="center"/>
    </xf>
    <xf numFmtId="9" fontId="4" fillId="17" borderId="51" xfId="50" applyNumberFormat="1" applyFont="1" applyFill="1" applyBorder="1" applyAlignment="1">
      <alignment horizontal="center" vertical="center"/>
    </xf>
    <xf numFmtId="9" fontId="4" fillId="17" borderId="47" xfId="50" applyNumberFormat="1" applyFont="1" applyFill="1" applyBorder="1" applyAlignment="1">
      <alignment horizontal="center" vertical="center"/>
    </xf>
    <xf numFmtId="176" fontId="13" fillId="17" borderId="14" xfId="50" applyFont="1" applyFill="1" applyBorder="1">
      <alignment vertical="center"/>
    </xf>
    <xf numFmtId="9" fontId="4" fillId="17" borderId="15" xfId="49" applyFont="1" applyFill="1" applyBorder="1" applyAlignment="1">
      <alignment horizontal="center" vertical="center"/>
    </xf>
    <xf numFmtId="9" fontId="4" fillId="17" borderId="19" xfId="50" applyNumberFormat="1" applyFont="1" applyFill="1" applyBorder="1" applyAlignment="1">
      <alignment horizontal="center" vertical="center"/>
    </xf>
    <xf numFmtId="9" fontId="4" fillId="17" borderId="14" xfId="50" applyNumberFormat="1" applyFont="1" applyFill="1" applyBorder="1" applyAlignment="1" applyProtection="1">
      <alignment horizontal="center" vertical="center"/>
    </xf>
    <xf numFmtId="9" fontId="4" fillId="17" borderId="16" xfId="50" applyNumberFormat="1" applyFont="1" applyFill="1" applyBorder="1" applyAlignment="1">
      <alignment horizontal="center" vertical="center"/>
    </xf>
    <xf numFmtId="176" fontId="13" fillId="2" borderId="0" xfId="50" applyFont="1" applyFill="1" applyBorder="1">
      <alignment vertical="center"/>
    </xf>
    <xf numFmtId="9" fontId="6" fillId="2" borderId="0" xfId="50" applyNumberFormat="1" applyFont="1" applyFill="1" applyBorder="1" applyAlignment="1">
      <alignment horizontal="left" vertical="center"/>
    </xf>
    <xf numFmtId="176" fontId="13" fillId="0" borderId="7" xfId="50" applyFont="1" applyFill="1" applyBorder="1">
      <alignment vertical="center"/>
    </xf>
    <xf numFmtId="9" fontId="4" fillId="0" borderId="24" xfId="50" applyNumberFormat="1" applyFont="1" applyFill="1" applyBorder="1" applyAlignment="1">
      <alignment horizontal="center" vertical="center"/>
    </xf>
    <xf numFmtId="9" fontId="4" fillId="0" borderId="7" xfId="50" applyNumberFormat="1" applyFont="1" applyFill="1" applyBorder="1" applyAlignment="1">
      <alignment horizontal="center" vertical="center"/>
    </xf>
    <xf numFmtId="176" fontId="13" fillId="0" borderId="7" xfId="50" applyFont="1" applyFill="1" applyBorder="1">
      <alignment vertical="center"/>
    </xf>
    <xf numFmtId="9" fontId="4" fillId="0" borderId="8" xfId="49" applyFont="1" applyFill="1" applyBorder="1" applyAlignment="1">
      <alignment horizontal="center" vertical="center"/>
    </xf>
    <xf numFmtId="9" fontId="4" fillId="0" borderId="59" xfId="49" applyFont="1" applyFill="1" applyBorder="1" applyAlignment="1">
      <alignment horizontal="center" vertical="center"/>
    </xf>
    <xf numFmtId="9" fontId="4" fillId="0" borderId="24" xfId="50" applyNumberFormat="1" applyFont="1" applyFill="1" applyBorder="1" applyAlignment="1">
      <alignment horizontal="center" vertical="center"/>
    </xf>
    <xf numFmtId="9" fontId="4" fillId="0" borderId="7" xfId="50" applyNumberFormat="1" applyFont="1" applyFill="1" applyBorder="1" applyAlignment="1">
      <alignment horizontal="center" vertical="center"/>
    </xf>
    <xf numFmtId="9" fontId="4" fillId="0" borderId="41" xfId="50" applyNumberFormat="1" applyFont="1" applyFill="1" applyBorder="1" applyAlignment="1">
      <alignment horizontal="center" vertical="center"/>
    </xf>
    <xf numFmtId="9" fontId="4" fillId="0" borderId="11" xfId="50" applyNumberFormat="1" applyFont="1" applyFill="1" applyBorder="1" applyAlignment="1">
      <alignment horizontal="center" vertical="center"/>
    </xf>
    <xf numFmtId="176" fontId="13" fillId="0" borderId="51" xfId="50" applyFont="1" applyFill="1" applyBorder="1">
      <alignment vertical="center"/>
    </xf>
    <xf numFmtId="9" fontId="4" fillId="0" borderId="48" xfId="49" applyFont="1" applyFill="1" applyBorder="1" applyAlignment="1">
      <alignment horizontal="center" vertical="center"/>
    </xf>
    <xf numFmtId="9" fontId="4" fillId="0" borderId="47" xfId="49" applyFont="1" applyFill="1" applyBorder="1" applyAlignment="1">
      <alignment horizontal="center" vertical="center"/>
    </xf>
    <xf numFmtId="9" fontId="4" fillId="0" borderId="60" xfId="50" applyNumberFormat="1" applyFont="1" applyFill="1" applyBorder="1" applyAlignment="1">
      <alignment horizontal="center" vertical="center"/>
    </xf>
    <xf numFmtId="9" fontId="4" fillId="0" borderId="51" xfId="50" applyNumberFormat="1" applyFont="1" applyFill="1" applyBorder="1" applyAlignment="1">
      <alignment horizontal="center" vertical="center"/>
    </xf>
    <xf numFmtId="9" fontId="4" fillId="0" borderId="47" xfId="50" applyNumberFormat="1" applyFont="1" applyFill="1" applyBorder="1" applyAlignment="1">
      <alignment horizontal="center" vertical="center"/>
    </xf>
    <xf numFmtId="9" fontId="4" fillId="0" borderId="59" xfId="50" applyNumberFormat="1" applyFont="1" applyFill="1" applyBorder="1" applyAlignment="1">
      <alignment horizontal="center" vertical="center"/>
    </xf>
    <xf numFmtId="9" fontId="4" fillId="17" borderId="16" xfId="49" applyFont="1" applyFill="1" applyBorder="1" applyAlignment="1">
      <alignment horizontal="center" vertical="center"/>
    </xf>
    <xf numFmtId="9" fontId="4" fillId="17" borderId="19" xfId="49" applyFont="1" applyFill="1" applyBorder="1" applyAlignment="1">
      <alignment horizontal="center" vertical="center"/>
    </xf>
    <xf numFmtId="9" fontId="4" fillId="17" borderId="61" xfId="50" applyNumberFormat="1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12 2" xfId="49"/>
    <cellStyle name="常规 22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2.xml"/><Relationship Id="rId8" Type="http://schemas.openxmlformats.org/officeDocument/2006/relationships/externalLink" Target="externalLinks/externalLink1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0.xml"/><Relationship Id="rId16" Type="http://schemas.openxmlformats.org/officeDocument/2006/relationships/externalLink" Target="externalLinks/externalLink9.xml"/><Relationship Id="rId15" Type="http://schemas.openxmlformats.org/officeDocument/2006/relationships/externalLink" Target="externalLinks/externalLink8.xml"/><Relationship Id="rId14" Type="http://schemas.openxmlformats.org/officeDocument/2006/relationships/externalLink" Target="externalLinks/externalLink7.xml"/><Relationship Id="rId13" Type="http://schemas.openxmlformats.org/officeDocument/2006/relationships/externalLink" Target="externalLinks/externalLink6.xml"/><Relationship Id="rId12" Type="http://schemas.openxmlformats.org/officeDocument/2006/relationships/externalLink" Target="externalLinks/externalLink5.xml"/><Relationship Id="rId11" Type="http://schemas.openxmlformats.org/officeDocument/2006/relationships/externalLink" Target="externalLinks/externalLink4.xml"/><Relationship Id="rId10" Type="http://schemas.openxmlformats.org/officeDocument/2006/relationships/externalLink" Target="externalLinks/externalLink3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1\ctrip\&#25658;&#31243;&#20849;&#20139;&#25991;&#20214;\&#25237;&#36164;&#32773;&#20851;&#31995;&#37096;\&#29305;&#27530;&#26435;&#38480;\IR&#25991;&#20214;&#20849;&#20139;\Industry%20Data\Airline%20Data-202210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1\ctrip\&#25658;&#31243;&#20849;&#20139;&#25991;&#20214;\&#25237;&#36164;&#32773;&#20851;&#31995;&#37096;\&#29305;&#27530;&#26435;&#38480;\IR&#25991;&#20214;&#20849;&#20139;\Industry%20Data\Airline%20Data-012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1\ctrip\&#25658;&#31243;&#20849;&#20139;&#25991;&#20214;\&#25237;&#36164;&#32773;&#20851;&#31995;&#37096;\&#29305;&#27530;&#26435;&#38480;\IR&#25991;&#20214;&#20849;&#20139;\Industry%20Data\Airline%20Data_02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1\ctrip\&#25658;&#31243;&#20849;&#20139;&#25991;&#20214;\&#25237;&#36164;&#32773;&#20851;&#31995;&#37096;\&#29305;&#27530;&#26435;&#38480;\IR&#25991;&#20214;&#20849;&#20139;\Industry%20Data\Airline%20Data_041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jiaying_wu\Desktop\&#26085;&#24120;&#25968;&#25454;&#26356;&#26032;\Airline%20Data_0516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jiaying_wu\Desktop\&#26085;&#24120;&#25968;&#25454;&#26356;&#26032;\Airline%20Data_0416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jiaying_wu\Desktop\&#26085;&#24120;&#25968;&#25454;&#26356;&#26032;\Airline%20Data_05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zy_ma\Desktop\Industry%20data\Airline%20Data_1217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Airline%20Data_202604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jiaying_wu\Desktop\Airline%20Data_0727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ummary"/>
      <sheetName val="CAAC Air Industry + domestic"/>
      <sheetName val="CAAC Data"/>
      <sheetName val="Top 4 Total"/>
      <sheetName val="Top4 Domestic"/>
      <sheetName val="Top4 Intl.+Reg"/>
      <sheetName val="Sheet2"/>
      <sheetName val="Travelsky Data"/>
      <sheetName val="出入境管理局数据"/>
    </sheetNames>
    <sheetDataSet>
      <sheetData sheetId="0" refreshError="1"/>
      <sheetData sheetId="1" refreshError="1"/>
      <sheetData sheetId="2" refreshError="1"/>
      <sheetData sheetId="3">
        <row r="41">
          <cell r="B41">
            <v>-0.352574338612921</v>
          </cell>
          <cell r="C41">
            <v>-0.491203723472394</v>
          </cell>
          <cell r="D41">
            <v>0.025907182082481</v>
          </cell>
          <cell r="E41">
            <v>0.106936290497934</v>
          </cell>
          <cell r="F41">
            <v>0.0719573148870658</v>
          </cell>
          <cell r="G41">
            <v>-0.112791049289386</v>
          </cell>
          <cell r="H41">
            <v>-0.0524133387587437</v>
          </cell>
          <cell r="I41">
            <v>-0.582762567788182</v>
          </cell>
          <cell r="J41">
            <v>-0.250802317342558</v>
          </cell>
          <cell r="K41">
            <v>-0.228425687927152</v>
          </cell>
          <cell r="L41">
            <v>-0.539612486544672</v>
          </cell>
          <cell r="M41">
            <v>-0.411259291648448</v>
          </cell>
          <cell r="N41">
            <v>-0.236991000429877</v>
          </cell>
          <cell r="O41">
            <v>-0.273201303584858</v>
          </cell>
          <cell r="P41">
            <v>0.022246877348699</v>
          </cell>
          <cell r="Q41">
            <v>-0.299543450675667</v>
          </cell>
          <cell r="R41">
            <v>-0.388686374906059</v>
          </cell>
        </row>
        <row r="70">
          <cell r="B70">
            <v>-0.0648871434120236</v>
          </cell>
          <cell r="C70">
            <v>-0.845979760023912</v>
          </cell>
          <cell r="D70">
            <v>-0.686335738128567</v>
          </cell>
          <cell r="E70">
            <v>-0.638356164383562</v>
          </cell>
          <cell r="F70">
            <v>-0.457641774047283</v>
          </cell>
          <cell r="G70">
            <v>-0.339388310510173</v>
          </cell>
          <cell r="H70">
            <v>-0.245848592299793</v>
          </cell>
          <cell r="I70">
            <v>-0.13764050214858</v>
          </cell>
          <cell r="J70">
            <v>-0.00541824698870508</v>
          </cell>
          <cell r="K70">
            <v>-0.00165381473289894</v>
          </cell>
          <cell r="L70">
            <v>-0.0479655543595263</v>
          </cell>
          <cell r="M70">
            <v>-0.0789680804547442</v>
          </cell>
          <cell r="N70">
            <v>-0.291477471488018</v>
          </cell>
          <cell r="O70">
            <v>-0.53361744798195</v>
          </cell>
          <cell r="P70">
            <v>-0.47794280805984</v>
          </cell>
          <cell r="Q70">
            <v>-0.132667477728504</v>
          </cell>
          <cell r="R70">
            <v>-0.0416008203572206</v>
          </cell>
        </row>
      </sheetData>
      <sheetData sheetId="4" refreshError="1"/>
      <sheetData sheetId="5">
        <row r="40">
          <cell r="B40">
            <v>-0.419234532611901</v>
          </cell>
          <cell r="C40">
            <v>-0.535860665723537</v>
          </cell>
          <cell r="D40">
            <v>0.0185052067070564</v>
          </cell>
          <cell r="E40">
            <v>0.128886528737916</v>
          </cell>
          <cell r="F40">
            <v>0.078546823827929</v>
          </cell>
          <cell r="G40">
            <v>-0.14905063888061</v>
          </cell>
          <cell r="H40">
            <v>-0.0642650042602231</v>
          </cell>
          <cell r="I40">
            <v>-0.635057478748229</v>
          </cell>
          <cell r="J40">
            <v>-0.282229488730007</v>
          </cell>
          <cell r="K40">
            <v>-0.23291854125775</v>
          </cell>
          <cell r="L40">
            <v>-0.551097681628291</v>
          </cell>
          <cell r="M40">
            <v>-0.439704973183776</v>
          </cell>
        </row>
        <row r="40">
          <cell r="O40">
            <v>-0.311989258325254</v>
          </cell>
          <cell r="P40">
            <v>0.0194552304878439</v>
          </cell>
          <cell r="Q40">
            <v>-0.332982060374878</v>
          </cell>
          <cell r="R40">
            <v>-0.404368263674711</v>
          </cell>
          <cell r="S40">
            <v>-0.260675076019053</v>
          </cell>
        </row>
        <row r="59">
          <cell r="B59">
            <v>-0.0566330928766345</v>
          </cell>
          <cell r="C59">
            <v>-0.862222112265408</v>
          </cell>
          <cell r="D59">
            <v>-0.681863347433038</v>
          </cell>
          <cell r="E59">
            <v>-0.651240575579696</v>
          </cell>
          <cell r="F59">
            <v>-0.48317499188623</v>
          </cell>
          <cell r="G59">
            <v>-0.370880097180777</v>
          </cell>
          <cell r="H59">
            <v>-0.251850012906671</v>
          </cell>
          <cell r="I59">
            <v>-0.152612978164847</v>
          </cell>
          <cell r="J59">
            <v>0.0170344117565338</v>
          </cell>
          <cell r="K59">
            <v>0.0146847828534897</v>
          </cell>
          <cell r="L59">
            <v>-0.0544774782973751</v>
          </cell>
          <cell r="M59">
            <v>-0.119315269363739</v>
          </cell>
        </row>
        <row r="59">
          <cell r="O59">
            <v>-0.533956373132465</v>
          </cell>
          <cell r="P59">
            <v>-0.501001979396482</v>
          </cell>
          <cell r="Q59">
            <v>-0.132870388055591</v>
          </cell>
          <cell r="R59">
            <v>-0.0514276825625258</v>
          </cell>
          <cell r="S59">
            <v>-0.29853151511604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ummary"/>
      <sheetName val="CAAC Air Industry + domestic"/>
      <sheetName val="CAAC Data"/>
      <sheetName val="Top 4 Total"/>
      <sheetName val="Top4 Domestic"/>
      <sheetName val="Top4 Intl.+Reg"/>
      <sheetName val="Sheet2"/>
      <sheetName val="Travelsky Data"/>
      <sheetName val="出入境管理局数据"/>
    </sheetNames>
    <sheetDataSet>
      <sheetData sheetId="0" refreshError="1"/>
      <sheetData sheetId="1">
        <row r="5">
          <cell r="BT5">
            <v>-0.675017734606011</v>
          </cell>
          <cell r="BU5">
            <v>-0.565930422584727</v>
          </cell>
        </row>
        <row r="5">
          <cell r="CF5">
            <v>-0.735608180839612</v>
          </cell>
          <cell r="CG5">
            <v>-0.59960647135986</v>
          </cell>
        </row>
        <row r="14">
          <cell r="BT14">
            <v>-0.674870013238149</v>
          </cell>
          <cell r="BU14">
            <v>-0.571453761184151</v>
          </cell>
        </row>
        <row r="14">
          <cell r="CG14">
            <v>-0.625885225521873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ummary"/>
      <sheetName val="CAAC Air Industry + domestic"/>
      <sheetName val="CAAC Data"/>
      <sheetName val="Top 4 Total"/>
      <sheetName val="Top4 Domestic"/>
      <sheetName val="Top4 Intl.+Reg"/>
      <sheetName val="年度数据"/>
      <sheetName val="Sheet2"/>
      <sheetName val="Travelsky Data"/>
      <sheetName val="出入境管理局数据"/>
    </sheetNames>
    <sheetDataSet>
      <sheetData sheetId="0" refreshError="1"/>
      <sheetData sheetId="1" refreshError="1">
        <row r="5">
          <cell r="CY5">
            <v>0.33385295545731</v>
          </cell>
          <cell r="CZ5">
            <v>0.344746750017759</v>
          </cell>
        </row>
        <row r="6">
          <cell r="CY6">
            <v>-0.275350021213407</v>
          </cell>
          <cell r="CZ6">
            <v>-0.185890097309674</v>
          </cell>
        </row>
        <row r="15">
          <cell r="CY15">
            <v>0.349410291226771</v>
          </cell>
        </row>
        <row r="16">
          <cell r="CV16">
            <v>-0.359039897759495</v>
          </cell>
        </row>
        <row r="16">
          <cell r="CY16">
            <v>-0.242187493080496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ummary"/>
      <sheetName val="CAAC Air Industry + domestic"/>
      <sheetName val="CAAC Data"/>
      <sheetName val="Top 4 Total"/>
      <sheetName val="Top4 Domestic"/>
      <sheetName val="Top4 Intl.+Reg"/>
      <sheetName val="年度数据"/>
      <sheetName val="Sheet2"/>
      <sheetName val="Travelsky Data"/>
      <sheetName val="出入境管理局数据"/>
    </sheetNames>
    <sheetDataSet>
      <sheetData sheetId="0"/>
      <sheetData sheetId="1">
        <row r="5">
          <cell r="CY5">
            <v>0.28066388984016</v>
          </cell>
        </row>
        <row r="5">
          <cell r="DF5">
            <v>0.172349041876881</v>
          </cell>
        </row>
        <row r="6">
          <cell r="CY6">
            <v>-0.222642938280954</v>
          </cell>
        </row>
        <row r="6">
          <cell r="DF6">
            <v>-0.206252652426086</v>
          </cell>
        </row>
        <row r="15">
          <cell r="CY15">
            <v>0.288265774243985</v>
          </cell>
        </row>
        <row r="15">
          <cell r="DF15">
            <v>0.183657787266884</v>
          </cell>
        </row>
        <row r="16">
          <cell r="CY16">
            <v>-0.188847859811655</v>
          </cell>
        </row>
        <row r="16">
          <cell r="DF16">
            <v>-0.174647674977924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CAAC Data"/>
      <sheetName val="Top4 Intl.+Reg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ummary"/>
      <sheetName val="CAAC Air Industry + domestic"/>
      <sheetName val="CAAC Data"/>
      <sheetName val="Top 4 Total"/>
      <sheetName val="Top4 Domestic"/>
      <sheetName val="Top4 Intl.+Reg"/>
      <sheetName val="年度数据"/>
      <sheetName val="Sheet2"/>
      <sheetName val="Travelsky Data"/>
      <sheetName val="出入境管理局数据"/>
    </sheetNames>
    <sheetDataSet>
      <sheetData sheetId="0" refreshError="1"/>
      <sheetData sheetId="1" refreshError="1">
        <row r="15">
          <cell r="DG15">
            <v>-0.00719162337963053</v>
          </cell>
        </row>
      </sheetData>
      <sheetData sheetId="2" refreshError="1"/>
      <sheetData sheetId="3" refreshError="1">
        <row r="8">
          <cell r="E8">
            <v>-0.00236481453895432</v>
          </cell>
        </row>
        <row r="15">
          <cell r="C15">
            <v>0.167043911272069</v>
          </cell>
          <cell r="D15">
            <v>0.167104878761321</v>
          </cell>
        </row>
        <row r="15">
          <cell r="O15">
            <v>0.103072348860258</v>
          </cell>
        </row>
      </sheetData>
      <sheetData sheetId="4" refreshError="1"/>
      <sheetData sheetId="5" refreshError="1">
        <row r="11">
          <cell r="O11">
            <v>0.0551103805125948</v>
          </cell>
        </row>
      </sheetData>
      <sheetData sheetId="6" refreshError="1">
        <row r="11">
          <cell r="O11">
            <v>0.127873712912991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ummary"/>
      <sheetName val="CAAC Air Industry + domestic"/>
      <sheetName val="CAAC Data"/>
      <sheetName val="Top 4 Total"/>
      <sheetName val="Top4 Domestic"/>
      <sheetName val="Top4 Intl.+Reg"/>
      <sheetName val="年度数据"/>
      <sheetName val="Sheet2"/>
      <sheetName val="Travelsky Data"/>
      <sheetName val="出入境管理局数据"/>
    </sheetNames>
    <sheetDataSet>
      <sheetData sheetId="0"/>
      <sheetData sheetId="1">
        <row r="16">
          <cell r="DG16">
            <v>0.0638883649458455</v>
          </cell>
        </row>
      </sheetData>
      <sheetData sheetId="2"/>
      <sheetData sheetId="3">
        <row r="15">
          <cell r="E15">
            <v>0.0548021035150845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ummary"/>
      <sheetName val="CAAC Air Industry + domestic"/>
      <sheetName val="CAAC Data"/>
      <sheetName val="Top 4 Total"/>
      <sheetName val="Top4 Domestic"/>
      <sheetName val="Top4 Intl.+Reg"/>
      <sheetName val="年度数据"/>
      <sheetName val="Sheet2"/>
      <sheetName val="Travelsky Data"/>
      <sheetName val="出入境管理局数据"/>
    </sheetNames>
    <sheetDataSet>
      <sheetData sheetId="0"/>
      <sheetData sheetId="1">
        <row r="5">
          <cell r="DJ5">
            <v>0.0408990593059839</v>
          </cell>
        </row>
        <row r="6">
          <cell r="DJ6">
            <v>0.0245839636913767</v>
          </cell>
        </row>
        <row r="15">
          <cell r="DJ15">
            <v>0.0530068485244795</v>
          </cell>
        </row>
        <row r="16">
          <cell r="DJ16">
            <v>0.0604660223941134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AH207"/>
  <sheetViews>
    <sheetView tabSelected="1" topLeftCell="A169" workbookViewId="0">
      <selection activeCell="R195" sqref="R195"/>
    </sheetView>
  </sheetViews>
  <sheetFormatPr defaultColWidth="9.08333333333333" defaultRowHeight="14"/>
  <cols>
    <col min="1" max="1" width="1.25" style="117" customWidth="1"/>
    <col min="2" max="2" width="13.8333333333333" style="117" customWidth="1"/>
    <col min="3" max="3" width="7.41666666666667" style="117" customWidth="1"/>
    <col min="4" max="4" width="6.16666666666667" style="117" customWidth="1"/>
    <col min="5" max="5" width="8" style="117" customWidth="1"/>
    <col min="6" max="6" width="1" style="117" customWidth="1"/>
    <col min="7" max="7" width="10.8333333333333" style="117" customWidth="1"/>
    <col min="8" max="8" width="9.08333333333333" style="117"/>
    <col min="9" max="9" width="11.8333333333333" style="117" customWidth="1"/>
    <col min="10" max="10" width="0.916666666666667" style="117" customWidth="1"/>
    <col min="11" max="11" width="19.9166666666667" style="117" customWidth="1"/>
    <col min="12" max="12" width="12.6666666666667" style="117" customWidth="1"/>
    <col min="13" max="13" width="14.75" style="117" customWidth="1"/>
    <col min="14" max="14" width="13.6666666666667" style="117" hidden="1" customWidth="1" outlineLevel="1"/>
    <col min="15" max="15" width="2.41666666666667" style="117" customWidth="1" collapsed="1"/>
    <col min="16" max="16" width="1.33333333333333" style="117" customWidth="1"/>
    <col min="17" max="17" width="1" style="117" customWidth="1"/>
    <col min="18" max="18" width="20.25" style="117" customWidth="1"/>
    <col min="19" max="19" width="9.08333333333333" style="117"/>
    <col min="20" max="20" width="9.08333333333333" style="117" customWidth="1"/>
    <col min="21" max="21" width="8.91666666666667" style="117" customWidth="1"/>
    <col min="22" max="22" width="1.41666666666667" style="117" customWidth="1"/>
    <col min="23" max="23" width="12.5" style="117" customWidth="1"/>
    <col min="24" max="25" width="12.4166666666667" style="117" customWidth="1"/>
    <col min="26" max="26" width="15.3333333333333" style="117" customWidth="1"/>
    <col min="27" max="29" width="9.08333333333333" style="117"/>
    <col min="30" max="30" width="14.1666666666667" style="117" customWidth="1"/>
    <col min="31" max="31" width="1.33333333333333" style="117" customWidth="1"/>
    <col min="32" max="33" width="9.75" style="117" customWidth="1"/>
    <col min="34" max="34" width="9.08333333333333" style="117"/>
    <col min="35" max="35" width="4.25" style="117" customWidth="1"/>
    <col min="36" max="36" width="13.25" style="117" customWidth="1"/>
    <col min="37" max="37" width="9.08333333333333" style="117"/>
    <col min="38" max="38" width="9.75" style="117" customWidth="1"/>
    <col min="39" max="39" width="11.4166666666667" style="117" customWidth="1"/>
    <col min="40" max="40" width="1.5" style="117" customWidth="1"/>
    <col min="41" max="41" width="11.4166666666667" style="117" customWidth="1"/>
    <col min="42" max="16384" width="9.08333333333333" style="117"/>
  </cols>
  <sheetData>
    <row r="1" s="115" customFormat="1" ht="14.75" hidden="1" outlineLevel="1" spans="2:34">
      <c r="B1" s="118" t="s">
        <v>0</v>
      </c>
      <c r="R1" s="119" t="s">
        <v>1</v>
      </c>
      <c r="AA1" s="119" t="s">
        <v>2</v>
      </c>
    </row>
    <row r="2" hidden="1" outlineLevel="1" spans="2:34">
      <c r="B2" s="1" t="s">
        <v>3</v>
      </c>
      <c r="C2" s="120" t="s">
        <v>4</v>
      </c>
      <c r="D2" s="120"/>
      <c r="E2" s="120"/>
      <c r="F2" s="121"/>
      <c r="G2" s="120" t="s">
        <v>5</v>
      </c>
      <c r="H2" s="122"/>
      <c r="I2" s="123"/>
      <c r="J2" s="124"/>
      <c r="K2" s="124"/>
      <c r="L2" s="124"/>
      <c r="M2" s="124"/>
      <c r="N2" s="124"/>
      <c r="O2" s="124"/>
      <c r="R2" s="1" t="s">
        <v>3</v>
      </c>
      <c r="S2" s="120" t="s">
        <v>6</v>
      </c>
      <c r="T2" s="120"/>
      <c r="U2" s="120"/>
      <c r="V2" s="122"/>
      <c r="W2" s="122" t="s">
        <v>5</v>
      </c>
      <c r="X2" s="125"/>
      <c r="Y2" s="126"/>
      <c r="AA2" s="1" t="s">
        <v>3</v>
      </c>
      <c r="AB2" s="120" t="s">
        <v>6</v>
      </c>
      <c r="AC2" s="120"/>
      <c r="AD2" s="120"/>
      <c r="AE2" s="121"/>
      <c r="AF2" s="122" t="s">
        <v>5</v>
      </c>
      <c r="AG2" s="127"/>
      <c r="AH2" s="128"/>
    </row>
    <row r="3" hidden="1" outlineLevel="1" spans="2:34">
      <c r="B3" s="11" t="s">
        <v>7</v>
      </c>
      <c r="C3" s="129" t="s">
        <v>8</v>
      </c>
      <c r="D3" s="129" t="s">
        <v>9</v>
      </c>
      <c r="E3" s="129" t="s">
        <v>10</v>
      </c>
      <c r="F3" s="22"/>
      <c r="G3" s="18" t="s">
        <v>11</v>
      </c>
      <c r="H3" s="18" t="s">
        <v>12</v>
      </c>
      <c r="I3" s="18" t="s">
        <v>13</v>
      </c>
      <c r="J3" s="130"/>
      <c r="K3" s="130"/>
      <c r="L3" s="130"/>
      <c r="M3" s="130"/>
      <c r="N3" s="130"/>
      <c r="O3" s="130"/>
      <c r="R3" s="11" t="s">
        <v>7</v>
      </c>
      <c r="S3" s="129" t="s">
        <v>8</v>
      </c>
      <c r="T3" s="129" t="s">
        <v>9</v>
      </c>
      <c r="U3" s="129" t="s">
        <v>10</v>
      </c>
      <c r="V3" s="129"/>
      <c r="W3" s="18" t="s">
        <v>11</v>
      </c>
      <c r="X3" s="15" t="s">
        <v>12</v>
      </c>
      <c r="Y3" s="131" t="s">
        <v>13</v>
      </c>
      <c r="AA3" s="11" t="s">
        <v>7</v>
      </c>
      <c r="AB3" s="12" t="s">
        <v>8</v>
      </c>
      <c r="AC3" s="12" t="s">
        <v>9</v>
      </c>
      <c r="AD3" s="12" t="s">
        <v>10</v>
      </c>
      <c r="AE3" s="132"/>
      <c r="AF3" s="18" t="s">
        <v>11</v>
      </c>
      <c r="AG3" s="15" t="s">
        <v>12</v>
      </c>
      <c r="AH3" s="19" t="s">
        <v>14</v>
      </c>
    </row>
    <row r="4" hidden="1" outlineLevel="1" spans="2:34">
      <c r="B4" s="133" t="s">
        <v>15</v>
      </c>
      <c r="C4" s="134">
        <v>-0.493</v>
      </c>
      <c r="D4" s="134">
        <v>-0.037</v>
      </c>
      <c r="E4" s="134">
        <v>-0.511</v>
      </c>
      <c r="F4" s="135"/>
      <c r="G4" s="134">
        <f>'[1]CAAC Data'!$B$70</f>
        <v>-0.0648871434120236</v>
      </c>
      <c r="H4" s="134">
        <f>'[1]Top4 Domestic'!$B$59</f>
        <v>-0.0566330928766345</v>
      </c>
      <c r="I4" s="136">
        <v>-0.017448275862069</v>
      </c>
      <c r="J4" s="137"/>
      <c r="K4" s="137"/>
      <c r="L4" s="137"/>
      <c r="M4" s="137"/>
      <c r="N4" s="137"/>
      <c r="O4" s="137"/>
      <c r="R4" s="133" t="s">
        <v>16</v>
      </c>
      <c r="S4" s="134">
        <v>-0.309</v>
      </c>
      <c r="T4" s="134">
        <v>-0.215</v>
      </c>
      <c r="U4" s="134">
        <v>-0.458</v>
      </c>
      <c r="V4" s="134"/>
      <c r="W4" s="134">
        <f>'[1]CAAC Data'!$B$41</f>
        <v>-0.352574338612921</v>
      </c>
      <c r="X4" s="134">
        <f>'[1]Top4 Domestic'!$B$40</f>
        <v>-0.419234532611901</v>
      </c>
      <c r="Y4" s="138"/>
      <c r="AA4" s="28" t="s">
        <v>15</v>
      </c>
      <c r="AB4" s="21">
        <v>-0.3125</v>
      </c>
      <c r="AC4" s="21">
        <v>-0.1175</v>
      </c>
      <c r="AD4" s="21">
        <v>-0.395</v>
      </c>
      <c r="AE4" s="139"/>
      <c r="AF4" s="21">
        <v>-0.366514177204264</v>
      </c>
      <c r="AG4" s="24">
        <v>-0.40283289417589</v>
      </c>
      <c r="AH4" s="27"/>
    </row>
    <row r="5" hidden="1" outlineLevel="1" spans="2:34">
      <c r="B5" s="133" t="s">
        <v>17</v>
      </c>
      <c r="C5" s="140">
        <v>-0.798</v>
      </c>
      <c r="D5" s="140">
        <v>-0.167</v>
      </c>
      <c r="E5" s="140">
        <v>-0.831</v>
      </c>
      <c r="F5" s="141"/>
      <c r="G5" s="134">
        <f>'[1]CAAC Data'!$C$70</f>
        <v>-0.845979760023912</v>
      </c>
      <c r="H5" s="134">
        <f>'[1]Top4 Domestic'!$C$59</f>
        <v>-0.862222112265408</v>
      </c>
      <c r="I5" s="136">
        <v>-0.855703448275862</v>
      </c>
      <c r="J5" s="137"/>
      <c r="K5" s="137"/>
      <c r="L5" s="137"/>
      <c r="M5" s="137"/>
      <c r="N5" s="137"/>
      <c r="O5" s="137"/>
      <c r="R5" s="133" t="s">
        <v>18</v>
      </c>
      <c r="S5" s="140">
        <v>-0.392</v>
      </c>
      <c r="T5" s="140">
        <v>-0.213</v>
      </c>
      <c r="U5" s="140">
        <v>-0.521</v>
      </c>
      <c r="V5" s="140"/>
      <c r="W5" s="134">
        <f>'[1]CAAC Data'!$C$41</f>
        <v>-0.491203723472394</v>
      </c>
      <c r="X5" s="134">
        <f>'[1]Top4 Domestic'!$C$40</f>
        <v>-0.535860665723537</v>
      </c>
      <c r="Y5" s="138"/>
      <c r="AA5" s="28" t="s">
        <v>19</v>
      </c>
      <c r="AB5" s="21">
        <v>-0.295</v>
      </c>
      <c r="AC5" s="21">
        <v>-0.03</v>
      </c>
      <c r="AD5" s="21">
        <v>-0.3175</v>
      </c>
      <c r="AE5" s="139"/>
      <c r="AF5" s="21">
        <v>-0.335091165293138</v>
      </c>
      <c r="AG5" s="24">
        <v>-0.356377032920321</v>
      </c>
      <c r="AH5" s="27">
        <v>-0.448806580927125</v>
      </c>
    </row>
    <row r="6" hidden="1" outlineLevel="1" spans="2:34">
      <c r="B6" s="139" t="s">
        <v>20</v>
      </c>
      <c r="C6" s="21">
        <v>-0.635</v>
      </c>
      <c r="D6" s="21">
        <v>-0.308</v>
      </c>
      <c r="E6" s="21">
        <v>-0.748</v>
      </c>
      <c r="F6" s="142"/>
      <c r="G6" s="21">
        <f>'[1]CAAC Data'!$D$70</f>
        <v>-0.686335738128567</v>
      </c>
      <c r="H6" s="21">
        <f>'[1]Top4 Domestic'!$D$59</f>
        <v>-0.681863347433038</v>
      </c>
      <c r="I6" s="143">
        <v>-0.692429032258064</v>
      </c>
      <c r="J6" s="144"/>
      <c r="K6" s="144"/>
      <c r="L6" s="144"/>
      <c r="M6" s="144"/>
      <c r="N6" s="144"/>
      <c r="O6" s="144"/>
      <c r="R6" s="139" t="s">
        <v>21</v>
      </c>
      <c r="S6" s="21">
        <v>-0.112</v>
      </c>
      <c r="T6" s="21">
        <v>-0.196</v>
      </c>
      <c r="U6" s="21">
        <v>-0.286</v>
      </c>
      <c r="V6" s="21"/>
      <c r="W6" s="21">
        <f>'[1]CAAC Data'!$D$41</f>
        <v>0.025907182082481</v>
      </c>
      <c r="X6" s="21">
        <f>'[1]Top4 Domestic'!$D$40</f>
        <v>0.0185052067070564</v>
      </c>
      <c r="Y6" s="145"/>
      <c r="AA6" s="28" t="s">
        <v>20</v>
      </c>
      <c r="AB6" s="21">
        <v>-0.39</v>
      </c>
      <c r="AC6" s="21">
        <v>-0.2325</v>
      </c>
      <c r="AD6" s="21">
        <v>-0.5275</v>
      </c>
      <c r="AE6" s="139"/>
      <c r="AF6" s="21">
        <v>-0.67164854097125</v>
      </c>
      <c r="AG6" s="24">
        <v>-0.673596712515041</v>
      </c>
      <c r="AH6" s="27">
        <v>-0.636473525029417</v>
      </c>
    </row>
    <row r="7" hidden="1" outlineLevel="1" spans="2:34">
      <c r="B7" s="139" t="s">
        <v>22</v>
      </c>
      <c r="C7" s="21">
        <v>-0.496</v>
      </c>
      <c r="D7" s="21">
        <v>-0.293</v>
      </c>
      <c r="E7" s="21">
        <v>-0.644</v>
      </c>
      <c r="F7" s="142"/>
      <c r="G7" s="21">
        <f>'[1]CAAC Data'!$E$70</f>
        <v>-0.638356164383562</v>
      </c>
      <c r="H7" s="21">
        <f>'[1]Top4 Domestic'!$E$59</f>
        <v>-0.651240575579696</v>
      </c>
      <c r="I7" s="143">
        <v>-0.64723</v>
      </c>
      <c r="J7" s="144"/>
      <c r="K7" s="144"/>
      <c r="L7" s="144"/>
      <c r="M7" s="144"/>
      <c r="N7" s="144"/>
      <c r="O7" s="144"/>
      <c r="R7" s="139" t="s">
        <v>23</v>
      </c>
      <c r="S7" s="21">
        <v>-0.059</v>
      </c>
      <c r="T7" s="21">
        <v>-0.14</v>
      </c>
      <c r="U7" s="21">
        <v>-0.191</v>
      </c>
      <c r="V7" s="21"/>
      <c r="W7" s="21">
        <f>'[1]CAAC Data'!$E$41</f>
        <v>0.106936290497934</v>
      </c>
      <c r="X7" s="21">
        <f>'[1]Top4 Domestic'!$E$40</f>
        <v>0.128886528737916</v>
      </c>
      <c r="Y7" s="145"/>
      <c r="AA7" s="146" t="s">
        <v>22</v>
      </c>
      <c r="AB7" s="147">
        <v>-0.4252</v>
      </c>
      <c r="AC7" s="147">
        <v>-0.281</v>
      </c>
      <c r="AD7" s="147">
        <v>-0.5874</v>
      </c>
      <c r="AE7" s="148"/>
      <c r="AF7" s="147">
        <v>-0.834452995450487</v>
      </c>
      <c r="AG7" s="149">
        <v>-0.833988466247825</v>
      </c>
      <c r="AH7" s="150">
        <v>-0.831</v>
      </c>
    </row>
    <row r="8" hidden="1" outlineLevel="1" spans="2:34">
      <c r="B8" s="139" t="s">
        <v>24</v>
      </c>
      <c r="C8" s="21">
        <v>-0.329</v>
      </c>
      <c r="D8" s="21">
        <v>-0.211</v>
      </c>
      <c r="E8" s="21">
        <v>-0.47</v>
      </c>
      <c r="F8" s="142"/>
      <c r="G8" s="21">
        <f>'[1]CAAC Data'!$F$70</f>
        <v>-0.457641774047283</v>
      </c>
      <c r="H8" s="21">
        <f>'[1]Top4 Domestic'!$F$59</f>
        <v>-0.48317499188623</v>
      </c>
      <c r="I8" s="143">
        <v>-0.467470967741935</v>
      </c>
      <c r="J8" s="144"/>
      <c r="K8" s="144"/>
      <c r="L8" s="144"/>
      <c r="M8" s="144"/>
      <c r="N8" s="144"/>
      <c r="O8" s="144"/>
      <c r="R8" s="139" t="s">
        <v>25</v>
      </c>
      <c r="S8" s="21">
        <v>-0.06</v>
      </c>
      <c r="T8" s="21">
        <v>0.09</v>
      </c>
      <c r="U8" s="21">
        <v>0.03</v>
      </c>
      <c r="V8" s="21"/>
      <c r="W8" s="21">
        <f>'[1]CAAC Data'!$F$41</f>
        <v>0.0719573148870658</v>
      </c>
      <c r="X8" s="21">
        <f>'[1]Top4 Domestic'!$F$40</f>
        <v>0.078546823827929</v>
      </c>
      <c r="Y8" s="143">
        <v>0.0375</v>
      </c>
      <c r="AA8" s="28" t="s">
        <v>26</v>
      </c>
      <c r="AB8" s="147">
        <v>-0.3375</v>
      </c>
      <c r="AC8" s="147">
        <v>-0.2175</v>
      </c>
      <c r="AD8" s="147">
        <v>-0.48</v>
      </c>
      <c r="AE8" s="148"/>
      <c r="AF8" s="147">
        <v>-0.753021989355997</v>
      </c>
      <c r="AG8" s="149">
        <v>-0.755162570442274</v>
      </c>
      <c r="AH8" s="150">
        <v>-0.76675</v>
      </c>
    </row>
    <row r="9" hidden="1" outlineLevel="1" spans="2:34">
      <c r="B9" s="133" t="s">
        <v>27</v>
      </c>
      <c r="C9" s="134">
        <v>-0.329</v>
      </c>
      <c r="D9" s="134">
        <v>-0.163</v>
      </c>
      <c r="E9" s="134">
        <v>-0.438</v>
      </c>
      <c r="F9" s="135"/>
      <c r="G9" s="134">
        <f>'[1]CAAC Data'!$G$70</f>
        <v>-0.339388310510173</v>
      </c>
      <c r="H9" s="134">
        <f>'[1]Top4 Domestic'!$G$59</f>
        <v>-0.370880097180777</v>
      </c>
      <c r="I9" s="136">
        <v>-0.349993333333333</v>
      </c>
      <c r="J9" s="137"/>
      <c r="K9" s="137"/>
      <c r="L9" s="137"/>
      <c r="M9" s="137"/>
      <c r="N9" s="137"/>
      <c r="O9" s="137"/>
      <c r="R9" s="133" t="s">
        <v>28</v>
      </c>
      <c r="S9" s="134">
        <v>-0.15</v>
      </c>
      <c r="T9" s="134">
        <v>0</v>
      </c>
      <c r="U9" s="134">
        <v>-0.15</v>
      </c>
      <c r="V9" s="134"/>
      <c r="W9" s="134">
        <f>'[1]CAAC Data'!$G$41</f>
        <v>-0.112791049289386</v>
      </c>
      <c r="X9" s="134">
        <f>'[1]Top4 Domestic'!$G$40</f>
        <v>-0.14905063888061</v>
      </c>
      <c r="Y9" s="136">
        <v>-0.164</v>
      </c>
      <c r="AA9" s="146" t="s">
        <v>29</v>
      </c>
      <c r="AB9" s="147">
        <v>-0.2168</v>
      </c>
      <c r="AC9" s="147">
        <v>-0.152</v>
      </c>
      <c r="AD9" s="147">
        <v>-0.332</v>
      </c>
      <c r="AE9" s="148"/>
      <c r="AF9" s="147">
        <v>-0.527495788154996</v>
      </c>
      <c r="AG9" s="149">
        <v>-0.54</v>
      </c>
      <c r="AH9" s="150">
        <v>-0.586</v>
      </c>
    </row>
    <row r="10" hidden="1" outlineLevel="1" spans="2:34">
      <c r="B10" s="133" t="s">
        <v>30</v>
      </c>
      <c r="C10" s="134">
        <v>-0.176</v>
      </c>
      <c r="D10" s="134">
        <v>-0.109</v>
      </c>
      <c r="E10" s="134">
        <v>-0.266</v>
      </c>
      <c r="F10" s="135"/>
      <c r="G10" s="134">
        <f>'[1]CAAC Data'!$H$70</f>
        <v>-0.245848592299793</v>
      </c>
      <c r="H10" s="134">
        <f>'[1]Top4 Domestic'!$H$59</f>
        <v>-0.251850012906671</v>
      </c>
      <c r="I10" s="136">
        <v>-0.255366666666667</v>
      </c>
      <c r="J10" s="137"/>
      <c r="K10" s="137"/>
      <c r="L10" s="137"/>
      <c r="M10" s="137"/>
      <c r="N10" s="137"/>
      <c r="O10" s="137"/>
      <c r="R10" s="133" t="s">
        <v>31</v>
      </c>
      <c r="S10" s="134">
        <v>-0.07575</v>
      </c>
      <c r="T10" s="134">
        <v>0.0825</v>
      </c>
      <c r="U10" s="134">
        <v>-0.002</v>
      </c>
      <c r="V10" s="134"/>
      <c r="W10" s="134">
        <f>'[1]CAAC Data'!$H$41</f>
        <v>-0.0524133387587437</v>
      </c>
      <c r="X10" s="134">
        <f>'[1]Top4 Domestic'!$H$40</f>
        <v>-0.0642650042602231</v>
      </c>
      <c r="Y10" s="136">
        <v>-0.11</v>
      </c>
      <c r="AA10" s="28" t="s">
        <v>32</v>
      </c>
      <c r="AB10" s="147">
        <v>-0.1515</v>
      </c>
      <c r="AC10" s="147">
        <v>-0.00125</v>
      </c>
      <c r="AD10" s="147">
        <v>-0.14925</v>
      </c>
      <c r="AE10" s="148"/>
      <c r="AF10" s="147">
        <v>-0.344532930302854</v>
      </c>
      <c r="AG10" s="149">
        <v>-0.366098568823886</v>
      </c>
      <c r="AH10" s="150">
        <v>-0.4175</v>
      </c>
    </row>
    <row r="11" hidden="1" outlineLevel="1" spans="2:34">
      <c r="B11" s="133" t="s">
        <v>33</v>
      </c>
      <c r="C11" s="134">
        <v>-0.097</v>
      </c>
      <c r="D11" s="134">
        <v>-0.075</v>
      </c>
      <c r="E11" s="134">
        <v>-0.165</v>
      </c>
      <c r="F11" s="135"/>
      <c r="G11" s="134">
        <f>'[1]CAAC Data'!$I$70</f>
        <v>-0.13764050214858</v>
      </c>
      <c r="H11" s="134">
        <f>'[1]Top4 Domestic'!$I$59</f>
        <v>-0.152612978164847</v>
      </c>
      <c r="I11" s="136">
        <v>-0.15352</v>
      </c>
      <c r="J11" s="137"/>
      <c r="K11" s="137"/>
      <c r="L11" s="137"/>
      <c r="M11" s="137"/>
      <c r="N11" s="137"/>
      <c r="O11" s="137"/>
      <c r="R11" s="133" t="s">
        <v>34</v>
      </c>
      <c r="S11" s="134">
        <v>-0.495</v>
      </c>
      <c r="T11" s="134">
        <v>-0.03</v>
      </c>
      <c r="U11" s="134">
        <v>-0.51</v>
      </c>
      <c r="V11" s="134"/>
      <c r="W11" s="134">
        <f>'[1]CAAC Data'!$I$41</f>
        <v>-0.582762567788182</v>
      </c>
      <c r="X11" s="134">
        <f>'[1]Top4 Domestic'!$I$40</f>
        <v>-0.635057478748229</v>
      </c>
      <c r="Y11" s="136">
        <v>-0.6225</v>
      </c>
      <c r="AA11" s="146" t="s">
        <v>35</v>
      </c>
      <c r="AB11" s="147">
        <v>-0.1335</v>
      </c>
      <c r="AC11" s="147">
        <v>-0.0165</v>
      </c>
      <c r="AD11" s="147">
        <v>-0.14875</v>
      </c>
      <c r="AE11" s="148"/>
      <c r="AF11" s="147">
        <v>-0.397740706685932</v>
      </c>
      <c r="AG11" s="149">
        <v>-0.395537844299525</v>
      </c>
      <c r="AH11" s="150">
        <v>-0.4425</v>
      </c>
    </row>
    <row r="12" hidden="1" outlineLevel="1" spans="2:34">
      <c r="B12" s="133" t="s">
        <v>36</v>
      </c>
      <c r="C12" s="134">
        <v>-0.028</v>
      </c>
      <c r="D12" s="134">
        <v>-0.018</v>
      </c>
      <c r="E12" s="134">
        <v>-0.046</v>
      </c>
      <c r="F12" s="135"/>
      <c r="G12" s="134">
        <f>'[1]CAAC Data'!$J$70</f>
        <v>-0.00541824698870508</v>
      </c>
      <c r="H12" s="134">
        <f>'[1]Top4 Domestic'!$J$59</f>
        <v>0.0170344117565338</v>
      </c>
      <c r="I12" s="136">
        <v>-0.0148466666666667</v>
      </c>
      <c r="J12" s="137"/>
      <c r="K12" s="137"/>
      <c r="L12" s="137"/>
      <c r="M12" s="137"/>
      <c r="N12" s="137"/>
      <c r="O12" s="137"/>
      <c r="R12" s="133" t="s">
        <v>37</v>
      </c>
      <c r="S12" s="134">
        <v>-0.198</v>
      </c>
      <c r="T12" s="134">
        <v>-0.038</v>
      </c>
      <c r="U12" s="134">
        <v>-0.232</v>
      </c>
      <c r="V12" s="134"/>
      <c r="W12" s="134">
        <f>'[1]CAAC Data'!$J$41</f>
        <v>-0.250802317342558</v>
      </c>
      <c r="X12" s="134">
        <f>'[1]Top4 Domestic'!$J$40</f>
        <v>-0.282229488730007</v>
      </c>
      <c r="Y12" s="136">
        <v>-0.3325</v>
      </c>
      <c r="AA12" s="28" t="s">
        <v>38</v>
      </c>
      <c r="AB12" s="147">
        <v>-0.193333333333333</v>
      </c>
      <c r="AC12" s="147">
        <v>-0.12</v>
      </c>
      <c r="AD12" s="147">
        <v>-0.286666666666667</v>
      </c>
      <c r="AE12" s="148"/>
      <c r="AF12" s="147">
        <v>-0.58644187888134</v>
      </c>
      <c r="AG12" s="149">
        <v>-0.54567809338015</v>
      </c>
      <c r="AH12" s="150">
        <v>-0.653333333333333</v>
      </c>
    </row>
    <row r="13" hidden="1" outlineLevel="1" spans="2:34">
      <c r="B13" s="133" t="s">
        <v>39</v>
      </c>
      <c r="C13" s="134">
        <v>-0.085</v>
      </c>
      <c r="D13" s="134">
        <v>-0.113</v>
      </c>
      <c r="E13" s="134">
        <v>-0.188</v>
      </c>
      <c r="F13" s="135"/>
      <c r="G13" s="134">
        <f>'[1]CAAC Data'!$K$70</f>
        <v>-0.00165381473289894</v>
      </c>
      <c r="H13" s="134">
        <f>'[1]Top4 Domestic'!$K$59</f>
        <v>0.0146847828534897</v>
      </c>
      <c r="I13" s="136">
        <v>-0.020551724137931</v>
      </c>
      <c r="J13" s="137"/>
      <c r="K13" s="137"/>
      <c r="L13" s="137"/>
      <c r="M13" s="137"/>
      <c r="N13" s="137"/>
      <c r="O13" s="137"/>
      <c r="R13" s="133" t="s">
        <v>40</v>
      </c>
      <c r="S13" s="134">
        <v>-0.1425</v>
      </c>
      <c r="T13" s="134">
        <v>0.0225</v>
      </c>
      <c r="U13" s="134">
        <v>-0.1225</v>
      </c>
      <c r="V13" s="134"/>
      <c r="W13" s="134">
        <f>'[1]CAAC Data'!$K$41</f>
        <v>-0.228425687927152</v>
      </c>
      <c r="X13" s="134">
        <f>'[1]Top4 Domestic'!$K$40</f>
        <v>-0.23291854125775</v>
      </c>
      <c r="Y13" s="151"/>
      <c r="AA13" s="146" t="s">
        <v>41</v>
      </c>
      <c r="AB13" s="147">
        <v>-0.31</v>
      </c>
      <c r="AC13" s="147">
        <v>-0.15</v>
      </c>
      <c r="AD13" s="147">
        <v>-0.42</v>
      </c>
      <c r="AE13" s="148"/>
      <c r="AF13" s="147">
        <v>-0.687668121226612</v>
      </c>
      <c r="AG13" s="149">
        <v>-0.67</v>
      </c>
      <c r="AH13" s="150">
        <v>-0.7275</v>
      </c>
    </row>
    <row r="14" hidden="1" outlineLevel="1" spans="2:34">
      <c r="B14" s="133" t="s">
        <v>42</v>
      </c>
      <c r="C14" s="134">
        <v>-0.094</v>
      </c>
      <c r="D14" s="134">
        <v>-0.051</v>
      </c>
      <c r="E14" s="134">
        <v>-0.14</v>
      </c>
      <c r="F14" s="135"/>
      <c r="G14" s="134">
        <f>'[1]CAAC Data'!$L$70</f>
        <v>-0.0479655543595263</v>
      </c>
      <c r="H14" s="134">
        <f>'[1]Top4 Domestic'!$L$59</f>
        <v>-0.0544774782973751</v>
      </c>
      <c r="I14" s="136">
        <v>-0.0592733333333333</v>
      </c>
      <c r="J14" s="137"/>
      <c r="K14" s="137"/>
      <c r="L14" s="137"/>
      <c r="M14" s="137"/>
      <c r="N14" s="137"/>
      <c r="O14" s="137"/>
      <c r="R14" s="133" t="s">
        <v>43</v>
      </c>
      <c r="S14" s="134">
        <v>-0.355</v>
      </c>
      <c r="T14" s="134">
        <v>-0.06</v>
      </c>
      <c r="U14" s="134">
        <v>-0.395</v>
      </c>
      <c r="V14" s="134"/>
      <c r="W14" s="134">
        <f>'[1]CAAC Data'!$L$41</f>
        <v>-0.539612486544672</v>
      </c>
      <c r="X14" s="134">
        <f>'[1]Top4 Domestic'!$L$40</f>
        <v>-0.551097681628291</v>
      </c>
      <c r="Y14" s="136">
        <v>-0.57</v>
      </c>
      <c r="AA14" s="28" t="s">
        <v>44</v>
      </c>
      <c r="AB14" s="147">
        <v>-0.2425</v>
      </c>
      <c r="AC14" s="147">
        <v>-0.18</v>
      </c>
      <c r="AD14" s="147">
        <v>-0.38</v>
      </c>
      <c r="AE14" s="147" t="e">
        <v>#DIV/0!</v>
      </c>
      <c r="AF14" s="147">
        <f>[2]Summary!$CF$5</f>
        <v>-0.735608180839612</v>
      </c>
      <c r="AG14" s="149">
        <v>-0.73</v>
      </c>
      <c r="AH14" s="150">
        <v>-0.7525</v>
      </c>
    </row>
    <row r="15" ht="14.75" hidden="1" outlineLevel="1" spans="2:34">
      <c r="B15" s="133" t="s">
        <v>45</v>
      </c>
      <c r="C15" s="134">
        <v>-0.057</v>
      </c>
      <c r="D15" s="134">
        <v>0.011</v>
      </c>
      <c r="E15" s="134">
        <v>-0.046</v>
      </c>
      <c r="F15" s="135"/>
      <c r="G15" s="134">
        <f>'[1]CAAC Data'!$M$70</f>
        <v>-0.0789680804547442</v>
      </c>
      <c r="H15" s="134">
        <f>'[1]Top4 Domestic'!$M$59</f>
        <v>-0.119315269363739</v>
      </c>
      <c r="I15" s="136">
        <v>-0.0920870967741935</v>
      </c>
      <c r="J15" s="137"/>
      <c r="K15" s="137"/>
      <c r="L15" s="137"/>
      <c r="M15" s="137"/>
      <c r="N15" s="137"/>
      <c r="O15" s="137"/>
      <c r="R15" s="133" t="s">
        <v>46</v>
      </c>
      <c r="S15" s="134">
        <v>-0.27</v>
      </c>
      <c r="T15" s="134">
        <v>-0.00333333333333333</v>
      </c>
      <c r="U15" s="134">
        <v>-0.27</v>
      </c>
      <c r="V15" s="134"/>
      <c r="W15" s="134">
        <f>'[1]CAAC Data'!$M$41</f>
        <v>-0.411259291648448</v>
      </c>
      <c r="X15" s="134">
        <f>'[1]Top4 Domestic'!$M$40</f>
        <v>-0.439704973183776</v>
      </c>
      <c r="Y15" s="136">
        <v>-0.44</v>
      </c>
      <c r="AA15" s="146" t="s">
        <v>47</v>
      </c>
      <c r="AB15" s="147">
        <v>-0.274</v>
      </c>
      <c r="AC15" s="147">
        <v>-0.151</v>
      </c>
      <c r="AD15" s="147">
        <v>-0.3824</v>
      </c>
      <c r="AE15" s="148"/>
      <c r="AF15" s="147">
        <f>[2]Summary!$CG$5</f>
        <v>-0.59960647135986</v>
      </c>
      <c r="AG15" s="149">
        <f>[2]Summary!$CG$14</f>
        <v>-0.625885225521873</v>
      </c>
      <c r="AH15" s="150">
        <v>-0.638</v>
      </c>
    </row>
    <row r="16" hidden="1" outlineLevel="1" spans="2:34">
      <c r="B16" s="97" t="s">
        <v>48</v>
      </c>
      <c r="C16" s="120" t="s">
        <v>8</v>
      </c>
      <c r="D16" s="120" t="s">
        <v>9</v>
      </c>
      <c r="E16" s="120" t="s">
        <v>10</v>
      </c>
      <c r="F16" s="152"/>
      <c r="G16" s="153" t="s">
        <v>11</v>
      </c>
      <c r="H16" s="154" t="s">
        <v>12</v>
      </c>
      <c r="I16" s="155" t="s">
        <v>13</v>
      </c>
      <c r="J16" s="130"/>
      <c r="K16" s="130"/>
      <c r="L16" s="130"/>
      <c r="M16" s="130"/>
      <c r="N16" s="130"/>
      <c r="O16" s="130"/>
      <c r="R16" s="97" t="s">
        <v>49</v>
      </c>
      <c r="S16" s="120" t="s">
        <v>50</v>
      </c>
      <c r="T16" s="120" t="s">
        <v>9</v>
      </c>
      <c r="U16" s="120" t="s">
        <v>10</v>
      </c>
      <c r="V16" s="120"/>
      <c r="W16" s="153" t="s">
        <v>51</v>
      </c>
      <c r="X16" s="154" t="s">
        <v>52</v>
      </c>
      <c r="Y16" s="155" t="s">
        <v>53</v>
      </c>
      <c r="AA16" s="97" t="s">
        <v>49</v>
      </c>
      <c r="AB16" s="120" t="s">
        <v>8</v>
      </c>
      <c r="AC16" s="120" t="s">
        <v>9</v>
      </c>
      <c r="AD16" s="120" t="s">
        <v>10</v>
      </c>
      <c r="AE16" s="152"/>
      <c r="AF16" s="153" t="s">
        <v>11</v>
      </c>
      <c r="AG16" s="154" t="s">
        <v>12</v>
      </c>
      <c r="AH16" s="156" t="s">
        <v>14</v>
      </c>
    </row>
    <row r="17" hidden="1" outlineLevel="1" spans="1:34">
      <c r="B17" s="32" t="s">
        <v>54</v>
      </c>
      <c r="C17" s="157">
        <f>AVERAGE(C4:C6)</f>
        <v>-0.642</v>
      </c>
      <c r="D17" s="157">
        <f>AVERAGE(D4:D6)</f>
        <v>-0.170666666666667</v>
      </c>
      <c r="E17" s="157">
        <f>AVERAGE(E4:E6)</f>
        <v>-0.696666666666667</v>
      </c>
      <c r="F17" s="157"/>
      <c r="G17" s="157">
        <f>'[1]CAAC Data'!$O$70</f>
        <v>-0.53361744798195</v>
      </c>
      <c r="H17" s="157">
        <f>'[1]Top4 Domestic'!$O$59</f>
        <v>-0.533956373132465</v>
      </c>
      <c r="I17" s="158">
        <f>AVERAGE(I4:I6)</f>
        <v>-0.521860252131998</v>
      </c>
      <c r="J17" s="159"/>
      <c r="K17" s="159"/>
      <c r="L17" s="159"/>
      <c r="M17" s="159"/>
      <c r="N17" s="159"/>
      <c r="O17" s="159"/>
      <c r="P17" s="160"/>
      <c r="Q17" s="160"/>
      <c r="R17" s="32" t="s">
        <v>54</v>
      </c>
      <c r="S17" s="157">
        <v>-0.271</v>
      </c>
      <c r="T17" s="157">
        <v>-0.208</v>
      </c>
      <c r="U17" s="157">
        <v>-0.421666666666667</v>
      </c>
      <c r="V17" s="157"/>
      <c r="W17" s="157">
        <f>'[1]CAAC Data'!$O$41</f>
        <v>-0.273201303584858</v>
      </c>
      <c r="X17" s="157">
        <f>'[1]Top4 Domestic'!$O$40</f>
        <v>-0.311989258325254</v>
      </c>
      <c r="Y17" s="158"/>
      <c r="AA17" s="28" t="s">
        <v>54</v>
      </c>
      <c r="AB17" s="33">
        <v>-0.3325</v>
      </c>
      <c r="AC17" s="33">
        <v>-0.126666666666667</v>
      </c>
      <c r="AD17" s="33">
        <v>-0.413333333333333</v>
      </c>
      <c r="AE17" s="33"/>
      <c r="AF17" s="33">
        <v>-0.457458009526197</v>
      </c>
      <c r="AG17" s="33">
        <v>-0.477732809714601</v>
      </c>
      <c r="AH17" s="28"/>
    </row>
    <row r="18" hidden="1" outlineLevel="1" spans="1:34">
      <c r="B18" s="32" t="s">
        <v>55</v>
      </c>
      <c r="C18" s="157">
        <f>AVERAGE(C7:C9)</f>
        <v>-0.384666666666667</v>
      </c>
      <c r="D18" s="157">
        <f>AVERAGE(D7:D9)</f>
        <v>-0.222333333333333</v>
      </c>
      <c r="E18" s="157">
        <f>AVERAGE(E7:E9)</f>
        <v>-0.517333333333333</v>
      </c>
      <c r="F18" s="157"/>
      <c r="G18" s="157">
        <f>'[1]CAAC Data'!$P$70</f>
        <v>-0.47794280805984</v>
      </c>
      <c r="H18" s="157">
        <f>'[1]Top4 Domestic'!$P$59</f>
        <v>-0.501001979396482</v>
      </c>
      <c r="I18" s="158">
        <f>AVERAGE(I7:I9)</f>
        <v>-0.488231433691756</v>
      </c>
      <c r="J18" s="159"/>
      <c r="K18" s="159"/>
      <c r="L18" s="159"/>
      <c r="M18" s="159"/>
      <c r="N18" s="159"/>
      <c r="O18" s="159"/>
      <c r="P18" s="160"/>
      <c r="Q18" s="160"/>
      <c r="R18" s="32" t="s">
        <v>55</v>
      </c>
      <c r="S18" s="157">
        <v>-0.0896666666666667</v>
      </c>
      <c r="T18" s="157">
        <v>-0.0166666666666667</v>
      </c>
      <c r="U18" s="157">
        <v>-0.103666666666667</v>
      </c>
      <c r="V18" s="157"/>
      <c r="W18" s="157">
        <f>'[1]CAAC Data'!$P$41</f>
        <v>0.022246877348699</v>
      </c>
      <c r="X18" s="157">
        <f>'[1]Top4 Domestic'!$P$40</f>
        <v>0.0194552304878439</v>
      </c>
      <c r="Y18" s="158"/>
      <c r="AA18" s="28" t="s">
        <v>55</v>
      </c>
      <c r="AB18" s="33">
        <v>-0.3265</v>
      </c>
      <c r="AC18" s="33">
        <v>-0.216833333333333</v>
      </c>
      <c r="AD18" s="33">
        <v>-0.466466666666667</v>
      </c>
      <c r="AE18" s="33"/>
      <c r="AF18" s="33">
        <v>-0.702057907734154</v>
      </c>
      <c r="AG18" s="38">
        <v>-0.709986020786483</v>
      </c>
      <c r="AH18" s="161">
        <v>-0.727916666666667</v>
      </c>
    </row>
    <row r="19" hidden="1" outlineLevel="1" spans="1:34">
      <c r="B19" s="32" t="s">
        <v>56</v>
      </c>
      <c r="C19" s="157">
        <f>AVERAGE(C10:C12)</f>
        <v>-0.100333333333333</v>
      </c>
      <c r="D19" s="157">
        <f>AVERAGE(D10:D12)</f>
        <v>-0.0673333333333333</v>
      </c>
      <c r="E19" s="157">
        <f>AVERAGE(E10:E12)</f>
        <v>-0.159</v>
      </c>
      <c r="F19" s="162"/>
      <c r="G19" s="157">
        <f>'[1]CAAC Data'!$Q$70</f>
        <v>-0.132667477728504</v>
      </c>
      <c r="H19" s="157">
        <f>'[1]Top4 Domestic'!$Q$59</f>
        <v>-0.132870388055591</v>
      </c>
      <c r="I19" s="158">
        <f>AVERAGE(I10:I12)</f>
        <v>-0.141244444444445</v>
      </c>
      <c r="J19" s="159"/>
      <c r="K19" s="159"/>
      <c r="L19" s="159"/>
      <c r="M19" s="159"/>
      <c r="N19" s="159"/>
      <c r="O19" s="159"/>
      <c r="P19" s="160"/>
      <c r="Q19" s="160"/>
      <c r="R19" s="32" t="s">
        <v>56</v>
      </c>
      <c r="S19" s="157">
        <v>-0.25625</v>
      </c>
      <c r="T19" s="157">
        <v>0.00483333333333333</v>
      </c>
      <c r="U19" s="157">
        <v>-0.248</v>
      </c>
      <c r="V19" s="157"/>
      <c r="W19" s="157">
        <f>'[1]CAAC Data'!$Q$41</f>
        <v>-0.299543450675667</v>
      </c>
      <c r="X19" s="157">
        <f>'[1]Top4 Domestic'!$Q$40</f>
        <v>-0.332982060374878</v>
      </c>
      <c r="Y19" s="158">
        <v>-0.355</v>
      </c>
      <c r="AA19" s="28" t="s">
        <v>56</v>
      </c>
      <c r="AB19" s="33">
        <v>-0.159444444444444</v>
      </c>
      <c r="AC19" s="33">
        <v>-0.0459166666666667</v>
      </c>
      <c r="AD19" s="33">
        <v>-0.194888888888889</v>
      </c>
      <c r="AE19" s="33"/>
      <c r="AF19" s="33">
        <v>-0.439006841699044</v>
      </c>
      <c r="AG19" s="38">
        <v>-0.432619411265912</v>
      </c>
      <c r="AH19" s="33">
        <v>-0.504444444444444</v>
      </c>
    </row>
    <row r="20" ht="14.75" hidden="1" outlineLevel="1" spans="1:34">
      <c r="B20" s="163" t="s">
        <v>57</v>
      </c>
      <c r="C20" s="164">
        <f>AVERAGE(C13:C15)</f>
        <v>-0.0786666666666667</v>
      </c>
      <c r="D20" s="164">
        <f>AVERAGE(D13:D15)</f>
        <v>-0.051</v>
      </c>
      <c r="E20" s="164">
        <f>AVERAGE(E13:E15)</f>
        <v>-0.124666666666667</v>
      </c>
      <c r="F20" s="165"/>
      <c r="G20" s="166">
        <f>'[1]CAAC Data'!$R$70</f>
        <v>-0.0416008203572206</v>
      </c>
      <c r="H20" s="164">
        <f>'[1]Top4 Domestic'!$R$59</f>
        <v>-0.0514276825625258</v>
      </c>
      <c r="I20" s="167">
        <f>AVERAGE(I13:I15)</f>
        <v>-0.0573040514151526</v>
      </c>
      <c r="J20" s="159"/>
      <c r="K20" s="159"/>
      <c r="L20" s="159"/>
      <c r="M20" s="159"/>
      <c r="N20" s="159"/>
      <c r="O20" s="159"/>
      <c r="P20" s="160"/>
      <c r="Q20" s="160"/>
      <c r="R20" s="163" t="s">
        <v>57</v>
      </c>
      <c r="S20" s="164">
        <v>-0.254545454545455</v>
      </c>
      <c r="T20" s="164">
        <v>-0.0145454545454545</v>
      </c>
      <c r="U20" s="164">
        <v>-0.261818181818182</v>
      </c>
      <c r="V20" s="164"/>
      <c r="W20" s="166">
        <f>'[1]CAAC Data'!$R$41</f>
        <v>-0.388686374906059</v>
      </c>
      <c r="X20" s="164">
        <f>'[1]Top4 Domestic'!$R$40</f>
        <v>-0.404368263674711</v>
      </c>
      <c r="Y20" s="167"/>
      <c r="AA20" s="79" t="s">
        <v>57</v>
      </c>
      <c r="AB20" s="168">
        <v>-0.2755</v>
      </c>
      <c r="AC20" s="168">
        <v>-0.160333333333333</v>
      </c>
      <c r="AD20" s="168">
        <v>-0.394133333333333</v>
      </c>
      <c r="AE20" s="169"/>
      <c r="AF20" s="168">
        <f>[2]Summary!$BT$5</f>
        <v>-0.675017734606011</v>
      </c>
      <c r="AG20" s="170">
        <f>[2]Summary!$BT$14</f>
        <v>-0.674870013238149</v>
      </c>
      <c r="AH20" s="171">
        <v>-0.706</v>
      </c>
    </row>
    <row r="21" hidden="1" outlineLevel="1" spans="1:34">
      <c r="B21" s="172" t="s">
        <v>58</v>
      </c>
      <c r="C21" s="173">
        <f>AVERAGE(C4:C15)</f>
        <v>-0.301416666666667</v>
      </c>
      <c r="D21" s="173">
        <f>AVERAGE(D4:D15)</f>
        <v>-0.127833333333333</v>
      </c>
      <c r="E21" s="173">
        <f>AVERAGE(E4:E15)</f>
        <v>-0.374416666666667</v>
      </c>
      <c r="F21" s="173" t="e">
        <f>AVERAGE(F4:F15)</f>
        <v>#DIV/0!</v>
      </c>
      <c r="G21" s="173">
        <f>'[1]CAAC Data'!$N$70</f>
        <v>-0.291477471488018</v>
      </c>
      <c r="H21" s="173">
        <f>'[1]Top4 Domestic'!$S$59</f>
        <v>-0.29853151511604</v>
      </c>
      <c r="I21" s="173">
        <f>AVERAGE(I4:I15)</f>
        <v>-0.302160045420838</v>
      </c>
      <c r="J21" s="174"/>
      <c r="K21" s="174"/>
      <c r="L21" s="174"/>
      <c r="M21" s="174"/>
      <c r="N21" s="174"/>
      <c r="O21" s="174"/>
      <c r="P21" s="160"/>
      <c r="Q21" s="160"/>
      <c r="R21" s="172" t="s">
        <v>58</v>
      </c>
      <c r="S21" s="173">
        <f>AVERAGE(S4:S15)</f>
        <v>-0.2181875</v>
      </c>
      <c r="T21" s="173">
        <f>AVERAGE(T4:T15)</f>
        <v>-0.0583611111111111</v>
      </c>
      <c r="U21" s="173">
        <f>AVERAGE(U4:U15)</f>
        <v>-0.258958333333333</v>
      </c>
      <c r="V21" s="173"/>
      <c r="W21" s="173">
        <f>'[1]CAAC Data'!$N$41</f>
        <v>-0.236991000429877</v>
      </c>
      <c r="X21" s="173">
        <f>'[1]Top4 Domestic'!$S$40</f>
        <v>-0.260675076019053</v>
      </c>
      <c r="Y21" s="173"/>
      <c r="AA21" s="97" t="s">
        <v>58</v>
      </c>
      <c r="AB21" s="175">
        <v>-0.273486111111111</v>
      </c>
      <c r="AC21" s="175">
        <v>-0.1374375</v>
      </c>
      <c r="AD21" s="175">
        <v>-0.367205555555556</v>
      </c>
      <c r="AE21" s="175"/>
      <c r="AF21" s="175">
        <f>[2]Summary!$BU$5</f>
        <v>-0.565930422584727</v>
      </c>
      <c r="AG21" s="175">
        <f>[2]Summary!$BU$14</f>
        <v>-0.571453761184151</v>
      </c>
      <c r="AH21" s="176"/>
    </row>
    <row r="22" hidden="1" outlineLevel="1" spans="1:34">
      <c r="B22" s="177"/>
      <c r="C22" s="178"/>
      <c r="D22" s="178"/>
      <c r="E22" s="178"/>
      <c r="G22" s="178"/>
      <c r="H22" s="178"/>
      <c r="I22" s="179"/>
      <c r="J22" s="179"/>
      <c r="K22" s="179"/>
      <c r="L22" s="179"/>
      <c r="M22" s="179"/>
      <c r="N22" s="179"/>
      <c r="O22" s="179"/>
    </row>
    <row r="23" s="116" customFormat="1" ht="14.75" hidden="1" outlineLevel="1" spans="1:34">
      <c r="A23" s="180"/>
      <c r="B23" s="181" t="s">
        <v>59</v>
      </c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17"/>
      <c r="P23" s="117"/>
      <c r="Q23" s="117"/>
      <c r="R23" s="181" t="s">
        <v>59</v>
      </c>
      <c r="S23" s="180"/>
      <c r="T23" s="180"/>
      <c r="U23" s="180"/>
      <c r="V23" s="180"/>
      <c r="W23" s="180"/>
      <c r="X23" s="180"/>
      <c r="Z23" s="180"/>
      <c r="AA23" s="117"/>
      <c r="AB23" s="117"/>
      <c r="AC23" s="117"/>
      <c r="AD23" s="117"/>
      <c r="AE23" s="117"/>
      <c r="AF23" s="117"/>
      <c r="AG23" s="117"/>
      <c r="AH23" s="117"/>
    </row>
    <row r="24" hidden="1" outlineLevel="1" spans="1:34">
      <c r="B24" s="1" t="s">
        <v>3</v>
      </c>
      <c r="C24" s="120" t="s">
        <v>6</v>
      </c>
      <c r="D24" s="120"/>
      <c r="E24" s="120"/>
      <c r="F24" s="182"/>
      <c r="G24" s="183" t="s">
        <v>60</v>
      </c>
      <c r="H24" s="184"/>
      <c r="I24" s="185" t="s">
        <v>61</v>
      </c>
      <c r="J24" s="7"/>
      <c r="K24" s="186" t="s">
        <v>62</v>
      </c>
      <c r="L24" s="126"/>
      <c r="M24" s="124"/>
      <c r="N24" s="124"/>
      <c r="O24" s="187"/>
      <c r="R24" s="188" t="s">
        <v>3</v>
      </c>
      <c r="S24" s="189" t="s">
        <v>63</v>
      </c>
      <c r="T24" s="190"/>
      <c r="U24" s="191"/>
      <c r="V24" s="12"/>
      <c r="W24" s="18" t="s">
        <v>5</v>
      </c>
      <c r="X24" s="192" t="s">
        <v>64</v>
      </c>
    </row>
    <row r="25" hidden="1" outlineLevel="1" spans="1:34">
      <c r="B25" s="11" t="s">
        <v>7</v>
      </c>
      <c r="C25" s="12" t="s">
        <v>8</v>
      </c>
      <c r="D25" s="12" t="s">
        <v>9</v>
      </c>
      <c r="E25" s="12" t="s">
        <v>10</v>
      </c>
      <c r="F25" s="13"/>
      <c r="G25" s="14" t="s">
        <v>11</v>
      </c>
      <c r="H25" s="131" t="s">
        <v>12</v>
      </c>
      <c r="I25" s="193" t="s">
        <v>65</v>
      </c>
      <c r="J25" s="17"/>
      <c r="K25" s="18" t="s">
        <v>11</v>
      </c>
      <c r="L25" s="131" t="s">
        <v>12</v>
      </c>
      <c r="M25" s="130"/>
      <c r="N25" s="130"/>
      <c r="O25" s="17"/>
      <c r="R25" s="129" t="s">
        <v>66</v>
      </c>
      <c r="S25" s="12" t="s">
        <v>8</v>
      </c>
      <c r="T25" s="12" t="s">
        <v>9</v>
      </c>
      <c r="U25" s="12" t="s">
        <v>10</v>
      </c>
      <c r="V25" s="12"/>
      <c r="W25" s="192" t="s">
        <v>67</v>
      </c>
      <c r="X25" s="192" t="s">
        <v>67</v>
      </c>
    </row>
    <row r="26" hidden="1" outlineLevel="1" spans="1:34">
      <c r="B26" s="20" t="s">
        <v>15</v>
      </c>
      <c r="C26" s="21">
        <v>-0.21</v>
      </c>
      <c r="D26" s="21">
        <v>0.13</v>
      </c>
      <c r="E26" s="21">
        <v>-0.11</v>
      </c>
      <c r="F26" s="22"/>
      <c r="G26" s="23">
        <v>-0.16</v>
      </c>
      <c r="H26" s="27">
        <v>-0.15</v>
      </c>
      <c r="I26" s="194"/>
      <c r="J26" s="26"/>
      <c r="K26" s="21">
        <v>-0.909065195870457</v>
      </c>
      <c r="L26" s="27">
        <v>-0.909503080009388</v>
      </c>
      <c r="M26" s="26"/>
      <c r="N26" s="26"/>
      <c r="O26" s="26"/>
      <c r="R26" s="139" t="s">
        <v>68</v>
      </c>
      <c r="S26" s="33">
        <v>0.0857615652267911</v>
      </c>
      <c r="T26" s="33">
        <v>0.394739288984293</v>
      </c>
      <c r="U26" s="33">
        <v>0.514354313490891</v>
      </c>
      <c r="V26" s="195"/>
      <c r="W26" s="45">
        <v>0.07</v>
      </c>
      <c r="X26" s="45"/>
      <c r="Y26" s="196"/>
    </row>
    <row r="27" hidden="1" customHeight="1" outlineLevel="1" spans="1:34">
      <c r="B27" s="20" t="s">
        <v>17</v>
      </c>
      <c r="C27" s="21">
        <v>0.106666666666667</v>
      </c>
      <c r="D27" s="21">
        <v>-0.01</v>
      </c>
      <c r="E27" s="21">
        <v>0.0933333333333333</v>
      </c>
      <c r="F27" s="22"/>
      <c r="G27" s="23">
        <v>-0.1</v>
      </c>
      <c r="H27" s="27">
        <v>-0.09</v>
      </c>
      <c r="I27" s="194"/>
      <c r="J27" s="26"/>
      <c r="K27" s="21">
        <v>-0.861190612478535</v>
      </c>
      <c r="L27" s="27">
        <v>-0.855577137526147</v>
      </c>
      <c r="M27" s="26"/>
      <c r="N27" s="26"/>
      <c r="O27" s="26"/>
      <c r="R27" s="197" t="s">
        <v>69</v>
      </c>
      <c r="S27" s="198">
        <v>-0.03</v>
      </c>
      <c r="T27" s="198">
        <v>0.16</v>
      </c>
      <c r="U27" s="198">
        <v>0.12</v>
      </c>
      <c r="V27" s="199"/>
      <c r="W27" s="200">
        <v>0.126</v>
      </c>
      <c r="X27" s="200">
        <v>0.1773</v>
      </c>
      <c r="Y27" s="196"/>
    </row>
    <row r="28" hidden="1" outlineLevel="1" spans="1:34">
      <c r="B28" s="28" t="s">
        <v>20</v>
      </c>
      <c r="C28" s="21">
        <v>-0.00225673410419144</v>
      </c>
      <c r="D28" s="21">
        <v>-0.0248146710178574</v>
      </c>
      <c r="E28" s="21">
        <v>-0.0296713782697322</v>
      </c>
      <c r="F28" s="22"/>
      <c r="G28" s="23">
        <v>-0.05</v>
      </c>
      <c r="H28" s="27">
        <v>0.01</v>
      </c>
      <c r="I28" s="194"/>
      <c r="J28" s="26"/>
      <c r="K28" s="21">
        <v>-0.787240062243599</v>
      </c>
      <c r="L28" s="27">
        <v>-0.784155604534457</v>
      </c>
      <c r="M28" s="26"/>
      <c r="N28" s="26"/>
      <c r="O28" s="26"/>
      <c r="R28" s="139" t="s">
        <v>70</v>
      </c>
      <c r="S28" s="33">
        <v>-0.154296686213471</v>
      </c>
      <c r="T28" s="33">
        <v>-0.0593156878927842</v>
      </c>
      <c r="U28" s="33">
        <v>-0.211849074946302</v>
      </c>
      <c r="V28" s="195"/>
      <c r="W28" s="45">
        <v>-0.04</v>
      </c>
      <c r="X28" s="45"/>
    </row>
    <row r="29" hidden="1" outlineLevel="1" spans="1:34">
      <c r="B29" s="28" t="s">
        <v>22</v>
      </c>
      <c r="C29" s="147">
        <v>-0.0454071265285997</v>
      </c>
      <c r="D29" s="147">
        <v>0.0175106214770686</v>
      </c>
      <c r="E29" s="147">
        <v>-0.0230964552916062</v>
      </c>
      <c r="F29" s="201"/>
      <c r="G29" s="202">
        <v>0.0466623178951946</v>
      </c>
      <c r="H29" s="150">
        <v>0.124125942919579</v>
      </c>
      <c r="I29" s="203">
        <v>0.076</v>
      </c>
      <c r="J29" s="26"/>
      <c r="K29" s="147">
        <v>-0.699915824915825</v>
      </c>
      <c r="L29" s="150">
        <v>-0.696734133317779</v>
      </c>
      <c r="M29" s="26"/>
      <c r="N29" s="26"/>
      <c r="O29" s="26"/>
      <c r="R29" s="139" t="s">
        <v>71</v>
      </c>
      <c r="S29" s="33">
        <v>-0.0387158550050988</v>
      </c>
      <c r="T29" s="33">
        <v>-0.0140136166599018</v>
      </c>
      <c r="U29" s="33">
        <v>-0.0429122056648624</v>
      </c>
      <c r="V29" s="195"/>
      <c r="W29" s="45">
        <v>-0.04</v>
      </c>
      <c r="X29" s="45"/>
    </row>
    <row r="30" hidden="1" outlineLevel="1" spans="1:34">
      <c r="B30" s="28" t="s">
        <v>24</v>
      </c>
      <c r="C30" s="147">
        <v>-0.0177900863279032</v>
      </c>
      <c r="D30" s="147">
        <v>0.00988147594264846</v>
      </c>
      <c r="E30" s="147">
        <v>-0.00659460660685257</v>
      </c>
      <c r="F30" s="201"/>
      <c r="G30" s="202">
        <v>0.0368855051985575</v>
      </c>
      <c r="H30" s="150">
        <v>0.10571947009707</v>
      </c>
      <c r="I30" s="203">
        <v>0.056</v>
      </c>
      <c r="J30" s="26"/>
      <c r="K30" s="147">
        <v>-0.642836999435984</v>
      </c>
      <c r="L30" s="150">
        <v>-0.627992938122274</v>
      </c>
      <c r="M30" s="26"/>
      <c r="N30" s="26"/>
      <c r="O30" s="26"/>
      <c r="R30" s="139" t="s">
        <v>72</v>
      </c>
      <c r="S30" s="33">
        <v>0.0137334223642758</v>
      </c>
      <c r="T30" s="33">
        <v>0.0096910437951756</v>
      </c>
      <c r="U30" s="33">
        <v>0.0091269052037144</v>
      </c>
      <c r="V30" s="195"/>
      <c r="W30" s="45">
        <v>-0.03</v>
      </c>
      <c r="X30" s="45"/>
    </row>
    <row r="31" hidden="1" outlineLevel="1" spans="1:34">
      <c r="B31" s="20" t="s">
        <v>27</v>
      </c>
      <c r="C31" s="147">
        <v>-0.00795694558905921</v>
      </c>
      <c r="D31" s="147">
        <v>0.0288273925485188</v>
      </c>
      <c r="E31" s="147">
        <v>0.0241961465887071</v>
      </c>
      <c r="F31" s="201"/>
      <c r="G31" s="202">
        <v>0.0794418765389433</v>
      </c>
      <c r="H31" s="150">
        <v>0.147378646636964</v>
      </c>
      <c r="I31" s="203">
        <v>0.048</v>
      </c>
      <c r="J31" s="26"/>
      <c r="K31" s="147">
        <v>-0.558740865654862</v>
      </c>
      <c r="L31" s="150">
        <v>-0.534214079317611</v>
      </c>
      <c r="M31" s="26"/>
      <c r="N31" s="26"/>
      <c r="O31" s="26"/>
      <c r="R31" s="139" t="s">
        <v>73</v>
      </c>
      <c r="S31" s="33">
        <v>-0.073711541609275</v>
      </c>
      <c r="T31" s="33">
        <v>-0.0946650352637656</v>
      </c>
      <c r="U31" s="33">
        <v>-0.169070401352489</v>
      </c>
      <c r="V31" s="195"/>
      <c r="W31" s="45">
        <v>-0.08</v>
      </c>
      <c r="X31" s="45"/>
    </row>
    <row r="32" hidden="1" outlineLevel="1" spans="1:34">
      <c r="B32" s="20" t="s">
        <v>30</v>
      </c>
      <c r="C32" s="147">
        <v>0.00806540190014299</v>
      </c>
      <c r="D32" s="147">
        <v>0.0871003658764445</v>
      </c>
      <c r="E32" s="147">
        <v>0.100430992451294</v>
      </c>
      <c r="F32" s="201"/>
      <c r="G32" s="202">
        <v>0.13</v>
      </c>
      <c r="H32" s="150">
        <v>0.19</v>
      </c>
      <c r="I32" s="203">
        <v>0.14</v>
      </c>
      <c r="J32" s="26"/>
      <c r="K32" s="147">
        <v>-0.47</v>
      </c>
      <c r="L32" s="150">
        <v>-0.44</v>
      </c>
      <c r="M32" s="26"/>
      <c r="N32" s="26"/>
      <c r="O32" s="26"/>
      <c r="R32" s="139" t="s">
        <v>74</v>
      </c>
      <c r="S32" s="33">
        <v>-0.0608806042732789</v>
      </c>
      <c r="T32" s="33">
        <v>-0.0779443817513832</v>
      </c>
      <c r="U32" s="33">
        <v>-0.142316116472638</v>
      </c>
      <c r="V32" s="195"/>
      <c r="W32" s="45">
        <v>-0.1</v>
      </c>
      <c r="X32" s="45"/>
    </row>
    <row r="33" hidden="1" outlineLevel="1" spans="2:34">
      <c r="B33" s="20" t="s">
        <v>33</v>
      </c>
      <c r="C33" s="147">
        <v>-0.00547383169738716</v>
      </c>
      <c r="D33" s="147">
        <v>0.0905147405906694</v>
      </c>
      <c r="E33" s="147">
        <v>0.0802476290967589</v>
      </c>
      <c r="F33" s="201"/>
      <c r="G33" s="202">
        <v>0.117730948940722</v>
      </c>
      <c r="H33" s="150">
        <v>0.16</v>
      </c>
      <c r="I33" s="203"/>
      <c r="J33" s="26"/>
      <c r="K33" s="147">
        <v>-0.446457782811124</v>
      </c>
      <c r="L33" s="150">
        <v>-0.41</v>
      </c>
      <c r="M33" s="26"/>
      <c r="N33" s="26"/>
      <c r="O33" s="26"/>
      <c r="R33" s="139" t="s">
        <v>75</v>
      </c>
      <c r="S33" s="33">
        <v>-0.0296130359680424</v>
      </c>
      <c r="T33" s="33">
        <v>-0.0819410747760577</v>
      </c>
      <c r="U33" s="33">
        <v>-0.120849592187003</v>
      </c>
      <c r="V33" s="195"/>
      <c r="W33" s="45">
        <v>-0.07</v>
      </c>
      <c r="X33" s="45"/>
    </row>
    <row r="34" hidden="1" outlineLevel="1" spans="2:34">
      <c r="B34" s="20" t="s">
        <v>36</v>
      </c>
      <c r="C34" s="147">
        <v>-0.0182595169800394</v>
      </c>
      <c r="D34" s="147">
        <v>-0.0277934261850463</v>
      </c>
      <c r="E34" s="147">
        <v>-0.0381642930875115</v>
      </c>
      <c r="F34" s="201"/>
      <c r="G34" s="202">
        <v>0.0348643354311675</v>
      </c>
      <c r="H34" s="150">
        <v>0.0858707208320477</v>
      </c>
      <c r="I34" s="203"/>
      <c r="J34" s="26"/>
      <c r="K34" s="147">
        <v>-0.434018028668538</v>
      </c>
      <c r="L34" s="150">
        <v>-0.380744637379208</v>
      </c>
      <c r="M34" s="26"/>
      <c r="N34" s="26"/>
      <c r="O34" s="26"/>
      <c r="R34" s="139" t="s">
        <v>76</v>
      </c>
      <c r="S34" s="33">
        <v>0.00875688128608454</v>
      </c>
      <c r="T34" s="33">
        <v>-0.0722296809278674</v>
      </c>
      <c r="U34" s="33">
        <v>-0.0641053063830013</v>
      </c>
      <c r="V34" s="195"/>
      <c r="W34" s="45">
        <v>-0.06</v>
      </c>
      <c r="X34" s="45"/>
    </row>
    <row r="35" hidden="1" outlineLevel="1" spans="2:34">
      <c r="B35" s="20" t="s">
        <v>39</v>
      </c>
      <c r="C35" s="147">
        <v>-0.0523197797135735</v>
      </c>
      <c r="D35" s="147">
        <v>0.0240904348106224</v>
      </c>
      <c r="E35" s="147">
        <v>-0.0314085938518626</v>
      </c>
      <c r="F35" s="201"/>
      <c r="G35" s="202">
        <v>0.0377587821547414</v>
      </c>
      <c r="H35" s="150">
        <v>0</v>
      </c>
      <c r="I35" s="203"/>
      <c r="J35" s="26"/>
      <c r="K35" s="147">
        <v>-0.415660877244628</v>
      </c>
      <c r="L35" s="150">
        <f>[3]Summary!$CV$16</f>
        <v>-0.359039897759495</v>
      </c>
      <c r="M35" s="26"/>
      <c r="N35" s="26"/>
      <c r="O35" s="26"/>
      <c r="R35" s="139" t="s">
        <v>77</v>
      </c>
      <c r="S35" s="33">
        <v>-0.0259732351766058</v>
      </c>
      <c r="T35" s="33">
        <v>-0.0935195437545943</v>
      </c>
      <c r="U35" s="33">
        <v>-0.117063773827655</v>
      </c>
      <c r="V35" s="195"/>
      <c r="W35" s="45">
        <v>-0.05</v>
      </c>
      <c r="X35" s="45"/>
    </row>
    <row r="36" hidden="1" outlineLevel="1" spans="2:34">
      <c r="B36" s="20" t="s">
        <v>42</v>
      </c>
      <c r="C36" s="147">
        <v>-0.0362843071482235</v>
      </c>
      <c r="D36" s="147">
        <v>-0.0840599432947336</v>
      </c>
      <c r="E36" s="147">
        <v>-0.122681038044557</v>
      </c>
      <c r="F36" s="149"/>
      <c r="G36" s="202">
        <v>-0.0276641550053821</v>
      </c>
      <c r="H36" s="150">
        <v>0.0505883268208331</v>
      </c>
      <c r="I36" s="203"/>
      <c r="J36" s="26"/>
      <c r="K36" s="147">
        <v>-0.421004842615012</v>
      </c>
      <c r="L36" s="150">
        <v>-0.35623843579437</v>
      </c>
      <c r="M36" s="26"/>
      <c r="N36" s="26"/>
      <c r="O36" s="26"/>
      <c r="R36" s="139" t="s">
        <v>78</v>
      </c>
      <c r="S36" s="33">
        <v>-0.0226291102001285</v>
      </c>
      <c r="T36" s="33">
        <v>-0.0575374602447247</v>
      </c>
      <c r="U36" s="33">
        <v>-0.0788645489163395</v>
      </c>
      <c r="V36" s="195"/>
      <c r="W36" s="45">
        <v>-0.03</v>
      </c>
      <c r="X36" s="45"/>
    </row>
    <row r="37" ht="14.5" hidden="1" customHeight="1" outlineLevel="1" spans="2:34">
      <c r="B37" s="20" t="s">
        <v>45</v>
      </c>
      <c r="C37" s="147">
        <v>0.0377366078867887</v>
      </c>
      <c r="D37" s="147">
        <v>-0.0654486112160939</v>
      </c>
      <c r="E37" s="147">
        <v>-0.0293664775681944</v>
      </c>
      <c r="F37" s="201"/>
      <c r="G37" s="202">
        <v>0</v>
      </c>
      <c r="H37" s="150">
        <v>0.0739177725088513</v>
      </c>
      <c r="I37" s="203"/>
      <c r="J37" s="26"/>
      <c r="K37" s="147">
        <v>-0.33</v>
      </c>
      <c r="L37" s="150">
        <v>-0.261572314317019</v>
      </c>
      <c r="M37" s="26"/>
      <c r="N37" s="26"/>
      <c r="O37" s="26"/>
      <c r="R37" s="139" t="s">
        <v>79</v>
      </c>
      <c r="S37" s="33">
        <v>-0.036841638361539</v>
      </c>
      <c r="T37" s="33">
        <v>-0.0818601349142062</v>
      </c>
      <c r="U37" s="33">
        <v>-0.11568591178901</v>
      </c>
      <c r="V37" s="195"/>
      <c r="W37" s="45">
        <v>-0.07</v>
      </c>
      <c r="X37" s="45"/>
    </row>
    <row r="38" hidden="1" outlineLevel="1" spans="2:34">
      <c r="B38" s="97" t="s">
        <v>48</v>
      </c>
      <c r="C38" s="120"/>
      <c r="D38" s="120"/>
      <c r="E38" s="120"/>
      <c r="F38" s="204"/>
      <c r="G38" s="205"/>
      <c r="H38" s="155"/>
      <c r="I38" s="206"/>
      <c r="J38" s="17"/>
      <c r="K38" s="153"/>
      <c r="L38" s="155"/>
      <c r="M38" s="130"/>
      <c r="N38" s="130"/>
      <c r="O38" s="17"/>
      <c r="R38" s="139" t="s">
        <v>80</v>
      </c>
      <c r="S38" s="33">
        <v>0.0375239457657142</v>
      </c>
      <c r="T38" s="33">
        <v>-0.0755400826556576</v>
      </c>
      <c r="U38" s="33">
        <v>-0.0408506988546509</v>
      </c>
      <c r="V38" s="195"/>
      <c r="W38" s="45">
        <v>-0.05</v>
      </c>
      <c r="X38" s="45"/>
    </row>
    <row r="39" hidden="1" outlineLevel="1" spans="2:34">
      <c r="B39" s="32" t="s">
        <v>54</v>
      </c>
      <c r="C39" s="33">
        <v>-0.0351966891458416</v>
      </c>
      <c r="D39" s="33">
        <v>0.0317284429940475</v>
      </c>
      <c r="E39" s="33">
        <v>-0.0154460149787996</v>
      </c>
      <c r="F39" s="34"/>
      <c r="G39" s="35">
        <v>-0.100648211152097</v>
      </c>
      <c r="H39" s="38">
        <v>-0.08</v>
      </c>
      <c r="I39" s="207"/>
      <c r="J39" s="37"/>
      <c r="K39" s="33">
        <v>-0.852470655054903</v>
      </c>
      <c r="L39" s="38">
        <v>-0.849979841310557</v>
      </c>
      <c r="M39" s="40"/>
      <c r="N39" s="40"/>
      <c r="O39" s="37"/>
      <c r="R39" s="139" t="s">
        <v>81</v>
      </c>
      <c r="S39" s="33">
        <v>0.172893234343108</v>
      </c>
      <c r="T39" s="33">
        <v>-0.0468567670497871</v>
      </c>
      <c r="U39" s="33">
        <v>0.117935249287223</v>
      </c>
      <c r="V39" s="195"/>
      <c r="W39" s="45"/>
      <c r="X39" s="45"/>
    </row>
    <row r="40" hidden="1" outlineLevel="1" spans="2:34">
      <c r="B40" s="32" t="s">
        <v>55</v>
      </c>
      <c r="C40" s="33">
        <v>-0.0237180528151874</v>
      </c>
      <c r="D40" s="33">
        <v>0.018739829989412</v>
      </c>
      <c r="E40" s="33">
        <v>-0.0018316384365839</v>
      </c>
      <c r="F40" s="34"/>
      <c r="G40" s="35">
        <v>0.0542070792026055</v>
      </c>
      <c r="H40" s="38">
        <v>0.125595745707392</v>
      </c>
      <c r="I40" s="207">
        <v>0.06</v>
      </c>
      <c r="J40" s="39"/>
      <c r="K40" s="33">
        <v>-0.633858267716535</v>
      </c>
      <c r="L40" s="38">
        <v>-0.620160262985882</v>
      </c>
      <c r="M40" s="40"/>
      <c r="N40" s="40"/>
      <c r="O40" s="39"/>
      <c r="R40" s="139" t="s">
        <v>82</v>
      </c>
      <c r="S40" s="33">
        <v>-0.156918446452054</v>
      </c>
      <c r="T40" s="33">
        <v>-0.12265749073387</v>
      </c>
      <c r="U40" s="33">
        <v>-0.25757455538682</v>
      </c>
      <c r="V40" s="33"/>
      <c r="W40" s="45"/>
      <c r="X40" s="45"/>
    </row>
    <row r="41" hidden="1" outlineLevel="1" spans="2:34">
      <c r="B41" s="32" t="s">
        <v>56</v>
      </c>
      <c r="C41" s="33">
        <v>-0.00522264892576118</v>
      </c>
      <c r="D41" s="33">
        <v>0.0499405600940226</v>
      </c>
      <c r="E41" s="33">
        <v>0.047504776153514</v>
      </c>
      <c r="F41" s="34"/>
      <c r="G41" s="35">
        <v>0.0961108276755229</v>
      </c>
      <c r="H41" s="38">
        <v>0.145276835039032</v>
      </c>
      <c r="I41" s="207">
        <v>0.116</v>
      </c>
      <c r="J41" s="40"/>
      <c r="K41" s="33">
        <v>-0.450995269124342</v>
      </c>
      <c r="L41" s="38">
        <v>-0.412726030706977</v>
      </c>
      <c r="M41" s="40"/>
      <c r="N41" s="40"/>
      <c r="O41" s="40"/>
    </row>
    <row r="42" ht="14.75" hidden="1" outlineLevel="1" spans="2:34">
      <c r="B42" s="163" t="s">
        <v>57</v>
      </c>
      <c r="C42" s="168">
        <v>-0.0169558263250028</v>
      </c>
      <c r="D42" s="168">
        <v>-0.0418060399000684</v>
      </c>
      <c r="E42" s="168">
        <v>-0.0611520364882047</v>
      </c>
      <c r="F42" s="208"/>
      <c r="G42" s="209">
        <v>0.00526770475568394</v>
      </c>
      <c r="H42" s="170">
        <v>0.0810869427178675</v>
      </c>
      <c r="I42" s="210"/>
      <c r="J42" s="39"/>
      <c r="K42" s="168">
        <v>-0.387523259230242</v>
      </c>
      <c r="L42" s="170">
        <v>-0.324537610370647</v>
      </c>
      <c r="M42" s="40"/>
      <c r="N42" s="40"/>
      <c r="O42" s="39"/>
    </row>
    <row r="43" ht="14.75" hidden="1" outlineLevel="1" spans="2:34">
      <c r="B43" s="211" t="s">
        <v>58</v>
      </c>
      <c r="C43" s="212">
        <v>-0.0202733043029482</v>
      </c>
      <c r="D43" s="212">
        <v>0.0146506982943534</v>
      </c>
      <c r="E43" s="212">
        <v>-0.00773122843751855</v>
      </c>
      <c r="F43" s="213"/>
      <c r="G43" s="214">
        <v>0.0156026196389381</v>
      </c>
      <c r="H43" s="215">
        <v>0.0701771146956627</v>
      </c>
      <c r="I43" s="216">
        <v>0.028</v>
      </c>
      <c r="J43" s="217"/>
      <c r="K43" s="212">
        <v>-0.580992355672279</v>
      </c>
      <c r="L43" s="215">
        <v>-0.553449795569532</v>
      </c>
      <c r="M43" s="218"/>
      <c r="N43" s="218"/>
      <c r="O43" s="218"/>
    </row>
    <row r="44" hidden="1" outlineLevel="1" spans="2:34">
      <c r="C44" s="219"/>
      <c r="D44" s="219"/>
      <c r="E44" s="219"/>
      <c r="F44" s="219"/>
      <c r="G44" s="219"/>
      <c r="H44" s="219"/>
      <c r="I44" s="219"/>
      <c r="J44" s="219"/>
      <c r="K44" s="219"/>
      <c r="L44" s="219"/>
      <c r="M44" s="219"/>
      <c r="N44" s="219"/>
      <c r="O44" s="219"/>
      <c r="S44" s="117" t="s">
        <v>83</v>
      </c>
      <c r="W44" s="196" t="s">
        <v>84</v>
      </c>
    </row>
    <row r="45" ht="14.75" hidden="1" outlineLevel="1" spans="2:34">
      <c r="B45" s="220" t="s">
        <v>85</v>
      </c>
      <c r="C45" s="221"/>
      <c r="D45" s="221"/>
      <c r="E45" s="221"/>
      <c r="F45" s="221"/>
      <c r="G45" s="222"/>
      <c r="H45" s="222"/>
      <c r="I45" s="222"/>
      <c r="J45" s="221"/>
      <c r="K45" s="223" t="s">
        <v>86</v>
      </c>
      <c r="L45" s="223"/>
      <c r="M45" s="223"/>
      <c r="N45" s="224"/>
      <c r="O45" s="221"/>
      <c r="P45" s="221"/>
      <c r="Q45" s="221"/>
      <c r="R45" s="220" t="s">
        <v>85</v>
      </c>
      <c r="S45" s="221"/>
      <c r="T45" s="221"/>
      <c r="U45" s="221"/>
      <c r="V45" s="221"/>
      <c r="W45" s="221"/>
      <c r="X45" s="221"/>
      <c r="AB45" s="139" t="s">
        <v>82</v>
      </c>
      <c r="AC45" s="33">
        <v>0.193427285977078</v>
      </c>
      <c r="AD45" s="33">
        <v>0.106355561982739</v>
      </c>
      <c r="AE45" s="33">
        <v>0.320354915662709</v>
      </c>
      <c r="AF45" s="33" t="s">
        <v>87</v>
      </c>
      <c r="AG45" s="45"/>
      <c r="AH45" s="45"/>
    </row>
    <row r="46" hidden="1" outlineLevel="1" spans="2:34">
      <c r="B46" s="1" t="s">
        <v>88</v>
      </c>
      <c r="C46" s="2" t="s">
        <v>6</v>
      </c>
      <c r="D46" s="2"/>
      <c r="E46" s="2"/>
      <c r="F46" s="3"/>
      <c r="G46" s="225" t="s">
        <v>60</v>
      </c>
      <c r="H46" s="226"/>
      <c r="I46" s="6" t="s">
        <v>61</v>
      </c>
      <c r="J46" s="7"/>
      <c r="K46" s="227" t="s">
        <v>62</v>
      </c>
      <c r="L46" s="228"/>
      <c r="M46" s="229" t="s">
        <v>89</v>
      </c>
      <c r="N46" s="230"/>
      <c r="R46" s="231" t="s">
        <v>90</v>
      </c>
      <c r="S46" s="12" t="s">
        <v>63</v>
      </c>
      <c r="T46" s="12"/>
      <c r="U46" s="12"/>
      <c r="V46" s="12"/>
      <c r="W46" s="192" t="s">
        <v>91</v>
      </c>
      <c r="X46" s="192" t="s">
        <v>64</v>
      </c>
      <c r="AB46" s="139" t="s">
        <v>92</v>
      </c>
      <c r="AC46" s="33">
        <v>0.124151955604299</v>
      </c>
      <c r="AD46" s="33">
        <v>0.00488989932189154</v>
      </c>
      <c r="AE46" s="33">
        <v>0.129648945489716</v>
      </c>
      <c r="AF46" s="33"/>
      <c r="AG46" s="45">
        <v>0.44</v>
      </c>
      <c r="AH46" s="45"/>
    </row>
    <row r="47" ht="28" hidden="1" outlineLevel="1" spans="2:34">
      <c r="B47" s="11" t="s">
        <v>7</v>
      </c>
      <c r="C47" s="12" t="s">
        <v>8</v>
      </c>
      <c r="D47" s="12" t="s">
        <v>9</v>
      </c>
      <c r="E47" s="12" t="s">
        <v>10</v>
      </c>
      <c r="F47" s="13"/>
      <c r="G47" s="14" t="s">
        <v>11</v>
      </c>
      <c r="H47" s="15" t="s">
        <v>12</v>
      </c>
      <c r="I47" s="16" t="s">
        <v>65</v>
      </c>
      <c r="J47" s="17"/>
      <c r="K47" s="18" t="s">
        <v>93</v>
      </c>
      <c r="L47" s="15" t="s">
        <v>12</v>
      </c>
      <c r="M47" s="16" t="s">
        <v>94</v>
      </c>
      <c r="N47" s="17"/>
      <c r="R47" s="129" t="s">
        <v>66</v>
      </c>
      <c r="S47" s="12" t="s">
        <v>8</v>
      </c>
      <c r="T47" s="12" t="s">
        <v>9</v>
      </c>
      <c r="U47" s="12" t="s">
        <v>10</v>
      </c>
      <c r="V47" s="12"/>
      <c r="W47" s="192" t="s">
        <v>95</v>
      </c>
      <c r="X47" s="192" t="s">
        <v>67</v>
      </c>
      <c r="AB47" s="139" t="s">
        <v>96</v>
      </c>
      <c r="AC47" s="33">
        <v>0.8</v>
      </c>
      <c r="AD47" s="33">
        <v>0.15</v>
      </c>
      <c r="AE47" s="33">
        <v>0.54</v>
      </c>
      <c r="AF47" s="33"/>
      <c r="AG47" s="45">
        <v>0.43</v>
      </c>
      <c r="AH47" s="45"/>
    </row>
    <row r="48" hidden="1" outlineLevel="1" spans="2:34">
      <c r="B48" s="20" t="s">
        <v>15</v>
      </c>
      <c r="C48" s="21">
        <v>0.291990179412132</v>
      </c>
      <c r="D48" s="21">
        <v>-0.115172804288239</v>
      </c>
      <c r="E48" s="21">
        <v>0.143188047336371</v>
      </c>
      <c r="F48" s="22"/>
      <c r="G48" s="23">
        <f>[3]Summary!$CY$5</f>
        <v>0.33385295545731</v>
      </c>
      <c r="H48" s="24">
        <f>[3]Summary!$CY$15</f>
        <v>0.349410291226771</v>
      </c>
      <c r="I48" s="25">
        <v>0.393</v>
      </c>
      <c r="J48" s="26"/>
      <c r="K48" s="21">
        <f>[3]Summary!$CY$6</f>
        <v>-0.275350021213407</v>
      </c>
      <c r="L48" s="24">
        <f>[3]Summary!$CY$16</f>
        <v>-0.242187493080496</v>
      </c>
      <c r="M48" s="25">
        <f>65.8%-1</f>
        <v>-0.342</v>
      </c>
      <c r="N48" s="26"/>
      <c r="R48" s="139" t="s">
        <v>97</v>
      </c>
      <c r="S48" s="45">
        <v>-0.15</v>
      </c>
      <c r="T48" s="45">
        <v>-0.08</v>
      </c>
      <c r="U48" s="45">
        <v>-0.22</v>
      </c>
      <c r="V48" s="139"/>
      <c r="W48" s="45">
        <v>0.17</v>
      </c>
      <c r="X48" s="139"/>
      <c r="AB48" s="139" t="s">
        <v>98</v>
      </c>
      <c r="AC48" s="33">
        <v>0.215823780502387</v>
      </c>
      <c r="AD48" s="33">
        <v>-0.295719461755613</v>
      </c>
      <c r="AE48" s="33">
        <v>-0.143718973457453</v>
      </c>
      <c r="AF48" s="33"/>
      <c r="AG48" s="232" t="s">
        <v>99</v>
      </c>
      <c r="AH48" s="233" t="s">
        <v>100</v>
      </c>
    </row>
    <row r="49" hidden="1" outlineLevel="1" spans="2:34">
      <c r="B49" s="20" t="s">
        <v>17</v>
      </c>
      <c r="C49" s="21">
        <v>-0.179967540334221</v>
      </c>
      <c r="D49" s="21">
        <v>0.180847899169067</v>
      </c>
      <c r="E49" s="21">
        <v>-0.0316663927532236</v>
      </c>
      <c r="F49" s="22"/>
      <c r="G49" s="23">
        <f>[3]Summary!$CZ$5</f>
        <v>0.344746750017759</v>
      </c>
      <c r="H49" s="24">
        <v>0.34</v>
      </c>
      <c r="I49" s="25">
        <v>0.335</v>
      </c>
      <c r="J49" s="26"/>
      <c r="K49" s="21">
        <f>[3]Summary!$CZ$6</f>
        <v>-0.185890097309674</v>
      </c>
      <c r="L49" s="24">
        <v>-0.15</v>
      </c>
      <c r="M49" s="25">
        <f>72.3%-1</f>
        <v>-0.277</v>
      </c>
      <c r="N49" s="26"/>
      <c r="R49" s="139" t="s">
        <v>101</v>
      </c>
      <c r="S49" s="45">
        <v>0.007</v>
      </c>
      <c r="T49" s="45">
        <v>-0.054</v>
      </c>
      <c r="U49" s="45">
        <v>-0.047</v>
      </c>
      <c r="V49" s="45"/>
      <c r="W49" s="45">
        <v>0.15</v>
      </c>
      <c r="X49" s="45"/>
      <c r="AB49" s="139" t="s">
        <v>102</v>
      </c>
      <c r="AC49" s="33">
        <v>0.0316485207178894</v>
      </c>
      <c r="AD49" s="33">
        <v>-0.00413574087072632</v>
      </c>
      <c r="AE49" s="33">
        <v>0.0273818897665297</v>
      </c>
      <c r="AF49" s="33"/>
      <c r="AG49" s="234"/>
      <c r="AH49" s="235"/>
    </row>
    <row r="50" hidden="1" outlineLevel="1" spans="2:34">
      <c r="B50" s="28" t="s">
        <v>20</v>
      </c>
      <c r="C50" s="21">
        <v>-0.0329843460314593</v>
      </c>
      <c r="D50" s="21">
        <v>-0.0277412772200094</v>
      </c>
      <c r="E50" s="21">
        <v>-0.05981059536429</v>
      </c>
      <c r="F50" s="22"/>
      <c r="G50" s="23">
        <f>[4]Summary!$DF$5</f>
        <v>0.172349041876881</v>
      </c>
      <c r="H50" s="24">
        <f>[4]Summary!$DF$15</f>
        <v>0.183657787266884</v>
      </c>
      <c r="I50" s="25">
        <v>0.146</v>
      </c>
      <c r="J50" s="26"/>
      <c r="K50" s="21">
        <f>[4]Summary!$DF$6</f>
        <v>-0.206252652426086</v>
      </c>
      <c r="L50" s="24">
        <f>[4]Summary!$DF$16</f>
        <v>-0.174647674977924</v>
      </c>
      <c r="M50" s="25">
        <f>69.7%-1</f>
        <v>-0.303</v>
      </c>
      <c r="N50" s="26"/>
      <c r="R50" s="139" t="s">
        <v>103</v>
      </c>
      <c r="S50" s="45">
        <v>0.009</v>
      </c>
      <c r="T50" s="45">
        <v>-0.035</v>
      </c>
      <c r="U50" s="45">
        <v>-0.027</v>
      </c>
      <c r="V50" s="45"/>
      <c r="W50" s="45">
        <v>0.14</v>
      </c>
      <c r="X50" s="45"/>
      <c r="AB50" s="139" t="s">
        <v>104</v>
      </c>
      <c r="AC50" s="33">
        <v>-0.373052451475366</v>
      </c>
      <c r="AD50" s="33">
        <v>0.257680208311181</v>
      </c>
      <c r="AE50" s="33">
        <v>-0.211500476571355</v>
      </c>
      <c r="AF50" s="33"/>
      <c r="AG50" s="234"/>
      <c r="AH50" s="235"/>
    </row>
    <row r="51" hidden="1" customHeight="1" outlineLevel="1" spans="2:34">
      <c r="B51" s="28" t="s">
        <v>22</v>
      </c>
      <c r="C51" s="147">
        <v>-0.0200740532894239</v>
      </c>
      <c r="D51" s="147">
        <v>-0.0711553728023263</v>
      </c>
      <c r="E51" s="147">
        <v>-0.0898010493462887</v>
      </c>
      <c r="F51" s="201"/>
      <c r="G51" s="202" t="e">
        <f>[5]Summary!$DG$5</f>
        <v>#REF!</v>
      </c>
      <c r="H51" s="149" t="e">
        <f>[6]Summary!$DG$15</f>
        <v>#REF!</v>
      </c>
      <c r="I51" s="236">
        <v>0.096</v>
      </c>
      <c r="J51" s="26"/>
      <c r="K51" s="147" t="e">
        <f>[5]Summary!$DG$6</f>
        <v>#REF!</v>
      </c>
      <c r="L51" s="149" t="e">
        <f>[6]Summary!$DG$16</f>
        <v>#REF!</v>
      </c>
      <c r="M51" s="236">
        <f>71%-1</f>
        <v>-0.29</v>
      </c>
      <c r="N51" s="26"/>
      <c r="R51" s="139" t="s">
        <v>105</v>
      </c>
      <c r="S51" s="45">
        <v>0.02</v>
      </c>
      <c r="T51" s="45">
        <v>-0.06</v>
      </c>
      <c r="U51" s="45">
        <v>-0.04</v>
      </c>
      <c r="V51" s="45"/>
      <c r="W51" s="45">
        <v>0.13</v>
      </c>
      <c r="X51" s="45"/>
      <c r="AB51" s="139" t="s">
        <v>106</v>
      </c>
      <c r="AC51" s="33">
        <v>-0.0133930383494819</v>
      </c>
      <c r="AD51" s="33">
        <v>0.501119676217742</v>
      </c>
      <c r="AE51" s="33">
        <v>0.481015122826993</v>
      </c>
      <c r="AF51" s="33"/>
      <c r="AG51" s="234"/>
      <c r="AH51" s="235"/>
    </row>
    <row r="52" hidden="1" outlineLevel="1" spans="2:34">
      <c r="B52" s="28" t="s">
        <v>24</v>
      </c>
      <c r="C52" s="147">
        <v>-0.036</v>
      </c>
      <c r="D52" s="147">
        <v>-0.056</v>
      </c>
      <c r="E52" s="147">
        <v>-0.089</v>
      </c>
      <c r="F52" s="201"/>
      <c r="G52" s="202">
        <v>0.08</v>
      </c>
      <c r="H52" s="149" t="e">
        <f>[7]Summary!$DH$15</f>
        <v>#REF!</v>
      </c>
      <c r="I52" s="236">
        <v>0.108</v>
      </c>
      <c r="J52" s="26"/>
      <c r="K52" s="147">
        <v>-0.17</v>
      </c>
      <c r="L52" s="149" t="e">
        <f>[7]Summary!$DH$16</f>
        <v>#REF!</v>
      </c>
      <c r="M52" s="236">
        <f>72.4%-1</f>
        <v>-0.276</v>
      </c>
      <c r="N52" s="26"/>
      <c r="R52" s="139" t="s">
        <v>107</v>
      </c>
      <c r="S52" s="45">
        <v>0.009</v>
      </c>
      <c r="T52" s="45">
        <v>-0.048</v>
      </c>
      <c r="U52" s="45">
        <v>-0.039</v>
      </c>
      <c r="V52" s="45"/>
      <c r="W52" s="45">
        <v>0.18</v>
      </c>
      <c r="X52" s="45"/>
      <c r="AB52" s="139" t="s">
        <v>108</v>
      </c>
      <c r="AC52" s="33">
        <v>-0.267616742628365</v>
      </c>
      <c r="AD52" s="33">
        <v>-0.0279909747895845</v>
      </c>
      <c r="AE52" s="33">
        <v>-0.288116863921768</v>
      </c>
      <c r="AF52" s="33"/>
      <c r="AG52" s="234"/>
      <c r="AH52" s="235"/>
    </row>
    <row r="53" hidden="1" outlineLevel="1" spans="2:34">
      <c r="B53" s="20" t="s">
        <v>27</v>
      </c>
      <c r="C53" s="147">
        <v>-0.0183339781676918</v>
      </c>
      <c r="D53" s="147">
        <v>-0.0599552398679151</v>
      </c>
      <c r="E53" s="147">
        <v>-0.0771899999768284</v>
      </c>
      <c r="F53" s="201"/>
      <c r="G53" s="202" t="e">
        <f>[7]Summary!$DI$5</f>
        <v>#REF!</v>
      </c>
      <c r="H53" s="149" t="e">
        <f>[7]Summary!$DI$15</f>
        <v>#REF!</v>
      </c>
      <c r="I53" s="236">
        <v>0.102</v>
      </c>
      <c r="J53" s="26"/>
      <c r="K53" s="147" t="e">
        <f>[7]Summary!$DI$6</f>
        <v>#REF!</v>
      </c>
      <c r="L53" s="149" t="e">
        <f>[7]Summary!$DI$16</f>
        <v>#REF!</v>
      </c>
      <c r="M53" s="236">
        <f>73.2%-1</f>
        <v>-0.268</v>
      </c>
      <c r="N53" s="26"/>
      <c r="R53" s="139" t="s">
        <v>109</v>
      </c>
      <c r="S53" s="45">
        <v>0</v>
      </c>
      <c r="T53" s="45">
        <v>-0.04</v>
      </c>
      <c r="U53" s="45">
        <v>-0.04</v>
      </c>
      <c r="V53" s="45"/>
      <c r="W53" s="45">
        <v>0.16</v>
      </c>
      <c r="X53" s="45"/>
      <c r="AB53" s="139" t="s">
        <v>110</v>
      </c>
      <c r="AC53" s="33">
        <v>-0.061</v>
      </c>
      <c r="AD53" s="33">
        <v>-0.057</v>
      </c>
      <c r="AE53" s="33">
        <v>-0.114</v>
      </c>
      <c r="AF53" s="33"/>
      <c r="AG53" s="234"/>
      <c r="AH53" s="235"/>
    </row>
    <row r="54" hidden="1" outlineLevel="1" spans="2:34">
      <c r="B54" s="20" t="s">
        <v>30</v>
      </c>
      <c r="C54" s="147">
        <v>-0.04</v>
      </c>
      <c r="D54" s="147">
        <v>-0.09</v>
      </c>
      <c r="E54" s="147">
        <v>-0.13</v>
      </c>
      <c r="F54" s="201"/>
      <c r="G54" s="202">
        <v>0.067</v>
      </c>
      <c r="H54" s="149">
        <v>0.06</v>
      </c>
      <c r="I54" s="236">
        <v>0.043</v>
      </c>
      <c r="J54" s="26"/>
      <c r="K54" s="147">
        <v>-0.091</v>
      </c>
      <c r="L54" s="149">
        <v>-0.04</v>
      </c>
      <c r="M54" s="236">
        <v>-0.22</v>
      </c>
      <c r="N54" s="26"/>
      <c r="R54" s="139" t="s">
        <v>111</v>
      </c>
      <c r="S54" s="45">
        <v>0</v>
      </c>
      <c r="T54" s="45">
        <v>-0.04</v>
      </c>
      <c r="U54" s="45">
        <v>-0.04</v>
      </c>
      <c r="V54" s="45"/>
      <c r="W54" s="45">
        <v>0.14</v>
      </c>
      <c r="X54" s="45"/>
      <c r="AB54" s="139" t="s">
        <v>112</v>
      </c>
      <c r="AC54" s="33">
        <v>-0.0396180851677158</v>
      </c>
      <c r="AD54" s="33">
        <v>-0.0424102165266332</v>
      </c>
      <c r="AE54" s="33">
        <v>-0.0803480901240159</v>
      </c>
      <c r="AF54" s="33"/>
      <c r="AG54" s="237"/>
      <c r="AH54" s="238"/>
    </row>
    <row r="55" hidden="1" outlineLevel="1" spans="2:34">
      <c r="B55" s="20" t="s">
        <v>33</v>
      </c>
      <c r="C55" s="147">
        <v>0.02</v>
      </c>
      <c r="D55" s="147">
        <v>-0.066</v>
      </c>
      <c r="E55" s="147">
        <v>-0.046</v>
      </c>
      <c r="F55" s="201"/>
      <c r="G55" s="202">
        <v>0.1</v>
      </c>
      <c r="H55" s="149">
        <v>0.1</v>
      </c>
      <c r="I55" s="236">
        <v>0.106</v>
      </c>
      <c r="J55" s="26"/>
      <c r="K55" s="147">
        <v>-0.07</v>
      </c>
      <c r="L55" s="149">
        <v>-0.01</v>
      </c>
      <c r="M55" s="236">
        <v>-0.21</v>
      </c>
      <c r="N55" s="26"/>
      <c r="R55" s="139" t="s">
        <v>113</v>
      </c>
      <c r="S55" s="45">
        <v>0.033</v>
      </c>
      <c r="T55" s="45">
        <v>-0.009</v>
      </c>
      <c r="U55" s="45">
        <v>0.024</v>
      </c>
      <c r="V55" s="45"/>
      <c r="W55" s="45">
        <v>0.12</v>
      </c>
      <c r="X55" s="45"/>
      <c r="AB55" s="139" t="s">
        <v>114</v>
      </c>
      <c r="AC55" s="33">
        <v>-0.044061795049981</v>
      </c>
      <c r="AD55" s="33">
        <v>-0.0350565444379359</v>
      </c>
      <c r="AE55" s="33">
        <v>-0.0775736852117331</v>
      </c>
      <c r="AF55" s="45"/>
      <c r="AG55" s="45">
        <v>0.22</v>
      </c>
      <c r="AH55" s="45"/>
    </row>
    <row r="56" hidden="1" outlineLevel="1" spans="2:34">
      <c r="B56" s="20" t="s">
        <v>36</v>
      </c>
      <c r="C56" s="147">
        <v>-0.03</v>
      </c>
      <c r="D56" s="147">
        <v>-0.07</v>
      </c>
      <c r="E56" s="147">
        <v>-0.1</v>
      </c>
      <c r="F56" s="201"/>
      <c r="G56" s="202">
        <v>0.08</v>
      </c>
      <c r="H56" s="149">
        <v>0.1</v>
      </c>
      <c r="I56" s="236">
        <v>0.05</v>
      </c>
      <c r="J56" s="26"/>
      <c r="K56" s="147">
        <v>-0.06</v>
      </c>
      <c r="L56" s="149">
        <v>-0.01</v>
      </c>
      <c r="M56" s="236">
        <v>-0.214</v>
      </c>
      <c r="N56" s="26"/>
      <c r="R56" s="139" t="s">
        <v>115</v>
      </c>
      <c r="S56" s="45">
        <v>-0.008</v>
      </c>
      <c r="T56" s="45">
        <v>-0.013</v>
      </c>
      <c r="U56" s="45">
        <v>-0.021</v>
      </c>
      <c r="V56" s="45"/>
      <c r="W56" s="45">
        <v>0.14</v>
      </c>
      <c r="X56" s="45"/>
      <c r="AB56" s="139" t="s">
        <v>116</v>
      </c>
      <c r="AC56" s="33">
        <v>-0.042926638042143</v>
      </c>
      <c r="AD56" s="33">
        <v>-0.0213246155847111</v>
      </c>
      <c r="AE56" s="33">
        <v>-0.0633358595722615</v>
      </c>
      <c r="AF56" s="45"/>
      <c r="AG56" s="45">
        <v>0.24</v>
      </c>
      <c r="AH56" s="45"/>
    </row>
    <row r="57" hidden="1" outlineLevel="1" spans="2:34">
      <c r="B57" s="20" t="s">
        <v>39</v>
      </c>
      <c r="C57" s="147">
        <v>-0.03</v>
      </c>
      <c r="D57" s="147">
        <v>-0.045</v>
      </c>
      <c r="E57" s="147">
        <v>-0.076</v>
      </c>
      <c r="F57" s="201"/>
      <c r="G57" s="202">
        <v>0.1</v>
      </c>
      <c r="H57" s="149">
        <v>0.1</v>
      </c>
      <c r="I57" s="236">
        <v>0.06</v>
      </c>
      <c r="J57" s="26"/>
      <c r="K57" s="147">
        <v>-0.03</v>
      </c>
      <c r="L57" s="149">
        <v>0.02</v>
      </c>
      <c r="M57" s="236">
        <v>-0.19</v>
      </c>
      <c r="N57" s="26"/>
      <c r="R57" s="139" t="s">
        <v>117</v>
      </c>
      <c r="S57" s="45">
        <v>-0.003</v>
      </c>
      <c r="T57" s="45">
        <v>-0.04</v>
      </c>
      <c r="U57" s="45">
        <v>-0.042</v>
      </c>
      <c r="V57" s="45"/>
      <c r="W57" s="45">
        <v>0.16</v>
      </c>
      <c r="X57" s="45"/>
      <c r="AB57" s="139" t="s">
        <v>118</v>
      </c>
      <c r="AC57" s="33">
        <v>0.000395988846157103</v>
      </c>
      <c r="AD57" s="33">
        <v>-0.0182303475309039</v>
      </c>
      <c r="AE57" s="33">
        <v>-0.0178415776990288</v>
      </c>
      <c r="AF57" s="45"/>
      <c r="AG57" s="45">
        <v>0.27</v>
      </c>
      <c r="AH57" s="45"/>
    </row>
    <row r="58" hidden="1" outlineLevel="1" spans="2:34">
      <c r="B58" s="20" t="s">
        <v>42</v>
      </c>
      <c r="C58" s="147">
        <v>0.008</v>
      </c>
      <c r="D58" s="147">
        <v>-0.033</v>
      </c>
      <c r="E58" s="147">
        <v>-0.026</v>
      </c>
      <c r="F58" s="149"/>
      <c r="G58" s="202">
        <v>0.11</v>
      </c>
      <c r="H58" s="149">
        <v>0.08</v>
      </c>
      <c r="I58" s="236">
        <v>0.088</v>
      </c>
      <c r="J58" s="26"/>
      <c r="K58" s="147">
        <v>-0.04</v>
      </c>
      <c r="L58" s="149">
        <v>0.01</v>
      </c>
      <c r="M58" s="236">
        <v>-0.239</v>
      </c>
      <c r="N58" s="26"/>
      <c r="R58" s="139" t="s">
        <v>119</v>
      </c>
      <c r="S58" s="45">
        <v>-0.003</v>
      </c>
      <c r="T58" s="45">
        <v>-0.015</v>
      </c>
      <c r="U58" s="45">
        <v>-0.018</v>
      </c>
      <c r="V58" s="45"/>
      <c r="W58" s="45">
        <v>0.13</v>
      </c>
      <c r="X58" s="45"/>
      <c r="AB58" s="139" t="s">
        <v>120</v>
      </c>
      <c r="AC58" s="33">
        <v>-0.04</v>
      </c>
      <c r="AD58" s="33">
        <v>-0.008</v>
      </c>
      <c r="AE58" s="33">
        <v>-0.048</v>
      </c>
      <c r="AF58" s="45"/>
      <c r="AG58" s="45">
        <v>0.24</v>
      </c>
      <c r="AH58" s="45"/>
    </row>
    <row r="59" ht="14.75" hidden="1" outlineLevel="1" spans="2:34">
      <c r="B59" s="239" t="s">
        <v>45</v>
      </c>
      <c r="C59" s="240">
        <v>-0.019</v>
      </c>
      <c r="D59" s="240">
        <v>-0.024</v>
      </c>
      <c r="E59" s="240">
        <v>-0.042</v>
      </c>
      <c r="F59" s="241"/>
      <c r="G59" s="242">
        <v>0.09</v>
      </c>
      <c r="H59" s="243">
        <v>0.05</v>
      </c>
      <c r="I59" s="244">
        <v>0.026</v>
      </c>
      <c r="J59" s="26"/>
      <c r="K59" s="240">
        <v>0.01</v>
      </c>
      <c r="L59" s="243">
        <v>0.04</v>
      </c>
      <c r="M59" s="244">
        <v>-0.2</v>
      </c>
      <c r="N59" s="26"/>
      <c r="R59" s="139" t="s">
        <v>121</v>
      </c>
      <c r="S59" s="45">
        <v>-0.002</v>
      </c>
      <c r="T59" s="45">
        <v>-0.034</v>
      </c>
      <c r="U59" s="45">
        <v>-0.036</v>
      </c>
      <c r="V59" s="45"/>
      <c r="W59" s="45">
        <v>0.11</v>
      </c>
      <c r="X59" s="45"/>
      <c r="AB59" s="139" t="s">
        <v>122</v>
      </c>
      <c r="AC59" s="33">
        <v>-0.0505495482803616</v>
      </c>
      <c r="AD59" s="33">
        <v>-0.0806106117726341</v>
      </c>
      <c r="AE59" s="33">
        <v>-0.127085330041285</v>
      </c>
      <c r="AF59" s="45"/>
      <c r="AG59" s="45">
        <v>0.13</v>
      </c>
      <c r="AH59" s="45"/>
    </row>
    <row r="60" hidden="1" outlineLevel="1" spans="2:34">
      <c r="B60" s="97" t="s">
        <v>48</v>
      </c>
      <c r="C60" s="120"/>
      <c r="D60" s="120"/>
      <c r="E60" s="120"/>
      <c r="F60" s="204"/>
      <c r="G60" s="205"/>
      <c r="H60" s="154"/>
      <c r="I60" s="245"/>
      <c r="J60" s="246"/>
      <c r="K60" s="153"/>
      <c r="L60" s="154"/>
      <c r="M60" s="245"/>
      <c r="N60" s="130"/>
      <c r="R60" s="139" t="s">
        <v>123</v>
      </c>
      <c r="S60" s="45">
        <v>-0.047</v>
      </c>
      <c r="T60" s="45">
        <v>0.001</v>
      </c>
      <c r="U60" s="45">
        <v>-0.047</v>
      </c>
      <c r="V60" s="45"/>
      <c r="W60" s="45">
        <v>0.1</v>
      </c>
      <c r="X60" s="45"/>
      <c r="AB60" s="139" t="s">
        <v>124</v>
      </c>
      <c r="AC60" s="33">
        <v>0.017</v>
      </c>
      <c r="AD60" s="33">
        <v>-0.06</v>
      </c>
      <c r="AE60" s="33">
        <v>-0.044</v>
      </c>
      <c r="AF60" s="45"/>
      <c r="AG60" s="45">
        <v>0.09</v>
      </c>
      <c r="AH60" s="45"/>
    </row>
    <row r="61" hidden="1" outlineLevel="1" spans="2:34">
      <c r="B61" s="32" t="s">
        <v>54</v>
      </c>
      <c r="C61" s="33">
        <f>AVERAGE(C48:C50)</f>
        <v>0.0263460976821506</v>
      </c>
      <c r="D61" s="33">
        <f>AVERAGE(D48:D50)</f>
        <v>0.0126446058869395</v>
      </c>
      <c r="E61" s="33">
        <f>AVERAGE(E48:E50)</f>
        <v>0.0172370197396191</v>
      </c>
      <c r="F61" s="34"/>
      <c r="G61" s="35">
        <f>[4]Summary!$CY$5</f>
        <v>0.28066388984016</v>
      </c>
      <c r="H61" s="34">
        <f>[4]Summary!$CY$15</f>
        <v>0.288265774243985</v>
      </c>
      <c r="I61" s="36">
        <v>0.285</v>
      </c>
      <c r="J61" s="37"/>
      <c r="K61" s="33">
        <f>[4]Summary!$CY$6</f>
        <v>-0.222642938280954</v>
      </c>
      <c r="L61" s="34">
        <f>[4]Summary!$CY$16</f>
        <v>-0.188847859811655</v>
      </c>
      <c r="M61" s="36">
        <f>AVERAGE(M48:M50)</f>
        <v>-0.307333333333333</v>
      </c>
      <c r="N61" s="40"/>
      <c r="AB61" s="139" t="s">
        <v>125</v>
      </c>
      <c r="AC61" s="33">
        <v>-0.00327805316191077</v>
      </c>
      <c r="AD61" s="33">
        <v>-0.122711013674737</v>
      </c>
      <c r="AE61" s="33">
        <v>-0.125586813610272</v>
      </c>
      <c r="AF61" s="45">
        <v>-0.0959896518643693</v>
      </c>
      <c r="AG61" s="45">
        <v>0.03</v>
      </c>
      <c r="AH61" s="45"/>
    </row>
    <row r="62" ht="15" hidden="1" customHeight="1" outlineLevel="1" spans="2:34">
      <c r="B62" s="32" t="s">
        <v>55</v>
      </c>
      <c r="C62" s="33">
        <f>AVERAGE(C51:C53)</f>
        <v>-0.0248026771523719</v>
      </c>
      <c r="D62" s="33">
        <f t="shared" ref="D62:E62" si="0">AVERAGE(D51:D53)</f>
        <v>-0.0623702042234138</v>
      </c>
      <c r="E62" s="33">
        <f t="shared" si="0"/>
        <v>-0.0853303497743724</v>
      </c>
      <c r="F62" s="34"/>
      <c r="G62" s="35" t="e">
        <f>[7]Summary!$CZ$5</f>
        <v>#REF!</v>
      </c>
      <c r="H62" s="34" t="e">
        <f>[7]Summary!$CZ$15</f>
        <v>#REF!</v>
      </c>
      <c r="I62" s="36">
        <v>0.102258827366876</v>
      </c>
      <c r="J62" s="39"/>
      <c r="K62" s="33" t="e">
        <f>[7]Summary!$CZ$6</f>
        <v>#REF!</v>
      </c>
      <c r="L62" s="34" t="e">
        <f>[7]Summary!$CZ$16</f>
        <v>#REF!</v>
      </c>
      <c r="M62" s="36">
        <f>AVERAGE(M51:M53)</f>
        <v>-0.278</v>
      </c>
      <c r="N62" s="40"/>
      <c r="AB62" s="247" t="s">
        <v>126</v>
      </c>
      <c r="AC62" s="33">
        <v>-0.02</v>
      </c>
      <c r="AD62" s="33">
        <v>-0.12</v>
      </c>
      <c r="AE62" s="33">
        <v>-0.14</v>
      </c>
      <c r="AF62" s="45">
        <v>0.101368658285003</v>
      </c>
      <c r="AG62" s="248" t="s">
        <v>127</v>
      </c>
      <c r="AH62" s="249" t="s">
        <v>128</v>
      </c>
    </row>
    <row r="63" hidden="1" outlineLevel="1" spans="2:34">
      <c r="B63" s="32" t="s">
        <v>56</v>
      </c>
      <c r="C63" s="33">
        <f>AVERAGE(C54:C56)</f>
        <v>-0.0166666666666667</v>
      </c>
      <c r="D63" s="33">
        <f>AVERAGE(D54:D56)</f>
        <v>-0.0753333333333333</v>
      </c>
      <c r="E63" s="33">
        <f>AVERAGE(E54:E56)</f>
        <v>-0.092</v>
      </c>
      <c r="F63" s="34"/>
      <c r="G63" s="35">
        <f>AVERAGE(G54:G56)</f>
        <v>0.0823333333333333</v>
      </c>
      <c r="H63" s="34">
        <f>AVERAGE(H54:H56)</f>
        <v>0.0866666666666667</v>
      </c>
      <c r="I63" s="36">
        <f>AVERAGE(I54:I56)</f>
        <v>0.0663333333333333</v>
      </c>
      <c r="J63" s="40"/>
      <c r="K63" s="33">
        <f>AVERAGE(K54:K56)</f>
        <v>-0.0736666666666667</v>
      </c>
      <c r="L63" s="34">
        <f>AVERAGE(L54:L56)</f>
        <v>-0.02</v>
      </c>
      <c r="M63" s="36">
        <f>AVERAGE(M54:M56)</f>
        <v>-0.214666666666667</v>
      </c>
      <c r="N63" s="40"/>
      <c r="AB63" s="139" t="s">
        <v>129</v>
      </c>
      <c r="AC63" s="33">
        <v>-0.157</v>
      </c>
      <c r="AD63" s="33">
        <v>-0.085</v>
      </c>
      <c r="AE63" s="33">
        <v>-0.229</v>
      </c>
      <c r="AF63" s="45"/>
      <c r="AG63" s="45">
        <v>0.14</v>
      </c>
      <c r="AH63" s="45"/>
    </row>
    <row r="64" ht="14.75" hidden="1" outlineLevel="1" spans="2:34">
      <c r="B64" s="163" t="s">
        <v>57</v>
      </c>
      <c r="C64" s="168">
        <f>AVERAGE(C57:C59)</f>
        <v>-0.0136666666666667</v>
      </c>
      <c r="D64" s="168">
        <f>AVERAGE(D57:D59)</f>
        <v>-0.034</v>
      </c>
      <c r="E64" s="168">
        <f>AVERAGE(E57:E59)</f>
        <v>-0.048</v>
      </c>
      <c r="F64" s="208"/>
      <c r="G64" s="209">
        <v>0.1</v>
      </c>
      <c r="H64" s="250">
        <f>AVERAGE(H57:H59)</f>
        <v>0.0766666666666667</v>
      </c>
      <c r="I64" s="251">
        <f>AVERAGE(I57:I59)</f>
        <v>0.058</v>
      </c>
      <c r="J64" s="252"/>
      <c r="K64" s="168">
        <v>-0.02</v>
      </c>
      <c r="L64" s="250">
        <f>AVERAGE(L57:L59)</f>
        <v>0.0233333333333333</v>
      </c>
      <c r="M64" s="251">
        <f>AVERAGE(M57:M59)</f>
        <v>-0.209666666666667</v>
      </c>
      <c r="N64" s="40"/>
      <c r="AB64" s="139" t="s">
        <v>130</v>
      </c>
      <c r="AC64" s="33">
        <v>-0.0106317347003847</v>
      </c>
      <c r="AD64" s="33">
        <v>-0.0629447194507371</v>
      </c>
      <c r="AE64" s="33">
        <v>-0.0729072425931296</v>
      </c>
      <c r="AF64" s="45"/>
      <c r="AG64" s="45">
        <v>0.14</v>
      </c>
      <c r="AH64" s="45"/>
    </row>
    <row r="65" ht="14.75" hidden="1" outlineLevel="1" spans="2:34">
      <c r="B65" s="163" t="s">
        <v>58</v>
      </c>
      <c r="C65" s="168">
        <v>-0.01</v>
      </c>
      <c r="D65" s="168">
        <v>-0.04</v>
      </c>
      <c r="E65" s="168">
        <f>AVERAGE(E61:E64)</f>
        <v>-0.0520233325086883</v>
      </c>
      <c r="F65" s="208" t="e">
        <f t="shared" ref="F65:M65" si="1">AVERAGE(F61:F64)</f>
        <v>#DIV/0!</v>
      </c>
      <c r="G65" s="209" t="e">
        <f t="shared" si="1"/>
        <v>#REF!</v>
      </c>
      <c r="H65" s="250" t="e">
        <f t="shared" si="1"/>
        <v>#REF!</v>
      </c>
      <c r="I65" s="253">
        <f t="shared" si="1"/>
        <v>0.127898040175052</v>
      </c>
      <c r="J65" s="39" t="e">
        <f t="shared" si="1"/>
        <v>#DIV/0!</v>
      </c>
      <c r="K65" s="254" t="e">
        <f t="shared" si="1"/>
        <v>#REF!</v>
      </c>
      <c r="L65" s="255" t="e">
        <f t="shared" si="1"/>
        <v>#REF!</v>
      </c>
      <c r="M65" s="251">
        <f t="shared" si="1"/>
        <v>-0.252416666666667</v>
      </c>
      <c r="N65" s="40"/>
      <c r="AB65" s="139"/>
      <c r="AC65" s="33"/>
      <c r="AD65" s="33"/>
      <c r="AE65" s="33"/>
      <c r="AF65" s="45"/>
      <c r="AG65" s="45"/>
      <c r="AH65" s="45"/>
    </row>
    <row r="66" hidden="1" outlineLevel="1" spans="2:34">
      <c r="B66" s="256" t="s">
        <v>131</v>
      </c>
      <c r="AB66" s="139" t="s">
        <v>132</v>
      </c>
      <c r="AC66" s="33">
        <v>0.004</v>
      </c>
      <c r="AD66" s="33">
        <v>-0.05</v>
      </c>
      <c r="AE66" s="33">
        <v>-0.046</v>
      </c>
      <c r="AF66" s="45"/>
      <c r="AG66" s="45"/>
      <c r="AH66" s="45"/>
    </row>
    <row r="67" hidden="1" outlineLevel="1" spans="2:34">
      <c r="B67" s="256"/>
      <c r="AB67" s="139"/>
      <c r="AC67" s="33"/>
      <c r="AD67" s="33"/>
      <c r="AE67" s="33"/>
      <c r="AF67" s="45"/>
      <c r="AG67" s="45"/>
      <c r="AH67" s="45"/>
    </row>
    <row r="68" hidden="1" outlineLevel="1" spans="2:34">
      <c r="B68" s="256"/>
      <c r="AB68" s="139"/>
      <c r="AC68" s="33"/>
      <c r="AD68" s="33"/>
      <c r="AE68" s="33"/>
      <c r="AF68" s="45"/>
      <c r="AG68" s="45"/>
      <c r="AH68" s="45"/>
    </row>
    <row r="69" hidden="1" outlineLevel="1" spans="2:34">
      <c r="B69" s="256"/>
      <c r="I69" s="139"/>
      <c r="J69" s="139"/>
      <c r="K69" s="257" t="s">
        <v>62</v>
      </c>
      <c r="L69" s="258"/>
      <c r="M69" s="40"/>
      <c r="N69" s="40"/>
      <c r="AB69" s="139"/>
      <c r="AC69" s="33"/>
      <c r="AD69" s="33"/>
      <c r="AE69" s="33"/>
      <c r="AF69" s="45"/>
      <c r="AG69" s="45"/>
      <c r="AH69" s="45"/>
    </row>
    <row r="70" ht="28" hidden="1" outlineLevel="1" spans="2:34">
      <c r="B70" s="256"/>
      <c r="I70" s="139"/>
      <c r="J70" s="139"/>
      <c r="K70" s="18" t="s">
        <v>93</v>
      </c>
      <c r="L70" s="18" t="s">
        <v>12</v>
      </c>
      <c r="M70" s="40"/>
      <c r="N70" s="40"/>
      <c r="AB70" s="139"/>
      <c r="AC70" s="33"/>
      <c r="AD70" s="33"/>
      <c r="AE70" s="33"/>
      <c r="AF70" s="45"/>
      <c r="AG70" s="45"/>
      <c r="AH70" s="45"/>
    </row>
    <row r="71" hidden="1" outlineLevel="1" spans="2:34">
      <c r="I71" s="139" t="s">
        <v>57</v>
      </c>
      <c r="J71" s="139"/>
      <c r="K71" s="33" t="e">
        <f>'[8]CAAC Data'!$R$15</f>
        <v>#REF!</v>
      </c>
      <c r="L71" s="33" t="e">
        <f>'[8]Top4 Intl.+Reg'!$R$11</f>
        <v>#REF!</v>
      </c>
      <c r="AB71" s="139" t="s">
        <v>133</v>
      </c>
      <c r="AC71" s="33">
        <v>0.037</v>
      </c>
      <c r="AD71" s="33">
        <v>-0.027</v>
      </c>
      <c r="AE71" s="33">
        <v>0.0085</v>
      </c>
      <c r="AF71" s="45"/>
      <c r="AG71" s="45">
        <v>0.12</v>
      </c>
      <c r="AH71" s="45"/>
    </row>
    <row r="72" hidden="1" outlineLevel="1" spans="2:34">
      <c r="I72" s="247" t="s">
        <v>58</v>
      </c>
      <c r="J72" s="139"/>
      <c r="K72" s="33" t="e">
        <f>'[8]CAAC Data'!$N$15</f>
        <v>#REF!</v>
      </c>
      <c r="L72" s="33" t="e">
        <f>'[8]Top4 Intl.+Reg'!$S$11</f>
        <v>#REF!</v>
      </c>
      <c r="R72" s="37"/>
      <c r="S72" s="117" t="s">
        <v>83</v>
      </c>
      <c r="W72" s="196" t="s">
        <v>84</v>
      </c>
      <c r="X72" s="259"/>
      <c r="AB72" s="139" t="s">
        <v>134</v>
      </c>
      <c r="AC72" s="33">
        <v>-0.0627510837722396</v>
      </c>
      <c r="AD72" s="33">
        <v>-0.0331489195539794</v>
      </c>
      <c r="AE72" s="33">
        <v>-0.0938198726983285</v>
      </c>
      <c r="AF72" s="45"/>
      <c r="AG72" s="45">
        <v>0.14</v>
      </c>
      <c r="AH72" s="45"/>
    </row>
    <row r="73" ht="14.75" hidden="1" outlineLevel="1" spans="2:34">
      <c r="B73" s="260" t="s">
        <v>135</v>
      </c>
      <c r="C73" s="261"/>
      <c r="D73" s="261"/>
      <c r="E73" s="261"/>
      <c r="F73" s="261"/>
      <c r="G73" s="262"/>
      <c r="H73" s="262"/>
      <c r="I73" s="262"/>
      <c r="J73" s="261"/>
      <c r="K73" s="263" t="s">
        <v>86</v>
      </c>
      <c r="L73" s="263"/>
      <c r="M73" s="263"/>
      <c r="N73" s="263"/>
      <c r="O73" s="261"/>
      <c r="P73" s="261"/>
      <c r="Q73" s="261"/>
      <c r="R73" s="260" t="s">
        <v>135</v>
      </c>
      <c r="S73" s="261"/>
      <c r="T73" s="261"/>
      <c r="U73" s="261"/>
      <c r="V73" s="261"/>
      <c r="W73" s="261"/>
      <c r="X73" s="261"/>
      <c r="AB73" s="139" t="s">
        <v>136</v>
      </c>
      <c r="AC73" s="33">
        <v>-0.102525336777386</v>
      </c>
      <c r="AD73" s="33">
        <v>-0.0279132415275392</v>
      </c>
      <c r="AE73" s="33">
        <v>-0.127576763816764</v>
      </c>
      <c r="AF73" s="45"/>
      <c r="AG73" s="45"/>
      <c r="AH73" s="45"/>
    </row>
    <row r="74" hidden="1" outlineLevel="1" spans="2:34">
      <c r="B74" s="1" t="s">
        <v>137</v>
      </c>
      <c r="C74" s="264" t="s">
        <v>6</v>
      </c>
      <c r="D74" s="265"/>
      <c r="E74" s="266"/>
      <c r="F74" s="3"/>
      <c r="G74" s="225" t="s">
        <v>60</v>
      </c>
      <c r="H74" s="226"/>
      <c r="I74" s="69" t="s">
        <v>61</v>
      </c>
      <c r="J74" s="7"/>
      <c r="K74" s="267" t="s">
        <v>62</v>
      </c>
      <c r="L74" s="268"/>
      <c r="M74" s="10" t="s">
        <v>89</v>
      </c>
      <c r="N74" s="10" t="s">
        <v>89</v>
      </c>
      <c r="R74" s="231" t="s">
        <v>138</v>
      </c>
      <c r="S74" s="189" t="s">
        <v>63</v>
      </c>
      <c r="T74" s="190"/>
      <c r="U74" s="191"/>
      <c r="V74" s="12"/>
      <c r="W74" s="192" t="s">
        <v>91</v>
      </c>
      <c r="X74" s="192" t="s">
        <v>64</v>
      </c>
      <c r="AB74" s="139" t="s">
        <v>139</v>
      </c>
      <c r="AC74" s="33">
        <v>0.148490606584194</v>
      </c>
      <c r="AD74" s="33">
        <v>-0.105245936097742</v>
      </c>
      <c r="AE74" s="33">
        <v>0.0276166375947755</v>
      </c>
      <c r="AF74" s="45"/>
      <c r="AG74" s="45">
        <v>0.11</v>
      </c>
      <c r="AH74" s="45"/>
    </row>
    <row r="75" ht="42" hidden="1" outlineLevel="1" spans="2:34">
      <c r="B75" s="11" t="s">
        <v>7</v>
      </c>
      <c r="C75" s="12" t="s">
        <v>8</v>
      </c>
      <c r="D75" s="12" t="s">
        <v>9</v>
      </c>
      <c r="E75" s="12" t="s">
        <v>10</v>
      </c>
      <c r="F75" s="13"/>
      <c r="G75" s="14" t="s">
        <v>11</v>
      </c>
      <c r="H75" s="15" t="s">
        <v>12</v>
      </c>
      <c r="I75" s="19" t="s">
        <v>65</v>
      </c>
      <c r="J75" s="17"/>
      <c r="K75" s="75" t="s">
        <v>140</v>
      </c>
      <c r="L75" s="76" t="s">
        <v>141</v>
      </c>
      <c r="M75" s="19" t="s">
        <v>94</v>
      </c>
      <c r="N75" s="19" t="s">
        <v>142</v>
      </c>
      <c r="R75" s="129" t="s">
        <v>66</v>
      </c>
      <c r="S75" s="12" t="s">
        <v>8</v>
      </c>
      <c r="T75" s="12" t="s">
        <v>9</v>
      </c>
      <c r="U75" s="12" t="s">
        <v>10</v>
      </c>
      <c r="V75" s="12"/>
      <c r="W75" s="192" t="s">
        <v>95</v>
      </c>
      <c r="X75" s="192" t="s">
        <v>67</v>
      </c>
      <c r="AB75" s="139" t="s">
        <v>143</v>
      </c>
      <c r="AC75" s="33">
        <v>-0.0295607341156011</v>
      </c>
      <c r="AD75" s="33">
        <v>-0.0744864792788831</v>
      </c>
      <c r="AE75" s="33">
        <v>-0.101845338385315</v>
      </c>
      <c r="AF75" s="45"/>
      <c r="AG75" s="45">
        <v>0.06</v>
      </c>
      <c r="AH75" s="45"/>
    </row>
    <row r="76" hidden="1" outlineLevel="1" spans="2:34">
      <c r="B76" s="20" t="s">
        <v>15</v>
      </c>
      <c r="C76" s="21">
        <v>-0.03</v>
      </c>
      <c r="D76" s="21">
        <v>-0.01</v>
      </c>
      <c r="E76" s="21">
        <v>-0.05</v>
      </c>
      <c r="F76" s="22"/>
      <c r="G76" s="23">
        <v>0.11</v>
      </c>
      <c r="H76" s="24">
        <v>0.07</v>
      </c>
      <c r="I76" s="27">
        <v>0.121</v>
      </c>
      <c r="J76" s="26"/>
      <c r="K76" s="23">
        <v>0.09</v>
      </c>
      <c r="L76" s="24">
        <v>0.08</v>
      </c>
      <c r="M76" s="27">
        <f>92.4%-100%</f>
        <v>-0.076</v>
      </c>
      <c r="N76" s="26">
        <v>-0.12</v>
      </c>
      <c r="R76" s="139" t="s">
        <v>123</v>
      </c>
      <c r="S76" s="45">
        <v>-0.047</v>
      </c>
      <c r="T76" s="45">
        <v>0.001</v>
      </c>
      <c r="U76" s="45">
        <v>-0.047</v>
      </c>
      <c r="V76" s="45"/>
      <c r="W76" s="45">
        <v>0.1</v>
      </c>
      <c r="X76" s="45"/>
      <c r="AB76" s="139" t="s">
        <v>144</v>
      </c>
      <c r="AC76" s="33">
        <v>-0.0713358438130777</v>
      </c>
      <c r="AD76" s="33">
        <v>-0.0931231051559116</v>
      </c>
      <c r="AE76" s="33">
        <v>-0.157815933684198</v>
      </c>
      <c r="AF76" s="45"/>
      <c r="AG76" s="45">
        <v>0.07</v>
      </c>
      <c r="AH76" s="45"/>
    </row>
    <row r="77" hidden="1" outlineLevel="1" spans="2:34">
      <c r="B77" s="20" t="s">
        <v>17</v>
      </c>
      <c r="C77" s="21">
        <v>0.1</v>
      </c>
      <c r="D77" s="21">
        <v>-0.14</v>
      </c>
      <c r="E77" s="21">
        <v>-0.04</v>
      </c>
      <c r="F77" s="22"/>
      <c r="G77" s="23">
        <v>-0.03</v>
      </c>
      <c r="H77" s="24">
        <v>-0.04</v>
      </c>
      <c r="I77" s="27">
        <v>0.012</v>
      </c>
      <c r="J77" s="26"/>
      <c r="K77" s="23">
        <v>-0.05</v>
      </c>
      <c r="L77" s="24">
        <v>-0.05</v>
      </c>
      <c r="M77" s="27">
        <f>86.3%-1</f>
        <v>-0.137</v>
      </c>
      <c r="N77" s="26">
        <v>-0.15</v>
      </c>
      <c r="R77" s="139" t="s">
        <v>145</v>
      </c>
      <c r="S77" s="45">
        <v>-0.017</v>
      </c>
      <c r="T77" s="45">
        <v>0.001</v>
      </c>
      <c r="U77" s="45">
        <v>-0.017</v>
      </c>
      <c r="V77" s="45"/>
      <c r="W77" s="45">
        <v>0.13</v>
      </c>
      <c r="X77" s="45"/>
      <c r="AB77" s="139" t="s">
        <v>146</v>
      </c>
      <c r="AC77" s="33">
        <v>-0.039</v>
      </c>
      <c r="AD77" s="33">
        <v>-0.104</v>
      </c>
      <c r="AE77" s="33">
        <v>-0.139</v>
      </c>
      <c r="AF77" s="45"/>
      <c r="AG77" s="45">
        <v>0.09</v>
      </c>
      <c r="AH77" s="45"/>
    </row>
    <row r="78" hidden="1" outlineLevel="1" spans="2:34">
      <c r="B78" s="28" t="s">
        <v>20</v>
      </c>
      <c r="C78" s="21">
        <v>-0.02</v>
      </c>
      <c r="D78" s="21">
        <v>-0.06</v>
      </c>
      <c r="E78" s="21">
        <v>-0.08</v>
      </c>
      <c r="F78" s="22"/>
      <c r="G78" s="23">
        <v>0.02</v>
      </c>
      <c r="H78" s="24">
        <v>0.01</v>
      </c>
      <c r="I78" s="27">
        <v>0.049</v>
      </c>
      <c r="J78" s="26"/>
      <c r="K78" s="23">
        <v>-0.03</v>
      </c>
      <c r="L78" s="24">
        <v>-0.02</v>
      </c>
      <c r="M78" s="27">
        <f>0.855-1</f>
        <v>-0.145</v>
      </c>
      <c r="N78" s="26">
        <v>-0.2</v>
      </c>
      <c r="R78" s="139" t="s">
        <v>147</v>
      </c>
      <c r="S78" s="45">
        <v>-0.005</v>
      </c>
      <c r="T78" s="45">
        <v>0.003</v>
      </c>
      <c r="U78" s="45">
        <v>-0.002</v>
      </c>
      <c r="V78" s="45"/>
      <c r="W78" s="45">
        <v>0.16</v>
      </c>
      <c r="X78" s="45"/>
      <c r="AB78" s="139" t="s">
        <v>148</v>
      </c>
      <c r="AC78" s="33">
        <v>-0.012</v>
      </c>
      <c r="AD78" s="33">
        <v>-0.08</v>
      </c>
      <c r="AE78" s="33">
        <v>-0.09</v>
      </c>
      <c r="AF78" s="45"/>
      <c r="AG78" s="45">
        <v>0.13</v>
      </c>
      <c r="AH78" s="45"/>
    </row>
    <row r="79" hidden="1" outlineLevel="1" spans="2:34">
      <c r="B79" s="28" t="s">
        <v>22</v>
      </c>
      <c r="C79" s="147">
        <v>-0.03</v>
      </c>
      <c r="D79" s="147">
        <v>-0.07</v>
      </c>
      <c r="E79" s="147">
        <v>-0.09</v>
      </c>
      <c r="F79" s="201"/>
      <c r="G79" s="202">
        <v>0.07</v>
      </c>
      <c r="H79" s="149">
        <v>0.08</v>
      </c>
      <c r="I79" s="27">
        <v>0.06</v>
      </c>
      <c r="J79" s="26"/>
      <c r="K79" s="202">
        <v>0.01</v>
      </c>
      <c r="L79" s="149">
        <v>0.02</v>
      </c>
      <c r="M79" s="27">
        <f>0.891-1</f>
        <v>-0.109</v>
      </c>
      <c r="N79" s="26">
        <v>-0.16</v>
      </c>
      <c r="R79" s="139" t="s">
        <v>149</v>
      </c>
      <c r="S79" s="45">
        <v>0.365</v>
      </c>
      <c r="T79" s="45">
        <v>-0.073</v>
      </c>
      <c r="U79" s="45">
        <v>0.266</v>
      </c>
      <c r="V79" s="45"/>
      <c r="W79" s="45">
        <v>0.14</v>
      </c>
      <c r="X79" s="45"/>
      <c r="AB79" s="139" t="s">
        <v>150</v>
      </c>
      <c r="AC79" s="33">
        <v>-0.022</v>
      </c>
      <c r="AD79" s="33">
        <v>-0.1</v>
      </c>
      <c r="AE79" s="33">
        <v>-0.12</v>
      </c>
      <c r="AF79" s="45"/>
      <c r="AG79" s="45">
        <v>0.12</v>
      </c>
      <c r="AH79" s="45"/>
    </row>
    <row r="80" hidden="1" outlineLevel="1" spans="2:34">
      <c r="B80" s="28" t="s">
        <v>24</v>
      </c>
      <c r="C80" s="147">
        <v>-0.04</v>
      </c>
      <c r="D80" s="147">
        <v>-0.06</v>
      </c>
      <c r="E80" s="147">
        <v>-0.1</v>
      </c>
      <c r="F80" s="201"/>
      <c r="G80" s="202">
        <v>0.07</v>
      </c>
      <c r="H80" s="149">
        <v>0.06</v>
      </c>
      <c r="I80" s="27">
        <v>0.126</v>
      </c>
      <c r="J80" s="26"/>
      <c r="K80" s="202">
        <v>0.02</v>
      </c>
      <c r="L80" s="149">
        <v>0.03</v>
      </c>
      <c r="M80" s="27">
        <f>87.6%-1</f>
        <v>-0.124</v>
      </c>
      <c r="N80" s="26">
        <v>-0.18</v>
      </c>
      <c r="R80" s="139" t="s">
        <v>151</v>
      </c>
      <c r="S80" s="45">
        <v>-0.195</v>
      </c>
      <c r="T80" s="45">
        <v>-0.382</v>
      </c>
      <c r="U80" s="45">
        <v>-0.5</v>
      </c>
      <c r="V80" s="45"/>
      <c r="W80" s="45">
        <v>-0.04</v>
      </c>
      <c r="X80" s="45"/>
      <c r="AB80" s="139" t="s">
        <v>152</v>
      </c>
      <c r="AC80" s="33">
        <v>-0.014</v>
      </c>
      <c r="AD80" s="33">
        <v>-0.103</v>
      </c>
      <c r="AE80" s="33">
        <v>-0.115</v>
      </c>
      <c r="AF80" s="45"/>
      <c r="AG80" s="45">
        <v>0.14</v>
      </c>
      <c r="AH80" s="45"/>
    </row>
    <row r="81" hidden="1" outlineLevel="1" spans="2:34">
      <c r="B81" s="20" t="s">
        <v>27</v>
      </c>
      <c r="C81" s="147">
        <f>AVERAGE(S99:S102)</f>
        <v>-0.0305</v>
      </c>
      <c r="D81" s="147">
        <f>AVERAGE(T99:T102)</f>
        <v>-0.05275</v>
      </c>
      <c r="E81" s="147">
        <f>AVERAGE(U99:U102)</f>
        <v>-0.081</v>
      </c>
      <c r="F81" s="201"/>
      <c r="G81" s="202">
        <v>0.03</v>
      </c>
      <c r="H81" s="149">
        <v>0.02</v>
      </c>
      <c r="I81" s="27">
        <v>0.036</v>
      </c>
      <c r="J81" s="26"/>
      <c r="K81" s="202">
        <v>0.01</v>
      </c>
      <c r="L81" s="149">
        <v>0.04</v>
      </c>
      <c r="M81" s="27">
        <f>87.1%-1</f>
        <v>-0.129</v>
      </c>
      <c r="N81" s="26">
        <v>-0.17</v>
      </c>
      <c r="R81" s="269" t="s">
        <v>153</v>
      </c>
      <c r="S81" s="270">
        <v>-0.07</v>
      </c>
      <c r="T81" s="270">
        <v>-0.026</v>
      </c>
      <c r="U81" s="270">
        <v>-0.12</v>
      </c>
      <c r="V81" s="270"/>
      <c r="W81" s="270">
        <v>0.03</v>
      </c>
      <c r="X81" s="270">
        <v>0.05</v>
      </c>
      <c r="AA81" s="117" t="s">
        <v>154</v>
      </c>
      <c r="AB81" s="139" t="s">
        <v>155</v>
      </c>
      <c r="AC81" s="33">
        <v>-0.007</v>
      </c>
      <c r="AD81" s="33">
        <v>-0.08</v>
      </c>
      <c r="AE81" s="33">
        <v>-0.086</v>
      </c>
      <c r="AF81" s="45"/>
      <c r="AG81" s="45">
        <v>0.12</v>
      </c>
      <c r="AH81" s="45"/>
    </row>
    <row r="82" hidden="1" outlineLevel="1" spans="2:34">
      <c r="B82" s="20" t="s">
        <v>30</v>
      </c>
      <c r="C82" s="147">
        <f>AVERAGE(S103:S107)</f>
        <v>-0.04456</v>
      </c>
      <c r="D82" s="147">
        <f>AVERAGE(T103:T107)</f>
        <v>-0.0156</v>
      </c>
      <c r="E82" s="147">
        <f>AVERAGE(U103:U107)</f>
        <v>-0.05962</v>
      </c>
      <c r="F82" s="201"/>
      <c r="G82" s="202">
        <v>0.03</v>
      </c>
      <c r="H82" s="149">
        <v>0.03</v>
      </c>
      <c r="I82" s="27">
        <v>0.066</v>
      </c>
      <c r="J82" s="26"/>
      <c r="K82" s="202">
        <v>0.03</v>
      </c>
      <c r="L82" s="149">
        <v>0.05</v>
      </c>
      <c r="M82" s="27">
        <f>89.1%-1</f>
        <v>-0.109</v>
      </c>
      <c r="N82" s="26">
        <v>-0.15</v>
      </c>
      <c r="R82" s="271" t="s">
        <v>156</v>
      </c>
      <c r="S82" s="272"/>
      <c r="T82" s="272"/>
      <c r="U82" s="272"/>
      <c r="V82" s="270"/>
      <c r="W82" s="270">
        <v>0.072</v>
      </c>
      <c r="X82" s="270">
        <v>0.05</v>
      </c>
      <c r="AB82" s="139" t="s">
        <v>157</v>
      </c>
      <c r="AC82" s="33">
        <v>-0.0221971206809428</v>
      </c>
      <c r="AD82" s="33">
        <v>-0.0815722057683781</v>
      </c>
      <c r="AE82" s="33">
        <v>-0.101958658353671</v>
      </c>
      <c r="AF82" s="45"/>
      <c r="AG82" s="45">
        <v>0.11</v>
      </c>
      <c r="AH82" s="45"/>
    </row>
    <row r="83" hidden="1" outlineLevel="1" spans="2:34">
      <c r="B83" s="20" t="s">
        <v>33</v>
      </c>
      <c r="C83" s="147">
        <f>AVERAGE(S108:S111)</f>
        <v>-0.0125</v>
      </c>
      <c r="D83" s="147">
        <f>AVERAGE(T108:T111)</f>
        <v>-0.0225</v>
      </c>
      <c r="E83" s="147">
        <f>AVERAGE(U108:U111)</f>
        <v>-0.035</v>
      </c>
      <c r="F83" s="201"/>
      <c r="G83" s="202">
        <v>0.02</v>
      </c>
      <c r="H83" s="149">
        <v>0.02</v>
      </c>
      <c r="I83" s="27">
        <v>0.065</v>
      </c>
      <c r="J83" s="26"/>
      <c r="K83" s="202">
        <v>0.05</v>
      </c>
      <c r="L83" s="149">
        <v>0.09</v>
      </c>
      <c r="M83" s="27">
        <f>88.6%-1</f>
        <v>-0.114</v>
      </c>
      <c r="N83" s="26"/>
      <c r="R83" s="273" t="s">
        <v>158</v>
      </c>
      <c r="S83" s="274">
        <v>-0.084</v>
      </c>
      <c r="T83" s="274">
        <v>-0.055</v>
      </c>
      <c r="U83" s="274">
        <v>-0.134</v>
      </c>
      <c r="V83" s="270"/>
      <c r="W83" s="270"/>
      <c r="X83" s="270"/>
      <c r="AB83" s="139" t="s">
        <v>159</v>
      </c>
      <c r="AC83" s="33">
        <v>0.0238141312434252</v>
      </c>
      <c r="AD83" s="33">
        <v>-0.0633827656028907</v>
      </c>
      <c r="AE83" s="33">
        <v>-0.041078039858104</v>
      </c>
      <c r="AF83" s="45"/>
      <c r="AG83" s="45">
        <v>0.15</v>
      </c>
      <c r="AH83" s="45"/>
    </row>
    <row r="84" hidden="1" outlineLevel="1" spans="2:34">
      <c r="B84" s="20" t="s">
        <v>36</v>
      </c>
      <c r="C84" s="147">
        <f>AVERAGE(S112:S115)</f>
        <v>-0.000249999999999993</v>
      </c>
      <c r="D84" s="147">
        <f>AVERAGE(T112:T115)</f>
        <v>0.008</v>
      </c>
      <c r="E84" s="147">
        <f>AVERAGE(U112:U115)</f>
        <v>0.00975</v>
      </c>
      <c r="F84" s="201"/>
      <c r="G84" s="202">
        <v>0.04</v>
      </c>
      <c r="H84" s="149">
        <v>0.03</v>
      </c>
      <c r="I84" s="27">
        <v>-0.002</v>
      </c>
      <c r="J84" s="26"/>
      <c r="K84" s="202">
        <v>0.06</v>
      </c>
      <c r="L84" s="149">
        <v>0.07</v>
      </c>
      <c r="M84" s="27">
        <f>85.7%-1</f>
        <v>-0.143</v>
      </c>
      <c r="N84" s="26"/>
      <c r="R84" s="139" t="s">
        <v>160</v>
      </c>
      <c r="S84" s="21">
        <v>0.227</v>
      </c>
      <c r="T84" s="45">
        <v>-0.082</v>
      </c>
      <c r="U84" s="45">
        <v>0.126</v>
      </c>
      <c r="V84" s="45"/>
      <c r="W84" s="45">
        <v>-0.03</v>
      </c>
      <c r="X84" s="45"/>
      <c r="AB84" s="139" t="s">
        <v>161</v>
      </c>
      <c r="AC84" s="33">
        <v>0.105</v>
      </c>
      <c r="AD84" s="33">
        <v>-0.026</v>
      </c>
      <c r="AE84" s="33">
        <v>0.076</v>
      </c>
      <c r="AF84" s="139"/>
      <c r="AG84" s="45">
        <v>0.08</v>
      </c>
      <c r="AH84" s="139"/>
    </row>
    <row r="85" hidden="1" outlineLevel="2" spans="2:34">
      <c r="B85" s="20" t="s">
        <v>39</v>
      </c>
      <c r="C85" s="147">
        <f>AVERAGE(S116:S120)</f>
        <v>-0.0268</v>
      </c>
      <c r="D85" s="147">
        <f>AVERAGE(T116:T120)</f>
        <v>0.059</v>
      </c>
      <c r="E85" s="147">
        <f>AVERAGE(U116:U120)</f>
        <v>0.0308</v>
      </c>
      <c r="F85" s="201"/>
      <c r="G85" s="202">
        <v>0.04</v>
      </c>
      <c r="H85" s="149">
        <v>0.04</v>
      </c>
      <c r="I85" s="27">
        <v>0.101</v>
      </c>
      <c r="J85" s="26"/>
      <c r="K85" s="202">
        <v>0.15</v>
      </c>
      <c r="L85" s="149">
        <v>0.19</v>
      </c>
      <c r="M85" s="27">
        <f>90%-1</f>
        <v>-0.1</v>
      </c>
      <c r="N85" s="26"/>
      <c r="R85" s="139" t="s">
        <v>162</v>
      </c>
      <c r="S85" s="21">
        <v>0.01</v>
      </c>
      <c r="T85" s="45">
        <v>-0.05</v>
      </c>
      <c r="U85" s="45">
        <v>-0.04</v>
      </c>
      <c r="V85" s="45"/>
      <c r="W85" s="45">
        <v>-0.04</v>
      </c>
      <c r="X85" s="45"/>
      <c r="AB85" s="139" t="s">
        <v>163</v>
      </c>
      <c r="AC85" s="33">
        <v>-0.022</v>
      </c>
      <c r="AD85" s="33">
        <v>-0.045</v>
      </c>
      <c r="AE85" s="33">
        <v>-0.066</v>
      </c>
      <c r="AF85" s="45"/>
      <c r="AG85" s="45">
        <v>0.14</v>
      </c>
      <c r="AH85" s="45"/>
    </row>
    <row r="86" hidden="1" outlineLevel="2" spans="2:34">
      <c r="B86" s="20" t="s">
        <v>42</v>
      </c>
      <c r="C86" s="147">
        <f>AVERAGE(S121:S124)</f>
        <v>-0.0125</v>
      </c>
      <c r="D86" s="147">
        <f t="shared" ref="D86:E86" si="2">AVERAGE(T121:T124)</f>
        <v>0.0375</v>
      </c>
      <c r="E86" s="147">
        <f t="shared" si="2"/>
        <v>0.02</v>
      </c>
      <c r="F86" s="149"/>
      <c r="G86" s="202">
        <v>0.05</v>
      </c>
      <c r="H86" s="149">
        <v>0.05</v>
      </c>
      <c r="I86" s="27">
        <v>0.089</v>
      </c>
      <c r="J86" s="26"/>
      <c r="K86" s="202">
        <v>0.14</v>
      </c>
      <c r="L86" s="149">
        <v>0.18</v>
      </c>
      <c r="M86" s="27">
        <f>85.8%-1</f>
        <v>-0.142</v>
      </c>
      <c r="N86" s="26"/>
      <c r="R86" s="139" t="s">
        <v>164</v>
      </c>
      <c r="S86" s="21">
        <v>-0.05</v>
      </c>
      <c r="T86" s="45">
        <v>-0.01</v>
      </c>
      <c r="U86" s="45">
        <v>-0.06</v>
      </c>
      <c r="V86" s="45"/>
      <c r="W86" s="45">
        <v>0.02</v>
      </c>
      <c r="X86" s="45"/>
      <c r="AB86" s="139" t="s">
        <v>165</v>
      </c>
      <c r="AC86" s="33">
        <v>-0.082</v>
      </c>
      <c r="AD86" s="33">
        <v>-0.055</v>
      </c>
      <c r="AE86" s="33">
        <v>-0.133</v>
      </c>
      <c r="AF86" s="45"/>
      <c r="AG86" s="45">
        <v>0.13</v>
      </c>
      <c r="AH86" s="45"/>
    </row>
    <row r="87" ht="14.75" hidden="1" outlineLevel="2" spans="2:34">
      <c r="B87" s="20" t="s">
        <v>45</v>
      </c>
      <c r="C87" s="147">
        <f>AVERAGE(S125:S129)</f>
        <v>-0.006</v>
      </c>
      <c r="D87" s="147">
        <f t="shared" ref="D87:E87" si="3">AVERAGE(T125:T129)</f>
        <v>0.06</v>
      </c>
      <c r="E87" s="147">
        <f t="shared" si="3"/>
        <v>0.058</v>
      </c>
      <c r="F87" s="201"/>
      <c r="G87" s="275">
        <v>0.06</v>
      </c>
      <c r="H87" s="276">
        <v>0.07</v>
      </c>
      <c r="I87" s="81">
        <v>0.085</v>
      </c>
      <c r="J87" s="26"/>
      <c r="K87" s="275">
        <v>0.09</v>
      </c>
      <c r="L87" s="276">
        <v>0.11</v>
      </c>
      <c r="M87" s="81">
        <f>84.4%-1</f>
        <v>-0.156</v>
      </c>
      <c r="N87" s="26"/>
      <c r="R87" s="139" t="s">
        <v>166</v>
      </c>
      <c r="S87" s="21">
        <v>-0.035</v>
      </c>
      <c r="T87" s="45">
        <v>-0.082</v>
      </c>
      <c r="U87" s="45">
        <v>-0.115</v>
      </c>
      <c r="V87" s="45"/>
      <c r="W87" s="45">
        <v>0.05</v>
      </c>
      <c r="X87" s="45"/>
      <c r="AB87" s="139" t="s">
        <v>167</v>
      </c>
      <c r="AC87" s="45">
        <v>-0.14</v>
      </c>
      <c r="AD87" s="45">
        <v>-0.03</v>
      </c>
      <c r="AE87" s="45">
        <v>-0.17</v>
      </c>
      <c r="AF87" s="45"/>
      <c r="AG87" s="45">
        <v>0.07</v>
      </c>
      <c r="AH87" s="45"/>
    </row>
    <row r="88" hidden="1" outlineLevel="1" collapsed="1" spans="2:34">
      <c r="B88" s="277" t="s">
        <v>48</v>
      </c>
      <c r="C88" s="278"/>
      <c r="D88" s="278"/>
      <c r="E88" s="278"/>
      <c r="F88" s="279"/>
      <c r="G88" s="280"/>
      <c r="H88" s="281"/>
      <c r="I88" s="282"/>
      <c r="J88" s="283"/>
      <c r="K88" s="280"/>
      <c r="L88" s="281"/>
      <c r="M88" s="282"/>
      <c r="N88" s="130"/>
      <c r="R88" s="139" t="s">
        <v>168</v>
      </c>
      <c r="S88" s="21">
        <v>0</v>
      </c>
      <c r="T88" s="45">
        <v>-0.06</v>
      </c>
      <c r="U88" s="45">
        <v>-0.06</v>
      </c>
      <c r="V88" s="45"/>
      <c r="W88" s="45">
        <v>0.06</v>
      </c>
      <c r="X88" s="45"/>
      <c r="AB88" s="139" t="s">
        <v>169</v>
      </c>
      <c r="AC88" s="45">
        <v>0.19</v>
      </c>
      <c r="AD88" s="45">
        <v>-0.16</v>
      </c>
      <c r="AE88" s="45">
        <v>0</v>
      </c>
      <c r="AF88" s="139"/>
      <c r="AG88" s="45">
        <v>0.14</v>
      </c>
      <c r="AH88" s="139"/>
    </row>
    <row r="89" hidden="1" outlineLevel="1" spans="2:34">
      <c r="B89" s="32" t="s">
        <v>54</v>
      </c>
      <c r="C89" s="33">
        <f>AVERAGE(C76:C78)</f>
        <v>0.0166666666666667</v>
      </c>
      <c r="D89" s="33">
        <f>AVERAGE(D76:D78)</f>
        <v>-0.07</v>
      </c>
      <c r="E89" s="33">
        <f>AVERAGE(E76:E78)</f>
        <v>-0.0566666666666667</v>
      </c>
      <c r="F89" s="284"/>
      <c r="G89" s="285">
        <f>AVERAGE(G76:G78)</f>
        <v>0.0333333333333333</v>
      </c>
      <c r="H89" s="33">
        <f>AVERAGE(H76:H78)</f>
        <v>0.0133333333333333</v>
      </c>
      <c r="I89" s="286">
        <f>AVERAGE(I76:I78)</f>
        <v>0.0606666666666667</v>
      </c>
      <c r="J89" s="287"/>
      <c r="K89" s="285">
        <f>AVERAGE(K76:K78)</f>
        <v>0.00333333333333333</v>
      </c>
      <c r="L89" s="33">
        <f>AVERAGE(L76:L78)</f>
        <v>0.00333333333333333</v>
      </c>
      <c r="M89" s="286">
        <f>AVERAGE(M76:M78)</f>
        <v>-0.119333333333333</v>
      </c>
      <c r="N89" s="40">
        <f>AVERAGE(N76:N78)</f>
        <v>-0.156666666666667</v>
      </c>
      <c r="R89" s="139" t="s">
        <v>170</v>
      </c>
      <c r="S89" s="21">
        <v>-0.03</v>
      </c>
      <c r="T89" s="45">
        <v>-0.08</v>
      </c>
      <c r="U89" s="45">
        <v>-0.1</v>
      </c>
      <c r="V89" s="45"/>
      <c r="W89" s="45">
        <v>0.04</v>
      </c>
      <c r="X89" s="45"/>
      <c r="AB89" s="139" t="s">
        <v>171</v>
      </c>
      <c r="AC89" s="45">
        <v>0.14</v>
      </c>
      <c r="AD89" s="45">
        <v>-0.09</v>
      </c>
      <c r="AE89" s="45">
        <v>0.03</v>
      </c>
      <c r="AF89" s="139"/>
      <c r="AG89" s="45">
        <v>0.12</v>
      </c>
      <c r="AH89" s="139"/>
    </row>
    <row r="90" hidden="1" outlineLevel="1" spans="2:34">
      <c r="B90" s="32" t="s">
        <v>55</v>
      </c>
      <c r="C90" s="33">
        <f>AVERAGE(C79:C81)</f>
        <v>-0.0335</v>
      </c>
      <c r="D90" s="33">
        <f>AVERAGE(D79:D81)</f>
        <v>-0.0609166666666667</v>
      </c>
      <c r="E90" s="33">
        <f>AVERAGE(E79:E81)</f>
        <v>-0.0903333333333333</v>
      </c>
      <c r="F90" s="38"/>
      <c r="G90" s="33">
        <f>AVERAGE(G79:G81)</f>
        <v>0.0566666666666667</v>
      </c>
      <c r="H90" s="33">
        <f>AVERAGE(H79:H81)</f>
        <v>0.0533333333333333</v>
      </c>
      <c r="I90" s="38">
        <f>AVERAGE(I79:I81)</f>
        <v>0.074</v>
      </c>
      <c r="J90" s="39"/>
      <c r="K90" s="285">
        <f>AVERAGE(K79:K81)</f>
        <v>0.0133333333333333</v>
      </c>
      <c r="L90" s="33">
        <f>AVERAGE(L79:L81)</f>
        <v>0.03</v>
      </c>
      <c r="M90" s="38">
        <f>AVERAGE(M79:M81)</f>
        <v>-0.120666666666667</v>
      </c>
      <c r="N90" s="40">
        <f>AVERAGE(N79:N81)</f>
        <v>-0.17</v>
      </c>
      <c r="R90" s="139" t="s">
        <v>172</v>
      </c>
      <c r="S90" s="21">
        <v>0.04</v>
      </c>
      <c r="T90" s="45">
        <v>-0.08</v>
      </c>
      <c r="U90" s="45">
        <v>-0.05</v>
      </c>
      <c r="V90" s="45"/>
      <c r="W90" s="45">
        <v>0.08</v>
      </c>
      <c r="X90" s="45"/>
    </row>
    <row r="91" hidden="1" outlineLevel="1" spans="2:34">
      <c r="B91" s="32" t="s">
        <v>56</v>
      </c>
      <c r="C91" s="33">
        <f>AVERAGE(C82:C84)</f>
        <v>-0.0191033333333333</v>
      </c>
      <c r="D91" s="33">
        <f>AVERAGE(D82:D84)</f>
        <v>-0.0100333333333333</v>
      </c>
      <c r="E91" s="33">
        <f>AVERAGE(E82:E84)</f>
        <v>-0.02829</v>
      </c>
      <c r="F91" s="38"/>
      <c r="G91" s="35">
        <f>AVERAGE(G82:G84)</f>
        <v>0.03</v>
      </c>
      <c r="H91" s="34">
        <f>AVERAGE(H82:H84)</f>
        <v>0.0266666666666667</v>
      </c>
      <c r="I91" s="38">
        <f>AVERAGE(I82:I84)</f>
        <v>0.043</v>
      </c>
      <c r="J91" s="40"/>
      <c r="K91" s="35">
        <f>AVERAGE(K82:K84)</f>
        <v>0.0466666666666667</v>
      </c>
      <c r="L91" s="34">
        <f>AVERAGE(L82:L84)</f>
        <v>0.07</v>
      </c>
      <c r="M91" s="38">
        <f>AVERAGE(M82:M84)</f>
        <v>-0.122</v>
      </c>
      <c r="N91" s="40"/>
      <c r="R91" s="139" t="s">
        <v>173</v>
      </c>
      <c r="S91" s="21">
        <v>-0.1</v>
      </c>
      <c r="T91" s="45">
        <v>-0.1</v>
      </c>
      <c r="U91" s="45">
        <v>-0.19</v>
      </c>
      <c r="V91" s="45"/>
      <c r="W91" s="45">
        <v>0.05</v>
      </c>
      <c r="X91" s="45"/>
    </row>
    <row r="92" ht="14.75" hidden="1" outlineLevel="2" spans="2:34">
      <c r="B92" s="163" t="s">
        <v>57</v>
      </c>
      <c r="C92" s="168">
        <f>AVERAGE(C85:C87)</f>
        <v>-0.0151</v>
      </c>
      <c r="D92" s="168">
        <f t="shared" ref="D92:E92" si="4">AVERAGE(D85:D87)</f>
        <v>0.0521666666666667</v>
      </c>
      <c r="E92" s="168">
        <f t="shared" si="4"/>
        <v>0.0362666666666667</v>
      </c>
      <c r="F92" s="288"/>
      <c r="G92" s="209">
        <f>AVERAGE(G85:G87)</f>
        <v>0.05</v>
      </c>
      <c r="H92" s="250">
        <f>AVERAGE(H85:H87)</f>
        <v>0.0533333333333333</v>
      </c>
      <c r="I92" s="170">
        <f>AVERAGE(I85:I87)</f>
        <v>0.0916666666666667</v>
      </c>
      <c r="J92" s="252"/>
      <c r="K92" s="209">
        <f>AVERAGE(K85:K87)</f>
        <v>0.126666666666667</v>
      </c>
      <c r="L92" s="250">
        <f>AVERAGE(L85:L87)</f>
        <v>0.16</v>
      </c>
      <c r="M92" s="170">
        <f>AVERAGE(M85:M87)</f>
        <v>-0.132666666666667</v>
      </c>
      <c r="N92" s="40"/>
      <c r="R92" s="139" t="s">
        <v>174</v>
      </c>
      <c r="S92" s="21">
        <v>-0.02</v>
      </c>
      <c r="T92" s="45">
        <v>-0.06</v>
      </c>
      <c r="U92" s="45">
        <v>-0.08</v>
      </c>
      <c r="V92" s="45"/>
      <c r="W92" s="45">
        <v>0.11</v>
      </c>
      <c r="X92" s="45"/>
    </row>
    <row r="93" hidden="1" outlineLevel="1" collapsed="1" spans="2:34">
      <c r="B93" s="277" t="s">
        <v>175</v>
      </c>
      <c r="C93" s="278"/>
      <c r="D93" s="278"/>
      <c r="E93" s="278"/>
      <c r="F93" s="279"/>
      <c r="G93" s="280"/>
      <c r="H93" s="281"/>
      <c r="I93" s="282"/>
      <c r="J93" s="289"/>
      <c r="K93" s="280"/>
      <c r="L93" s="281"/>
      <c r="M93" s="282"/>
      <c r="N93" s="40"/>
      <c r="R93" s="139" t="s">
        <v>176</v>
      </c>
      <c r="S93" s="21">
        <v>-0.02</v>
      </c>
      <c r="T93" s="45">
        <v>-0.07</v>
      </c>
      <c r="U93" s="45">
        <v>-0.09</v>
      </c>
      <c r="V93" s="45"/>
      <c r="W93" s="45">
        <v>0.11</v>
      </c>
      <c r="X93" s="45"/>
    </row>
    <row r="94" hidden="1" outlineLevel="1" spans="2:34">
      <c r="B94" s="290" t="s">
        <v>177</v>
      </c>
      <c r="C94" s="21">
        <v>-0.05</v>
      </c>
      <c r="D94" s="21">
        <v>0.04</v>
      </c>
      <c r="E94" s="21">
        <v>0</v>
      </c>
      <c r="F94" s="38"/>
      <c r="G94" s="35"/>
      <c r="H94" s="34"/>
      <c r="I94" s="38"/>
      <c r="J94" s="40"/>
      <c r="K94" s="35"/>
      <c r="L94" s="34"/>
      <c r="M94" s="38"/>
      <c r="N94" s="40"/>
      <c r="R94" s="139" t="s">
        <v>178</v>
      </c>
      <c r="S94" s="21">
        <v>0.03</v>
      </c>
      <c r="T94" s="45">
        <v>-0.06</v>
      </c>
      <c r="U94" s="45">
        <v>-0.03</v>
      </c>
      <c r="V94" s="45"/>
      <c r="W94" s="45">
        <v>0.15</v>
      </c>
      <c r="X94" s="45"/>
    </row>
    <row r="95" hidden="1" outlineLevel="1" spans="2:34">
      <c r="B95" s="290" t="s">
        <v>179</v>
      </c>
      <c r="C95" s="21">
        <v>-0.04</v>
      </c>
      <c r="D95" s="21">
        <v>0.03</v>
      </c>
      <c r="E95" s="21">
        <v>-0.02</v>
      </c>
      <c r="F95" s="38"/>
      <c r="G95" s="35"/>
      <c r="H95" s="34"/>
      <c r="I95" s="38"/>
      <c r="J95" s="40"/>
      <c r="K95" s="35"/>
      <c r="L95" s="34"/>
      <c r="M95" s="38"/>
      <c r="N95" s="40"/>
      <c r="R95" s="139" t="s">
        <v>180</v>
      </c>
      <c r="S95" s="21">
        <v>-0.02</v>
      </c>
      <c r="T95" s="45">
        <v>-0.024</v>
      </c>
      <c r="U95" s="45">
        <v>-0.043</v>
      </c>
      <c r="V95" s="45"/>
      <c r="W95" s="45">
        <v>0.09</v>
      </c>
      <c r="X95" s="45"/>
    </row>
    <row r="96" hidden="1" outlineLevel="1" spans="2:34">
      <c r="B96" s="290" t="s">
        <v>181</v>
      </c>
      <c r="C96" s="21">
        <v>-0.02</v>
      </c>
      <c r="D96" s="21">
        <v>0.03</v>
      </c>
      <c r="E96" s="21">
        <v>0.01</v>
      </c>
      <c r="F96" s="38"/>
      <c r="G96" s="35"/>
      <c r="H96" s="34"/>
      <c r="I96" s="38"/>
      <c r="J96" s="40"/>
      <c r="K96" s="35"/>
      <c r="L96" s="34"/>
      <c r="M96" s="38"/>
      <c r="N96" s="40"/>
      <c r="R96" s="139" t="s">
        <v>182</v>
      </c>
      <c r="S96" s="21">
        <v>-0.04</v>
      </c>
      <c r="T96" s="45">
        <v>-0.08</v>
      </c>
      <c r="U96" s="45">
        <v>-0.114</v>
      </c>
      <c r="V96" s="45"/>
      <c r="W96" s="45">
        <v>0.07</v>
      </c>
      <c r="X96" s="45"/>
    </row>
    <row r="97" hidden="1" outlineLevel="1" spans="2:24">
      <c r="B97" s="290" t="s">
        <v>183</v>
      </c>
      <c r="C97" s="21">
        <v>-0.02</v>
      </c>
      <c r="D97" s="21">
        <v>0.07</v>
      </c>
      <c r="E97" s="21">
        <v>0.05</v>
      </c>
      <c r="F97" s="38"/>
      <c r="G97" s="35"/>
      <c r="H97" s="34"/>
      <c r="I97" s="38"/>
      <c r="J97" s="40"/>
      <c r="K97" s="35"/>
      <c r="L97" s="34"/>
      <c r="M97" s="38"/>
      <c r="N97" s="40"/>
      <c r="R97" s="139" t="s">
        <v>184</v>
      </c>
      <c r="S97" s="21">
        <v>-0.02</v>
      </c>
      <c r="T97" s="45">
        <v>-0.09</v>
      </c>
      <c r="U97" s="45">
        <v>-0.1</v>
      </c>
      <c r="V97" s="45"/>
      <c r="W97" s="45">
        <v>0.06</v>
      </c>
      <c r="X97" s="45"/>
    </row>
    <row r="98" hidden="1" outlineLevel="1" spans="2:24">
      <c r="B98" s="290" t="s">
        <v>185</v>
      </c>
      <c r="C98" s="21">
        <v>0.1</v>
      </c>
      <c r="D98" s="21">
        <v>0.13</v>
      </c>
      <c r="E98" s="21">
        <v>0.25</v>
      </c>
      <c r="F98" s="38"/>
      <c r="G98" s="35"/>
      <c r="H98" s="34"/>
      <c r="I98" s="38"/>
      <c r="J98" s="40"/>
      <c r="K98" s="35"/>
      <c r="L98" s="34"/>
      <c r="M98" s="38"/>
      <c r="N98" s="40"/>
      <c r="R98" s="139" t="s">
        <v>186</v>
      </c>
      <c r="S98" s="21">
        <v>-0.07</v>
      </c>
      <c r="T98" s="45">
        <v>-0.07</v>
      </c>
      <c r="U98" s="45">
        <v>-0.13</v>
      </c>
      <c r="V98" s="45"/>
      <c r="W98" s="45">
        <v>0.07</v>
      </c>
      <c r="X98" s="45"/>
    </row>
    <row r="99" ht="14.75" hidden="1" outlineLevel="1" spans="2:24">
      <c r="B99" s="291" t="s">
        <v>187</v>
      </c>
      <c r="C99" s="80">
        <v>-0.11</v>
      </c>
      <c r="D99" s="80">
        <v>-0.04</v>
      </c>
      <c r="E99" s="80">
        <v>-0.14</v>
      </c>
      <c r="F99" s="288"/>
      <c r="G99" s="209"/>
      <c r="H99" s="250"/>
      <c r="I99" s="170"/>
      <c r="J99" s="252"/>
      <c r="K99" s="209"/>
      <c r="L99" s="250"/>
      <c r="M99" s="170"/>
      <c r="N99" s="40"/>
      <c r="R99" s="139" t="s">
        <v>188</v>
      </c>
      <c r="S99" s="21">
        <v>-0.07</v>
      </c>
      <c r="T99" s="45">
        <v>-0.1</v>
      </c>
      <c r="U99" s="45">
        <v>-0.16</v>
      </c>
      <c r="V99" s="45"/>
      <c r="W99" s="45">
        <v>0.05</v>
      </c>
      <c r="X99" s="45"/>
    </row>
    <row r="100" hidden="1" outlineLevel="1" spans="2:24">
      <c r="B100" s="292" t="s">
        <v>189</v>
      </c>
      <c r="L100" s="40"/>
      <c r="M100" s="40"/>
      <c r="N100" s="40"/>
      <c r="R100" s="139" t="s">
        <v>190</v>
      </c>
      <c r="S100" s="21">
        <v>0.033</v>
      </c>
      <c r="T100" s="45">
        <v>-0.088</v>
      </c>
      <c r="U100" s="45">
        <v>-0.058</v>
      </c>
      <c r="V100" s="45"/>
      <c r="W100" s="45">
        <v>0.05</v>
      </c>
      <c r="X100" s="45"/>
    </row>
    <row r="101" hidden="1" outlineLevel="1" spans="2:24">
      <c r="N101" s="40"/>
      <c r="R101" s="139" t="s">
        <v>191</v>
      </c>
      <c r="S101" s="21">
        <v>-0.055</v>
      </c>
      <c r="T101" s="45">
        <v>-0.018</v>
      </c>
      <c r="U101" s="45">
        <v>-0.072</v>
      </c>
      <c r="V101" s="45"/>
      <c r="W101" s="45">
        <v>0.03</v>
      </c>
      <c r="X101" s="45"/>
    </row>
    <row r="102" hidden="1" outlineLevel="1" spans="2:24">
      <c r="B102" s="108"/>
      <c r="C102" s="40"/>
      <c r="D102" s="40"/>
      <c r="E102" s="40"/>
      <c r="F102" s="39"/>
      <c r="G102" s="40"/>
      <c r="H102" s="40"/>
      <c r="I102" s="40"/>
      <c r="J102" s="39"/>
      <c r="K102" s="40"/>
      <c r="L102" s="40"/>
      <c r="M102" s="40"/>
      <c r="N102" s="40"/>
      <c r="R102" s="139" t="s">
        <v>192</v>
      </c>
      <c r="S102" s="21">
        <v>-0.03</v>
      </c>
      <c r="T102" s="45">
        <v>-0.005</v>
      </c>
      <c r="U102" s="45">
        <v>-0.034</v>
      </c>
      <c r="V102" s="45"/>
      <c r="W102" s="45">
        <v>0.06</v>
      </c>
      <c r="X102" s="45"/>
    </row>
    <row r="103" hidden="1" outlineLevel="1" spans="2:24">
      <c r="B103" s="108"/>
      <c r="C103" s="40"/>
      <c r="D103" s="40"/>
      <c r="E103" s="40"/>
      <c r="F103" s="39"/>
      <c r="G103" s="40"/>
      <c r="H103" s="40"/>
      <c r="I103" s="40"/>
      <c r="J103" s="39"/>
      <c r="K103" s="40"/>
      <c r="L103" s="40"/>
      <c r="M103" s="40"/>
      <c r="N103" s="40"/>
      <c r="R103" s="139" t="s">
        <v>193</v>
      </c>
      <c r="S103" s="21">
        <v>-0.052</v>
      </c>
      <c r="T103" s="45">
        <v>-0.026</v>
      </c>
      <c r="U103" s="45">
        <v>-0.077</v>
      </c>
      <c r="V103" s="45"/>
      <c r="W103" s="45"/>
      <c r="X103" s="45"/>
    </row>
    <row r="104" hidden="1" outlineLevel="1" spans="2:24">
      <c r="R104" s="139" t="s">
        <v>194</v>
      </c>
      <c r="S104" s="21">
        <v>-0.0448</v>
      </c>
      <c r="T104" s="45">
        <v>-0.003</v>
      </c>
      <c r="U104" s="45">
        <v>-0.048</v>
      </c>
      <c r="V104" s="45"/>
      <c r="W104" s="45">
        <v>0.05</v>
      </c>
      <c r="X104" s="45"/>
    </row>
    <row r="105" hidden="1" outlineLevel="1" spans="2:24">
      <c r="R105" s="139" t="s">
        <v>195</v>
      </c>
      <c r="S105" s="21">
        <v>-0.047</v>
      </c>
      <c r="T105" s="45">
        <v>-0.026</v>
      </c>
      <c r="U105" s="45">
        <v>-0.072</v>
      </c>
      <c r="V105" s="45"/>
      <c r="W105" s="45">
        <v>0.02</v>
      </c>
      <c r="X105" s="45"/>
    </row>
    <row r="106" hidden="1" outlineLevel="1" spans="2:24">
      <c r="R106" s="139" t="s">
        <v>196</v>
      </c>
      <c r="S106" s="21">
        <v>-0.042</v>
      </c>
      <c r="T106" s="45">
        <v>-0.014</v>
      </c>
      <c r="U106" s="45">
        <v>-0.0551</v>
      </c>
      <c r="V106" s="45"/>
      <c r="W106" s="45">
        <v>0.05</v>
      </c>
      <c r="X106" s="45"/>
    </row>
    <row r="107" hidden="1" outlineLevel="1" spans="2:24">
      <c r="R107" s="139" t="s">
        <v>197</v>
      </c>
      <c r="S107" s="21">
        <v>-0.037</v>
      </c>
      <c r="T107" s="21">
        <v>-0.009</v>
      </c>
      <c r="U107" s="21">
        <v>-0.046</v>
      </c>
      <c r="V107" s="45"/>
      <c r="W107" s="45">
        <v>0.02</v>
      </c>
      <c r="X107" s="45"/>
    </row>
    <row r="108" hidden="1" outlineLevel="1" spans="2:24">
      <c r="R108" s="293" t="s">
        <v>198</v>
      </c>
      <c r="S108" s="21">
        <v>-0.037</v>
      </c>
      <c r="T108" s="21">
        <v>-0.012</v>
      </c>
      <c r="U108" s="21">
        <v>-0.049</v>
      </c>
      <c r="V108" s="45"/>
      <c r="W108" s="21">
        <v>0.03</v>
      </c>
      <c r="X108" s="45"/>
    </row>
    <row r="109" hidden="1" outlineLevel="1" spans="2:24">
      <c r="R109" s="293" t="s">
        <v>199</v>
      </c>
      <c r="S109" s="21">
        <v>0.007</v>
      </c>
      <c r="T109" s="21">
        <v>0.002</v>
      </c>
      <c r="U109" s="21">
        <v>0.009</v>
      </c>
      <c r="V109" s="45"/>
      <c r="W109" s="21">
        <v>0.04</v>
      </c>
      <c r="X109" s="45"/>
    </row>
    <row r="110" hidden="1" outlineLevel="1" spans="2:24">
      <c r="R110" s="293" t="s">
        <v>200</v>
      </c>
      <c r="S110" s="21">
        <v>-0.01</v>
      </c>
      <c r="T110" s="21">
        <v>-0.01</v>
      </c>
      <c r="U110" s="21">
        <v>-0.02</v>
      </c>
      <c r="V110" s="45"/>
      <c r="W110" s="21">
        <v>0.04</v>
      </c>
      <c r="X110" s="45"/>
    </row>
    <row r="111" hidden="1" outlineLevel="1" spans="2:24">
      <c r="R111" s="293" t="s">
        <v>201</v>
      </c>
      <c r="S111" s="21">
        <v>-0.01</v>
      </c>
      <c r="T111" s="21">
        <v>-0.07</v>
      </c>
      <c r="U111" s="21">
        <v>-0.08</v>
      </c>
      <c r="V111" s="45"/>
      <c r="W111" s="21">
        <v>0.03</v>
      </c>
      <c r="X111" s="45"/>
    </row>
    <row r="112" hidden="1" outlineLevel="1" spans="2:24">
      <c r="R112" s="293" t="s">
        <v>202</v>
      </c>
      <c r="S112" s="21">
        <v>-0.12</v>
      </c>
      <c r="T112" s="21">
        <v>-0.02</v>
      </c>
      <c r="U112" s="21">
        <v>-0.14</v>
      </c>
      <c r="V112" s="45"/>
      <c r="W112" s="21">
        <v>0.04</v>
      </c>
      <c r="X112" s="45"/>
    </row>
    <row r="113" hidden="1" outlineLevel="1" spans="18:24">
      <c r="R113" s="293" t="s">
        <v>203</v>
      </c>
      <c r="S113" s="21">
        <v>0.04</v>
      </c>
      <c r="T113" s="21">
        <v>0.02</v>
      </c>
      <c r="U113" s="21">
        <v>0.07</v>
      </c>
      <c r="V113" s="45"/>
      <c r="W113" s="21">
        <v>0.05</v>
      </c>
      <c r="X113" s="45"/>
    </row>
    <row r="114" hidden="1" outlineLevel="1" spans="18:24">
      <c r="R114" s="293" t="s">
        <v>204</v>
      </c>
      <c r="S114" s="21">
        <v>0.14</v>
      </c>
      <c r="T114" s="21">
        <v>0.01</v>
      </c>
      <c r="U114" s="21">
        <v>0.15</v>
      </c>
      <c r="V114" s="45"/>
      <c r="W114" s="21">
        <v>0.14</v>
      </c>
      <c r="X114" s="45"/>
    </row>
    <row r="115" hidden="1" outlineLevel="1" spans="18:24">
      <c r="R115" s="293" t="s">
        <v>205</v>
      </c>
      <c r="S115" s="21">
        <v>-0.061</v>
      </c>
      <c r="T115" s="21">
        <v>0.022</v>
      </c>
      <c r="U115" s="21">
        <v>-0.041</v>
      </c>
      <c r="V115" s="45"/>
      <c r="W115" s="21">
        <v>-0.03</v>
      </c>
      <c r="X115" s="45"/>
    </row>
    <row r="116" hidden="1" outlineLevel="1" spans="18:24">
      <c r="R116" s="293" t="s">
        <v>206</v>
      </c>
      <c r="S116" s="21">
        <v>-0.071</v>
      </c>
      <c r="T116" s="21">
        <v>0.058</v>
      </c>
      <c r="U116" s="21">
        <v>-0.017</v>
      </c>
      <c r="V116" s="45"/>
      <c r="W116" s="21"/>
      <c r="X116" s="45"/>
    </row>
    <row r="117" hidden="1" outlineLevel="1" spans="18:24">
      <c r="R117" s="293" t="s">
        <v>207</v>
      </c>
      <c r="S117" s="21">
        <v>-0.022</v>
      </c>
      <c r="T117" s="21">
        <v>0.15</v>
      </c>
      <c r="U117" s="21">
        <v>0.124</v>
      </c>
      <c r="V117" s="45"/>
      <c r="W117" s="21">
        <v>0.08</v>
      </c>
      <c r="X117" s="45"/>
    </row>
    <row r="118" hidden="1" outlineLevel="1" spans="18:24">
      <c r="R118" s="293" t="s">
        <v>208</v>
      </c>
      <c r="S118" s="21">
        <v>-0.04</v>
      </c>
      <c r="T118" s="21">
        <v>0.02</v>
      </c>
      <c r="U118" s="21">
        <v>-0.02</v>
      </c>
      <c r="V118" s="45"/>
      <c r="W118" s="21">
        <v>0.05</v>
      </c>
      <c r="X118" s="45"/>
    </row>
    <row r="119" hidden="1" outlineLevel="1" spans="18:24">
      <c r="R119" s="293" t="s">
        <v>209</v>
      </c>
      <c r="S119" s="21">
        <v>-0.01</v>
      </c>
      <c r="T119" s="21">
        <v>0.02</v>
      </c>
      <c r="U119" s="21">
        <v>0.01</v>
      </c>
      <c r="V119" s="45"/>
      <c r="W119" s="21">
        <v>0.05</v>
      </c>
      <c r="X119" s="45"/>
    </row>
    <row r="120" hidden="1" outlineLevel="1" spans="18:24">
      <c r="R120" s="293" t="s">
        <v>210</v>
      </c>
      <c r="S120" s="21">
        <v>0.009</v>
      </c>
      <c r="T120" s="21">
        <v>0.047</v>
      </c>
      <c r="U120" s="21">
        <v>0.057</v>
      </c>
      <c r="V120" s="45"/>
      <c r="W120" s="21">
        <v>0.08</v>
      </c>
      <c r="X120" s="45"/>
    </row>
    <row r="121" hidden="1" outlineLevel="1" spans="18:24">
      <c r="R121" s="293" t="s">
        <v>211</v>
      </c>
      <c r="S121" s="21">
        <v>-0.02</v>
      </c>
      <c r="T121" s="21">
        <v>0.04</v>
      </c>
      <c r="U121" s="21">
        <v>0.02</v>
      </c>
      <c r="V121" s="45"/>
      <c r="W121" s="21">
        <v>0.05</v>
      </c>
      <c r="X121" s="45"/>
    </row>
    <row r="122" hidden="1" outlineLevel="1" spans="18:24">
      <c r="R122" s="293" t="s">
        <v>212</v>
      </c>
      <c r="S122" s="21">
        <v>0.01</v>
      </c>
      <c r="T122" s="21">
        <v>0.03</v>
      </c>
      <c r="U122" s="21">
        <v>0.04</v>
      </c>
      <c r="V122" s="45"/>
      <c r="W122" s="21">
        <v>0.07</v>
      </c>
      <c r="X122" s="45"/>
    </row>
    <row r="123" hidden="1" outlineLevel="1" spans="18:24">
      <c r="R123" s="293" t="s">
        <v>213</v>
      </c>
      <c r="S123" s="21">
        <v>-0.02</v>
      </c>
      <c r="T123" s="21">
        <v>0.05</v>
      </c>
      <c r="U123" s="21">
        <v>0.02</v>
      </c>
      <c r="V123" s="45"/>
      <c r="W123" s="21">
        <v>0.06</v>
      </c>
      <c r="X123" s="45"/>
    </row>
    <row r="124" hidden="1" outlineLevel="1" spans="18:24">
      <c r="R124" s="293" t="s">
        <v>214</v>
      </c>
      <c r="S124" s="21">
        <v>-0.02</v>
      </c>
      <c r="T124" s="21">
        <v>0.03</v>
      </c>
      <c r="U124" s="21">
        <v>0</v>
      </c>
      <c r="V124" s="45"/>
      <c r="W124" s="21">
        <v>0.07</v>
      </c>
      <c r="X124" s="45"/>
    </row>
    <row r="125" hidden="1" outlineLevel="1" spans="18:24">
      <c r="R125" s="293" t="s">
        <v>177</v>
      </c>
      <c r="S125" s="21">
        <v>-0.05</v>
      </c>
      <c r="T125" s="21">
        <v>0.04</v>
      </c>
      <c r="U125" s="21">
        <v>0</v>
      </c>
      <c r="V125" s="45"/>
      <c r="W125" s="21">
        <v>0.07</v>
      </c>
      <c r="X125" s="45"/>
    </row>
    <row r="126" hidden="1" outlineLevel="1" spans="18:24">
      <c r="R126" s="293" t="s">
        <v>179</v>
      </c>
      <c r="S126" s="21">
        <v>-0.04</v>
      </c>
      <c r="T126" s="21">
        <v>0.03</v>
      </c>
      <c r="U126" s="21">
        <v>-0.02</v>
      </c>
      <c r="V126" s="45"/>
      <c r="W126" s="21">
        <v>0.04</v>
      </c>
      <c r="X126" s="45"/>
    </row>
    <row r="127" hidden="1" outlineLevel="1" spans="18:24">
      <c r="R127" s="293" t="s">
        <v>181</v>
      </c>
      <c r="S127" s="21">
        <v>-0.02</v>
      </c>
      <c r="T127" s="21">
        <v>0.03</v>
      </c>
      <c r="U127" s="21">
        <v>0.01</v>
      </c>
      <c r="V127" s="45"/>
      <c r="W127" s="21">
        <v>0.05</v>
      </c>
      <c r="X127" s="45"/>
    </row>
    <row r="128" hidden="1" outlineLevel="1" spans="18:24">
      <c r="R128" s="293" t="s">
        <v>183</v>
      </c>
      <c r="S128" s="21">
        <v>-0.02</v>
      </c>
      <c r="T128" s="21">
        <v>0.07</v>
      </c>
      <c r="U128" s="21">
        <v>0.05</v>
      </c>
      <c r="V128" s="45"/>
      <c r="W128" s="21">
        <v>0.06</v>
      </c>
      <c r="X128" s="45"/>
    </row>
    <row r="129" hidden="1" outlineLevel="1" spans="2:24">
      <c r="R129" s="293" t="s">
        <v>185</v>
      </c>
      <c r="S129" s="21">
        <v>0.1</v>
      </c>
      <c r="T129" s="21">
        <v>0.13</v>
      </c>
      <c r="U129" s="21">
        <v>0.25</v>
      </c>
      <c r="V129" s="45"/>
      <c r="W129" s="21">
        <v>0.13</v>
      </c>
      <c r="X129" s="45"/>
    </row>
    <row r="130" hidden="1" outlineLevel="1" spans="2:24">
      <c r="R130" s="139" t="s">
        <v>187</v>
      </c>
      <c r="S130" s="45">
        <v>-0.11</v>
      </c>
      <c r="T130" s="45">
        <v>-0.04</v>
      </c>
      <c r="U130" s="45">
        <v>-0.14</v>
      </c>
      <c r="V130" s="45"/>
      <c r="W130" s="45">
        <v>-0.02</v>
      </c>
      <c r="X130" s="45"/>
    </row>
    <row r="131" hidden="1" outlineLevel="1" spans="2:24">
      <c r="R131" s="139" t="s">
        <v>215</v>
      </c>
      <c r="S131" s="45">
        <v>-0.07</v>
      </c>
      <c r="T131" s="45">
        <v>-0.06</v>
      </c>
      <c r="U131" s="45">
        <v>-0.13</v>
      </c>
      <c r="V131" s="45"/>
      <c r="W131" s="45">
        <v>-0.05</v>
      </c>
      <c r="X131" s="45"/>
    </row>
    <row r="132" hidden="1" outlineLevel="1" spans="2:24">
      <c r="R132" s="108" t="s">
        <v>216</v>
      </c>
      <c r="X132" s="294" t="s">
        <v>217</v>
      </c>
    </row>
    <row r="133" hidden="1" outlineLevel="1" spans="2:24">
      <c r="R133" s="108"/>
    </row>
    <row r="134" hidden="1" outlineLevel="1" spans="2:24">
      <c r="R134" s="108"/>
    </row>
    <row r="135" ht="14.75" hidden="1" outlineLevel="1" spans="2:24">
      <c r="B135" s="260" t="s">
        <v>135</v>
      </c>
      <c r="C135" s="261"/>
      <c r="D135" s="261"/>
      <c r="E135" s="261"/>
      <c r="F135" s="261"/>
      <c r="G135" s="262"/>
      <c r="H135" s="262"/>
      <c r="I135" s="262"/>
      <c r="J135" s="261"/>
      <c r="K135" s="263" t="s">
        <v>86</v>
      </c>
      <c r="L135" s="263"/>
      <c r="M135" s="263"/>
      <c r="N135" s="263"/>
      <c r="O135" s="261"/>
      <c r="P135" s="261"/>
      <c r="Q135" s="261"/>
      <c r="R135" s="260" t="s">
        <v>135</v>
      </c>
      <c r="S135" s="261"/>
      <c r="T135" s="261"/>
      <c r="U135" s="261"/>
      <c r="V135" s="261"/>
      <c r="W135" s="261"/>
      <c r="X135" s="261"/>
    </row>
    <row r="136" hidden="1" outlineLevel="1" spans="2:24">
      <c r="B136" s="1" t="s">
        <v>137</v>
      </c>
      <c r="C136" s="264" t="s">
        <v>6</v>
      </c>
      <c r="D136" s="265"/>
      <c r="E136" s="266"/>
      <c r="F136" s="3"/>
      <c r="G136" s="225" t="s">
        <v>60</v>
      </c>
      <c r="H136" s="226"/>
      <c r="I136" s="69" t="s">
        <v>61</v>
      </c>
      <c r="J136" s="7"/>
      <c r="K136" s="267" t="s">
        <v>62</v>
      </c>
      <c r="L136" s="268"/>
      <c r="M136" s="10" t="s">
        <v>89</v>
      </c>
      <c r="N136" s="10" t="s">
        <v>89</v>
      </c>
      <c r="R136" s="231" t="s">
        <v>138</v>
      </c>
      <c r="S136" s="189" t="s">
        <v>63</v>
      </c>
      <c r="T136" s="190"/>
      <c r="U136" s="191"/>
      <c r="V136" s="12"/>
      <c r="W136" s="192" t="s">
        <v>91</v>
      </c>
      <c r="X136" s="192" t="s">
        <v>64</v>
      </c>
    </row>
    <row r="137" ht="42" hidden="1" outlineLevel="1" spans="2:24">
      <c r="B137" s="11" t="s">
        <v>7</v>
      </c>
      <c r="C137" s="12" t="s">
        <v>8</v>
      </c>
      <c r="D137" s="12" t="s">
        <v>9</v>
      </c>
      <c r="E137" s="12" t="s">
        <v>10</v>
      </c>
      <c r="F137" s="13"/>
      <c r="G137" s="14" t="s">
        <v>11</v>
      </c>
      <c r="H137" s="15" t="s">
        <v>12</v>
      </c>
      <c r="I137" s="19" t="s">
        <v>65</v>
      </c>
      <c r="J137" s="17"/>
      <c r="K137" s="75" t="s">
        <v>140</v>
      </c>
      <c r="L137" s="76" t="s">
        <v>141</v>
      </c>
      <c r="M137" s="19" t="s">
        <v>94</v>
      </c>
      <c r="N137" s="19" t="s">
        <v>142</v>
      </c>
      <c r="R137" s="129" t="s">
        <v>66</v>
      </c>
      <c r="S137" s="12" t="s">
        <v>8</v>
      </c>
      <c r="T137" s="12" t="s">
        <v>9</v>
      </c>
      <c r="U137" s="12" t="s">
        <v>10</v>
      </c>
      <c r="V137" s="12"/>
      <c r="W137" s="192" t="s">
        <v>95</v>
      </c>
      <c r="X137" s="192" t="s">
        <v>67</v>
      </c>
    </row>
    <row r="138" hidden="1" outlineLevel="1" spans="2:24">
      <c r="B138" s="20" t="s">
        <v>16</v>
      </c>
      <c r="C138" s="21">
        <v>-0.03</v>
      </c>
      <c r="D138" s="21">
        <v>-0.01</v>
      </c>
      <c r="E138" s="21">
        <v>-0.05</v>
      </c>
      <c r="F138" s="22"/>
      <c r="G138" s="23">
        <v>0.11</v>
      </c>
      <c r="H138" s="24">
        <v>0.07</v>
      </c>
      <c r="I138" s="27">
        <v>0.121</v>
      </c>
      <c r="J138" s="26"/>
      <c r="K138" s="23">
        <v>0.09</v>
      </c>
      <c r="L138" s="24">
        <v>0.08</v>
      </c>
      <c r="M138" s="27">
        <v>-0.076</v>
      </c>
      <c r="N138" s="26">
        <v>-0.12</v>
      </c>
      <c r="R138" s="293" t="s">
        <v>206</v>
      </c>
      <c r="S138" s="21">
        <v>-0.071</v>
      </c>
      <c r="T138" s="21">
        <v>0.058</v>
      </c>
      <c r="U138" s="21">
        <v>-0.017</v>
      </c>
      <c r="V138" s="45"/>
      <c r="W138" s="21"/>
      <c r="X138" s="45"/>
    </row>
    <row r="139" hidden="1" outlineLevel="1" spans="2:24">
      <c r="B139" s="20" t="s">
        <v>18</v>
      </c>
      <c r="C139" s="21">
        <v>0.1</v>
      </c>
      <c r="D139" s="21">
        <v>-0.14</v>
      </c>
      <c r="E139" s="21">
        <v>-0.04</v>
      </c>
      <c r="F139" s="22"/>
      <c r="G139" s="23">
        <v>-0.03</v>
      </c>
      <c r="H139" s="24">
        <v>-0.04</v>
      </c>
      <c r="I139" s="27">
        <v>0.012</v>
      </c>
      <c r="J139" s="26"/>
      <c r="K139" s="23">
        <v>-0.05</v>
      </c>
      <c r="L139" s="24">
        <v>-0.05</v>
      </c>
      <c r="M139" s="27">
        <v>-0.137</v>
      </c>
      <c r="N139" s="26">
        <v>-0.15</v>
      </c>
      <c r="R139" s="293" t="s">
        <v>207</v>
      </c>
      <c r="S139" s="21">
        <v>-0.022</v>
      </c>
      <c r="T139" s="21">
        <v>0.15</v>
      </c>
      <c r="U139" s="21">
        <v>0.124</v>
      </c>
      <c r="V139" s="45"/>
      <c r="W139" s="21">
        <v>0.08</v>
      </c>
      <c r="X139" s="45"/>
    </row>
    <row r="140" hidden="1" outlineLevel="1" spans="2:24">
      <c r="B140" s="28" t="s">
        <v>21</v>
      </c>
      <c r="C140" s="21">
        <v>-0.02</v>
      </c>
      <c r="D140" s="21">
        <v>-0.06</v>
      </c>
      <c r="E140" s="21">
        <v>-0.08</v>
      </c>
      <c r="F140" s="22"/>
      <c r="G140" s="23">
        <v>0.02</v>
      </c>
      <c r="H140" s="24">
        <v>0.01</v>
      </c>
      <c r="I140" s="27">
        <v>0.049</v>
      </c>
      <c r="J140" s="26"/>
      <c r="K140" s="23">
        <v>-0.03</v>
      </c>
      <c r="L140" s="24">
        <v>-0.02</v>
      </c>
      <c r="M140" s="27">
        <v>-0.145</v>
      </c>
      <c r="N140" s="26">
        <v>-0.2</v>
      </c>
      <c r="R140" s="293" t="s">
        <v>208</v>
      </c>
      <c r="S140" s="21">
        <v>-0.04</v>
      </c>
      <c r="T140" s="21">
        <v>0.02</v>
      </c>
      <c r="U140" s="21">
        <v>-0.02</v>
      </c>
      <c r="V140" s="45"/>
      <c r="W140" s="21">
        <v>0.05</v>
      </c>
      <c r="X140" s="45"/>
    </row>
    <row r="141" hidden="1" outlineLevel="1" spans="2:24">
      <c r="B141" s="28" t="s">
        <v>23</v>
      </c>
      <c r="C141" s="147">
        <v>-0.03</v>
      </c>
      <c r="D141" s="147">
        <v>-0.07</v>
      </c>
      <c r="E141" s="147">
        <v>-0.09</v>
      </c>
      <c r="F141" s="201"/>
      <c r="G141" s="202">
        <v>0.07</v>
      </c>
      <c r="H141" s="149">
        <v>0.08</v>
      </c>
      <c r="I141" s="27">
        <v>0.06</v>
      </c>
      <c r="J141" s="26"/>
      <c r="K141" s="202">
        <v>0.01</v>
      </c>
      <c r="L141" s="149">
        <v>0.02</v>
      </c>
      <c r="M141" s="27">
        <v>-0.109</v>
      </c>
      <c r="N141" s="26">
        <v>-0.16</v>
      </c>
      <c r="R141" s="293" t="s">
        <v>209</v>
      </c>
      <c r="S141" s="21">
        <v>-0.01</v>
      </c>
      <c r="T141" s="21">
        <v>0.02</v>
      </c>
      <c r="U141" s="21">
        <v>0.01</v>
      </c>
      <c r="V141" s="45"/>
      <c r="W141" s="21">
        <v>0.05</v>
      </c>
      <c r="X141" s="45"/>
    </row>
    <row r="142" hidden="1" outlineLevel="1" spans="2:24">
      <c r="B142" s="28" t="s">
        <v>25</v>
      </c>
      <c r="C142" s="147">
        <v>-0.04</v>
      </c>
      <c r="D142" s="147">
        <v>-0.06</v>
      </c>
      <c r="E142" s="147">
        <v>-0.1</v>
      </c>
      <c r="F142" s="201"/>
      <c r="G142" s="202">
        <v>0.07</v>
      </c>
      <c r="H142" s="149">
        <v>0.06</v>
      </c>
      <c r="I142" s="27">
        <v>0.126</v>
      </c>
      <c r="J142" s="26"/>
      <c r="K142" s="202">
        <v>0.02</v>
      </c>
      <c r="L142" s="149">
        <v>0.03</v>
      </c>
      <c r="M142" s="27">
        <v>-0.124</v>
      </c>
      <c r="N142" s="26">
        <v>-0.18</v>
      </c>
      <c r="R142" s="293" t="s">
        <v>210</v>
      </c>
      <c r="S142" s="21">
        <v>0.009</v>
      </c>
      <c r="T142" s="21">
        <v>0.047</v>
      </c>
      <c r="U142" s="21">
        <v>0.057</v>
      </c>
      <c r="V142" s="45"/>
      <c r="W142" s="21">
        <v>0.08</v>
      </c>
      <c r="X142" s="45"/>
    </row>
    <row r="143" hidden="1" outlineLevel="1" spans="2:24">
      <c r="B143" s="20" t="s">
        <v>28</v>
      </c>
      <c r="C143" s="147">
        <v>-0.0305</v>
      </c>
      <c r="D143" s="147">
        <v>-0.05275</v>
      </c>
      <c r="E143" s="147">
        <v>-0.081</v>
      </c>
      <c r="F143" s="201"/>
      <c r="G143" s="202">
        <v>0.03</v>
      </c>
      <c r="H143" s="149">
        <v>0.02</v>
      </c>
      <c r="I143" s="27">
        <v>0.036</v>
      </c>
      <c r="J143" s="26"/>
      <c r="K143" s="202">
        <v>0.01</v>
      </c>
      <c r="L143" s="149">
        <v>0.04</v>
      </c>
      <c r="M143" s="27">
        <v>-0.129</v>
      </c>
      <c r="N143" s="26">
        <v>-0.17</v>
      </c>
      <c r="R143" s="293" t="s">
        <v>211</v>
      </c>
      <c r="S143" s="21">
        <v>-0.02</v>
      </c>
      <c r="T143" s="21">
        <v>0.04</v>
      </c>
      <c r="U143" s="21">
        <v>0.02</v>
      </c>
      <c r="V143" s="45"/>
      <c r="W143" s="21">
        <v>0.05</v>
      </c>
      <c r="X143" s="45"/>
    </row>
    <row r="144" hidden="1" outlineLevel="1" spans="2:24">
      <c r="B144" s="20" t="s">
        <v>31</v>
      </c>
      <c r="C144" s="147">
        <v>-0.04456</v>
      </c>
      <c r="D144" s="147">
        <v>-0.0156</v>
      </c>
      <c r="E144" s="147">
        <v>-0.05962</v>
      </c>
      <c r="F144" s="201"/>
      <c r="G144" s="202">
        <v>0.03</v>
      </c>
      <c r="H144" s="149">
        <v>0.03</v>
      </c>
      <c r="I144" s="27">
        <v>0.066</v>
      </c>
      <c r="J144" s="26"/>
      <c r="K144" s="202">
        <v>0.03</v>
      </c>
      <c r="L144" s="149">
        <v>0.05</v>
      </c>
      <c r="M144" s="27">
        <v>-0.109</v>
      </c>
      <c r="N144" s="26">
        <v>-0.15</v>
      </c>
      <c r="R144" s="293" t="s">
        <v>212</v>
      </c>
      <c r="S144" s="21">
        <v>0.01</v>
      </c>
      <c r="T144" s="21">
        <v>0.03</v>
      </c>
      <c r="U144" s="21">
        <v>0.04</v>
      </c>
      <c r="V144" s="45"/>
      <c r="W144" s="21">
        <v>0.07</v>
      </c>
      <c r="X144" s="45"/>
    </row>
    <row r="145" hidden="1" outlineLevel="1" spans="2:24">
      <c r="B145" s="20" t="s">
        <v>34</v>
      </c>
      <c r="C145" s="147">
        <v>-0.0125</v>
      </c>
      <c r="D145" s="147">
        <v>-0.0225</v>
      </c>
      <c r="E145" s="147">
        <v>-0.035</v>
      </c>
      <c r="F145" s="201"/>
      <c r="G145" s="202">
        <v>0.02</v>
      </c>
      <c r="H145" s="149">
        <v>0.02</v>
      </c>
      <c r="I145" s="27">
        <v>0.065</v>
      </c>
      <c r="J145" s="26"/>
      <c r="K145" s="202">
        <v>0.05</v>
      </c>
      <c r="L145" s="149">
        <v>0.09</v>
      </c>
      <c r="M145" s="27">
        <v>-0.114</v>
      </c>
      <c r="N145" s="26"/>
      <c r="R145" s="293" t="s">
        <v>213</v>
      </c>
      <c r="S145" s="21">
        <v>-0.02</v>
      </c>
      <c r="T145" s="21">
        <v>0.05</v>
      </c>
      <c r="U145" s="21">
        <v>0.02</v>
      </c>
      <c r="V145" s="45"/>
      <c r="W145" s="21">
        <v>0.06</v>
      </c>
      <c r="X145" s="45"/>
    </row>
    <row r="146" hidden="1" outlineLevel="1" spans="2:24">
      <c r="B146" s="20" t="s">
        <v>37</v>
      </c>
      <c r="C146" s="147">
        <v>-0.000249999999999993</v>
      </c>
      <c r="D146" s="147">
        <v>0.008</v>
      </c>
      <c r="E146" s="147">
        <v>0.00975</v>
      </c>
      <c r="F146" s="201"/>
      <c r="G146" s="202">
        <v>0.04</v>
      </c>
      <c r="H146" s="149">
        <v>0.03</v>
      </c>
      <c r="I146" s="27">
        <v>-0.002</v>
      </c>
      <c r="J146" s="26"/>
      <c r="K146" s="202">
        <v>0.06</v>
      </c>
      <c r="L146" s="149">
        <v>0.07</v>
      </c>
      <c r="M146" s="27">
        <v>-0.143</v>
      </c>
      <c r="N146" s="26"/>
      <c r="R146" s="293" t="s">
        <v>214</v>
      </c>
      <c r="S146" s="21">
        <v>-0.02</v>
      </c>
      <c r="T146" s="21">
        <v>0.03</v>
      </c>
      <c r="U146" s="21">
        <v>0</v>
      </c>
      <c r="V146" s="45"/>
      <c r="W146" s="21">
        <v>0.07</v>
      </c>
      <c r="X146" s="45"/>
    </row>
    <row r="147" hidden="1" outlineLevel="1" spans="2:24">
      <c r="B147" s="20" t="s">
        <v>40</v>
      </c>
      <c r="C147" s="147">
        <v>-0.0268</v>
      </c>
      <c r="D147" s="147">
        <v>0.059</v>
      </c>
      <c r="E147" s="147">
        <v>0.0308</v>
      </c>
      <c r="F147" s="201"/>
      <c r="G147" s="202">
        <v>0.04</v>
      </c>
      <c r="H147" s="149">
        <v>0.04</v>
      </c>
      <c r="I147" s="27">
        <v>0.101</v>
      </c>
      <c r="J147" s="26"/>
      <c r="K147" s="202">
        <v>0.15</v>
      </c>
      <c r="L147" s="149">
        <v>0.19</v>
      </c>
      <c r="M147" s="27">
        <v>-0.1</v>
      </c>
      <c r="N147" s="26"/>
      <c r="R147" s="293" t="s">
        <v>177</v>
      </c>
      <c r="S147" s="21">
        <v>-0.05</v>
      </c>
      <c r="T147" s="21">
        <v>0.04</v>
      </c>
      <c r="U147" s="21">
        <v>0</v>
      </c>
      <c r="V147" s="45"/>
      <c r="W147" s="21">
        <v>0.07</v>
      </c>
      <c r="X147" s="45"/>
    </row>
    <row r="148" hidden="1" outlineLevel="1" spans="2:24">
      <c r="B148" s="20" t="s">
        <v>43</v>
      </c>
      <c r="C148" s="147">
        <v>-0.0125</v>
      </c>
      <c r="D148" s="147">
        <v>0.0375</v>
      </c>
      <c r="E148" s="147">
        <v>0.02</v>
      </c>
      <c r="F148" s="149"/>
      <c r="G148" s="202">
        <v>0.05</v>
      </c>
      <c r="H148" s="149">
        <v>0.05</v>
      </c>
      <c r="I148" s="27">
        <v>0.089</v>
      </c>
      <c r="J148" s="26"/>
      <c r="K148" s="202">
        <v>0.14</v>
      </c>
      <c r="L148" s="149">
        <v>0.18</v>
      </c>
      <c r="M148" s="27">
        <v>-0.142</v>
      </c>
      <c r="N148" s="26"/>
      <c r="R148" s="293" t="s">
        <v>179</v>
      </c>
      <c r="S148" s="21">
        <v>-0.04</v>
      </c>
      <c r="T148" s="21">
        <v>0.03</v>
      </c>
      <c r="U148" s="21">
        <v>-0.02</v>
      </c>
      <c r="V148" s="45"/>
      <c r="W148" s="21">
        <v>0.04</v>
      </c>
      <c r="X148" s="45"/>
    </row>
    <row r="149" ht="14.75" hidden="1" outlineLevel="1" spans="2:24">
      <c r="B149" s="20" t="s">
        <v>46</v>
      </c>
      <c r="C149" s="147">
        <v>-0.006</v>
      </c>
      <c r="D149" s="147">
        <v>0.06</v>
      </c>
      <c r="E149" s="147">
        <v>0.058</v>
      </c>
      <c r="F149" s="201"/>
      <c r="G149" s="275">
        <v>0.06</v>
      </c>
      <c r="H149" s="276">
        <v>0.07</v>
      </c>
      <c r="I149" s="81">
        <v>0.085</v>
      </c>
      <c r="J149" s="26"/>
      <c r="K149" s="275">
        <v>0.09</v>
      </c>
      <c r="L149" s="276">
        <v>0.11</v>
      </c>
      <c r="M149" s="81">
        <v>-0.156</v>
      </c>
      <c r="N149" s="26"/>
      <c r="R149" s="293" t="s">
        <v>181</v>
      </c>
      <c r="S149" s="21">
        <v>-0.02</v>
      </c>
      <c r="T149" s="21">
        <v>0.03</v>
      </c>
      <c r="U149" s="21">
        <v>0.01</v>
      </c>
      <c r="V149" s="45"/>
      <c r="W149" s="21">
        <v>0.05</v>
      </c>
      <c r="X149" s="45"/>
    </row>
    <row r="150" hidden="1" outlineLevel="1" spans="2:24">
      <c r="B150" s="277" t="s">
        <v>49</v>
      </c>
      <c r="C150" s="278"/>
      <c r="D150" s="278"/>
      <c r="E150" s="278"/>
      <c r="F150" s="279"/>
      <c r="G150" s="280"/>
      <c r="H150" s="281"/>
      <c r="I150" s="282"/>
      <c r="J150" s="283"/>
      <c r="K150" s="280"/>
      <c r="L150" s="281"/>
      <c r="M150" s="282"/>
      <c r="N150" s="130"/>
      <c r="R150" s="293" t="s">
        <v>183</v>
      </c>
      <c r="S150" s="21">
        <v>-0.02</v>
      </c>
      <c r="T150" s="21">
        <v>0.07</v>
      </c>
      <c r="U150" s="21">
        <v>0.05</v>
      </c>
      <c r="V150" s="45"/>
      <c r="W150" s="21">
        <v>0.06</v>
      </c>
      <c r="X150" s="45"/>
    </row>
    <row r="151" hidden="1" outlineLevel="1" spans="2:24">
      <c r="B151" s="32" t="s">
        <v>54</v>
      </c>
      <c r="C151" s="33">
        <v>0.0166666666666667</v>
      </c>
      <c r="D151" s="33">
        <v>-0.07</v>
      </c>
      <c r="E151" s="33">
        <v>-0.0566666666666667</v>
      </c>
      <c r="F151" s="284"/>
      <c r="G151" s="285">
        <v>0.0333333333333333</v>
      </c>
      <c r="H151" s="33">
        <v>0.0133333333333333</v>
      </c>
      <c r="I151" s="286">
        <v>0.0606666666666667</v>
      </c>
      <c r="J151" s="287"/>
      <c r="K151" s="285">
        <v>0.00333333333333333</v>
      </c>
      <c r="L151" s="33">
        <v>0.00333333333333333</v>
      </c>
      <c r="M151" s="286">
        <v>-0.119333333333333</v>
      </c>
      <c r="N151" s="40">
        <f>AVERAGE(N138:N140)</f>
        <v>-0.156666666666667</v>
      </c>
      <c r="R151" s="293" t="s">
        <v>185</v>
      </c>
      <c r="S151" s="21">
        <v>0.1</v>
      </c>
      <c r="T151" s="21">
        <v>0.13</v>
      </c>
      <c r="U151" s="21">
        <v>0.25</v>
      </c>
      <c r="V151" s="45"/>
      <c r="W151" s="21">
        <v>0.13</v>
      </c>
      <c r="X151" s="45"/>
    </row>
    <row r="152" hidden="1" outlineLevel="1" spans="2:24">
      <c r="B152" s="32" t="s">
        <v>55</v>
      </c>
      <c r="C152" s="33">
        <v>-0.0335</v>
      </c>
      <c r="D152" s="33">
        <v>-0.0609166666666667</v>
      </c>
      <c r="E152" s="33">
        <v>-0.0903333333333333</v>
      </c>
      <c r="F152" s="38"/>
      <c r="G152" s="33">
        <v>0.0566666666666667</v>
      </c>
      <c r="H152" s="33">
        <v>0.0533333333333333</v>
      </c>
      <c r="I152" s="38">
        <v>0.074</v>
      </c>
      <c r="J152" s="39"/>
      <c r="K152" s="285">
        <v>0.0133333333333333</v>
      </c>
      <c r="L152" s="33">
        <v>0.03</v>
      </c>
      <c r="M152" s="38">
        <v>-0.120666666666667</v>
      </c>
      <c r="N152" s="40">
        <f>AVERAGE(N141:N143)</f>
        <v>-0.17</v>
      </c>
      <c r="R152" s="139" t="s">
        <v>187</v>
      </c>
      <c r="S152" s="45">
        <v>-0.11</v>
      </c>
      <c r="T152" s="45">
        <v>-0.04</v>
      </c>
      <c r="U152" s="45">
        <v>-0.14</v>
      </c>
      <c r="V152" s="45"/>
      <c r="W152" s="45">
        <v>-0.02</v>
      </c>
      <c r="X152" s="45"/>
    </row>
    <row r="153" hidden="1" outlineLevel="1" spans="2:24">
      <c r="B153" s="32" t="s">
        <v>56</v>
      </c>
      <c r="C153" s="33">
        <v>-0.0191033333333333</v>
      </c>
      <c r="D153" s="33">
        <v>-0.0100333333333333</v>
      </c>
      <c r="E153" s="33">
        <v>-0.02829</v>
      </c>
      <c r="F153" s="38"/>
      <c r="G153" s="35">
        <v>0.03</v>
      </c>
      <c r="H153" s="34">
        <v>0.0266666666666667</v>
      </c>
      <c r="I153" s="38">
        <v>0.043</v>
      </c>
      <c r="J153" s="40"/>
      <c r="K153" s="35">
        <v>0.0466666666666667</v>
      </c>
      <c r="L153" s="34">
        <v>0.07</v>
      </c>
      <c r="M153" s="38">
        <v>-0.122</v>
      </c>
      <c r="N153" s="40"/>
      <c r="R153" s="139" t="s">
        <v>215</v>
      </c>
      <c r="S153" s="45">
        <v>-0.07</v>
      </c>
      <c r="T153" s="45">
        <v>-0.06</v>
      </c>
      <c r="U153" s="45">
        <v>-0.13</v>
      </c>
      <c r="V153" s="45"/>
      <c r="W153" s="45">
        <v>-0.05</v>
      </c>
      <c r="X153" s="45"/>
    </row>
    <row r="154" ht="14.75" hidden="1" outlineLevel="1" spans="2:24">
      <c r="B154" s="163" t="s">
        <v>57</v>
      </c>
      <c r="C154" s="168">
        <v>-0.0151</v>
      </c>
      <c r="D154" s="168">
        <v>0.0521666666666667</v>
      </c>
      <c r="E154" s="168">
        <v>0.0362666666666667</v>
      </c>
      <c r="F154" s="288"/>
      <c r="G154" s="209">
        <v>0.05</v>
      </c>
      <c r="H154" s="250">
        <v>0.0533333333333333</v>
      </c>
      <c r="I154" s="170">
        <v>0.0916666666666667</v>
      </c>
      <c r="J154" s="252"/>
      <c r="K154" s="209">
        <v>0.126666666666667</v>
      </c>
      <c r="L154" s="250">
        <v>0.16</v>
      </c>
      <c r="M154" s="170">
        <v>-0.132666666666667</v>
      </c>
      <c r="N154" s="40"/>
      <c r="R154" s="108" t="s">
        <v>216</v>
      </c>
      <c r="X154" s="294" t="s">
        <v>217</v>
      </c>
    </row>
    <row r="155" hidden="1" outlineLevel="1" spans="2:24">
      <c r="B155" s="277" t="s">
        <v>175</v>
      </c>
      <c r="C155" s="278"/>
      <c r="D155" s="278"/>
      <c r="E155" s="278"/>
      <c r="F155" s="279"/>
      <c r="G155" s="280"/>
      <c r="H155" s="281"/>
      <c r="I155" s="282"/>
      <c r="J155" s="289"/>
      <c r="K155" s="280"/>
      <c r="L155" s="281"/>
      <c r="M155" s="282"/>
      <c r="N155" s="40"/>
      <c r="R155" s="37"/>
      <c r="S155" s="26"/>
      <c r="T155" s="295"/>
      <c r="U155" s="295"/>
      <c r="V155" s="295"/>
      <c r="W155" s="295"/>
      <c r="X155" s="295"/>
    </row>
    <row r="156" hidden="1" outlineLevel="1" spans="2:24">
      <c r="B156" s="290" t="s">
        <v>179</v>
      </c>
      <c r="C156" s="21">
        <v>-0.04</v>
      </c>
      <c r="D156" s="21">
        <v>0.03</v>
      </c>
      <c r="E156" s="21">
        <v>-0.02</v>
      </c>
      <c r="F156" s="38"/>
      <c r="G156" s="35"/>
      <c r="H156" s="34"/>
      <c r="I156" s="38"/>
      <c r="J156" s="40"/>
      <c r="K156" s="35"/>
      <c r="L156" s="34"/>
      <c r="M156" s="38"/>
      <c r="N156" s="40"/>
      <c r="R156" s="37"/>
      <c r="S156" s="26"/>
      <c r="T156" s="295"/>
      <c r="U156" s="295"/>
      <c r="V156" s="295"/>
      <c r="W156" s="295"/>
      <c r="X156" s="295"/>
    </row>
    <row r="157" hidden="1" outlineLevel="1" spans="2:24">
      <c r="B157" s="290" t="s">
        <v>181</v>
      </c>
      <c r="C157" s="21">
        <v>-0.02</v>
      </c>
      <c r="D157" s="21">
        <v>0.03</v>
      </c>
      <c r="E157" s="21">
        <v>0.01</v>
      </c>
      <c r="F157" s="38"/>
      <c r="G157" s="35"/>
      <c r="H157" s="34"/>
      <c r="I157" s="38"/>
      <c r="J157" s="40"/>
      <c r="K157" s="35"/>
      <c r="L157" s="34"/>
      <c r="M157" s="38"/>
      <c r="N157" s="40"/>
      <c r="R157" s="37"/>
      <c r="S157" s="26"/>
      <c r="T157" s="295"/>
      <c r="U157" s="295"/>
      <c r="V157" s="295"/>
      <c r="W157" s="295"/>
      <c r="X157" s="295"/>
    </row>
    <row r="158" hidden="1" outlineLevel="1" spans="2:24">
      <c r="B158" s="290" t="s">
        <v>183</v>
      </c>
      <c r="C158" s="21">
        <v>-0.02</v>
      </c>
      <c r="D158" s="21">
        <v>0.07</v>
      </c>
      <c r="E158" s="21">
        <v>0.05</v>
      </c>
      <c r="F158" s="38"/>
      <c r="G158" s="35"/>
      <c r="H158" s="34"/>
      <c r="I158" s="38"/>
      <c r="J158" s="40"/>
      <c r="K158" s="35"/>
      <c r="L158" s="34"/>
      <c r="M158" s="38"/>
      <c r="N158" s="40"/>
      <c r="R158" s="37"/>
      <c r="S158" s="26"/>
      <c r="T158" s="295"/>
      <c r="U158" s="295"/>
      <c r="V158" s="295"/>
      <c r="W158" s="295"/>
      <c r="X158" s="295"/>
    </row>
    <row r="159" hidden="1" outlineLevel="1" spans="2:24">
      <c r="B159" s="290" t="s">
        <v>185</v>
      </c>
      <c r="C159" s="21">
        <v>0.1</v>
      </c>
      <c r="D159" s="21">
        <v>0.13</v>
      </c>
      <c r="E159" s="21">
        <v>0.25</v>
      </c>
      <c r="F159" s="38"/>
      <c r="G159" s="35"/>
      <c r="H159" s="34"/>
      <c r="I159" s="38"/>
      <c r="J159" s="40"/>
      <c r="K159" s="35"/>
      <c r="L159" s="34"/>
      <c r="M159" s="38"/>
      <c r="N159" s="40"/>
      <c r="R159" s="37"/>
      <c r="S159" s="26"/>
      <c r="T159" s="295"/>
      <c r="U159" s="295"/>
      <c r="V159" s="295"/>
      <c r="W159" s="295"/>
      <c r="X159" s="295"/>
    </row>
    <row r="160" hidden="1" outlineLevel="1" spans="2:24">
      <c r="B160" s="290" t="s">
        <v>187</v>
      </c>
      <c r="C160" s="21">
        <v>-0.11</v>
      </c>
      <c r="D160" s="21">
        <v>-0.04</v>
      </c>
      <c r="E160" s="21">
        <v>-0.14</v>
      </c>
      <c r="F160" s="38"/>
      <c r="G160" s="35"/>
      <c r="H160" s="34"/>
      <c r="I160" s="38"/>
      <c r="J160" s="40"/>
      <c r="K160" s="35"/>
      <c r="L160" s="34"/>
      <c r="M160" s="38"/>
      <c r="N160" s="40"/>
      <c r="R160" s="37"/>
      <c r="S160" s="26"/>
      <c r="T160" s="295"/>
      <c r="U160" s="295"/>
      <c r="V160" s="295"/>
      <c r="W160" s="295"/>
      <c r="X160" s="295"/>
    </row>
    <row r="161" ht="14.75" hidden="1" outlineLevel="1" spans="2:26">
      <c r="B161" s="291" t="s">
        <v>215</v>
      </c>
      <c r="C161" s="80">
        <v>-0.07</v>
      </c>
      <c r="D161" s="80">
        <v>-0.06</v>
      </c>
      <c r="E161" s="80">
        <v>-0.13</v>
      </c>
      <c r="F161" s="288"/>
      <c r="G161" s="209"/>
      <c r="H161" s="250"/>
      <c r="I161" s="170"/>
      <c r="J161" s="252"/>
      <c r="K161" s="209"/>
      <c r="L161" s="250"/>
      <c r="M161" s="170"/>
      <c r="N161" s="40"/>
      <c r="R161" s="37"/>
      <c r="S161" s="26"/>
      <c r="T161" s="295"/>
      <c r="U161" s="295"/>
      <c r="V161" s="295"/>
      <c r="W161" s="295"/>
      <c r="X161" s="295"/>
    </row>
    <row r="162" hidden="1" outlineLevel="1" spans="2:26">
      <c r="B162" s="292" t="s">
        <v>189</v>
      </c>
      <c r="L162" s="40"/>
      <c r="M162" s="40"/>
      <c r="N162" s="40"/>
      <c r="R162" s="37"/>
      <c r="S162" s="26"/>
      <c r="T162" s="295"/>
      <c r="U162" s="295"/>
      <c r="V162" s="295"/>
      <c r="W162" s="295"/>
      <c r="X162" s="295"/>
    </row>
    <row r="163" hidden="1" outlineLevel="1" spans="2:26">
      <c r="N163" s="40"/>
      <c r="R163" s="37"/>
      <c r="S163" s="26"/>
      <c r="T163" s="295"/>
      <c r="U163" s="295"/>
      <c r="V163" s="295"/>
      <c r="W163" s="295"/>
      <c r="X163" s="295"/>
    </row>
    <row r="164" hidden="1" outlineLevel="1" spans="2:26">
      <c r="R164" s="37"/>
      <c r="S164" s="40"/>
      <c r="T164" s="40"/>
      <c r="U164" s="40"/>
      <c r="V164" s="295"/>
      <c r="W164" s="295"/>
      <c r="X164" s="295"/>
    </row>
    <row r="165" ht="14.75" collapsed="1" spans="2:26">
      <c r="B165" s="296" t="s">
        <v>218</v>
      </c>
      <c r="C165" s="297"/>
      <c r="D165" s="297"/>
      <c r="E165" s="297"/>
      <c r="F165" s="297"/>
      <c r="G165" s="298"/>
      <c r="H165" s="298"/>
      <c r="I165" s="298"/>
      <c r="J165" s="297"/>
      <c r="K165" s="299" t="s">
        <v>219</v>
      </c>
      <c r="L165" s="299"/>
      <c r="M165" s="300" t="s">
        <v>220</v>
      </c>
      <c r="N165" s="263"/>
      <c r="O165" s="261"/>
      <c r="P165" s="261"/>
      <c r="Q165" s="261"/>
      <c r="R165" s="260" t="s">
        <v>218</v>
      </c>
      <c r="S165" s="261"/>
      <c r="T165" s="261"/>
      <c r="U165" s="261"/>
      <c r="V165" s="261"/>
      <c r="W165" s="261"/>
      <c r="X165" s="261"/>
      <c r="Y165" s="261"/>
      <c r="Z165" s="261"/>
    </row>
    <row r="166" spans="2:26">
      <c r="B166" s="301" t="s">
        <v>221</v>
      </c>
      <c r="C166" s="302" t="s">
        <v>6</v>
      </c>
      <c r="D166" s="303"/>
      <c r="E166" s="304"/>
      <c r="F166" s="305"/>
      <c r="G166" s="306" t="s">
        <v>222</v>
      </c>
      <c r="H166" s="307"/>
      <c r="I166" s="308" t="s">
        <v>61</v>
      </c>
      <c r="J166" s="7"/>
      <c r="K166" s="267" t="s">
        <v>223</v>
      </c>
      <c r="L166" s="268"/>
      <c r="M166" s="309" t="s">
        <v>89</v>
      </c>
      <c r="N166" s="10" t="s">
        <v>89</v>
      </c>
      <c r="R166" s="310" t="s">
        <v>224</v>
      </c>
      <c r="S166" s="122" t="s">
        <v>63</v>
      </c>
      <c r="T166" s="125"/>
      <c r="U166" s="126"/>
      <c r="V166" s="190"/>
      <c r="W166" s="311" t="s">
        <v>225</v>
      </c>
      <c r="X166" s="312"/>
      <c r="Y166" s="313"/>
      <c r="Z166" s="193" t="s">
        <v>64</v>
      </c>
    </row>
    <row r="167" ht="28" spans="2:26">
      <c r="B167" s="314" t="s">
        <v>226</v>
      </c>
      <c r="C167" s="315" t="s">
        <v>50</v>
      </c>
      <c r="D167" s="315" t="s">
        <v>9</v>
      </c>
      <c r="E167" s="315" t="s">
        <v>10</v>
      </c>
      <c r="F167" s="316"/>
      <c r="G167" s="75" t="s">
        <v>51</v>
      </c>
      <c r="H167" s="76" t="s">
        <v>52</v>
      </c>
      <c r="I167" s="19" t="s">
        <v>65</v>
      </c>
      <c r="J167" s="17"/>
      <c r="K167" s="317" t="s">
        <v>227</v>
      </c>
      <c r="L167" s="76" t="s">
        <v>228</v>
      </c>
      <c r="M167" s="19" t="s">
        <v>94</v>
      </c>
      <c r="N167" s="19" t="s">
        <v>142</v>
      </c>
      <c r="R167" s="11" t="s">
        <v>66</v>
      </c>
      <c r="S167" s="12" t="s">
        <v>8</v>
      </c>
      <c r="T167" s="12" t="s">
        <v>9</v>
      </c>
      <c r="U167" s="72" t="s">
        <v>10</v>
      </c>
      <c r="V167" s="190"/>
      <c r="W167" s="75" t="s">
        <v>229</v>
      </c>
      <c r="X167" s="192" t="s">
        <v>230</v>
      </c>
      <c r="Y167" s="19" t="s">
        <v>231</v>
      </c>
      <c r="Z167" s="193" t="s">
        <v>67</v>
      </c>
    </row>
    <row r="168" spans="2:26">
      <c r="B168" s="20" t="s">
        <v>15</v>
      </c>
      <c r="C168" s="21">
        <f>AVERAGE(S168:S171)</f>
        <v>0.0358825295006549</v>
      </c>
      <c r="D168" s="21">
        <f t="shared" ref="D168:E168" si="5">AVERAGE(T168:T171)</f>
        <v>-0.126737545414552</v>
      </c>
      <c r="E168" s="21">
        <f t="shared" si="5"/>
        <v>-0.106164046851536</v>
      </c>
      <c r="F168" s="22"/>
      <c r="G168" s="23">
        <v>-0.046</v>
      </c>
      <c r="H168" s="24">
        <v>-0.04</v>
      </c>
      <c r="I168" s="27">
        <v>-0.052</v>
      </c>
      <c r="J168" s="26"/>
      <c r="K168" s="23">
        <v>-0.009</v>
      </c>
      <c r="L168" s="24">
        <v>0.02</v>
      </c>
      <c r="M168" s="27">
        <f>89.6%-1</f>
        <v>-0.104</v>
      </c>
      <c r="N168" s="26">
        <v>-0.12</v>
      </c>
      <c r="R168" s="28" t="s">
        <v>187</v>
      </c>
      <c r="S168" s="45">
        <v>-0.11</v>
      </c>
      <c r="T168" s="45">
        <v>-0.04</v>
      </c>
      <c r="U168" s="104">
        <v>-0.14</v>
      </c>
      <c r="V168" s="318"/>
      <c r="W168" s="319">
        <v>-0.02</v>
      </c>
      <c r="X168" s="45">
        <v>-0.14</v>
      </c>
      <c r="Y168" s="104">
        <v>-0.03</v>
      </c>
      <c r="Z168" s="320"/>
    </row>
    <row r="169" spans="2:26">
      <c r="B169" s="20" t="s">
        <v>17</v>
      </c>
      <c r="C169" s="21">
        <f>AVERAGE(S172:S174,S176)</f>
        <v>-0.01575</v>
      </c>
      <c r="D169" s="21">
        <f>AVERAGE(T172:T174,T176)</f>
        <v>0.17375</v>
      </c>
      <c r="E169" s="21">
        <f>AVERAGE(U172:U174,U176)</f>
        <v>0.152</v>
      </c>
      <c r="F169" s="22"/>
      <c r="G169" s="23">
        <v>0.1</v>
      </c>
      <c r="H169" s="24">
        <v>0.1</v>
      </c>
      <c r="I169" s="27">
        <v>0.105</v>
      </c>
      <c r="J169" s="26"/>
      <c r="K169" s="23">
        <f>'[9]CAAC Data'!$C$15</f>
        <v>0.167043911272069</v>
      </c>
      <c r="L169" s="24">
        <v>0.2</v>
      </c>
      <c r="M169" s="27">
        <f>93.2%-1</f>
        <v>-0.0679999999999999</v>
      </c>
      <c r="N169" s="26">
        <v>-0.15</v>
      </c>
      <c r="R169" s="28" t="s">
        <v>215</v>
      </c>
      <c r="S169" s="45">
        <v>-0.0719787221867223</v>
      </c>
      <c r="T169" s="45">
        <v>-0.0623104559319446</v>
      </c>
      <c r="U169" s="104">
        <v>-0.129804151121813</v>
      </c>
      <c r="V169" s="318"/>
      <c r="W169" s="319">
        <v>-0.05</v>
      </c>
      <c r="X169" s="45">
        <v>-0.18</v>
      </c>
      <c r="Y169" s="104">
        <v>-0.08</v>
      </c>
      <c r="Z169" s="320"/>
    </row>
    <row r="170" ht="14.75" spans="2:26">
      <c r="B170" s="79" t="s">
        <v>20</v>
      </c>
      <c r="C170" s="80">
        <v>-0.019</v>
      </c>
      <c r="D170" s="80">
        <v>0.032</v>
      </c>
      <c r="E170" s="80">
        <v>0.013</v>
      </c>
      <c r="F170" s="321"/>
      <c r="G170" s="83">
        <v>0.11</v>
      </c>
      <c r="H170" s="322">
        <v>0.1</v>
      </c>
      <c r="I170" s="81">
        <v>0.117</v>
      </c>
      <c r="J170" s="323"/>
      <c r="K170" s="83">
        <f>'[9]CAAC Data'!$D$15</f>
        <v>0.167104878761321</v>
      </c>
      <c r="L170" s="322">
        <v>0.18</v>
      </c>
      <c r="M170" s="81">
        <f>89.4%-1</f>
        <v>-0.106</v>
      </c>
      <c r="N170" s="26">
        <v>-0.2</v>
      </c>
      <c r="R170" s="28" t="s">
        <v>232</v>
      </c>
      <c r="S170" s="45">
        <v>0.125528467723071</v>
      </c>
      <c r="T170" s="45">
        <v>-0.069828331940065</v>
      </c>
      <c r="U170" s="104">
        <v>0.046934692270912</v>
      </c>
      <c r="V170" s="318"/>
      <c r="W170" s="319">
        <v>-0.11</v>
      </c>
      <c r="X170" s="45">
        <v>-0.28</v>
      </c>
      <c r="Y170" s="104">
        <v>-0.09</v>
      </c>
      <c r="Z170" s="320"/>
    </row>
    <row r="171" spans="2:26">
      <c r="B171" s="324" t="s">
        <v>22</v>
      </c>
      <c r="C171" s="325">
        <v>0.014</v>
      </c>
      <c r="D171" s="325">
        <v>0.043</v>
      </c>
      <c r="E171" s="325">
        <v>0.057</v>
      </c>
      <c r="F171" s="204"/>
      <c r="G171" s="326">
        <f>'[9]CAAC Data'!$E$8</f>
        <v>-0.00236481453895432</v>
      </c>
      <c r="H171" s="327">
        <f>[9]Summary!$DG$15</f>
        <v>-0.00719162337963053</v>
      </c>
      <c r="I171" s="328">
        <v>0.105</v>
      </c>
      <c r="J171" s="329"/>
      <c r="K171" s="330">
        <f>'[10]CAAC Data'!$E$15</f>
        <v>0.0548021035150845</v>
      </c>
      <c r="L171" s="331">
        <f>[10]Summary!$DG$16</f>
        <v>0.0638883649458455</v>
      </c>
      <c r="M171" s="99">
        <f>89.3%-1</f>
        <v>-0.107</v>
      </c>
      <c r="N171" s="26">
        <v>-0.16</v>
      </c>
      <c r="R171" s="28" t="s">
        <v>233</v>
      </c>
      <c r="S171" s="45">
        <v>0.199980372466271</v>
      </c>
      <c r="T171" s="45">
        <v>-0.3348113937862</v>
      </c>
      <c r="U171" s="104">
        <v>-0.201786728555244</v>
      </c>
      <c r="V171" s="318"/>
      <c r="W171" s="319">
        <v>-0.02</v>
      </c>
      <c r="X171" s="45">
        <v>-0.12</v>
      </c>
      <c r="Y171" s="104">
        <v>-0.02</v>
      </c>
      <c r="Z171" s="320"/>
    </row>
    <row r="172" spans="2:26">
      <c r="B172" s="332" t="s">
        <v>234</v>
      </c>
      <c r="C172" s="333">
        <v>-0.014</v>
      </c>
      <c r="D172" s="333">
        <v>0.022</v>
      </c>
      <c r="E172" s="333">
        <v>0.008</v>
      </c>
      <c r="F172" s="334"/>
      <c r="G172" s="335">
        <v>-0.0781242146947927</v>
      </c>
      <c r="H172" s="336">
        <v>-0.0929581725822298</v>
      </c>
      <c r="I172" s="337">
        <v>0.019</v>
      </c>
      <c r="J172" s="338"/>
      <c r="K172" s="335">
        <v>0.0008</v>
      </c>
      <c r="L172" s="336">
        <v>0.0107481431230323</v>
      </c>
      <c r="M172" s="337">
        <f>85%-1</f>
        <v>-0.15</v>
      </c>
      <c r="N172" s="26">
        <v>-0.18</v>
      </c>
      <c r="R172" s="28" t="s">
        <v>235</v>
      </c>
      <c r="S172" s="45">
        <v>0.117</v>
      </c>
      <c r="T172" s="45">
        <v>-0.115</v>
      </c>
      <c r="U172" s="104">
        <v>-0.012</v>
      </c>
      <c r="V172" s="318"/>
      <c r="W172" s="319">
        <v>-0.04</v>
      </c>
      <c r="X172" s="45">
        <v>-0.18</v>
      </c>
      <c r="Y172" s="339">
        <v>0</v>
      </c>
      <c r="Z172" s="320"/>
    </row>
    <row r="173" ht="14.75" spans="2:26">
      <c r="B173" s="340" t="s">
        <v>27</v>
      </c>
      <c r="C173" s="341">
        <v>-0.025</v>
      </c>
      <c r="D173" s="341">
        <v>0.022</v>
      </c>
      <c r="E173" s="341">
        <v>-0.004</v>
      </c>
      <c r="F173" s="342"/>
      <c r="G173" s="343">
        <v>-0.0705292004592082</v>
      </c>
      <c r="H173" s="344">
        <v>-0.0784565189152843</v>
      </c>
      <c r="I173" s="106">
        <v>0.0037</v>
      </c>
      <c r="J173" s="323"/>
      <c r="K173" s="343">
        <v>-0.0195480382642451</v>
      </c>
      <c r="L173" s="344">
        <v>-0.00192170360936239</v>
      </c>
      <c r="M173" s="106">
        <f>83.7%-1</f>
        <v>-0.163</v>
      </c>
      <c r="N173" s="26">
        <v>-0.17</v>
      </c>
      <c r="R173" s="28" t="s">
        <v>236</v>
      </c>
      <c r="S173" s="45">
        <v>-0.09</v>
      </c>
      <c r="T173" s="45">
        <v>0.09</v>
      </c>
      <c r="U173" s="104">
        <v>0</v>
      </c>
      <c r="V173" s="345"/>
      <c r="W173" s="346"/>
      <c r="X173" s="347"/>
      <c r="Y173" s="348"/>
      <c r="Z173" s="349"/>
    </row>
    <row r="174" ht="14.75" spans="2:26">
      <c r="B174" s="350" t="s">
        <v>30</v>
      </c>
      <c r="C174" s="147">
        <f t="shared" ref="C174:E174" si="6">AVERAGE(C186:C190)</f>
        <v>-0.0304194037031718</v>
      </c>
      <c r="D174" s="147">
        <f t="shared" si="6"/>
        <v>-0.0103661672518451</v>
      </c>
      <c r="E174" s="147">
        <f t="shared" si="6"/>
        <v>-0.0403484033367857</v>
      </c>
      <c r="F174" s="201"/>
      <c r="G174" s="202">
        <f>[11]Summary!$DJ$5</f>
        <v>0.0408990593059839</v>
      </c>
      <c r="H174" s="149">
        <f>[11]Summary!$DJ$15</f>
        <v>0.0530068485244795</v>
      </c>
      <c r="I174" s="150">
        <v>-0.0260607212429325</v>
      </c>
      <c r="J174" s="26"/>
      <c r="K174" s="202">
        <f>[11]Summary!$DJ$6</f>
        <v>0.0245839636913767</v>
      </c>
      <c r="L174" s="149">
        <f>[11]Summary!$DJ$16</f>
        <v>0.0604660223941134</v>
      </c>
      <c r="M174" s="150">
        <f>88.1%-1</f>
        <v>-0.119</v>
      </c>
      <c r="N174" s="26">
        <v>-0.15</v>
      </c>
      <c r="R174" s="28" t="s">
        <v>237</v>
      </c>
      <c r="S174" s="45">
        <v>0.01</v>
      </c>
      <c r="T174" s="45">
        <v>0.63</v>
      </c>
      <c r="U174" s="104">
        <v>0.64</v>
      </c>
      <c r="V174" s="345"/>
      <c r="W174" s="346">
        <v>0.15</v>
      </c>
      <c r="X174" s="347">
        <v>0.32</v>
      </c>
      <c r="Y174" s="339">
        <v>0.08</v>
      </c>
      <c r="Z174" s="349"/>
    </row>
    <row r="175" hidden="1" outlineLevel="1" spans="2:26">
      <c r="B175" s="20" t="s">
        <v>33</v>
      </c>
      <c r="C175" s="147"/>
      <c r="D175" s="147"/>
      <c r="E175" s="147"/>
      <c r="F175" s="201"/>
      <c r="G175" s="202"/>
      <c r="H175" s="149"/>
      <c r="I175" s="27"/>
      <c r="J175" s="26"/>
      <c r="K175" s="202"/>
      <c r="L175" s="149"/>
      <c r="M175" s="27"/>
      <c r="N175" s="26"/>
      <c r="R175" s="351" t="s">
        <v>238</v>
      </c>
      <c r="S175" s="352">
        <v>0.04</v>
      </c>
      <c r="T175" s="352">
        <v>0.01</v>
      </c>
      <c r="U175" s="353">
        <v>0.05</v>
      </c>
      <c r="V175" s="354"/>
      <c r="W175" s="355">
        <v>0.077</v>
      </c>
      <c r="X175" s="347"/>
      <c r="Y175" s="339"/>
      <c r="Z175" s="349"/>
    </row>
    <row r="176" hidden="1" outlineLevel="1" spans="2:26">
      <c r="B176" s="20" t="s">
        <v>36</v>
      </c>
      <c r="C176" s="147"/>
      <c r="D176" s="147"/>
      <c r="E176" s="147"/>
      <c r="F176" s="201"/>
      <c r="G176" s="202"/>
      <c r="H176" s="149"/>
      <c r="I176" s="27"/>
      <c r="J176" s="26"/>
      <c r="K176" s="202"/>
      <c r="L176" s="149"/>
      <c r="M176" s="27"/>
      <c r="N176" s="26"/>
      <c r="R176" s="28" t="s">
        <v>239</v>
      </c>
      <c r="S176" s="45">
        <v>-0.1</v>
      </c>
      <c r="T176" s="45">
        <v>0.09</v>
      </c>
      <c r="U176" s="104">
        <v>-0.02</v>
      </c>
      <c r="V176" s="345"/>
      <c r="W176" s="346">
        <v>0.32</v>
      </c>
      <c r="X176" s="347">
        <v>0.46</v>
      </c>
      <c r="Y176" s="339">
        <v>0.2</v>
      </c>
      <c r="Z176" s="349"/>
    </row>
    <row r="177" hidden="1" outlineLevel="1" spans="2:26">
      <c r="B177" s="20" t="s">
        <v>39</v>
      </c>
      <c r="C177" s="147"/>
      <c r="D177" s="147"/>
      <c r="E177" s="147"/>
      <c r="F177" s="201"/>
      <c r="G177" s="202"/>
      <c r="H177" s="149"/>
      <c r="I177" s="27"/>
      <c r="J177" s="26"/>
      <c r="K177" s="202"/>
      <c r="L177" s="149"/>
      <c r="M177" s="27"/>
      <c r="N177" s="26"/>
      <c r="R177" s="28" t="s">
        <v>240</v>
      </c>
      <c r="S177" s="45">
        <v>-0.1</v>
      </c>
      <c r="T177" s="45">
        <v>-0.04</v>
      </c>
      <c r="U177" s="104">
        <v>-0.14</v>
      </c>
      <c r="V177" s="318"/>
      <c r="W177" s="319">
        <v>0.23</v>
      </c>
      <c r="X177" s="45">
        <v>0.09</v>
      </c>
      <c r="Y177" s="104">
        <v>0.17</v>
      </c>
      <c r="Z177" s="320"/>
    </row>
    <row r="178" hidden="1" outlineLevel="1" spans="2:26">
      <c r="B178" s="20" t="s">
        <v>42</v>
      </c>
      <c r="C178" s="147"/>
      <c r="D178" s="147"/>
      <c r="E178" s="147"/>
      <c r="F178" s="149"/>
      <c r="G178" s="202"/>
      <c r="H178" s="149"/>
      <c r="I178" s="27"/>
      <c r="J178" s="26"/>
      <c r="K178" s="202"/>
      <c r="L178" s="149"/>
      <c r="M178" s="27"/>
      <c r="N178" s="26"/>
      <c r="R178" s="28" t="s">
        <v>241</v>
      </c>
      <c r="S178" s="45">
        <v>0.004</v>
      </c>
      <c r="T178" s="45">
        <v>0.047</v>
      </c>
      <c r="U178" s="104">
        <v>0.051</v>
      </c>
      <c r="V178" s="318"/>
      <c r="W178" s="319">
        <v>0.13</v>
      </c>
      <c r="X178" s="45">
        <v>-0.01</v>
      </c>
      <c r="Y178" s="104">
        <v>0.08</v>
      </c>
      <c r="Z178" s="320"/>
    </row>
    <row r="179" ht="14.75" hidden="1" outlineLevel="1" spans="2:26">
      <c r="B179" s="20" t="s">
        <v>45</v>
      </c>
      <c r="C179" s="147"/>
      <c r="D179" s="147"/>
      <c r="E179" s="147"/>
      <c r="F179" s="201"/>
      <c r="G179" s="275"/>
      <c r="H179" s="276"/>
      <c r="I179" s="81"/>
      <c r="J179" s="26"/>
      <c r="K179" s="275"/>
      <c r="L179" s="276"/>
      <c r="M179" s="81"/>
      <c r="N179" s="26"/>
      <c r="R179" s="28" t="s">
        <v>242</v>
      </c>
      <c r="S179" s="21">
        <v>-0.04</v>
      </c>
      <c r="T179" s="45">
        <v>0.03</v>
      </c>
      <c r="U179" s="104">
        <v>-0.01</v>
      </c>
      <c r="V179" s="318"/>
      <c r="W179" s="319">
        <v>0.07</v>
      </c>
      <c r="X179" s="45">
        <v>-0.04</v>
      </c>
      <c r="Y179" s="104">
        <v>0.04</v>
      </c>
      <c r="Z179" s="320"/>
    </row>
    <row r="180" collapsed="1" spans="2:26">
      <c r="B180" s="277" t="s">
        <v>48</v>
      </c>
      <c r="C180" s="278"/>
      <c r="D180" s="278"/>
      <c r="E180" s="278"/>
      <c r="F180" s="279"/>
      <c r="G180" s="280"/>
      <c r="H180" s="281"/>
      <c r="I180" s="282"/>
      <c r="J180" s="283"/>
      <c r="K180" s="280"/>
      <c r="L180" s="281"/>
      <c r="M180" s="282"/>
      <c r="N180" s="130"/>
      <c r="R180" s="28" t="s">
        <v>243</v>
      </c>
      <c r="S180" s="21">
        <v>-0.009</v>
      </c>
      <c r="T180" s="45">
        <v>0.054</v>
      </c>
      <c r="U180" s="104">
        <v>0.045</v>
      </c>
      <c r="V180" s="345"/>
      <c r="W180" s="346">
        <v>0.06</v>
      </c>
      <c r="X180" s="45">
        <v>-0.05</v>
      </c>
      <c r="Y180" s="104">
        <v>0.04</v>
      </c>
      <c r="Z180" s="320"/>
    </row>
    <row r="181" spans="2:26">
      <c r="B181" s="20" t="s">
        <v>54</v>
      </c>
      <c r="C181" s="33">
        <v>0.01</v>
      </c>
      <c r="D181" s="33">
        <v>0.038</v>
      </c>
      <c r="E181" s="33">
        <v>0.048</v>
      </c>
      <c r="F181" s="284"/>
      <c r="G181" s="285">
        <v>0.0548277154010708</v>
      </c>
      <c r="H181" s="33">
        <f>'[9]Top4 Domestic'!$O$11</f>
        <v>0.0551103805125948</v>
      </c>
      <c r="I181" s="286">
        <f>AVERAGE(I168:I170)</f>
        <v>0.0566666666666667</v>
      </c>
      <c r="J181" s="287"/>
      <c r="K181" s="285">
        <f>'[9]CAAC Data'!$O$15</f>
        <v>0.103072348860258</v>
      </c>
      <c r="L181" s="33">
        <f>'[9]Top4 Intl.+Reg'!$O$11</f>
        <v>0.127873712912991</v>
      </c>
      <c r="M181" s="286">
        <f>AVERAGE(M168:M171)</f>
        <v>-0.09625</v>
      </c>
      <c r="N181" s="40">
        <f>AVERAGE(N168:N170)</f>
        <v>-0.156666666666667</v>
      </c>
      <c r="R181" s="28" t="s">
        <v>244</v>
      </c>
      <c r="S181" s="21">
        <v>0.044</v>
      </c>
      <c r="T181" s="45">
        <v>0.039</v>
      </c>
      <c r="U181" s="104">
        <v>0.085</v>
      </c>
      <c r="V181" s="318"/>
      <c r="W181" s="319">
        <v>0.05</v>
      </c>
      <c r="X181" s="45">
        <v>0.08</v>
      </c>
      <c r="Y181" s="104">
        <v>0</v>
      </c>
      <c r="Z181" s="320"/>
    </row>
    <row r="182" ht="14.75" spans="2:26">
      <c r="B182" s="356" t="s">
        <v>55</v>
      </c>
      <c r="C182" s="357">
        <f>AVERAGE(C171:C173)</f>
        <v>-0.00833333333333333</v>
      </c>
      <c r="D182" s="357">
        <f>AVERAGE(D171:D173)</f>
        <v>0.029</v>
      </c>
      <c r="E182" s="357">
        <f>AVERAGE(E171:E173)</f>
        <v>0.0203333333333333</v>
      </c>
      <c r="F182" s="358"/>
      <c r="G182" s="357">
        <v>-0.052</v>
      </c>
      <c r="H182" s="357">
        <v>-0.060171969169679</v>
      </c>
      <c r="I182" s="358">
        <v>0.0461539786279523</v>
      </c>
      <c r="J182" s="39"/>
      <c r="K182" s="359">
        <v>0.0273247094113236</v>
      </c>
      <c r="L182" s="357">
        <v>0.012213310171963</v>
      </c>
      <c r="M182" s="358">
        <f>AVERAGE(M171:M173)</f>
        <v>-0.14</v>
      </c>
      <c r="N182" s="40">
        <f>AVERAGE(N171:N173)</f>
        <v>-0.17</v>
      </c>
      <c r="R182" s="290" t="s">
        <v>245</v>
      </c>
      <c r="S182" s="21">
        <v>-0.0207454283954439</v>
      </c>
      <c r="T182" s="21">
        <v>0.0653800753211524</v>
      </c>
      <c r="U182" s="27">
        <v>0.0432783092546427</v>
      </c>
      <c r="V182" s="318"/>
      <c r="W182" s="35">
        <v>0.01</v>
      </c>
      <c r="X182" s="34">
        <v>0.25</v>
      </c>
      <c r="Y182" s="38">
        <v>-0.01</v>
      </c>
      <c r="Z182" s="320"/>
    </row>
    <row r="183" hidden="1" outlineLevel="1" spans="2:26">
      <c r="B183" s="32" t="s">
        <v>56</v>
      </c>
      <c r="C183" s="33"/>
      <c r="D183" s="33"/>
      <c r="E183" s="33"/>
      <c r="F183" s="38"/>
      <c r="G183" s="35"/>
      <c r="H183" s="34"/>
      <c r="I183" s="38"/>
      <c r="J183" s="40"/>
      <c r="K183" s="35"/>
      <c r="L183" s="34"/>
      <c r="M183" s="38"/>
      <c r="N183" s="40"/>
      <c r="R183" s="290" t="s">
        <v>246</v>
      </c>
      <c r="S183" s="21">
        <v>-0.0237123101604484</v>
      </c>
      <c r="T183" s="21">
        <v>0.0189132151629412</v>
      </c>
      <c r="U183" s="27">
        <v>-0.00524757102158346</v>
      </c>
      <c r="V183" s="318"/>
      <c r="W183" s="35">
        <v>-0.02</v>
      </c>
      <c r="X183" s="34">
        <v>0.17</v>
      </c>
      <c r="Y183" s="38">
        <v>-0.04</v>
      </c>
      <c r="Z183" s="320"/>
    </row>
    <row r="184" ht="14.75" hidden="1" outlineLevel="1" spans="2:26">
      <c r="B184" s="163" t="s">
        <v>57</v>
      </c>
      <c r="C184" s="168"/>
      <c r="D184" s="168"/>
      <c r="E184" s="168"/>
      <c r="F184" s="288"/>
      <c r="G184" s="209"/>
      <c r="H184" s="250"/>
      <c r="I184" s="170"/>
      <c r="J184" s="252"/>
      <c r="K184" s="209"/>
      <c r="L184" s="250"/>
      <c r="M184" s="170"/>
      <c r="N184" s="40"/>
      <c r="R184" s="290" t="s">
        <v>247</v>
      </c>
      <c r="S184" s="21">
        <v>0.0241189891884159</v>
      </c>
      <c r="T184" s="21">
        <v>0.0427869370302005</v>
      </c>
      <c r="U184" s="27">
        <v>0.0679379038902512</v>
      </c>
      <c r="V184" s="318"/>
      <c r="W184" s="35">
        <v>-0.01</v>
      </c>
      <c r="X184" s="34">
        <v>0.09</v>
      </c>
      <c r="Y184" s="38">
        <v>-0.02</v>
      </c>
      <c r="Z184" s="320"/>
    </row>
    <row r="185" collapsed="1" spans="2:26">
      <c r="B185" s="360" t="s">
        <v>248</v>
      </c>
      <c r="C185" s="361" t="s">
        <v>50</v>
      </c>
      <c r="D185" s="361" t="s">
        <v>9</v>
      </c>
      <c r="E185" s="361" t="s">
        <v>10</v>
      </c>
      <c r="F185" s="362"/>
      <c r="G185" s="363" t="s">
        <v>249</v>
      </c>
      <c r="H185" s="364" t="s">
        <v>230</v>
      </c>
      <c r="I185" s="365" t="s">
        <v>231</v>
      </c>
      <c r="J185" s="366"/>
      <c r="K185" s="367"/>
      <c r="L185" s="368"/>
      <c r="M185" s="369"/>
      <c r="N185" s="40"/>
      <c r="R185" s="290" t="s">
        <v>250</v>
      </c>
      <c r="S185" s="21">
        <v>-0.0553468561331466</v>
      </c>
      <c r="T185" s="21">
        <v>-0.0334129114724581</v>
      </c>
      <c r="U185" s="27">
        <v>-0.0869104680013495</v>
      </c>
      <c r="V185" s="318"/>
      <c r="W185" s="35">
        <v>-0.04</v>
      </c>
      <c r="X185" s="34">
        <v>0.07</v>
      </c>
      <c r="Y185" s="38">
        <v>-0.04</v>
      </c>
      <c r="Z185" s="320"/>
    </row>
    <row r="186" spans="2:26">
      <c r="B186" s="370" t="s">
        <v>251</v>
      </c>
      <c r="C186" s="371">
        <v>-0.0403575804173666</v>
      </c>
      <c r="D186" s="371">
        <v>-0.0135531051827629</v>
      </c>
      <c r="E186" s="371">
        <v>-0.0533637150678111</v>
      </c>
      <c r="F186" s="372"/>
      <c r="G186" s="373">
        <v>-0.02</v>
      </c>
      <c r="H186" s="374">
        <v>-0.07</v>
      </c>
      <c r="I186" s="372">
        <v>-0.03</v>
      </c>
      <c r="J186" s="40"/>
      <c r="K186" s="35"/>
      <c r="L186" s="34"/>
      <c r="M186" s="38"/>
      <c r="N186" s="40"/>
      <c r="R186" s="375" t="s">
        <v>252</v>
      </c>
      <c r="S186" s="376">
        <v>0.0138238664512416</v>
      </c>
      <c r="T186" s="376">
        <v>0.136463359647327</v>
      </c>
      <c r="U186" s="377">
        <v>0.152173677357821</v>
      </c>
      <c r="V186" s="318"/>
      <c r="W186" s="378">
        <v>-0.06</v>
      </c>
      <c r="X186" s="255">
        <v>0.07</v>
      </c>
      <c r="Y186" s="379">
        <v>-0.06</v>
      </c>
      <c r="Z186" s="320"/>
    </row>
    <row r="187" spans="2:26">
      <c r="B187" s="380" t="s">
        <v>253</v>
      </c>
      <c r="C187" s="381">
        <v>-0.0482913053184095</v>
      </c>
      <c r="D187" s="381">
        <v>-0.0178814292273873</v>
      </c>
      <c r="E187" s="381">
        <v>-0.0653092169874475</v>
      </c>
      <c r="F187" s="358"/>
      <c r="G187" s="382">
        <v>-0.01</v>
      </c>
      <c r="H187" s="383">
        <v>-0.08</v>
      </c>
      <c r="I187" s="358">
        <v>-0.04</v>
      </c>
      <c r="J187" s="40"/>
      <c r="K187" s="35"/>
      <c r="L187" s="34"/>
      <c r="M187" s="38"/>
      <c r="N187" s="40"/>
      <c r="R187" s="375" t="s">
        <v>254</v>
      </c>
      <c r="S187" s="376">
        <v>-0.0283123067766522</v>
      </c>
      <c r="T187" s="376">
        <v>0.0285955497665165</v>
      </c>
      <c r="U187" s="377">
        <v>-0.000526362987567697</v>
      </c>
      <c r="V187" s="318"/>
      <c r="W187" s="378">
        <v>-0.08</v>
      </c>
      <c r="X187" s="255">
        <v>0.14</v>
      </c>
      <c r="Y187" s="379">
        <v>-0.1</v>
      </c>
      <c r="Z187" s="320"/>
    </row>
    <row r="188" spans="2:26">
      <c r="B188" s="380" t="s">
        <v>255</v>
      </c>
      <c r="C188" s="381">
        <v>-0.042</v>
      </c>
      <c r="D188" s="381">
        <v>-0.013</v>
      </c>
      <c r="E188" s="381">
        <v>-0.054</v>
      </c>
      <c r="F188" s="358"/>
      <c r="G188" s="382">
        <v>0.06</v>
      </c>
      <c r="H188" s="383">
        <v>-0.07</v>
      </c>
      <c r="I188" s="358">
        <v>0.03</v>
      </c>
      <c r="J188" s="40"/>
      <c r="K188" s="35"/>
      <c r="L188" s="34"/>
      <c r="M188" s="38"/>
      <c r="N188" s="40"/>
      <c r="R188" s="375" t="s">
        <v>256</v>
      </c>
      <c r="S188" s="376">
        <v>-0.0273503984680732</v>
      </c>
      <c r="T188" s="376">
        <v>0.0239059257598386</v>
      </c>
      <c r="U188" s="377">
        <v>-0.00409830930351329</v>
      </c>
      <c r="V188" s="318"/>
      <c r="W188" s="378">
        <v>-0.07</v>
      </c>
      <c r="X188" s="255">
        <v>0.17</v>
      </c>
      <c r="Y188" s="379">
        <v>-0.08</v>
      </c>
      <c r="Z188" s="320"/>
    </row>
    <row r="189" spans="2:26">
      <c r="B189" s="380" t="s">
        <v>257</v>
      </c>
      <c r="C189" s="381">
        <v>-0.0124481327800828</v>
      </c>
      <c r="D189" s="381">
        <v>-0.00739630184907536</v>
      </c>
      <c r="E189" s="381">
        <v>-0.0200690846286701</v>
      </c>
      <c r="F189" s="358"/>
      <c r="G189" s="382">
        <v>0.06</v>
      </c>
      <c r="H189" s="383">
        <v>-0.06</v>
      </c>
      <c r="I189" s="358">
        <v>0.03</v>
      </c>
      <c r="J189" s="40"/>
      <c r="K189" s="35"/>
      <c r="L189" s="34"/>
      <c r="M189" s="38"/>
      <c r="N189" s="40"/>
      <c r="R189" s="375" t="s">
        <v>258</v>
      </c>
      <c r="S189" s="376">
        <v>0.0622558454113142</v>
      </c>
      <c r="T189" s="376">
        <v>0.0170310909127753</v>
      </c>
      <c r="U189" s="377">
        <v>0.0803472212871399</v>
      </c>
      <c r="V189" s="318"/>
      <c r="W189" s="378">
        <v>-0.08</v>
      </c>
      <c r="X189" s="255">
        <v>0.17</v>
      </c>
      <c r="Y189" s="379">
        <v>-0.1</v>
      </c>
      <c r="Z189" s="320"/>
    </row>
    <row r="190" spans="2:26">
      <c r="B190" s="380" t="s">
        <v>259</v>
      </c>
      <c r="C190" s="381">
        <v>-0.009</v>
      </c>
      <c r="D190" s="381">
        <v>0</v>
      </c>
      <c r="E190" s="381">
        <v>-0.009</v>
      </c>
      <c r="F190" s="358"/>
      <c r="G190" s="382">
        <v>0.08</v>
      </c>
      <c r="H190" s="383">
        <v>-0.07</v>
      </c>
      <c r="I190" s="358">
        <v>0.05</v>
      </c>
      <c r="J190" s="40"/>
      <c r="K190" s="378"/>
      <c r="L190" s="255"/>
      <c r="M190" s="379"/>
      <c r="N190" s="40"/>
      <c r="R190" s="375" t="s">
        <v>260</v>
      </c>
      <c r="S190" s="376">
        <v>0.0127251927001597</v>
      </c>
      <c r="T190" s="376">
        <v>0.0170577555047806</v>
      </c>
      <c r="U190" s="377">
        <v>0.0300000114307724</v>
      </c>
      <c r="V190" s="318"/>
      <c r="W190" s="378">
        <v>-0.1</v>
      </c>
      <c r="X190" s="255">
        <v>0.17</v>
      </c>
      <c r="Y190" s="379">
        <v>-0.11</v>
      </c>
      <c r="Z190" s="320"/>
    </row>
    <row r="191" spans="2:26">
      <c r="B191" s="380" t="s">
        <v>261</v>
      </c>
      <c r="C191" s="381">
        <v>-0.0155477582440133</v>
      </c>
      <c r="D191" s="381">
        <v>0.000929295430532884</v>
      </c>
      <c r="E191" s="381">
        <v>-0.0146329112741732</v>
      </c>
      <c r="F191" s="358"/>
      <c r="G191" s="382">
        <v>0.04</v>
      </c>
      <c r="H191" s="383">
        <v>-0.08</v>
      </c>
      <c r="I191" s="358">
        <v>0.02</v>
      </c>
      <c r="J191" s="40"/>
      <c r="K191" s="378"/>
      <c r="L191" s="255"/>
      <c r="M191" s="379"/>
      <c r="N191" s="40"/>
      <c r="R191" s="290" t="s">
        <v>262</v>
      </c>
      <c r="S191" s="21">
        <v>-0.0257511891781167</v>
      </c>
      <c r="T191" s="21">
        <v>0.0208980684040097</v>
      </c>
      <c r="U191" s="27">
        <v>-0.00539127088703428</v>
      </c>
      <c r="V191" s="318"/>
      <c r="W191" s="378">
        <v>-0.07</v>
      </c>
      <c r="X191" s="255">
        <v>0.06</v>
      </c>
      <c r="Y191" s="379">
        <v>-0.06</v>
      </c>
      <c r="Z191" s="320"/>
    </row>
    <row r="192" spans="2:26">
      <c r="B192" s="384" t="s">
        <v>263</v>
      </c>
      <c r="C192" s="385">
        <v>-0.0336433012342808</v>
      </c>
      <c r="D192" s="385">
        <v>-0.00738634184004849</v>
      </c>
      <c r="E192" s="385">
        <v>-0.0407811421507852</v>
      </c>
      <c r="F192" s="386"/>
      <c r="G192" s="387">
        <v>0.04</v>
      </c>
      <c r="H192" s="388">
        <v>-0.06</v>
      </c>
      <c r="I192" s="386">
        <v>0.02</v>
      </c>
      <c r="J192" s="40"/>
      <c r="K192" s="378"/>
      <c r="L192" s="255"/>
      <c r="M192" s="379"/>
      <c r="N192" s="40"/>
      <c r="R192" s="375" t="s">
        <v>264</v>
      </c>
      <c r="S192" s="376">
        <v>-0.0800320841609209</v>
      </c>
      <c r="T192" s="376">
        <v>0.0555595744610848</v>
      </c>
      <c r="U192" s="377">
        <v>-0.0289190582390509</v>
      </c>
      <c r="V192" s="318"/>
      <c r="W192" s="378">
        <v>-0.05</v>
      </c>
      <c r="X192" s="255">
        <v>0.03</v>
      </c>
      <c r="Y192" s="379">
        <v>-0.05</v>
      </c>
      <c r="Z192" s="320"/>
    </row>
    <row r="193" ht="14.75" spans="2:26">
      <c r="B193" s="389" t="s">
        <v>265</v>
      </c>
      <c r="C193" s="390">
        <v>0.0211876309629209</v>
      </c>
      <c r="D193" s="390">
        <v>0.00989002885444701</v>
      </c>
      <c r="E193" s="390">
        <v>0.0312872060989491</v>
      </c>
      <c r="F193" s="391"/>
      <c r="G193" s="392">
        <v>0.06</v>
      </c>
      <c r="H193" s="393">
        <v>-0.05</v>
      </c>
      <c r="I193" s="391">
        <v>0.04</v>
      </c>
      <c r="J193" s="40"/>
      <c r="K193" s="378"/>
      <c r="L193" s="255"/>
      <c r="M193" s="379"/>
      <c r="N193" s="40"/>
      <c r="R193" s="290" t="s">
        <v>266</v>
      </c>
      <c r="S193" s="21">
        <v>-0.058</v>
      </c>
      <c r="T193" s="21">
        <v>-0.001</v>
      </c>
      <c r="U193" s="27">
        <v>-0.059</v>
      </c>
      <c r="V193" s="318"/>
      <c r="W193" s="35">
        <v>-0.04</v>
      </c>
      <c r="X193" s="34">
        <v>-0.09</v>
      </c>
      <c r="Y193" s="38">
        <v>-0.04</v>
      </c>
      <c r="Z193" s="320"/>
    </row>
    <row r="194" spans="2:26">
      <c r="J194" s="40"/>
      <c r="K194" s="378"/>
      <c r="L194" s="255"/>
      <c r="M194" s="379"/>
      <c r="N194" s="40"/>
      <c r="R194" s="290" t="s">
        <v>251</v>
      </c>
      <c r="S194" s="21">
        <v>-0.0404</v>
      </c>
      <c r="T194" s="21">
        <v>-0.0136</v>
      </c>
      <c r="U194" s="27">
        <v>-0.0534</v>
      </c>
      <c r="V194" s="318"/>
      <c r="W194" s="35">
        <v>-0.02</v>
      </c>
      <c r="X194" s="34">
        <v>-0.07</v>
      </c>
      <c r="Y194" s="38">
        <v>-0.03</v>
      </c>
      <c r="Z194" s="320"/>
    </row>
    <row r="195" spans="2:26">
      <c r="B195" s="394"/>
      <c r="C195" s="26"/>
      <c r="D195" s="26"/>
      <c r="E195" s="26"/>
      <c r="F195" s="40"/>
      <c r="G195" s="40"/>
      <c r="H195" s="40"/>
      <c r="I195" s="40"/>
      <c r="J195" s="40"/>
      <c r="K195" s="378"/>
      <c r="L195" s="255"/>
      <c r="M195" s="379"/>
      <c r="N195" s="40"/>
      <c r="R195" s="290" t="s">
        <v>253</v>
      </c>
      <c r="S195" s="21">
        <v>-0.0482913053184095</v>
      </c>
      <c r="T195" s="21">
        <v>-0.0178814292273873</v>
      </c>
      <c r="U195" s="27">
        <v>-0.0653092169874475</v>
      </c>
      <c r="V195" s="318"/>
      <c r="W195" s="35">
        <v>-0.01</v>
      </c>
      <c r="X195" s="34">
        <v>-0.08</v>
      </c>
      <c r="Y195" s="38">
        <v>-0.04</v>
      </c>
      <c r="Z195" s="320"/>
    </row>
    <row r="196" spans="2:26">
      <c r="B196" s="37"/>
      <c r="C196" s="37"/>
      <c r="D196" s="37"/>
      <c r="E196" s="37"/>
      <c r="F196" s="37"/>
      <c r="G196" s="37"/>
      <c r="H196" s="37"/>
      <c r="I196" s="37"/>
      <c r="J196" s="40"/>
      <c r="K196" s="378"/>
      <c r="L196" s="255"/>
      <c r="M196" s="379"/>
      <c r="N196" s="40"/>
      <c r="R196" s="290" t="s">
        <v>255</v>
      </c>
      <c r="S196" s="45">
        <v>-0.042</v>
      </c>
      <c r="T196" s="45">
        <v>-0.013</v>
      </c>
      <c r="U196" s="104">
        <v>-0.054</v>
      </c>
      <c r="V196" s="287"/>
      <c r="W196" s="35">
        <v>0.06</v>
      </c>
      <c r="X196" s="34">
        <v>-0.07</v>
      </c>
      <c r="Y196" s="38">
        <v>0.03</v>
      </c>
      <c r="Z196" s="320"/>
    </row>
    <row r="197" spans="2:26">
      <c r="J197" s="40"/>
      <c r="K197" s="378"/>
      <c r="L197" s="255"/>
      <c r="M197" s="379"/>
      <c r="N197" s="40"/>
      <c r="R197" s="290" t="s">
        <v>257</v>
      </c>
      <c r="S197" s="21">
        <v>-0.0124481327800828</v>
      </c>
      <c r="T197" s="45">
        <v>-0.00739630184907536</v>
      </c>
      <c r="U197" s="104">
        <v>-0.0200690846286701</v>
      </c>
      <c r="V197" s="318"/>
      <c r="W197" s="35">
        <v>0.06</v>
      </c>
      <c r="X197" s="33">
        <v>-0.06</v>
      </c>
      <c r="Y197" s="38">
        <v>0.03</v>
      </c>
      <c r="Z197" s="320"/>
    </row>
    <row r="198" spans="2:26">
      <c r="B198" s="292" t="s">
        <v>267</v>
      </c>
      <c r="C198" s="26"/>
      <c r="D198" s="26"/>
      <c r="E198" s="26"/>
      <c r="F198" s="40"/>
      <c r="G198" s="395" t="s">
        <v>268</v>
      </c>
      <c r="H198" s="40"/>
      <c r="I198" s="40"/>
      <c r="J198" s="40"/>
      <c r="K198" s="378"/>
      <c r="L198" s="255"/>
      <c r="M198" s="379"/>
      <c r="N198" s="40"/>
      <c r="R198" s="396" t="s">
        <v>259</v>
      </c>
      <c r="S198" s="347">
        <v>-0.009</v>
      </c>
      <c r="T198" s="347">
        <v>0</v>
      </c>
      <c r="U198" s="339">
        <v>-0.009</v>
      </c>
      <c r="V198" s="397"/>
      <c r="W198" s="398">
        <v>0.08</v>
      </c>
      <c r="X198" s="157">
        <v>-0.07</v>
      </c>
      <c r="Y198" s="158">
        <v>0.05</v>
      </c>
      <c r="Z198" s="320"/>
    </row>
    <row r="199" ht="14.75" spans="2:26">
      <c r="J199" s="40"/>
      <c r="K199" s="378"/>
      <c r="L199" s="255"/>
      <c r="M199" s="379"/>
      <c r="N199" s="40"/>
      <c r="R199" s="399" t="s">
        <v>261</v>
      </c>
      <c r="S199" s="400">
        <v>-0.0155477582440133</v>
      </c>
      <c r="T199" s="400">
        <v>0.000929295430532884</v>
      </c>
      <c r="U199" s="401">
        <v>-0.0146329112741732</v>
      </c>
      <c r="V199" s="402"/>
      <c r="W199" s="403">
        <v>0.04</v>
      </c>
      <c r="X199" s="404">
        <v>-0.08</v>
      </c>
      <c r="Y199" s="405">
        <v>0.02</v>
      </c>
      <c r="Z199" s="320"/>
    </row>
    <row r="200" spans="2:26">
      <c r="J200" s="40"/>
      <c r="K200" s="378"/>
      <c r="L200" s="255"/>
      <c r="M200" s="379"/>
      <c r="N200" s="40"/>
      <c r="R200" s="406" t="s">
        <v>263</v>
      </c>
      <c r="S200" s="407">
        <v>-0.0336433012342808</v>
      </c>
      <c r="T200" s="408">
        <v>-0.00738634184004849</v>
      </c>
      <c r="U200" s="401">
        <v>-0.0407811421507852</v>
      </c>
      <c r="V200" s="409"/>
      <c r="W200" s="410">
        <v>0.04</v>
      </c>
      <c r="X200" s="411">
        <v>-0.06</v>
      </c>
      <c r="Y200" s="412">
        <v>0.02</v>
      </c>
      <c r="Z200" s="320"/>
    </row>
    <row r="201" ht="14.75" spans="2:26">
      <c r="J201" s="38"/>
      <c r="K201" s="207"/>
      <c r="L201" s="34"/>
      <c r="M201" s="38"/>
      <c r="N201" s="40"/>
      <c r="R201" s="389" t="s">
        <v>265</v>
      </c>
      <c r="S201" s="390">
        <v>0.0211876309629209</v>
      </c>
      <c r="T201" s="413">
        <v>0.00989002885444701</v>
      </c>
      <c r="U201" s="414">
        <v>0.0312872060989491</v>
      </c>
      <c r="V201" s="415"/>
      <c r="W201" s="392">
        <v>0.06</v>
      </c>
      <c r="X201" s="393">
        <v>-0.05</v>
      </c>
      <c r="Y201" s="391">
        <v>0.04</v>
      </c>
      <c r="Z201" s="320"/>
    </row>
    <row r="202" spans="2:26">
      <c r="J202" s="40"/>
      <c r="K202" s="35"/>
      <c r="L202" s="34"/>
      <c r="M202" s="38"/>
      <c r="N202" s="40"/>
      <c r="R202" s="37"/>
      <c r="S202" s="26"/>
      <c r="T202" s="295"/>
      <c r="U202" s="295"/>
      <c r="V202" s="295"/>
      <c r="W202" s="295"/>
      <c r="X202" s="295"/>
    </row>
    <row r="203" spans="2:26">
      <c r="J203" s="40"/>
      <c r="K203" s="378"/>
      <c r="L203" s="255"/>
      <c r="M203" s="379"/>
      <c r="N203" s="40"/>
      <c r="R203" s="37"/>
      <c r="S203" s="26"/>
      <c r="T203" s="295"/>
      <c r="U203" s="295"/>
      <c r="V203" s="295"/>
      <c r="W203" s="295"/>
      <c r="X203" s="295"/>
    </row>
    <row r="204" ht="14.75" spans="2:26">
      <c r="J204" s="40"/>
      <c r="K204" s="209"/>
      <c r="L204" s="250"/>
      <c r="M204" s="170"/>
      <c r="N204" s="40"/>
      <c r="R204" s="37"/>
      <c r="S204" s="26"/>
      <c r="T204" s="295"/>
      <c r="U204" s="295"/>
      <c r="V204" s="295"/>
      <c r="W204" s="295"/>
      <c r="X204" s="295"/>
    </row>
    <row r="205" spans="2:26">
      <c r="J205" s="40"/>
      <c r="K205" s="40"/>
      <c r="L205" s="40"/>
      <c r="M205" s="40"/>
      <c r="R205" s="108" t="s">
        <v>269</v>
      </c>
      <c r="X205" s="294" t="s">
        <v>217</v>
      </c>
    </row>
    <row r="206" spans="2:26">
      <c r="J206" s="40"/>
      <c r="K206" s="40"/>
      <c r="L206" s="40"/>
      <c r="M206" s="40"/>
    </row>
    <row r="207" spans="2:26">
      <c r="J207" s="37"/>
      <c r="K207" s="37"/>
      <c r="L207" s="37"/>
      <c r="M207" s="37"/>
    </row>
  </sheetData>
  <sheetProtection formatCells="0" formatColumns="0" formatRows="0" insertRows="0" insertColumns="0" insertHyperlinks="0" deleteColumns="0" deleteRows="0" sort="0" autoFilter="0" pivotTables="0"/>
  <mergeCells count="33">
    <mergeCell ref="C2:E2"/>
    <mergeCell ref="G2:I2"/>
    <mergeCell ref="S2:U2"/>
    <mergeCell ref="W2:Y2"/>
    <mergeCell ref="AB2:AD2"/>
    <mergeCell ref="AF2:AG2"/>
    <mergeCell ref="C24:E24"/>
    <mergeCell ref="G24:H24"/>
    <mergeCell ref="K24:L24"/>
    <mergeCell ref="S24:U24"/>
    <mergeCell ref="G45:I45"/>
    <mergeCell ref="K45:M45"/>
    <mergeCell ref="C46:E46"/>
    <mergeCell ref="G46:H46"/>
    <mergeCell ref="K46:L46"/>
    <mergeCell ref="S46:U46"/>
    <mergeCell ref="K69:L69"/>
    <mergeCell ref="C74:E74"/>
    <mergeCell ref="G74:H74"/>
    <mergeCell ref="K74:L74"/>
    <mergeCell ref="S74:U74"/>
    <mergeCell ref="C136:E136"/>
    <mergeCell ref="G136:H136"/>
    <mergeCell ref="K136:L136"/>
    <mergeCell ref="S136:U136"/>
    <mergeCell ref="K165:L165"/>
    <mergeCell ref="C166:E166"/>
    <mergeCell ref="G166:H166"/>
    <mergeCell ref="K166:L166"/>
    <mergeCell ref="S166:U166"/>
    <mergeCell ref="W166:Y166"/>
    <mergeCell ref="AG48:AG54"/>
    <mergeCell ref="AH48:AH54"/>
  </mergeCells>
  <pageMargins left="0.7" right="0.7" top="0.75" bottom="0.75" header="0.3" footer="0.3"/>
  <pageSetup paperSize="9" orientation="portrait"/>
  <headerFooter/>
  <ignoredErrors>
    <ignoredError sqref="K63 C61:E64 G63:I63 L63:M64 H64:I64 C81:E87 C89:L89 C91:L91 C90:E90 G90:L90 K92:L92 G92:I92 C168:E168" formulaRang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6:K9"/>
  <sheetViews>
    <sheetView workbookViewId="0">
      <selection activeCell="K9" sqref="K9"/>
    </sheetView>
  </sheetViews>
  <sheetFormatPr defaultColWidth="9" defaultRowHeight="14"/>
  <cols>
    <col min="9" max="10" width="12.1666666666667" customWidth="1"/>
  </cols>
  <sheetData>
    <row r="6" spans="8:11">
      <c r="I6">
        <v>2025</v>
      </c>
      <c r="J6">
        <v>2026</v>
      </c>
    </row>
    <row r="7" spans="8:11">
      <c r="H7" s="113" t="s">
        <v>270</v>
      </c>
      <c r="I7">
        <v>207575</v>
      </c>
      <c r="J7">
        <v>215106</v>
      </c>
    </row>
    <row r="8" spans="8:11">
      <c r="H8" s="113" t="s">
        <v>271</v>
      </c>
      <c r="I8">
        <v>249669</v>
      </c>
      <c r="J8">
        <v>256103</v>
      </c>
    </row>
    <row r="9" spans="8:11">
      <c r="I9">
        <f>I8-I7</f>
        <v>42094</v>
      </c>
      <c r="J9">
        <f>J8-J7</f>
        <v>40997</v>
      </c>
      <c r="K9" s="114">
        <f>J9/I9-1</f>
        <v>-0.0260607212429325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H32" sqref="H32"/>
    </sheetView>
  </sheetViews>
  <sheetFormatPr defaultColWidth="9" defaultRowHeight="14" outlineLevelCol="7"/>
  <cols>
    <col min="2" max="3" width="10" customWidth="1"/>
    <col min="6" max="7" width="10" customWidth="1"/>
  </cols>
  <sheetData>
    <row r="1" spans="1:8">
      <c r="B1" s="109">
        <v>2023</v>
      </c>
      <c r="C1" s="109">
        <v>2026</v>
      </c>
      <c r="D1" s="110" t="s">
        <v>272</v>
      </c>
      <c r="F1" s="109">
        <v>2023</v>
      </c>
      <c r="G1" s="109" t="s">
        <v>273</v>
      </c>
      <c r="H1" s="110" t="s">
        <v>274</v>
      </c>
    </row>
    <row r="2" spans="1:8">
      <c r="A2" t="s">
        <v>275</v>
      </c>
      <c r="B2" s="111">
        <v>3.48</v>
      </c>
      <c r="C2" s="111">
        <v>10.38</v>
      </c>
      <c r="D2" s="112">
        <f>(C2/B2)^(1/3)-1</f>
        <v>0.439481330161666</v>
      </c>
      <c r="E2" t="s">
        <v>275</v>
      </c>
      <c r="F2" s="111">
        <v>3.48</v>
      </c>
      <c r="G2" s="111">
        <v>6.64</v>
      </c>
      <c r="H2" s="112">
        <f>G2/F2-1</f>
        <v>0.908045977011494</v>
      </c>
    </row>
    <row r="3" spans="1:8">
      <c r="A3" t="s">
        <v>276</v>
      </c>
      <c r="B3" s="111">
        <v>10.72</v>
      </c>
      <c r="C3" s="111">
        <v>31.84</v>
      </c>
      <c r="D3" s="112">
        <f t="shared" ref="D3:D26" si="0">(C3/B3)^(1/3)-1</f>
        <v>0.437450035412202</v>
      </c>
      <c r="E3" t="s">
        <v>276</v>
      </c>
      <c r="F3" s="111">
        <v>10.72</v>
      </c>
      <c r="G3" s="111">
        <v>16.12</v>
      </c>
      <c r="H3" s="112">
        <f t="shared" ref="H3:H26" si="1">G3/F3-1</f>
        <v>0.503731343283582</v>
      </c>
    </row>
    <row r="4" spans="1:8">
      <c r="A4" t="s">
        <v>277</v>
      </c>
      <c r="B4" s="111">
        <v>46.51</v>
      </c>
      <c r="C4" s="111">
        <v>120.5</v>
      </c>
      <c r="D4" s="112">
        <f t="shared" si="0"/>
        <v>0.373452262564018</v>
      </c>
      <c r="E4" t="s">
        <v>277</v>
      </c>
      <c r="F4" s="111">
        <v>46.51</v>
      </c>
      <c r="G4" s="111">
        <v>85.03</v>
      </c>
      <c r="H4" s="112">
        <f t="shared" si="1"/>
        <v>0.828208987314556</v>
      </c>
    </row>
    <row r="5" spans="1:8">
      <c r="A5" t="s">
        <v>278</v>
      </c>
      <c r="B5" s="111">
        <v>4.78</v>
      </c>
      <c r="C5" s="111">
        <v>8.19</v>
      </c>
      <c r="D5" s="112">
        <f t="shared" si="0"/>
        <v>0.196608274693203</v>
      </c>
      <c r="E5" t="s">
        <v>278</v>
      </c>
      <c r="F5" s="111">
        <v>4.78</v>
      </c>
      <c r="G5" s="111">
        <v>5.83</v>
      </c>
      <c r="H5" s="112">
        <f t="shared" si="1"/>
        <v>0.219665271966527</v>
      </c>
    </row>
    <row r="6" spans="1:8">
      <c r="A6" t="s">
        <v>279</v>
      </c>
      <c r="B6" s="111">
        <v>2.63</v>
      </c>
      <c r="C6" s="111">
        <v>5.72</v>
      </c>
      <c r="D6" s="112">
        <f t="shared" si="0"/>
        <v>0.295627309055566</v>
      </c>
      <c r="E6" t="s">
        <v>279</v>
      </c>
      <c r="F6" s="111">
        <v>2.63</v>
      </c>
      <c r="G6" s="111">
        <v>3.46</v>
      </c>
      <c r="H6" s="112">
        <f t="shared" si="1"/>
        <v>0.315589353612167</v>
      </c>
    </row>
    <row r="7" spans="1:8">
      <c r="A7" t="s">
        <v>280</v>
      </c>
      <c r="B7" s="111">
        <v>16.32</v>
      </c>
      <c r="C7" s="111">
        <v>27.91</v>
      </c>
      <c r="D7" s="112">
        <f t="shared" si="0"/>
        <v>0.19585877326774</v>
      </c>
      <c r="E7" t="s">
        <v>280</v>
      </c>
      <c r="F7" s="111">
        <v>16.32</v>
      </c>
      <c r="G7" s="111">
        <v>22.45</v>
      </c>
      <c r="H7" s="112">
        <f t="shared" si="1"/>
        <v>0.375612745098039</v>
      </c>
    </row>
    <row r="8" spans="1:8">
      <c r="A8" t="s">
        <v>281</v>
      </c>
      <c r="B8" s="111">
        <v>54.56</v>
      </c>
      <c r="C8" s="111">
        <v>70.36</v>
      </c>
      <c r="D8" s="112">
        <f t="shared" si="0"/>
        <v>0.0884717361062815</v>
      </c>
      <c r="E8" t="s">
        <v>281</v>
      </c>
      <c r="F8" s="111">
        <v>54.56</v>
      </c>
      <c r="G8" s="111">
        <v>62.23</v>
      </c>
      <c r="H8" s="112">
        <f t="shared" si="1"/>
        <v>0.14057917888563</v>
      </c>
    </row>
    <row r="9" spans="1:8">
      <c r="A9" t="s">
        <v>282</v>
      </c>
      <c r="B9" s="111">
        <v>11.08</v>
      </c>
      <c r="C9" s="111">
        <v>17.15</v>
      </c>
      <c r="D9" s="112">
        <f t="shared" si="0"/>
        <v>0.156755184518037</v>
      </c>
      <c r="E9" t="s">
        <v>282</v>
      </c>
      <c r="F9" s="111">
        <v>11.08</v>
      </c>
      <c r="G9" s="111">
        <v>15.71</v>
      </c>
      <c r="H9" s="112">
        <f t="shared" si="1"/>
        <v>0.417870036101083</v>
      </c>
    </row>
    <row r="10" spans="1:8">
      <c r="A10" t="s">
        <v>283</v>
      </c>
      <c r="B10" s="111">
        <v>19.48</v>
      </c>
      <c r="C10" s="111">
        <v>29.26</v>
      </c>
      <c r="D10" s="112">
        <f t="shared" si="0"/>
        <v>0.14523634718333</v>
      </c>
      <c r="E10" t="s">
        <v>283</v>
      </c>
      <c r="F10" s="111">
        <v>19.48</v>
      </c>
      <c r="G10" s="111">
        <v>24.2</v>
      </c>
      <c r="H10" s="112">
        <f t="shared" si="1"/>
        <v>0.242299794661191</v>
      </c>
    </row>
    <row r="11" spans="1:8">
      <c r="A11" t="s">
        <v>284</v>
      </c>
      <c r="B11" s="111">
        <v>3.74</v>
      </c>
      <c r="C11" s="111">
        <v>6.25</v>
      </c>
      <c r="D11" s="112">
        <f t="shared" si="0"/>
        <v>0.186686873293638</v>
      </c>
      <c r="E11" t="s">
        <v>284</v>
      </c>
      <c r="F11" s="111">
        <v>3.74</v>
      </c>
      <c r="G11" s="111">
        <v>4.73</v>
      </c>
      <c r="H11" s="112">
        <f t="shared" si="1"/>
        <v>0.264705882352941</v>
      </c>
    </row>
    <row r="12" spans="1:8">
      <c r="A12" t="s">
        <v>285</v>
      </c>
      <c r="B12" s="111">
        <v>5.55</v>
      </c>
      <c r="C12" s="111">
        <v>9.02</v>
      </c>
      <c r="D12" s="112">
        <f t="shared" si="0"/>
        <v>0.175721657236778</v>
      </c>
      <c r="E12" t="s">
        <v>285</v>
      </c>
      <c r="F12" s="111">
        <v>5.55</v>
      </c>
      <c r="G12" s="111">
        <v>4</v>
      </c>
      <c r="H12" s="112">
        <f t="shared" si="1"/>
        <v>-0.279279279279279</v>
      </c>
    </row>
    <row r="13" spans="1:8">
      <c r="A13" t="s">
        <v>286</v>
      </c>
      <c r="B13" s="111">
        <v>2.7</v>
      </c>
      <c r="C13" s="111">
        <v>3.04</v>
      </c>
      <c r="D13" s="112">
        <f t="shared" si="0"/>
        <v>0.0403271671385899</v>
      </c>
      <c r="E13" t="s">
        <v>286</v>
      </c>
      <c r="F13" s="111">
        <v>2.7</v>
      </c>
      <c r="G13" s="111">
        <v>2.36</v>
      </c>
      <c r="H13" s="112">
        <f t="shared" si="1"/>
        <v>-0.125925925925926</v>
      </c>
    </row>
    <row r="14" spans="1:8">
      <c r="A14" t="s">
        <v>287</v>
      </c>
      <c r="B14" s="111">
        <v>29.84</v>
      </c>
      <c r="C14" s="111">
        <v>42.75</v>
      </c>
      <c r="D14" s="112">
        <f t="shared" si="0"/>
        <v>0.127316248584224</v>
      </c>
      <c r="E14" t="s">
        <v>287</v>
      </c>
      <c r="F14" s="111">
        <v>29.84</v>
      </c>
      <c r="G14" s="111">
        <v>33.05</v>
      </c>
      <c r="H14" s="112">
        <f t="shared" si="1"/>
        <v>0.107573726541555</v>
      </c>
    </row>
    <row r="15" spans="1:8">
      <c r="A15" t="s">
        <v>288</v>
      </c>
      <c r="B15" s="111">
        <v>10.6</v>
      </c>
      <c r="C15" s="111">
        <v>16.19</v>
      </c>
      <c r="D15" s="112">
        <f t="shared" si="0"/>
        <v>0.151631833467688</v>
      </c>
      <c r="E15" t="s">
        <v>288</v>
      </c>
      <c r="F15" s="111">
        <v>10.6</v>
      </c>
      <c r="G15" s="111">
        <v>11.75</v>
      </c>
      <c r="H15" s="112">
        <f t="shared" si="1"/>
        <v>0.108490566037736</v>
      </c>
    </row>
    <row r="16" spans="1:8">
      <c r="A16" t="s">
        <v>289</v>
      </c>
      <c r="B16" s="111">
        <v>14.2</v>
      </c>
      <c r="C16" s="111">
        <v>19.87</v>
      </c>
      <c r="D16" s="112">
        <f t="shared" si="0"/>
        <v>0.118501337023027</v>
      </c>
      <c r="E16" t="s">
        <v>289</v>
      </c>
      <c r="F16" s="111">
        <v>14.2</v>
      </c>
      <c r="G16" s="111">
        <v>15.73</v>
      </c>
      <c r="H16" s="112">
        <f t="shared" si="1"/>
        <v>0.10774647887324</v>
      </c>
    </row>
    <row r="17" spans="1:8">
      <c r="A17" t="s">
        <v>290</v>
      </c>
      <c r="B17" s="111">
        <v>50.15</v>
      </c>
      <c r="C17" s="111">
        <v>59.79</v>
      </c>
      <c r="D17" s="112">
        <f t="shared" si="0"/>
        <v>0.0603580521786324</v>
      </c>
      <c r="E17" t="s">
        <v>290</v>
      </c>
      <c r="F17" s="111">
        <v>50.15</v>
      </c>
      <c r="G17" s="111">
        <v>49.94</v>
      </c>
      <c r="H17" s="112">
        <f t="shared" si="1"/>
        <v>-0.00418743768693919</v>
      </c>
    </row>
    <row r="18" spans="1:8">
      <c r="A18" t="s">
        <v>291</v>
      </c>
      <c r="B18" s="111">
        <v>1.25</v>
      </c>
      <c r="C18" s="111">
        <v>1.66</v>
      </c>
      <c r="D18" s="112">
        <f t="shared" si="0"/>
        <v>0.0991729320190027</v>
      </c>
      <c r="E18" t="s">
        <v>291</v>
      </c>
      <c r="F18" s="111">
        <v>1.25</v>
      </c>
      <c r="G18" s="111">
        <v>1.26</v>
      </c>
      <c r="H18" s="112">
        <f t="shared" si="1"/>
        <v>0.00800000000000001</v>
      </c>
    </row>
    <row r="19" spans="1:8">
      <c r="A19" t="s">
        <v>292</v>
      </c>
      <c r="B19" s="111">
        <v>81.06</v>
      </c>
      <c r="C19" s="111">
        <v>87.07</v>
      </c>
      <c r="D19" s="112">
        <f t="shared" si="0"/>
        <v>0.024127390720476</v>
      </c>
      <c r="E19" t="s">
        <v>292</v>
      </c>
      <c r="F19" s="111">
        <v>81.06</v>
      </c>
      <c r="G19" s="111">
        <v>80.23</v>
      </c>
      <c r="H19" s="112">
        <f t="shared" si="1"/>
        <v>-0.0102393288921786</v>
      </c>
    </row>
    <row r="20" spans="1:8">
      <c r="A20" t="s">
        <v>293</v>
      </c>
      <c r="B20" s="111">
        <v>16.9</v>
      </c>
      <c r="C20" s="111">
        <v>17.84</v>
      </c>
      <c r="D20" s="112">
        <f t="shared" si="0"/>
        <v>0.0182069298128666</v>
      </c>
      <c r="E20" t="s">
        <v>293</v>
      </c>
      <c r="F20" s="111">
        <v>16.9</v>
      </c>
      <c r="G20" s="111">
        <v>16.24</v>
      </c>
      <c r="H20" s="112">
        <f t="shared" si="1"/>
        <v>-0.0390532544378699</v>
      </c>
    </row>
    <row r="21" spans="1:8">
      <c r="A21" t="s">
        <v>294</v>
      </c>
      <c r="B21" s="111">
        <v>-11.92</v>
      </c>
      <c r="C21" s="111">
        <v>-0.37</v>
      </c>
      <c r="D21" s="112">
        <f t="shared" si="0"/>
        <v>-0.685725973668257</v>
      </c>
      <c r="E21" t="s">
        <v>294</v>
      </c>
      <c r="F21" s="111">
        <v>-11.92</v>
      </c>
      <c r="G21" s="111"/>
      <c r="H21" s="112">
        <f t="shared" si="1"/>
        <v>-1</v>
      </c>
    </row>
    <row r="22" spans="1:8">
      <c r="A22" t="s">
        <v>295</v>
      </c>
      <c r="B22" s="111">
        <v>-8.29</v>
      </c>
      <c r="C22" s="111">
        <v>6.89</v>
      </c>
      <c r="D22" s="112">
        <f t="shared" si="0"/>
        <v>-1.94020285102126</v>
      </c>
      <c r="E22" t="s">
        <v>295</v>
      </c>
      <c r="F22" s="111">
        <v>-8.29</v>
      </c>
      <c r="G22" s="111"/>
      <c r="H22" s="112">
        <f t="shared" si="1"/>
        <v>-1</v>
      </c>
    </row>
    <row r="23" spans="1:8">
      <c r="A23" t="s">
        <v>296</v>
      </c>
      <c r="B23" s="111">
        <v>-0.28</v>
      </c>
      <c r="C23" s="111">
        <v>3.17</v>
      </c>
      <c r="D23" s="112">
        <f t="shared" si="0"/>
        <v>-3.24543459931666</v>
      </c>
      <c r="E23" t="s">
        <v>296</v>
      </c>
      <c r="F23" s="111">
        <v>-0.28</v>
      </c>
      <c r="G23" s="111"/>
      <c r="H23" s="112">
        <f t="shared" si="1"/>
        <v>-1</v>
      </c>
    </row>
    <row r="24" spans="1:8">
      <c r="A24" t="s">
        <v>297</v>
      </c>
      <c r="B24" s="111">
        <v>-10.87</v>
      </c>
      <c r="C24" s="111"/>
      <c r="D24" s="112">
        <f t="shared" si="0"/>
        <v>-1</v>
      </c>
      <c r="E24" t="s">
        <v>297</v>
      </c>
      <c r="F24" s="111">
        <v>-10.87</v>
      </c>
      <c r="G24" s="111"/>
      <c r="H24" s="112">
        <f t="shared" si="1"/>
        <v>-1</v>
      </c>
    </row>
    <row r="25" spans="1:8">
      <c r="A25" t="s">
        <v>298</v>
      </c>
      <c r="B25" s="111"/>
      <c r="C25" s="111"/>
      <c r="D25" s="112" t="e">
        <f t="shared" si="0"/>
        <v>#DIV/0!</v>
      </c>
      <c r="E25" t="s">
        <v>298</v>
      </c>
      <c r="F25" s="111"/>
      <c r="G25" s="111"/>
      <c r="H25" s="112" t="e">
        <f t="shared" si="1"/>
        <v>#DIV/0!</v>
      </c>
    </row>
    <row r="26" spans="1:8">
      <c r="A26" t="s">
        <v>299</v>
      </c>
      <c r="B26" s="111"/>
      <c r="C26" s="111"/>
      <c r="D26" s="112" t="e">
        <f t="shared" si="0"/>
        <v>#DIV/0!</v>
      </c>
      <c r="E26" t="s">
        <v>299</v>
      </c>
      <c r="F26" s="111"/>
      <c r="G26" s="111"/>
      <c r="H26" s="112" t="e">
        <f t="shared" si="1"/>
        <v>#DIV/0!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topLeftCell="A29" workbookViewId="0">
      <selection activeCell="J41" sqref="J41"/>
    </sheetView>
  </sheetViews>
  <sheetFormatPr defaultColWidth="9" defaultRowHeight="14"/>
  <cols>
    <col min="1" max="1" width="1.75" customWidth="1"/>
    <col min="2" max="2" width="10.0833333333333" customWidth="1"/>
    <col min="6" max="6" width="1.25" customWidth="1"/>
    <col min="9" max="9" width="11.0833333333333" customWidth="1"/>
    <col min="10" max="10" width="1.41666666666667" customWidth="1"/>
    <col min="11" max="11" width="15.6666666666667" customWidth="1"/>
    <col min="12" max="12" width="12.5" customWidth="1"/>
    <col min="13" max="13" width="12.4166666666667" customWidth="1"/>
  </cols>
  <sheetData>
    <row r="1" ht="14.75"/>
    <row r="2" spans="2:13">
      <c r="B2" s="1" t="s">
        <v>88</v>
      </c>
      <c r="C2" s="2" t="s">
        <v>6</v>
      </c>
      <c r="D2" s="2"/>
      <c r="E2" s="2"/>
      <c r="F2" s="3"/>
      <c r="G2" s="4" t="s">
        <v>60</v>
      </c>
      <c r="H2" s="5"/>
      <c r="I2" s="6" t="s">
        <v>61</v>
      </c>
      <c r="J2" s="7"/>
      <c r="K2" s="8" t="s">
        <v>62</v>
      </c>
      <c r="L2" s="9"/>
      <c r="M2" s="10" t="s">
        <v>89</v>
      </c>
    </row>
    <row r="3" ht="28" spans="2:13">
      <c r="B3" s="11" t="s">
        <v>7</v>
      </c>
      <c r="C3" s="12" t="s">
        <v>8</v>
      </c>
      <c r="D3" s="12" t="s">
        <v>9</v>
      </c>
      <c r="E3" s="12" t="s">
        <v>10</v>
      </c>
      <c r="F3" s="13"/>
      <c r="G3" s="14" t="s">
        <v>11</v>
      </c>
      <c r="H3" s="15" t="s">
        <v>12</v>
      </c>
      <c r="I3" s="16" t="s">
        <v>65</v>
      </c>
      <c r="J3" s="17"/>
      <c r="K3" s="14" t="s">
        <v>93</v>
      </c>
      <c r="L3" s="18" t="s">
        <v>12</v>
      </c>
      <c r="M3" s="19" t="s">
        <v>94</v>
      </c>
    </row>
    <row r="4" spans="2:13">
      <c r="B4" s="20" t="s">
        <v>15</v>
      </c>
      <c r="C4" s="21">
        <v>0.291990179412132</v>
      </c>
      <c r="D4" s="21">
        <v>-0.115172804288239</v>
      </c>
      <c r="E4" s="21">
        <v>0.143188047336371</v>
      </c>
      <c r="F4" s="22"/>
      <c r="G4" s="23">
        <f>[3]Summary!$CY$5</f>
        <v>0.33385295545731</v>
      </c>
      <c r="H4" s="24">
        <f>[3]Summary!$CY$15</f>
        <v>0.349410291226771</v>
      </c>
      <c r="I4" s="25">
        <v>0.393</v>
      </c>
      <c r="J4" s="26"/>
      <c r="K4" s="23">
        <f>[3]Summary!$CY$6</f>
        <v>-0.275350021213407</v>
      </c>
      <c r="L4" s="21">
        <f>[3]Summary!$CY$16</f>
        <v>-0.242187493080496</v>
      </c>
      <c r="M4" s="27">
        <f>65.8%-1</f>
        <v>-0.342</v>
      </c>
    </row>
    <row r="5" spans="2:13">
      <c r="B5" s="20" t="s">
        <v>17</v>
      </c>
      <c r="C5" s="21">
        <v>-0.179967540334221</v>
      </c>
      <c r="D5" s="21">
        <v>0.180847899169067</v>
      </c>
      <c r="E5" s="21">
        <v>-0.0316663927532236</v>
      </c>
      <c r="F5" s="22"/>
      <c r="G5" s="23">
        <f>[3]Summary!$CZ$5</f>
        <v>0.344746750017759</v>
      </c>
      <c r="H5" s="24">
        <v>0.34</v>
      </c>
      <c r="I5" s="25">
        <v>0.335</v>
      </c>
      <c r="J5" s="26"/>
      <c r="K5" s="23">
        <f>[3]Summary!$CZ$6</f>
        <v>-0.185890097309674</v>
      </c>
      <c r="L5" s="21">
        <v>-0.15</v>
      </c>
      <c r="M5" s="27">
        <f>72.3%-1</f>
        <v>-0.277</v>
      </c>
    </row>
    <row r="6" spans="2:13">
      <c r="B6" s="28" t="s">
        <v>20</v>
      </c>
      <c r="C6" s="21">
        <v>-0.0329843460314593</v>
      </c>
      <c r="D6" s="21">
        <v>-0.0277412772200094</v>
      </c>
      <c r="E6" s="21">
        <v>-0.05981059536429</v>
      </c>
      <c r="F6" s="22"/>
      <c r="G6" s="23">
        <f>[4]Summary!$DF$5</f>
        <v>0.172349041876881</v>
      </c>
      <c r="H6" s="24">
        <f>[4]Summary!$DF$15</f>
        <v>0.183657787266884</v>
      </c>
      <c r="I6" s="25">
        <v>0.146</v>
      </c>
      <c r="J6" s="26"/>
      <c r="K6" s="23">
        <f>[4]Summary!$DF$6</f>
        <v>-0.206252652426086</v>
      </c>
      <c r="L6" s="21">
        <f>[4]Summary!$DF$16</f>
        <v>-0.174647674977924</v>
      </c>
      <c r="M6" s="27">
        <f>69.7%-1</f>
        <v>-0.303</v>
      </c>
    </row>
    <row r="7" spans="2:13">
      <c r="B7" s="28" t="s">
        <v>22</v>
      </c>
      <c r="C7" s="21">
        <v>-0.0200740532894239</v>
      </c>
      <c r="D7" s="21">
        <v>-0.0711553728023263</v>
      </c>
      <c r="E7" s="21">
        <v>-0.0898010493462887</v>
      </c>
      <c r="F7" s="22"/>
      <c r="G7" s="23" t="e">
        <f>[5]Summary!$DG$5</f>
        <v>#REF!</v>
      </c>
      <c r="H7" s="24" t="e">
        <f>[6]Summary!$DG$15</f>
        <v>#REF!</v>
      </c>
      <c r="I7" s="25">
        <v>0.096</v>
      </c>
      <c r="J7" s="26"/>
      <c r="K7" s="23" t="e">
        <f>[5]Summary!$DG$6</f>
        <v>#REF!</v>
      </c>
      <c r="L7" s="21" t="e">
        <f>[6]Summary!$DG$16</f>
        <v>#REF!</v>
      </c>
      <c r="M7" s="27">
        <f>71%-1</f>
        <v>-0.29</v>
      </c>
    </row>
    <row r="8" spans="2:13">
      <c r="B8" s="28" t="s">
        <v>24</v>
      </c>
      <c r="C8" s="21">
        <v>-0.036</v>
      </c>
      <c r="D8" s="21">
        <v>-0.056</v>
      </c>
      <c r="E8" s="21">
        <v>-0.089</v>
      </c>
      <c r="F8" s="22"/>
      <c r="G8" s="23">
        <v>0.08</v>
      </c>
      <c r="H8" s="24" t="e">
        <f>[7]Summary!$DH$15</f>
        <v>#REF!</v>
      </c>
      <c r="I8" s="25">
        <v>0.108</v>
      </c>
      <c r="J8" s="26"/>
      <c r="K8" s="23">
        <v>-0.17</v>
      </c>
      <c r="L8" s="21" t="e">
        <f>[7]Summary!$DH$16</f>
        <v>#REF!</v>
      </c>
      <c r="M8" s="27">
        <f>72.4%-1</f>
        <v>-0.276</v>
      </c>
    </row>
    <row r="9" spans="2:13">
      <c r="B9" s="20" t="s">
        <v>27</v>
      </c>
      <c r="C9" s="21">
        <v>-0.0183339781676918</v>
      </c>
      <c r="D9" s="21">
        <v>-0.0599552398679151</v>
      </c>
      <c r="E9" s="21">
        <v>-0.0771899999768284</v>
      </c>
      <c r="F9" s="22"/>
      <c r="G9" s="23" t="e">
        <f>[7]Summary!$DI$5</f>
        <v>#REF!</v>
      </c>
      <c r="H9" s="24" t="e">
        <f>[7]Summary!$DI$15</f>
        <v>#REF!</v>
      </c>
      <c r="I9" s="25">
        <v>0.102</v>
      </c>
      <c r="J9" s="26"/>
      <c r="K9" s="23" t="e">
        <f>[7]Summary!$DI$6</f>
        <v>#REF!</v>
      </c>
      <c r="L9" s="21" t="e">
        <f>[7]Summary!$DI$16</f>
        <v>#REF!</v>
      </c>
      <c r="M9" s="27">
        <f>73.2%-1</f>
        <v>-0.268</v>
      </c>
    </row>
    <row r="10" spans="2:13">
      <c r="B10" s="20" t="s">
        <v>30</v>
      </c>
      <c r="C10" s="21">
        <v>-0.04</v>
      </c>
      <c r="D10" s="21">
        <v>-0.09</v>
      </c>
      <c r="E10" s="21">
        <v>-0.13</v>
      </c>
      <c r="F10" s="22"/>
      <c r="G10" s="23">
        <v>0.067</v>
      </c>
      <c r="H10" s="24">
        <v>0.06</v>
      </c>
      <c r="I10" s="25">
        <v>0.043</v>
      </c>
      <c r="J10" s="26"/>
      <c r="K10" s="23">
        <v>-0.091</v>
      </c>
      <c r="L10" s="21">
        <v>-0.04</v>
      </c>
      <c r="M10" s="27">
        <v>-0.22</v>
      </c>
    </row>
    <row r="11" spans="2:13">
      <c r="B11" s="20" t="s">
        <v>33</v>
      </c>
      <c r="C11" s="21">
        <v>0.02</v>
      </c>
      <c r="D11" s="21">
        <v>-0.066</v>
      </c>
      <c r="E11" s="21">
        <v>-0.046</v>
      </c>
      <c r="F11" s="22"/>
      <c r="G11" s="23">
        <v>0.1</v>
      </c>
      <c r="H11" s="24">
        <v>0.1</v>
      </c>
      <c r="I11" s="25">
        <v>0.106</v>
      </c>
      <c r="J11" s="26"/>
      <c r="K11" s="23">
        <v>-0.07</v>
      </c>
      <c r="L11" s="21">
        <v>-0.01</v>
      </c>
      <c r="M11" s="27">
        <v>-0.21</v>
      </c>
    </row>
    <row r="12" spans="2:13">
      <c r="B12" s="20" t="s">
        <v>36</v>
      </c>
      <c r="C12" s="21">
        <v>-0.03</v>
      </c>
      <c r="D12" s="21">
        <v>-0.07</v>
      </c>
      <c r="E12" s="21">
        <v>-0.1</v>
      </c>
      <c r="F12" s="22"/>
      <c r="G12" s="23">
        <v>0.08</v>
      </c>
      <c r="H12" s="24">
        <v>0.1</v>
      </c>
      <c r="I12" s="25">
        <v>0.05</v>
      </c>
      <c r="J12" s="26"/>
      <c r="K12" s="23">
        <v>-0.06</v>
      </c>
      <c r="L12" s="21">
        <v>-0.01</v>
      </c>
      <c r="M12" s="27">
        <v>-0.214</v>
      </c>
    </row>
    <row r="13" spans="2:13">
      <c r="B13" s="20" t="s">
        <v>39</v>
      </c>
      <c r="C13" s="21">
        <v>-0.03</v>
      </c>
      <c r="D13" s="21">
        <v>-0.045</v>
      </c>
      <c r="E13" s="21">
        <v>-0.076</v>
      </c>
      <c r="F13" s="22"/>
      <c r="G13" s="23">
        <v>0.1</v>
      </c>
      <c r="H13" s="24">
        <v>0.1</v>
      </c>
      <c r="I13" s="25">
        <v>0.06</v>
      </c>
      <c r="J13" s="26"/>
      <c r="K13" s="23">
        <v>-0.03</v>
      </c>
      <c r="L13" s="21">
        <v>0.02</v>
      </c>
      <c r="M13" s="27">
        <v>-0.19</v>
      </c>
    </row>
    <row r="14" spans="2:13">
      <c r="B14" s="20" t="s">
        <v>42</v>
      </c>
      <c r="C14" s="21">
        <v>0.008</v>
      </c>
      <c r="D14" s="21">
        <v>-0.033</v>
      </c>
      <c r="E14" s="21">
        <v>-0.026</v>
      </c>
      <c r="F14" s="24"/>
      <c r="G14" s="23">
        <v>0.11</v>
      </c>
      <c r="H14" s="24">
        <v>0.08</v>
      </c>
      <c r="I14" s="25">
        <v>0.088</v>
      </c>
      <c r="J14" s="26"/>
      <c r="K14" s="23">
        <v>-0.04</v>
      </c>
      <c r="L14" s="21">
        <v>0.01</v>
      </c>
      <c r="M14" s="27">
        <v>-0.239</v>
      </c>
    </row>
    <row r="15" spans="2:13">
      <c r="B15" s="20" t="s">
        <v>45</v>
      </c>
      <c r="C15" s="21">
        <v>-0.019</v>
      </c>
      <c r="D15" s="21">
        <v>-0.024</v>
      </c>
      <c r="E15" s="21">
        <v>-0.042</v>
      </c>
      <c r="F15" s="22"/>
      <c r="G15" s="23">
        <v>0.09</v>
      </c>
      <c r="H15" s="24">
        <v>0.05</v>
      </c>
      <c r="I15" s="25">
        <v>0.026</v>
      </c>
      <c r="J15" s="26"/>
      <c r="K15" s="23">
        <v>0.01</v>
      </c>
      <c r="L15" s="21">
        <v>0.04</v>
      </c>
      <c r="M15" s="27">
        <v>-0.2</v>
      </c>
    </row>
    <row r="16" spans="2:13">
      <c r="B16" s="29" t="s">
        <v>48</v>
      </c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1"/>
    </row>
    <row r="17" spans="1:14">
      <c r="B17" s="32" t="s">
        <v>54</v>
      </c>
      <c r="C17" s="33">
        <f>AVERAGE(C4:C6)</f>
        <v>0.0263460976821506</v>
      </c>
      <c r="D17" s="33">
        <f>AVERAGE(D4:D6)</f>
        <v>0.0126446058869395</v>
      </c>
      <c r="E17" s="33">
        <f>AVERAGE(E4:E6)</f>
        <v>0.0172370197396191</v>
      </c>
      <c r="F17" s="34"/>
      <c r="G17" s="35">
        <f>[4]Summary!$CY$5</f>
        <v>0.28066388984016</v>
      </c>
      <c r="H17" s="34">
        <f>[4]Summary!$CY$15</f>
        <v>0.288265774243985</v>
      </c>
      <c r="I17" s="36">
        <v>0.285</v>
      </c>
      <c r="J17" s="37"/>
      <c r="K17" s="35">
        <f>[4]Summary!$CY$6</f>
        <v>-0.222642938280954</v>
      </c>
      <c r="L17" s="33">
        <f>[4]Summary!$CY$16</f>
        <v>-0.188847859811655</v>
      </c>
      <c r="M17" s="38">
        <f>AVERAGE(M4:M6)</f>
        <v>-0.307333333333333</v>
      </c>
    </row>
    <row r="18" spans="1:14">
      <c r="B18" s="32" t="s">
        <v>55</v>
      </c>
      <c r="C18" s="33">
        <f>AVERAGE(C7:C9)</f>
        <v>-0.0248026771523719</v>
      </c>
      <c r="D18" s="33">
        <f t="shared" ref="D18:E18" si="0">AVERAGE(D7:D9)</f>
        <v>-0.0623702042234138</v>
      </c>
      <c r="E18" s="33">
        <f t="shared" si="0"/>
        <v>-0.0853303497743724</v>
      </c>
      <c r="F18" s="34"/>
      <c r="G18" s="35" t="e">
        <f>[7]Summary!$CZ$5</f>
        <v>#REF!</v>
      </c>
      <c r="H18" s="34" t="e">
        <f>[7]Summary!$CZ$15</f>
        <v>#REF!</v>
      </c>
      <c r="I18" s="36">
        <v>0.102258827366876</v>
      </c>
      <c r="J18" s="39"/>
      <c r="K18" s="35" t="e">
        <f>[7]Summary!$CZ$6</f>
        <v>#REF!</v>
      </c>
      <c r="L18" s="33" t="e">
        <f>[7]Summary!$CZ$16</f>
        <v>#REF!</v>
      </c>
      <c r="M18" s="38">
        <f>AVERAGE(M7:M9)</f>
        <v>-0.278</v>
      </c>
    </row>
    <row r="19" spans="1:14">
      <c r="B19" s="32" t="s">
        <v>56</v>
      </c>
      <c r="C19" s="33">
        <f>AVERAGE(C10:C12)</f>
        <v>-0.0166666666666667</v>
      </c>
      <c r="D19" s="33">
        <f>AVERAGE(D10:D12)</f>
        <v>-0.0753333333333333</v>
      </c>
      <c r="E19" s="33">
        <f>AVERAGE(E10:E12)</f>
        <v>-0.092</v>
      </c>
      <c r="F19" s="34"/>
      <c r="G19" s="35">
        <f>AVERAGE(G10:G12)</f>
        <v>0.0823333333333333</v>
      </c>
      <c r="H19" s="34">
        <f>AVERAGE(H10:H12)</f>
        <v>0.0866666666666667</v>
      </c>
      <c r="I19" s="36">
        <f>AVERAGE(I10:I12)</f>
        <v>0.0663333333333333</v>
      </c>
      <c r="J19" s="40"/>
      <c r="K19" s="35">
        <f>AVERAGE(K10:K12)</f>
        <v>-0.0736666666666667</v>
      </c>
      <c r="L19" s="33">
        <f>AVERAGE(L10:L12)</f>
        <v>-0.02</v>
      </c>
      <c r="M19" s="38">
        <f>AVERAGE(M10:M12)</f>
        <v>-0.214666666666667</v>
      </c>
    </row>
    <row r="20" spans="1:14">
      <c r="B20" s="32" t="s">
        <v>57</v>
      </c>
      <c r="C20" s="33">
        <f>AVERAGE(C13:C15)</f>
        <v>-0.0136666666666667</v>
      </c>
      <c r="D20" s="33">
        <f>AVERAGE(D13:D15)</f>
        <v>-0.034</v>
      </c>
      <c r="E20" s="33">
        <f>AVERAGE(E13:E15)</f>
        <v>-0.048</v>
      </c>
      <c r="F20" s="41"/>
      <c r="G20" s="35">
        <v>0.1</v>
      </c>
      <c r="H20" s="34">
        <f>AVERAGE(H13:H15)</f>
        <v>0.0766666666666667</v>
      </c>
      <c r="I20" s="36">
        <f>AVERAGE(I13:I15)</f>
        <v>0.058</v>
      </c>
      <c r="J20" s="39"/>
      <c r="K20" s="35">
        <v>-0.02</v>
      </c>
      <c r="L20" s="33">
        <f>AVERAGE(L13:L15)</f>
        <v>0.0233333333333333</v>
      </c>
      <c r="M20" s="38">
        <f>AVERAGE(M13:M15)</f>
        <v>-0.209666666666667</v>
      </c>
    </row>
    <row r="21" spans="1:14">
      <c r="B21" s="42" t="s">
        <v>175</v>
      </c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4"/>
    </row>
    <row r="22" spans="1:14">
      <c r="B22" s="11" t="s">
        <v>123</v>
      </c>
      <c r="C22" s="45">
        <v>-0.047</v>
      </c>
      <c r="D22" s="45">
        <v>0.001</v>
      </c>
      <c r="E22" s="45">
        <v>-0.047</v>
      </c>
      <c r="F22" s="46"/>
      <c r="G22" s="47"/>
      <c r="H22" s="46"/>
      <c r="I22" s="48"/>
      <c r="J22" s="49"/>
      <c r="K22" s="47"/>
      <c r="L22" s="50"/>
      <c r="M22" s="51"/>
    </row>
    <row r="23" spans="1:14">
      <c r="B23" s="11" t="s">
        <v>145</v>
      </c>
      <c r="C23" s="45">
        <v>-0.017</v>
      </c>
      <c r="D23" s="45">
        <v>0.001</v>
      </c>
      <c r="E23" s="45">
        <v>-0.017</v>
      </c>
      <c r="F23" s="46"/>
      <c r="G23" s="47"/>
      <c r="H23" s="46"/>
      <c r="I23" s="48"/>
      <c r="J23" s="49"/>
      <c r="K23" s="47"/>
      <c r="L23" s="50"/>
      <c r="M23" s="51"/>
    </row>
    <row r="24" ht="14.75" spans="1:14">
      <c r="B24" s="52" t="s">
        <v>147</v>
      </c>
      <c r="C24" s="53">
        <v>-0.005</v>
      </c>
      <c r="D24" s="53">
        <v>0.003</v>
      </c>
      <c r="E24" s="53">
        <v>-0.002</v>
      </c>
      <c r="F24" s="54"/>
      <c r="G24" s="55"/>
      <c r="H24" s="54"/>
      <c r="I24" s="56"/>
      <c r="J24" s="57"/>
      <c r="K24" s="55"/>
      <c r="L24" s="58"/>
      <c r="M24" s="59"/>
    </row>
    <row r="27" ht="14.75" spans="1:14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</row>
    <row r="28" ht="14.75" spans="1:14">
      <c r="A28" s="60"/>
      <c r="B28" s="61" t="s">
        <v>135</v>
      </c>
      <c r="C28" s="62"/>
      <c r="D28" s="62"/>
      <c r="E28" s="62"/>
      <c r="F28" s="62"/>
      <c r="G28" s="63"/>
      <c r="H28" s="63"/>
      <c r="I28" s="63"/>
      <c r="J28" s="62"/>
      <c r="K28" s="64" t="s">
        <v>86</v>
      </c>
      <c r="L28" s="64"/>
      <c r="M28" s="65"/>
      <c r="N28" s="60"/>
    </row>
    <row r="29" spans="1:14">
      <c r="A29" s="60"/>
      <c r="B29" s="1" t="s">
        <v>137</v>
      </c>
      <c r="C29" s="2" t="s">
        <v>6</v>
      </c>
      <c r="D29" s="2"/>
      <c r="E29" s="66"/>
      <c r="F29" s="67"/>
      <c r="G29" s="4" t="s">
        <v>60</v>
      </c>
      <c r="H29" s="68"/>
      <c r="I29" s="69" t="s">
        <v>61</v>
      </c>
      <c r="J29" s="70"/>
      <c r="K29" s="8" t="s">
        <v>62</v>
      </c>
      <c r="L29" s="71"/>
      <c r="M29" s="10" t="s">
        <v>89</v>
      </c>
      <c r="N29" s="60"/>
    </row>
    <row r="30" ht="42" spans="1:14">
      <c r="A30" s="60"/>
      <c r="B30" s="11" t="s">
        <v>7</v>
      </c>
      <c r="C30" s="12" t="s">
        <v>8</v>
      </c>
      <c r="D30" s="12" t="s">
        <v>9</v>
      </c>
      <c r="E30" s="72" t="s">
        <v>10</v>
      </c>
      <c r="F30" s="73"/>
      <c r="G30" s="14" t="s">
        <v>11</v>
      </c>
      <c r="H30" s="18" t="s">
        <v>12</v>
      </c>
      <c r="I30" s="19" t="s">
        <v>65</v>
      </c>
      <c r="J30" s="74"/>
      <c r="K30" s="75" t="s">
        <v>140</v>
      </c>
      <c r="L30" s="76" t="s">
        <v>141</v>
      </c>
      <c r="M30" s="19" t="s">
        <v>142</v>
      </c>
      <c r="N30" s="60"/>
    </row>
    <row r="31" spans="1:14">
      <c r="A31" s="60"/>
      <c r="B31" s="20" t="s">
        <v>15</v>
      </c>
      <c r="C31" s="21">
        <v>-0.03</v>
      </c>
      <c r="D31" s="21">
        <v>-0.01</v>
      </c>
      <c r="E31" s="27">
        <v>-0.05</v>
      </c>
      <c r="F31" s="77"/>
      <c r="G31" s="23">
        <v>0.11</v>
      </c>
      <c r="H31" s="21">
        <v>0.07</v>
      </c>
      <c r="I31" s="27">
        <v>0.121</v>
      </c>
      <c r="J31" s="78"/>
      <c r="K31" s="23">
        <v>0.09</v>
      </c>
      <c r="L31" s="21">
        <v>0.08</v>
      </c>
      <c r="M31" s="27">
        <v>-0.12</v>
      </c>
      <c r="N31" s="60"/>
    </row>
    <row r="32" spans="1:14">
      <c r="A32" s="60"/>
      <c r="B32" s="20" t="s">
        <v>17</v>
      </c>
      <c r="C32" s="21">
        <v>0.1</v>
      </c>
      <c r="D32" s="21">
        <v>-0.14</v>
      </c>
      <c r="E32" s="27">
        <v>-0.04</v>
      </c>
      <c r="F32" s="77"/>
      <c r="G32" s="23">
        <v>-0.03</v>
      </c>
      <c r="H32" s="21">
        <v>-0.04</v>
      </c>
      <c r="I32" s="27">
        <v>0.012</v>
      </c>
      <c r="J32" s="78"/>
      <c r="K32" s="23">
        <v>-0.05</v>
      </c>
      <c r="L32" s="21">
        <v>-0.05</v>
      </c>
      <c r="M32" s="27">
        <v>-0.15</v>
      </c>
      <c r="N32" s="60"/>
    </row>
    <row r="33" ht="14.75" spans="1:14">
      <c r="A33" s="60"/>
      <c r="B33" s="79" t="s">
        <v>20</v>
      </c>
      <c r="C33" s="80">
        <v>-0.02</v>
      </c>
      <c r="D33" s="80">
        <v>-0.06</v>
      </c>
      <c r="E33" s="81">
        <v>-0.08</v>
      </c>
      <c r="F33" s="82"/>
      <c r="G33" s="83">
        <v>0.02</v>
      </c>
      <c r="H33" s="80">
        <v>0.01</v>
      </c>
      <c r="I33" s="81">
        <v>0.049</v>
      </c>
      <c r="J33" s="84"/>
      <c r="K33" s="83">
        <v>-0.03</v>
      </c>
      <c r="L33" s="80">
        <v>-0.02</v>
      </c>
      <c r="M33" s="81">
        <v>-0.2</v>
      </c>
      <c r="N33" s="60"/>
    </row>
    <row r="34" ht="14.75" spans="1:14">
      <c r="A34" s="60"/>
      <c r="B34" s="85" t="s">
        <v>48</v>
      </c>
      <c r="C34" s="86"/>
      <c r="D34" s="86"/>
      <c r="E34" s="86"/>
      <c r="F34" s="87"/>
      <c r="G34" s="86"/>
      <c r="H34" s="86"/>
      <c r="I34" s="86"/>
      <c r="J34" s="87"/>
      <c r="K34" s="86"/>
      <c r="L34" s="86"/>
      <c r="M34" s="88"/>
      <c r="N34" s="60"/>
    </row>
    <row r="35" ht="14.75" spans="1:14">
      <c r="A35" s="60"/>
      <c r="B35" s="89" t="s">
        <v>54</v>
      </c>
      <c r="C35" s="90">
        <v>0.0166666666666667</v>
      </c>
      <c r="D35" s="90">
        <v>-0.07</v>
      </c>
      <c r="E35" s="91">
        <v>-0.0566666666666667</v>
      </c>
      <c r="F35" s="37"/>
      <c r="G35" s="92">
        <v>0.0333333333333333</v>
      </c>
      <c r="H35" s="90">
        <v>0.0133333333333333</v>
      </c>
      <c r="I35" s="91">
        <v>0.0606666666666667</v>
      </c>
      <c r="J35" s="40"/>
      <c r="K35" s="92">
        <v>0.00333333333333333</v>
      </c>
      <c r="L35" s="90">
        <v>0.00333333333333333</v>
      </c>
      <c r="M35" s="91">
        <v>-0.16</v>
      </c>
      <c r="N35" s="60"/>
    </row>
    <row r="36" ht="14.75" spans="1:14">
      <c r="A36" s="60"/>
      <c r="B36" s="93" t="s">
        <v>175</v>
      </c>
      <c r="C36" s="94"/>
      <c r="D36" s="94"/>
      <c r="E36" s="94"/>
      <c r="F36" s="95"/>
      <c r="G36" s="94"/>
      <c r="H36" s="94"/>
      <c r="I36" s="94"/>
      <c r="J36" s="95"/>
      <c r="K36" s="94"/>
      <c r="L36" s="94"/>
      <c r="M36" s="96"/>
      <c r="N36" s="60"/>
    </row>
    <row r="37" spans="1:14">
      <c r="A37" s="60"/>
      <c r="B37" s="97" t="s">
        <v>170</v>
      </c>
      <c r="C37" s="98">
        <v>-0.03</v>
      </c>
      <c r="D37" s="98">
        <v>-0.08</v>
      </c>
      <c r="E37" s="99">
        <v>-0.1</v>
      </c>
      <c r="F37" s="100"/>
      <c r="G37" s="101"/>
      <c r="H37" s="102"/>
      <c r="I37" s="103"/>
      <c r="J37" s="100"/>
      <c r="K37" s="101"/>
      <c r="L37" s="102"/>
      <c r="M37" s="103"/>
      <c r="N37" s="60"/>
    </row>
    <row r="38" spans="1:14">
      <c r="A38" s="60"/>
      <c r="B38" s="11" t="s">
        <v>172</v>
      </c>
      <c r="C38" s="45">
        <v>0.04</v>
      </c>
      <c r="D38" s="45">
        <v>-0.08</v>
      </c>
      <c r="E38" s="104">
        <v>-0.05</v>
      </c>
      <c r="F38" s="105"/>
      <c r="G38" s="47"/>
      <c r="H38" s="50"/>
      <c r="I38" s="51"/>
      <c r="J38" s="105"/>
      <c r="K38" s="47"/>
      <c r="L38" s="50"/>
      <c r="M38" s="51"/>
      <c r="N38" s="60"/>
    </row>
    <row r="39" spans="1:14">
      <c r="A39" s="60"/>
      <c r="B39" s="11" t="s">
        <v>173</v>
      </c>
      <c r="C39" s="45">
        <v>-0.1</v>
      </c>
      <c r="D39" s="45">
        <v>-0.1</v>
      </c>
      <c r="E39" s="104">
        <v>-0.19</v>
      </c>
      <c r="F39" s="105"/>
      <c r="G39" s="47"/>
      <c r="H39" s="50"/>
      <c r="I39" s="51"/>
      <c r="J39" s="105"/>
      <c r="K39" s="47"/>
      <c r="L39" s="50"/>
      <c r="M39" s="51"/>
      <c r="N39" s="60"/>
    </row>
    <row r="40" spans="1:14">
      <c r="A40" s="60"/>
      <c r="B40" s="11" t="s">
        <v>174</v>
      </c>
      <c r="C40" s="45">
        <v>-0.02</v>
      </c>
      <c r="D40" s="45">
        <v>-0.06</v>
      </c>
      <c r="E40" s="104">
        <v>-0.08</v>
      </c>
      <c r="F40" s="105"/>
      <c r="G40" s="47"/>
      <c r="H40" s="50"/>
      <c r="I40" s="51"/>
      <c r="J40" s="105"/>
      <c r="K40" s="47"/>
      <c r="L40" s="50"/>
      <c r="M40" s="51"/>
      <c r="N40" s="60"/>
    </row>
    <row r="41" ht="14.75" spans="1:14">
      <c r="A41" s="60"/>
      <c r="B41" s="52" t="s">
        <v>176</v>
      </c>
      <c r="C41" s="53">
        <v>-0.02</v>
      </c>
      <c r="D41" s="53">
        <v>-0.07</v>
      </c>
      <c r="E41" s="106">
        <v>-0.09</v>
      </c>
      <c r="F41" s="107"/>
      <c r="G41" s="55"/>
      <c r="H41" s="58"/>
      <c r="I41" s="59"/>
      <c r="J41" s="107"/>
      <c r="K41" s="55"/>
      <c r="L41" s="58"/>
      <c r="M41" s="59"/>
      <c r="N41" s="60"/>
    </row>
    <row r="42" spans="1:14">
      <c r="A42" s="60"/>
      <c r="B42" s="108" t="s">
        <v>300</v>
      </c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</row>
  </sheetData>
  <sheetProtection formatCells="0" formatColumns="0" formatRows="0" insertRows="0" insertColumns="0" insertHyperlinks="0" deleteColumns="0" deleteRows="0" sort="0" autoFilter="0" pivotTables="0"/>
  <mergeCells count="10">
    <mergeCell ref="C2:E2"/>
    <mergeCell ref="G2:H2"/>
    <mergeCell ref="K2:L2"/>
    <mergeCell ref="B16:M16"/>
    <mergeCell ref="B21:M21"/>
    <mergeCell ref="C29:E29"/>
    <mergeCell ref="G29:H29"/>
    <mergeCell ref="K29:L29"/>
    <mergeCell ref="B34:M34"/>
    <mergeCell ref="B36:M36"/>
  </mergeCells>
  <pageMargins left="0.7" right="0.7" top="0.75" bottom="0.75" header="0.3" footer="0.3"/>
  <headerFooter/>
  <ignoredErrors>
    <ignoredError sqref="C17:E20 G19:I20 K19:M20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���0u׋�V	�g�NhQ�V���;N��ch�[b�`�Q��e�[�S�ϑ�k
Nt^T�k�X��S�]�S�f�e�0u׋�V	����N,w0u׋�V-Nё�NT�Q�e8nhT�^penc - w Gl;`-S_hT �0u׋�V	�:
�VE��[Џ*��sϑg���R�0u׋�V	�:
ޘ8^�Q'Ypenc hTЏ���e�[ϑ T�k�X�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国内行业数据</vt:lpstr>
      <vt:lpstr>Sheet3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wjy吴佳盈</dc:creator>
  <cp:lastModifiedBy>Paly CHEN</cp:lastModifiedBy>
  <dcterms:created xsi:type="dcterms:W3CDTF">2024-05-02T11:03:00Z</dcterms:created>
  <dcterms:modified xsi:type="dcterms:W3CDTF">2026-08-31T09:00:25Z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73E543FD8BFD4094BC53E048407CBD53_12</vt:lpwstr>
  </property>
  <property fmtid="{D5CDD505-2E9C-101B-9397-08002B2CF9AE}" pid="4" name="CalculationRule">
    <vt:i4>0</vt:i4>
  </property>
</Properties>
</file>