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zeyichen\Downloads\"/>
    </mc:Choice>
  </mc:AlternateContent>
  <xr:revisionPtr revIDLastSave="0" documentId="13_ncr:1_{7BF215D2-2E3A-4DC5-A56C-333422AB9A18}" xr6:coauthVersionLast="47" xr6:coauthVersionMax="47" xr10:uidLastSave="{00000000-0000-0000-0000-000000000000}"/>
  <bookViews>
    <workbookView xWindow="-120" yWindow="-16320" windowWidth="29040" windowHeight="15720" tabRatio="612" firstSheet="1" activeTab="9" xr2:uid="{00000000-000D-0000-FFFF-FFFF00000000}"/>
  </bookViews>
  <sheets>
    <sheet name="H" sheetId="1" state="hidden" r:id="rId1"/>
    <sheet name="Key Financial Data" sheetId="2" r:id="rId2"/>
    <sheet name="Segment Reporting" sheetId="3" r:id="rId3"/>
    <sheet name="Sheet5" sheetId="4" state="hidden" r:id="rId4"/>
    <sheet name="New Segment Reporting" sheetId="5" r:id="rId5"/>
    <sheet name="charts" sheetId="6" r:id="rId6"/>
    <sheet name="Sheet1" sheetId="7" state="hidden" r:id="rId7"/>
    <sheet name="Sheet2" sheetId="8" state="hidden" r:id="rId8"/>
    <sheet name="Sheet3" sheetId="9" state="hidden" r:id="rId9"/>
    <sheet name="Sheet4" sheetId="10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0" l="1"/>
  <c r="E12" i="10"/>
  <c r="E14" i="10"/>
  <c r="Y20" i="10"/>
  <c r="AB20" i="10" s="1"/>
  <c r="AB19" i="10"/>
  <c r="BF14" i="10"/>
  <c r="BE14" i="10"/>
  <c r="BC14" i="10"/>
  <c r="AZ14" i="10"/>
  <c r="AW14" i="10"/>
  <c r="AT14" i="10"/>
  <c r="AQ14" i="10"/>
  <c r="AN14" i="10"/>
  <c r="AM14" i="10"/>
  <c r="AK14" i="10"/>
  <c r="AJ14" i="10"/>
  <c r="AH14" i="10"/>
  <c r="AG14" i="10"/>
  <c r="AE14" i="10"/>
  <c r="AD14" i="10"/>
  <c r="Z14" i="10"/>
  <c r="Y14" i="10"/>
  <c r="X14" i="10"/>
  <c r="W14" i="10"/>
  <c r="V14" i="10"/>
  <c r="U14" i="10"/>
  <c r="T14" i="10"/>
  <c r="S14" i="10"/>
  <c r="R14" i="10"/>
  <c r="Q14" i="10"/>
  <c r="P14" i="10"/>
  <c r="N14" i="10"/>
  <c r="M14" i="10"/>
  <c r="L14" i="10"/>
  <c r="K14" i="10"/>
  <c r="J14" i="10"/>
  <c r="I14" i="10"/>
  <c r="H14" i="10"/>
  <c r="G14" i="10"/>
  <c r="F14" i="10"/>
  <c r="D14" i="10"/>
  <c r="C14" i="10"/>
  <c r="Q13" i="10"/>
  <c r="P13" i="10"/>
  <c r="N13" i="10"/>
  <c r="M13" i="10"/>
  <c r="L13" i="10"/>
  <c r="K13" i="10"/>
  <c r="J13" i="10"/>
  <c r="I13" i="10"/>
  <c r="H13" i="10"/>
  <c r="G13" i="10"/>
  <c r="F13" i="10"/>
  <c r="BF12" i="10"/>
  <c r="BE12" i="10"/>
  <c r="BC12" i="10"/>
  <c r="AZ12" i="10"/>
  <c r="AW12" i="10"/>
  <c r="AT12" i="10"/>
  <c r="AQ12" i="10"/>
  <c r="AN12" i="10"/>
  <c r="AM12" i="10"/>
  <c r="AK12" i="10"/>
  <c r="AJ12" i="10"/>
  <c r="AH12" i="10"/>
  <c r="AG12" i="10"/>
  <c r="AE12" i="10"/>
  <c r="AD12" i="10"/>
  <c r="Z12" i="10"/>
  <c r="Y12" i="10"/>
  <c r="X12" i="10"/>
  <c r="W12" i="10"/>
  <c r="V12" i="10"/>
  <c r="U12" i="10"/>
  <c r="T12" i="10"/>
  <c r="S12" i="10"/>
  <c r="R12" i="10"/>
  <c r="Q12" i="10"/>
  <c r="P12" i="10"/>
  <c r="N12" i="10"/>
  <c r="M12" i="10"/>
  <c r="L12" i="10"/>
  <c r="K12" i="10"/>
  <c r="J12" i="10"/>
  <c r="I12" i="10"/>
  <c r="H12" i="10"/>
  <c r="G12" i="10"/>
  <c r="F12" i="10"/>
  <c r="D12" i="10"/>
  <c r="C12" i="10"/>
  <c r="BF11" i="10"/>
  <c r="BE11" i="10"/>
  <c r="AZ11" i="10"/>
  <c r="AW11" i="10"/>
  <c r="AT11" i="10"/>
  <c r="AQ11" i="10"/>
  <c r="AN11" i="10"/>
  <c r="AM11" i="10"/>
  <c r="AK11" i="10"/>
  <c r="AJ11" i="10"/>
  <c r="AH11" i="10"/>
  <c r="AG11" i="10"/>
  <c r="AF11" i="10"/>
  <c r="D11" i="10"/>
  <c r="C11" i="10"/>
  <c r="E11" i="10" s="1"/>
  <c r="BF10" i="10"/>
  <c r="BE10" i="10"/>
  <c r="BC10" i="10"/>
  <c r="AZ10" i="10"/>
  <c r="AW10" i="10"/>
  <c r="AT10" i="10"/>
  <c r="AQ10" i="10"/>
  <c r="AN10" i="10"/>
  <c r="AM10" i="10"/>
  <c r="AK10" i="10"/>
  <c r="AJ10" i="10"/>
  <c r="AH10" i="10"/>
  <c r="AG10" i="10"/>
  <c r="AF10" i="10"/>
  <c r="N10" i="10"/>
  <c r="M10" i="10"/>
  <c r="L10" i="10"/>
  <c r="K10" i="10"/>
  <c r="J10" i="10"/>
  <c r="I10" i="10"/>
  <c r="H10" i="10"/>
  <c r="G10" i="10"/>
  <c r="F10" i="10"/>
  <c r="D10" i="10"/>
  <c r="C10" i="10"/>
  <c r="BG8" i="10"/>
  <c r="BB8" i="10"/>
  <c r="BD8" i="10" s="1"/>
  <c r="AY8" i="10"/>
  <c r="BA8" i="10" s="1"/>
  <c r="AV8" i="10"/>
  <c r="AU8" i="10"/>
  <c r="AO8" i="10"/>
  <c r="AL8" i="10"/>
  <c r="AI8" i="10"/>
  <c r="AF8" i="10"/>
  <c r="AC8" i="10"/>
  <c r="Z8" i="10"/>
  <c r="W8" i="10"/>
  <c r="T8" i="10"/>
  <c r="O8" i="10"/>
  <c r="Q8" i="10" s="1"/>
  <c r="N8" i="10"/>
  <c r="K8" i="10"/>
  <c r="H8" i="10"/>
  <c r="E8" i="10"/>
  <c r="O7" i="10"/>
  <c r="Q7" i="10" s="1"/>
  <c r="N7" i="10"/>
  <c r="K7" i="10"/>
  <c r="H7" i="10"/>
  <c r="E7" i="10"/>
  <c r="BG6" i="10"/>
  <c r="BB6" i="10"/>
  <c r="BB12" i="10" s="1"/>
  <c r="AY6" i="10"/>
  <c r="BA6" i="10" s="1"/>
  <c r="AV6" i="10"/>
  <c r="AX6" i="10" s="1"/>
  <c r="AS6" i="10"/>
  <c r="AU6" i="10" s="1"/>
  <c r="AP6" i="10"/>
  <c r="AO6" i="10"/>
  <c r="AL6" i="10"/>
  <c r="AI6" i="10"/>
  <c r="AF6" i="10"/>
  <c r="AC6" i="10"/>
  <c r="Z6" i="10"/>
  <c r="W6" i="10"/>
  <c r="T6" i="10"/>
  <c r="Q6" i="10"/>
  <c r="N6" i="10"/>
  <c r="K6" i="10"/>
  <c r="H6" i="10"/>
  <c r="E6" i="10"/>
  <c r="BG5" i="10"/>
  <c r="AO5" i="10"/>
  <c r="AL5" i="10"/>
  <c r="AI5" i="10"/>
  <c r="AF5" i="10"/>
  <c r="BG4" i="10"/>
  <c r="AP4" i="10"/>
  <c r="AR4" i="10" s="1"/>
  <c r="AO4" i="10"/>
  <c r="AL4" i="10"/>
  <c r="AI4" i="10"/>
  <c r="AF4" i="10"/>
  <c r="N4" i="10"/>
  <c r="K4" i="10"/>
  <c r="H4" i="10"/>
  <c r="E4" i="10"/>
  <c r="BG3" i="10"/>
  <c r="BB3" i="10"/>
  <c r="BD3" i="10" s="1"/>
  <c r="AY3" i="10"/>
  <c r="BA3" i="10" s="1"/>
  <c r="AV3" i="10"/>
  <c r="AS3" i="10"/>
  <c r="AU3" i="10" s="1"/>
  <c r="AP3" i="10"/>
  <c r="AR3" i="10" s="1"/>
  <c r="AO3" i="10"/>
  <c r="AL3" i="10"/>
  <c r="AI3" i="10"/>
  <c r="AF3" i="10"/>
  <c r="AC3" i="10"/>
  <c r="Z3" i="10"/>
  <c r="W3" i="10"/>
  <c r="T3" i="10"/>
  <c r="O3" i="10"/>
  <c r="O12" i="10" s="1"/>
  <c r="N3" i="10"/>
  <c r="K3" i="10"/>
  <c r="H3" i="10"/>
  <c r="E3" i="10"/>
  <c r="I10" i="7"/>
  <c r="I9" i="7"/>
  <c r="I8" i="7"/>
  <c r="V46" i="5"/>
  <c r="U46" i="5"/>
  <c r="T46" i="5"/>
  <c r="R46" i="5"/>
  <c r="Q46" i="5"/>
  <c r="V45" i="5"/>
  <c r="U45" i="5"/>
  <c r="T45" i="5"/>
  <c r="S45" i="5"/>
  <c r="R45" i="5"/>
  <c r="Q45" i="5"/>
  <c r="P45" i="5"/>
  <c r="O45" i="5"/>
  <c r="V44" i="5"/>
  <c r="U44" i="5"/>
  <c r="T44" i="5"/>
  <c r="S44" i="5"/>
  <c r="R44" i="5"/>
  <c r="Q44" i="5"/>
  <c r="P44" i="5"/>
  <c r="O44" i="5"/>
  <c r="V43" i="5"/>
  <c r="U43" i="5"/>
  <c r="T43" i="5"/>
  <c r="S43" i="5"/>
  <c r="R43" i="5"/>
  <c r="Q43" i="5"/>
  <c r="P43" i="5"/>
  <c r="O43" i="5"/>
  <c r="T41" i="5"/>
  <c r="V40" i="5"/>
  <c r="U40" i="5"/>
  <c r="T40" i="5"/>
  <c r="S40" i="5"/>
  <c r="R40" i="5"/>
  <c r="Q40" i="5"/>
  <c r="P40" i="5"/>
  <c r="V39" i="5"/>
  <c r="U39" i="5"/>
  <c r="T39" i="5"/>
  <c r="S39" i="5"/>
  <c r="R39" i="5"/>
  <c r="Q39" i="5"/>
  <c r="P39" i="5"/>
  <c r="V38" i="5"/>
  <c r="U38" i="5"/>
  <c r="T38" i="5"/>
  <c r="S38" i="5"/>
  <c r="R38" i="5"/>
  <c r="Q38" i="5"/>
  <c r="P38" i="5"/>
  <c r="V37" i="5"/>
  <c r="U37" i="5"/>
  <c r="T37" i="5"/>
  <c r="S37" i="5"/>
  <c r="R37" i="5"/>
  <c r="Q37" i="5"/>
  <c r="P37" i="5"/>
  <c r="V35" i="5"/>
  <c r="U35" i="5"/>
  <c r="T35" i="5"/>
  <c r="S35" i="5"/>
  <c r="R35" i="5"/>
  <c r="Q35" i="5"/>
  <c r="P35" i="5"/>
  <c r="U34" i="5"/>
  <c r="T34" i="5"/>
  <c r="Q34" i="5"/>
  <c r="P34" i="5"/>
  <c r="V33" i="5"/>
  <c r="U33" i="5"/>
  <c r="T33" i="5"/>
  <c r="S33" i="5"/>
  <c r="R33" i="5"/>
  <c r="Q33" i="5"/>
  <c r="P33" i="5"/>
  <c r="U32" i="5"/>
  <c r="T32" i="5"/>
  <c r="Q32" i="5"/>
  <c r="P32" i="5"/>
  <c r="V31" i="5"/>
  <c r="U31" i="5"/>
  <c r="T31" i="5"/>
  <c r="S31" i="5"/>
  <c r="R31" i="5"/>
  <c r="Q31" i="5"/>
  <c r="P31" i="5"/>
  <c r="R27" i="5"/>
  <c r="Q27" i="5"/>
  <c r="N27" i="5"/>
  <c r="M27" i="5"/>
  <c r="J27" i="5"/>
  <c r="I27" i="5"/>
  <c r="S25" i="5"/>
  <c r="R25" i="5"/>
  <c r="Q25" i="5"/>
  <c r="P25" i="5"/>
  <c r="O25" i="5"/>
  <c r="N25" i="5"/>
  <c r="M25" i="5"/>
  <c r="K25" i="5"/>
  <c r="J25" i="5"/>
  <c r="I25" i="5"/>
  <c r="E25" i="5"/>
  <c r="B25" i="5"/>
  <c r="T24" i="5"/>
  <c r="T25" i="5" s="1"/>
  <c r="T26" i="5" s="1"/>
  <c r="L24" i="5"/>
  <c r="L25" i="5" s="1"/>
  <c r="F24" i="5"/>
  <c r="F25" i="5" s="1"/>
  <c r="V20" i="5"/>
  <c r="V25" i="5" s="1"/>
  <c r="V26" i="5" s="1"/>
  <c r="U20" i="5"/>
  <c r="U25" i="5" s="1"/>
  <c r="U26" i="5" s="1"/>
  <c r="T20" i="5"/>
  <c r="T27" i="5" s="1"/>
  <c r="O20" i="5"/>
  <c r="S27" i="5" s="1"/>
  <c r="L20" i="5"/>
  <c r="P46" i="5" s="1"/>
  <c r="H20" i="5"/>
  <c r="G20" i="5"/>
  <c r="F20" i="5"/>
  <c r="D20" i="5"/>
  <c r="D24" i="5" s="1"/>
  <c r="D25" i="5" s="1"/>
  <c r="C20" i="5"/>
  <c r="C24" i="5" s="1"/>
  <c r="C25" i="5" s="1"/>
  <c r="B20" i="5"/>
  <c r="U14" i="5"/>
  <c r="T14" i="5"/>
  <c r="S14" i="5"/>
  <c r="R14" i="5"/>
  <c r="Q14" i="5"/>
  <c r="O14" i="5"/>
  <c r="P13" i="5"/>
  <c r="O13" i="5"/>
  <c r="N13" i="5"/>
  <c r="M13" i="5"/>
  <c r="L13" i="5"/>
  <c r="K13" i="5"/>
  <c r="J13" i="5"/>
  <c r="I13" i="5"/>
  <c r="E13" i="5"/>
  <c r="B13" i="5"/>
  <c r="L12" i="5"/>
  <c r="H12" i="5"/>
  <c r="H13" i="5" s="1"/>
  <c r="G12" i="5"/>
  <c r="G13" i="5" s="1"/>
  <c r="D12" i="5"/>
  <c r="D13" i="5" s="1"/>
  <c r="V10" i="5"/>
  <c r="U10" i="5"/>
  <c r="V8" i="5"/>
  <c r="V13" i="5" s="1"/>
  <c r="U8" i="5"/>
  <c r="U13" i="5" s="1"/>
  <c r="T8" i="5"/>
  <c r="T13" i="5" s="1"/>
  <c r="T15" i="5" s="1"/>
  <c r="S8" i="5"/>
  <c r="S41" i="5" s="1"/>
  <c r="R8" i="5"/>
  <c r="R41" i="5" s="1"/>
  <c r="Q8" i="5"/>
  <c r="Q41" i="5" s="1"/>
  <c r="L8" i="5"/>
  <c r="P41" i="5" s="1"/>
  <c r="H8" i="5"/>
  <c r="G8" i="5"/>
  <c r="G3" i="5" s="1"/>
  <c r="F8" i="5"/>
  <c r="F13" i="5" s="1"/>
  <c r="D8" i="5"/>
  <c r="C8" i="5"/>
  <c r="C12" i="5" s="1"/>
  <c r="C13" i="5" s="1"/>
  <c r="B8" i="5"/>
  <c r="AX182" i="3"/>
  <c r="AW182" i="3"/>
  <c r="AX183" i="3" s="1"/>
  <c r="AV182" i="3"/>
  <c r="AZ181" i="3"/>
  <c r="AY181" i="3"/>
  <c r="AX181" i="3"/>
  <c r="AW181" i="3"/>
  <c r="AV181" i="3"/>
  <c r="AU181" i="3"/>
  <c r="AR181" i="3"/>
  <c r="AQ181" i="3"/>
  <c r="AP181" i="3"/>
  <c r="AO181" i="3"/>
  <c r="AN181" i="3"/>
  <c r="AM181" i="3"/>
  <c r="AL181" i="3"/>
  <c r="AK181" i="3"/>
  <c r="AJ181" i="3"/>
  <c r="Y181" i="3"/>
  <c r="X181" i="3"/>
  <c r="W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AZ180" i="3"/>
  <c r="AY180" i="3"/>
  <c r="AX180" i="3"/>
  <c r="AW180" i="3"/>
  <c r="AV180" i="3"/>
  <c r="AU180" i="3"/>
  <c r="AS180" i="3"/>
  <c r="AJ180" i="3"/>
  <c r="Y180" i="3"/>
  <c r="X180" i="3"/>
  <c r="W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B180" i="3"/>
  <c r="AZ179" i="3"/>
  <c r="AY179" i="3"/>
  <c r="AX179" i="3"/>
  <c r="AW179" i="3"/>
  <c r="AV179" i="3"/>
  <c r="AU179" i="3"/>
  <c r="AS179" i="3"/>
  <c r="AJ179" i="3"/>
  <c r="Y179" i="3"/>
  <c r="X179" i="3"/>
  <c r="W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B179" i="3"/>
  <c r="AX176" i="3"/>
  <c r="AX177" i="3" s="1"/>
  <c r="AW176" i="3"/>
  <c r="AW177" i="3" s="1"/>
  <c r="AV176" i="3"/>
  <c r="AV177" i="3" s="1"/>
  <c r="AU176" i="3"/>
  <c r="AU177" i="3" s="1"/>
  <c r="AT176" i="3"/>
  <c r="M176" i="3"/>
  <c r="L176" i="3"/>
  <c r="K176" i="3"/>
  <c r="J176" i="3"/>
  <c r="AZ174" i="3"/>
  <c r="AZ173" i="3"/>
  <c r="AZ172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AX169" i="3"/>
  <c r="AW169" i="3"/>
  <c r="AV169" i="3"/>
  <c r="AU169" i="3"/>
  <c r="AS169" i="3"/>
  <c r="AJ169" i="3"/>
  <c r="Q161" i="3"/>
  <c r="N161" i="3"/>
  <c r="AN160" i="3"/>
  <c r="J160" i="3"/>
  <c r="AX159" i="3"/>
  <c r="AW159" i="3"/>
  <c r="AV159" i="3"/>
  <c r="AU159" i="3"/>
  <c r="AT159" i="3"/>
  <c r="AN159" i="3"/>
  <c r="AL159" i="3"/>
  <c r="AJ159" i="3"/>
  <c r="N159" i="3"/>
  <c r="M159" i="3"/>
  <c r="L159" i="3"/>
  <c r="K159" i="3"/>
  <c r="J159" i="3"/>
  <c r="I159" i="3"/>
  <c r="H159" i="3"/>
  <c r="D159" i="3"/>
  <c r="C159" i="3"/>
  <c r="B159" i="3"/>
  <c r="AZ156" i="3"/>
  <c r="AY156" i="3"/>
  <c r="AX156" i="3"/>
  <c r="V156" i="3"/>
  <c r="U156" i="3"/>
  <c r="R156" i="3"/>
  <c r="Q156" i="3"/>
  <c r="P156" i="3"/>
  <c r="H156" i="3"/>
  <c r="C156" i="3"/>
  <c r="C169" i="3" s="1"/>
  <c r="B156" i="3"/>
  <c r="B169" i="3" s="1"/>
  <c r="AZ155" i="3"/>
  <c r="AY155" i="3"/>
  <c r="AX155" i="3"/>
  <c r="AW155" i="3"/>
  <c r="AV155" i="3"/>
  <c r="AU155" i="3"/>
  <c r="AN155" i="3"/>
  <c r="AL155" i="3"/>
  <c r="F155" i="3"/>
  <c r="D155" i="3"/>
  <c r="C155" i="3"/>
  <c r="B155" i="3"/>
  <c r="AZ154" i="3"/>
  <c r="AY154" i="3"/>
  <c r="AX154" i="3"/>
  <c r="AW154" i="3"/>
  <c r="AV154" i="3"/>
  <c r="AU154" i="3"/>
  <c r="AN154" i="3"/>
  <c r="AL154" i="3"/>
  <c r="F154" i="3"/>
  <c r="D154" i="3"/>
  <c r="C154" i="3"/>
  <c r="B154" i="3"/>
  <c r="AZ153" i="3"/>
  <c r="AY153" i="3"/>
  <c r="AX153" i="3"/>
  <c r="AW153" i="3"/>
  <c r="AV153" i="3"/>
  <c r="AU153" i="3"/>
  <c r="AN153" i="3"/>
  <c r="AL153" i="3"/>
  <c r="F153" i="3"/>
  <c r="D153" i="3"/>
  <c r="C153" i="3"/>
  <c r="B153" i="3"/>
  <c r="AY152" i="3"/>
  <c r="AX152" i="3"/>
  <c r="AW152" i="3"/>
  <c r="AV152" i="3"/>
  <c r="AU152" i="3"/>
  <c r="AN152" i="3"/>
  <c r="AL152" i="3"/>
  <c r="AJ152" i="3"/>
  <c r="M152" i="3"/>
  <c r="L152" i="3"/>
  <c r="K152" i="3"/>
  <c r="H152" i="3"/>
  <c r="C152" i="3"/>
  <c r="B152" i="3"/>
  <c r="AZ150" i="3"/>
  <c r="AY150" i="3"/>
  <c r="S150" i="3"/>
  <c r="R150" i="3"/>
  <c r="Q150" i="3"/>
  <c r="N150" i="3"/>
  <c r="J150" i="3"/>
  <c r="AZ149" i="3"/>
  <c r="AY149" i="3"/>
  <c r="AX149" i="3"/>
  <c r="AX150" i="3" s="1"/>
  <c r="AR149" i="3"/>
  <c r="AQ149" i="3"/>
  <c r="AP149" i="3"/>
  <c r="AO149" i="3"/>
  <c r="AN149" i="3"/>
  <c r="AM149" i="3"/>
  <c r="AL149" i="3"/>
  <c r="AK149" i="3"/>
  <c r="AJ149" i="3"/>
  <c r="V149" i="3"/>
  <c r="V150" i="3" s="1"/>
  <c r="U149" i="3"/>
  <c r="U150" i="3" s="1"/>
  <c r="T149" i="3"/>
  <c r="S149" i="3"/>
  <c r="R149" i="3"/>
  <c r="Q149" i="3"/>
  <c r="P149" i="3"/>
  <c r="O149" i="3"/>
  <c r="N149" i="3"/>
  <c r="M149" i="3"/>
  <c r="M150" i="3" s="1"/>
  <c r="L149" i="3"/>
  <c r="L150" i="3" s="1"/>
  <c r="K149" i="3"/>
  <c r="J149" i="3"/>
  <c r="AX146" i="3"/>
  <c r="AX161" i="3" s="1"/>
  <c r="AV146" i="3"/>
  <c r="AV161" i="3" s="1"/>
  <c r="AJ146" i="3"/>
  <c r="K146" i="3"/>
  <c r="K161" i="3" s="1"/>
  <c r="C146" i="3"/>
  <c r="C161" i="3" s="1"/>
  <c r="B146" i="3"/>
  <c r="B161" i="3" s="1"/>
  <c r="AM145" i="3"/>
  <c r="AK145" i="3"/>
  <c r="M145" i="3"/>
  <c r="M146" i="3" s="1"/>
  <c r="M161" i="3" s="1"/>
  <c r="L145" i="3"/>
  <c r="L146" i="3" s="1"/>
  <c r="L161" i="3" s="1"/>
  <c r="K145" i="3"/>
  <c r="J145" i="3"/>
  <c r="J146" i="3" s="1"/>
  <c r="J161" i="3" s="1"/>
  <c r="I145" i="3"/>
  <c r="H145" i="3"/>
  <c r="E145" i="3"/>
  <c r="D145" i="3"/>
  <c r="AY143" i="3"/>
  <c r="AX143" i="3"/>
  <c r="AX160" i="3" s="1"/>
  <c r="AW143" i="3"/>
  <c r="AW146" i="3" s="1"/>
  <c r="AW161" i="3" s="1"/>
  <c r="AV143" i="3"/>
  <c r="AU143" i="3"/>
  <c r="AT143" i="3"/>
  <c r="AR143" i="3"/>
  <c r="AQ143" i="3"/>
  <c r="AN143" i="3"/>
  <c r="AL143" i="3"/>
  <c r="AJ143" i="3"/>
  <c r="AJ160" i="3" s="1"/>
  <c r="AG143" i="3"/>
  <c r="AF143" i="3"/>
  <c r="AF56" i="3" s="1"/>
  <c r="AE143" i="3"/>
  <c r="AD143" i="3"/>
  <c r="AC143" i="3"/>
  <c r="AB143" i="3"/>
  <c r="AB56" i="3" s="1"/>
  <c r="AA143" i="3"/>
  <c r="AA56" i="3" s="1"/>
  <c r="Z143" i="3"/>
  <c r="Z56" i="3" s="1"/>
  <c r="Y143" i="3"/>
  <c r="X143" i="3"/>
  <c r="X56" i="3" s="1"/>
  <c r="W143" i="3"/>
  <c r="T143" i="3"/>
  <c r="P143" i="3"/>
  <c r="P161" i="3" s="1"/>
  <c r="O143" i="3"/>
  <c r="N143" i="3"/>
  <c r="M143" i="3"/>
  <c r="L143" i="3"/>
  <c r="K143" i="3"/>
  <c r="K150" i="3" s="1"/>
  <c r="J143" i="3"/>
  <c r="I143" i="3"/>
  <c r="H143" i="3"/>
  <c r="F143" i="3"/>
  <c r="F156" i="3" s="1"/>
  <c r="F169" i="3" s="1"/>
  <c r="E143" i="3"/>
  <c r="D143" i="3"/>
  <c r="AR142" i="3"/>
  <c r="AQ142" i="3"/>
  <c r="AM142" i="3"/>
  <c r="AM155" i="3" s="1"/>
  <c r="AK142" i="3"/>
  <c r="G142" i="3"/>
  <c r="AZ141" i="3"/>
  <c r="AY141" i="3"/>
  <c r="AX141" i="3"/>
  <c r="AW141" i="3"/>
  <c r="AV141" i="3"/>
  <c r="AU141" i="3"/>
  <c r="AT141" i="3"/>
  <c r="AN141" i="3"/>
  <c r="AL141" i="3"/>
  <c r="AJ141" i="3"/>
  <c r="V141" i="3"/>
  <c r="U141" i="3"/>
  <c r="S141" i="3"/>
  <c r="R141" i="3"/>
  <c r="Q141" i="3"/>
  <c r="P141" i="3"/>
  <c r="O141" i="3"/>
  <c r="N141" i="3"/>
  <c r="M141" i="3"/>
  <c r="L141" i="3"/>
  <c r="K141" i="3"/>
  <c r="J141" i="3"/>
  <c r="AR140" i="3"/>
  <c r="AQ140" i="3"/>
  <c r="AM140" i="3"/>
  <c r="AK140" i="3"/>
  <c r="G140" i="3"/>
  <c r="AZ139" i="3"/>
  <c r="AR139" i="3"/>
  <c r="AR159" i="3" s="1"/>
  <c r="AQ139" i="3"/>
  <c r="AQ159" i="3" s="1"/>
  <c r="AM139" i="3"/>
  <c r="AM153" i="3" s="1"/>
  <c r="AK139" i="3"/>
  <c r="V139" i="3"/>
  <c r="U139" i="3"/>
  <c r="G139" i="3"/>
  <c r="G159" i="3" s="1"/>
  <c r="AX137" i="3"/>
  <c r="AW137" i="3"/>
  <c r="AV137" i="3"/>
  <c r="AU137" i="3"/>
  <c r="AT137" i="3"/>
  <c r="AN137" i="3"/>
  <c r="AL137" i="3"/>
  <c r="AJ137" i="3"/>
  <c r="M137" i="3"/>
  <c r="L137" i="3"/>
  <c r="K137" i="3"/>
  <c r="J137" i="3"/>
  <c r="I137" i="3"/>
  <c r="H137" i="3"/>
  <c r="G137" i="3"/>
  <c r="D137" i="3"/>
  <c r="AR136" i="3"/>
  <c r="AR152" i="3" s="1"/>
  <c r="AQ136" i="3"/>
  <c r="AM136" i="3"/>
  <c r="AK136" i="3"/>
  <c r="AK159" i="3" s="1"/>
  <c r="F136" i="3"/>
  <c r="E136" i="3"/>
  <c r="E159" i="3" s="1"/>
  <c r="AZ134" i="3"/>
  <c r="AY134" i="3"/>
  <c r="AX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L133" i="3"/>
  <c r="AK133" i="3"/>
  <c r="AJ133" i="3"/>
  <c r="M133" i="3"/>
  <c r="L133" i="3"/>
  <c r="K133" i="3"/>
  <c r="J133" i="3"/>
  <c r="H133" i="3"/>
  <c r="F133" i="3"/>
  <c r="E133" i="3"/>
  <c r="C133" i="3"/>
  <c r="B133" i="3"/>
  <c r="AX132" i="3"/>
  <c r="AW132" i="3"/>
  <c r="AV132" i="3"/>
  <c r="AU132" i="3"/>
  <c r="AL132" i="3"/>
  <c r="AJ132" i="3"/>
  <c r="N132" i="3"/>
  <c r="M132" i="3"/>
  <c r="L132" i="3"/>
  <c r="K132" i="3"/>
  <c r="J132" i="3"/>
  <c r="I132" i="3"/>
  <c r="H132" i="3"/>
  <c r="E132" i="3"/>
  <c r="D132" i="3"/>
  <c r="AX131" i="3"/>
  <c r="AW131" i="3"/>
  <c r="AV131" i="3"/>
  <c r="AU131" i="3"/>
  <c r="AT131" i="3"/>
  <c r="AN131" i="3"/>
  <c r="AL131" i="3"/>
  <c r="AJ131" i="3"/>
  <c r="F131" i="3"/>
  <c r="C131" i="3"/>
  <c r="B131" i="3"/>
  <c r="V130" i="3"/>
  <c r="U130" i="3"/>
  <c r="T130" i="3"/>
  <c r="S130" i="3"/>
  <c r="R130" i="3"/>
  <c r="Q130" i="3"/>
  <c r="AZ128" i="3"/>
  <c r="AY128" i="3"/>
  <c r="V128" i="3"/>
  <c r="U128" i="3"/>
  <c r="T128" i="3"/>
  <c r="S128" i="3"/>
  <c r="R128" i="3"/>
  <c r="Q128" i="3"/>
  <c r="P128" i="3"/>
  <c r="O128" i="3"/>
  <c r="N128" i="3"/>
  <c r="AZ127" i="3"/>
  <c r="AY127" i="3"/>
  <c r="AX127" i="3"/>
  <c r="AW127" i="3"/>
  <c r="AL127" i="3"/>
  <c r="V127" i="3"/>
  <c r="U127" i="3"/>
  <c r="T127" i="3"/>
  <c r="S127" i="3"/>
  <c r="R127" i="3"/>
  <c r="Q127" i="3"/>
  <c r="P127" i="3"/>
  <c r="O127" i="3"/>
  <c r="N127" i="3"/>
  <c r="M127" i="3"/>
  <c r="L127" i="3"/>
  <c r="J127" i="3"/>
  <c r="I127" i="3"/>
  <c r="H127" i="3"/>
  <c r="C127" i="3"/>
  <c r="B127" i="3"/>
  <c r="AZ126" i="3"/>
  <c r="AY126" i="3"/>
  <c r="AX126" i="3"/>
  <c r="AW126" i="3"/>
  <c r="AV126" i="3"/>
  <c r="AU126" i="3"/>
  <c r="AN126" i="3"/>
  <c r="AL126" i="3"/>
  <c r="F126" i="3"/>
  <c r="D126" i="3"/>
  <c r="C126" i="3"/>
  <c r="B126" i="3"/>
  <c r="AZ125" i="3"/>
  <c r="AY125" i="3"/>
  <c r="AX125" i="3"/>
  <c r="AW125" i="3"/>
  <c r="AV125" i="3"/>
  <c r="AU125" i="3"/>
  <c r="AN125" i="3"/>
  <c r="AL125" i="3"/>
  <c r="F125" i="3"/>
  <c r="D125" i="3"/>
  <c r="C125" i="3"/>
  <c r="B125" i="3"/>
  <c r="AZ124" i="3"/>
  <c r="AY124" i="3"/>
  <c r="AX124" i="3"/>
  <c r="AW124" i="3"/>
  <c r="AV124" i="3"/>
  <c r="AU124" i="3"/>
  <c r="AN124" i="3"/>
  <c r="AL124" i="3"/>
  <c r="F124" i="3"/>
  <c r="D124" i="3"/>
  <c r="C124" i="3"/>
  <c r="B124" i="3"/>
  <c r="M123" i="3"/>
  <c r="L123" i="3"/>
  <c r="K123" i="3"/>
  <c r="J123" i="3"/>
  <c r="I123" i="3"/>
  <c r="H123" i="3"/>
  <c r="G123" i="3"/>
  <c r="AX122" i="3"/>
  <c r="AW122" i="3"/>
  <c r="AV122" i="3"/>
  <c r="AU122" i="3"/>
  <c r="AR122" i="3"/>
  <c r="AN122" i="3"/>
  <c r="AM122" i="3"/>
  <c r="AL122" i="3"/>
  <c r="AJ122" i="3"/>
  <c r="M122" i="3"/>
  <c r="L122" i="3"/>
  <c r="K122" i="3"/>
  <c r="J122" i="3"/>
  <c r="H122" i="3"/>
  <c r="C122" i="3"/>
  <c r="B122" i="3"/>
  <c r="AZ120" i="3"/>
  <c r="AY120" i="3"/>
  <c r="AX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7" i="3"/>
  <c r="AW117" i="3"/>
  <c r="AW133" i="3" s="1"/>
  <c r="AJ117" i="3"/>
  <c r="M117" i="3"/>
  <c r="I117" i="3"/>
  <c r="I133" i="3" s="1"/>
  <c r="H117" i="3"/>
  <c r="E117" i="3"/>
  <c r="D117" i="3"/>
  <c r="AM116" i="3"/>
  <c r="AK116" i="3"/>
  <c r="L116" i="3"/>
  <c r="K116" i="3"/>
  <c r="J116" i="3"/>
  <c r="G116" i="3"/>
  <c r="F116" i="3"/>
  <c r="AZ115" i="3"/>
  <c r="AY115" i="3"/>
  <c r="AX115" i="3"/>
  <c r="AV115" i="3"/>
  <c r="V115" i="3"/>
  <c r="U115" i="3"/>
  <c r="S115" i="3"/>
  <c r="R115" i="3"/>
  <c r="Q115" i="3"/>
  <c r="P115" i="3"/>
  <c r="O115" i="3"/>
  <c r="N115" i="3"/>
  <c r="M115" i="3"/>
  <c r="L115" i="3"/>
  <c r="K115" i="3"/>
  <c r="J115" i="3"/>
  <c r="AV114" i="3"/>
  <c r="AV117" i="3" s="1"/>
  <c r="AV133" i="3" s="1"/>
  <c r="AU114" i="3"/>
  <c r="AU117" i="3" s="1"/>
  <c r="AU133" i="3" s="1"/>
  <c r="AT114" i="3"/>
  <c r="AT132" i="3" s="1"/>
  <c r="AR114" i="3"/>
  <c r="AR115" i="3" s="1"/>
  <c r="AQ114" i="3"/>
  <c r="AQ115" i="3" s="1"/>
  <c r="AN114" i="3"/>
  <c r="AL114" i="3"/>
  <c r="AL117" i="3" s="1"/>
  <c r="AR117" i="3" s="1"/>
  <c r="AK114" i="3"/>
  <c r="AK117" i="3" s="1"/>
  <c r="AJ114" i="3"/>
  <c r="AJ115" i="3" s="1"/>
  <c r="AM113" i="3"/>
  <c r="AM126" i="3" s="1"/>
  <c r="AK113" i="3"/>
  <c r="AZ112" i="3"/>
  <c r="AY112" i="3"/>
  <c r="AX112" i="3"/>
  <c r="AW112" i="3"/>
  <c r="AV112" i="3"/>
  <c r="AU112" i="3"/>
  <c r="AT112" i="3"/>
  <c r="AL112" i="3"/>
  <c r="AJ112" i="3"/>
  <c r="V112" i="3"/>
  <c r="U112" i="3"/>
  <c r="T112" i="3"/>
  <c r="S112" i="3"/>
  <c r="R112" i="3"/>
  <c r="Q112" i="3"/>
  <c r="P112" i="3"/>
  <c r="O112" i="3"/>
  <c r="N112" i="3"/>
  <c r="AM111" i="3"/>
  <c r="AM125" i="3" s="1"/>
  <c r="AK111" i="3"/>
  <c r="AK112" i="3" s="1"/>
  <c r="AM110" i="3"/>
  <c r="AM124" i="3" s="1"/>
  <c r="AK110" i="3"/>
  <c r="AR108" i="3"/>
  <c r="AQ108" i="3"/>
  <c r="AM108" i="3"/>
  <c r="AK108" i="3"/>
  <c r="AK131" i="3" s="1"/>
  <c r="F108" i="3"/>
  <c r="F132" i="3" s="1"/>
  <c r="E108" i="3"/>
  <c r="AV105" i="3"/>
  <c r="AU105" i="3"/>
  <c r="AT105" i="3"/>
  <c r="AV104" i="3"/>
  <c r="AU104" i="3"/>
  <c r="AT104" i="3"/>
  <c r="AW102" i="3"/>
  <c r="AV102" i="3"/>
  <c r="AU102" i="3"/>
  <c r="AZ100" i="3"/>
  <c r="AY100" i="3"/>
  <c r="AX100" i="3"/>
  <c r="AW100" i="3"/>
  <c r="AV100" i="3"/>
  <c r="AU100" i="3"/>
  <c r="AR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AW99" i="3"/>
  <c r="AV99" i="3"/>
  <c r="AU99" i="3"/>
  <c r="AV96" i="3"/>
  <c r="AU96" i="3"/>
  <c r="AT96" i="3"/>
  <c r="R90" i="3"/>
  <c r="R91" i="3" s="1"/>
  <c r="R89" i="3"/>
  <c r="J89" i="3" s="1"/>
  <c r="T87" i="3"/>
  <c r="R87" i="3"/>
  <c r="Q87" i="3"/>
  <c r="P87" i="3"/>
  <c r="N87" i="3"/>
  <c r="M87" i="3"/>
  <c r="J87" i="3"/>
  <c r="AZ84" i="3"/>
  <c r="AA84" i="3"/>
  <c r="Y84" i="3"/>
  <c r="W84" i="3"/>
  <c r="U84" i="3"/>
  <c r="T84" i="3"/>
  <c r="S84" i="3"/>
  <c r="R84" i="3"/>
  <c r="AZ83" i="3"/>
  <c r="AY83" i="3"/>
  <c r="AX83" i="3"/>
  <c r="AV83" i="3"/>
  <c r="AU83" i="3"/>
  <c r="AU101" i="3" s="1"/>
  <c r="AT83" i="3"/>
  <c r="AS83" i="3"/>
  <c r="AR83" i="3"/>
  <c r="AQ83" i="3"/>
  <c r="AP83" i="3"/>
  <c r="AN83" i="3"/>
  <c r="AL83" i="3"/>
  <c r="AJ83" i="3"/>
  <c r="U83" i="3"/>
  <c r="T83" i="3"/>
  <c r="S83" i="3"/>
  <c r="R83" i="3"/>
  <c r="Q83" i="3"/>
  <c r="P83" i="3"/>
  <c r="O83" i="3"/>
  <c r="N83" i="3"/>
  <c r="M83" i="3"/>
  <c r="L83" i="3"/>
  <c r="K83" i="3"/>
  <c r="J83" i="3"/>
  <c r="H83" i="3"/>
  <c r="AQ82" i="3"/>
  <c r="AP82" i="3"/>
  <c r="AO82" i="3"/>
  <c r="AN82" i="3"/>
  <c r="AM82" i="3"/>
  <c r="AL82" i="3"/>
  <c r="AK82" i="3"/>
  <c r="AJ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AR81" i="3"/>
  <c r="AS82" i="3" s="1"/>
  <c r="AQ81" i="3"/>
  <c r="AM81" i="3"/>
  <c r="AM83" i="3" s="1"/>
  <c r="AK81" i="3"/>
  <c r="AA81" i="3"/>
  <c r="Z81" i="3"/>
  <c r="Z87" i="3" s="1"/>
  <c r="Y81" i="3"/>
  <c r="Y87" i="3" s="1"/>
  <c r="X81" i="3"/>
  <c r="X84" i="3" s="1"/>
  <c r="W81" i="3"/>
  <c r="V81" i="3"/>
  <c r="V82" i="3" s="1"/>
  <c r="F81" i="3"/>
  <c r="E81" i="3"/>
  <c r="I83" i="3" s="1"/>
  <c r="AZ78" i="3"/>
  <c r="AY78" i="3"/>
  <c r="AX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M77" i="3"/>
  <c r="L77" i="3"/>
  <c r="K77" i="3"/>
  <c r="J77" i="3"/>
  <c r="F77" i="3"/>
  <c r="E77" i="3"/>
  <c r="D77" i="3"/>
  <c r="C77" i="3"/>
  <c r="B77" i="3"/>
  <c r="AY76" i="3"/>
  <c r="AX76" i="3"/>
  <c r="AW76" i="3"/>
  <c r="AJ76" i="3"/>
  <c r="N76" i="3"/>
  <c r="M76" i="3"/>
  <c r="L76" i="3"/>
  <c r="K76" i="3"/>
  <c r="J76" i="3"/>
  <c r="I76" i="3"/>
  <c r="H76" i="3"/>
  <c r="F76" i="3"/>
  <c r="D76" i="3"/>
  <c r="AY75" i="3"/>
  <c r="AX75" i="3"/>
  <c r="AW75" i="3"/>
  <c r="AV75" i="3"/>
  <c r="AU75" i="3"/>
  <c r="AT75" i="3"/>
  <c r="AN75" i="3"/>
  <c r="AL75" i="3"/>
  <c r="AJ75" i="3"/>
  <c r="F75" i="3"/>
  <c r="C75" i="3"/>
  <c r="B75" i="3"/>
  <c r="V74" i="3"/>
  <c r="U74" i="3"/>
  <c r="T74" i="3"/>
  <c r="S74" i="3"/>
  <c r="R74" i="3"/>
  <c r="Q74" i="3"/>
  <c r="V73" i="3"/>
  <c r="U73" i="3"/>
  <c r="T73" i="3"/>
  <c r="S73" i="3"/>
  <c r="AZ72" i="3"/>
  <c r="V72" i="3"/>
  <c r="U72" i="3"/>
  <c r="T72" i="3"/>
  <c r="S72" i="3"/>
  <c r="R72" i="3"/>
  <c r="AZ71" i="3"/>
  <c r="AY71" i="3"/>
  <c r="AX71" i="3"/>
  <c r="AW71" i="3"/>
  <c r="V71" i="3"/>
  <c r="U71" i="3"/>
  <c r="T71" i="3"/>
  <c r="S71" i="3"/>
  <c r="R71" i="3"/>
  <c r="Q71" i="3"/>
  <c r="P71" i="3"/>
  <c r="O71" i="3"/>
  <c r="N71" i="3"/>
  <c r="M71" i="3"/>
  <c r="L71" i="3"/>
  <c r="J71" i="3"/>
  <c r="I71" i="3"/>
  <c r="H71" i="3"/>
  <c r="C71" i="3"/>
  <c r="B71" i="3"/>
  <c r="AZ70" i="3"/>
  <c r="AY70" i="3"/>
  <c r="AX70" i="3"/>
  <c r="AW70" i="3"/>
  <c r="AV70" i="3"/>
  <c r="AU70" i="3"/>
  <c r="AN70" i="3"/>
  <c r="AL70" i="3"/>
  <c r="F70" i="3"/>
  <c r="D70" i="3"/>
  <c r="C70" i="3"/>
  <c r="B70" i="3"/>
  <c r="AZ69" i="3"/>
  <c r="AY69" i="3"/>
  <c r="AX69" i="3"/>
  <c r="AW69" i="3"/>
  <c r="AV69" i="3"/>
  <c r="AU69" i="3"/>
  <c r="AN69" i="3"/>
  <c r="AL69" i="3"/>
  <c r="V69" i="3"/>
  <c r="U69" i="3"/>
  <c r="T69" i="3"/>
  <c r="S69" i="3"/>
  <c r="R69" i="3"/>
  <c r="F69" i="3"/>
  <c r="D69" i="3"/>
  <c r="C69" i="3"/>
  <c r="B69" i="3"/>
  <c r="AZ68" i="3"/>
  <c r="AY68" i="3"/>
  <c r="AX68" i="3"/>
  <c r="AW68" i="3"/>
  <c r="AV68" i="3"/>
  <c r="AU68" i="3"/>
  <c r="AN68" i="3"/>
  <c r="AL68" i="3"/>
  <c r="V68" i="3"/>
  <c r="U68" i="3"/>
  <c r="T68" i="3"/>
  <c r="S68" i="3"/>
  <c r="R68" i="3"/>
  <c r="F68" i="3"/>
  <c r="D68" i="3"/>
  <c r="C68" i="3"/>
  <c r="B68" i="3"/>
  <c r="M67" i="3"/>
  <c r="L67" i="3"/>
  <c r="K67" i="3"/>
  <c r="J67" i="3"/>
  <c r="I67" i="3"/>
  <c r="H67" i="3"/>
  <c r="G67" i="3"/>
  <c r="AX66" i="3"/>
  <c r="AW66" i="3"/>
  <c r="AV66" i="3"/>
  <c r="AU66" i="3"/>
  <c r="AN66" i="3"/>
  <c r="AM66" i="3"/>
  <c r="AL66" i="3"/>
  <c r="M66" i="3"/>
  <c r="L66" i="3"/>
  <c r="K66" i="3"/>
  <c r="J66" i="3"/>
  <c r="H66" i="3"/>
  <c r="C66" i="3"/>
  <c r="B66" i="3"/>
  <c r="AV65" i="3"/>
  <c r="AU65" i="3"/>
  <c r="AM65" i="3"/>
  <c r="AL65" i="3"/>
  <c r="AJ65" i="3"/>
  <c r="F65" i="3"/>
  <c r="D65" i="3"/>
  <c r="C65" i="3"/>
  <c r="B65" i="3"/>
  <c r="AZ63" i="3"/>
  <c r="AY63" i="3"/>
  <c r="AX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0" i="3"/>
  <c r="AX77" i="3" s="1"/>
  <c r="AW60" i="3"/>
  <c r="AW77" i="3" s="1"/>
  <c r="AJ60" i="3"/>
  <c r="M60" i="3"/>
  <c r="I60" i="3"/>
  <c r="I77" i="3" s="1"/>
  <c r="H60" i="3"/>
  <c r="H77" i="3" s="1"/>
  <c r="E60" i="3"/>
  <c r="D60" i="3"/>
  <c r="AK59" i="3"/>
  <c r="K59" i="3"/>
  <c r="J59" i="3"/>
  <c r="F59" i="3"/>
  <c r="G59" i="3" s="1"/>
  <c r="AC58" i="3"/>
  <c r="AZ57" i="3"/>
  <c r="AY57" i="3"/>
  <c r="AX57" i="3"/>
  <c r="AS57" i="3"/>
  <c r="AJ57" i="3"/>
  <c r="V57" i="3"/>
  <c r="U57" i="3"/>
  <c r="S57" i="3"/>
  <c r="R57" i="3"/>
  <c r="Q57" i="3"/>
  <c r="P57" i="3"/>
  <c r="O57" i="3"/>
  <c r="N57" i="3"/>
  <c r="M57" i="3"/>
  <c r="L57" i="3"/>
  <c r="K57" i="3"/>
  <c r="J57" i="3"/>
  <c r="AV56" i="3"/>
  <c r="AV76" i="3" s="1"/>
  <c r="AU56" i="3"/>
  <c r="AT56" i="3"/>
  <c r="AQ56" i="3"/>
  <c r="AQ76" i="3" s="1"/>
  <c r="AN56" i="3"/>
  <c r="AM56" i="3"/>
  <c r="AL56" i="3"/>
  <c r="AJ56" i="3"/>
  <c r="AG56" i="3"/>
  <c r="AE56" i="3"/>
  <c r="AC56" i="3"/>
  <c r="Y56" i="3"/>
  <c r="W56" i="3"/>
  <c r="W57" i="3" s="1"/>
  <c r="AM55" i="3"/>
  <c r="AM70" i="3" s="1"/>
  <c r="AK55" i="3"/>
  <c r="AZ54" i="3"/>
  <c r="AY54" i="3"/>
  <c r="AX54" i="3"/>
  <c r="AW54" i="3"/>
  <c r="AV54" i="3"/>
  <c r="AJ54" i="3"/>
  <c r="V54" i="3"/>
  <c r="U54" i="3"/>
  <c r="T54" i="3"/>
  <c r="S54" i="3"/>
  <c r="R54" i="3"/>
  <c r="Q54" i="3"/>
  <c r="P54" i="3"/>
  <c r="O54" i="3"/>
  <c r="N54" i="3"/>
  <c r="AM53" i="3"/>
  <c r="AM69" i="3" s="1"/>
  <c r="AK53" i="3"/>
  <c r="AZ52" i="3"/>
  <c r="AY52" i="3"/>
  <c r="AX52" i="3"/>
  <c r="V52" i="3"/>
  <c r="U52" i="3"/>
  <c r="T52" i="3"/>
  <c r="S52" i="3"/>
  <c r="R52" i="3"/>
  <c r="Q52" i="3"/>
  <c r="P52" i="3"/>
  <c r="O52" i="3"/>
  <c r="N52" i="3"/>
  <c r="AM51" i="3"/>
  <c r="AK51" i="3"/>
  <c r="AR49" i="3"/>
  <c r="AQ49" i="3"/>
  <c r="AK49" i="3"/>
  <c r="F49" i="3"/>
  <c r="E49" i="3"/>
  <c r="I66" i="3" s="1"/>
  <c r="AZ46" i="3"/>
  <c r="AY46" i="3"/>
  <c r="AX46" i="3"/>
  <c r="V46" i="3"/>
  <c r="U46" i="3"/>
  <c r="T46" i="3"/>
  <c r="S46" i="3"/>
  <c r="R46" i="3"/>
  <c r="Q46" i="3"/>
  <c r="P46" i="3"/>
  <c r="O46" i="3"/>
  <c r="N46" i="3"/>
  <c r="J46" i="3"/>
  <c r="AL45" i="3"/>
  <c r="L45" i="3"/>
  <c r="K45" i="3"/>
  <c r="J45" i="3"/>
  <c r="F45" i="3"/>
  <c r="E45" i="3"/>
  <c r="D45" i="3"/>
  <c r="C45" i="3"/>
  <c r="B45" i="3"/>
  <c r="AZ44" i="3"/>
  <c r="AY44" i="3"/>
  <c r="AX44" i="3"/>
  <c r="AW44" i="3"/>
  <c r="AT44" i="3"/>
  <c r="AJ44" i="3"/>
  <c r="V44" i="3"/>
  <c r="U44" i="3"/>
  <c r="T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AZ43" i="3"/>
  <c r="AY43" i="3"/>
  <c r="AX43" i="3"/>
  <c r="AW43" i="3"/>
  <c r="AV43" i="3"/>
  <c r="AU43" i="3"/>
  <c r="AT43" i="3"/>
  <c r="AR43" i="3"/>
  <c r="AN43" i="3"/>
  <c r="AL43" i="3"/>
  <c r="AJ43" i="3"/>
  <c r="C43" i="3"/>
  <c r="B43" i="3"/>
  <c r="AZ40" i="3"/>
  <c r="AY40" i="3"/>
  <c r="AX40" i="3"/>
  <c r="V40" i="3"/>
  <c r="U40" i="3"/>
  <c r="T40" i="3"/>
  <c r="S40" i="3"/>
  <c r="R40" i="3"/>
  <c r="Q40" i="3"/>
  <c r="P40" i="3"/>
  <c r="O40" i="3"/>
  <c r="N40" i="3"/>
  <c r="V38" i="3"/>
  <c r="U38" i="3"/>
  <c r="T38" i="3"/>
  <c r="S38" i="3"/>
  <c r="R38" i="3"/>
  <c r="AZ37" i="3"/>
  <c r="AY37" i="3"/>
  <c r="AX37" i="3"/>
  <c r="AL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C37" i="3"/>
  <c r="B37" i="3"/>
  <c r="AZ36" i="3"/>
  <c r="AY36" i="3"/>
  <c r="AX36" i="3"/>
  <c r="AW36" i="3"/>
  <c r="AV36" i="3"/>
  <c r="AU36" i="3"/>
  <c r="AN36" i="3"/>
  <c r="AL36" i="3"/>
  <c r="J36" i="3"/>
  <c r="I36" i="3"/>
  <c r="H36" i="3"/>
  <c r="F36" i="3"/>
  <c r="D36" i="3"/>
  <c r="C36" i="3"/>
  <c r="B36" i="3"/>
  <c r="AZ35" i="3"/>
  <c r="AY35" i="3"/>
  <c r="AX35" i="3"/>
  <c r="AW35" i="3"/>
  <c r="AV35" i="3"/>
  <c r="AU35" i="3"/>
  <c r="AN35" i="3"/>
  <c r="AL35" i="3"/>
  <c r="V35" i="3"/>
  <c r="U35" i="3"/>
  <c r="T35" i="3"/>
  <c r="S35" i="3"/>
  <c r="R35" i="3"/>
  <c r="J35" i="3"/>
  <c r="I35" i="3"/>
  <c r="H35" i="3"/>
  <c r="F35" i="3"/>
  <c r="D35" i="3"/>
  <c r="C35" i="3"/>
  <c r="B35" i="3"/>
  <c r="V34" i="3"/>
  <c r="U34" i="3"/>
  <c r="V33" i="3"/>
  <c r="U33" i="3"/>
  <c r="AY32" i="3"/>
  <c r="AX32" i="3"/>
  <c r="AW32" i="3"/>
  <c r="AV32" i="3"/>
  <c r="AU32" i="3"/>
  <c r="AN32" i="3"/>
  <c r="AL32" i="3"/>
  <c r="V32" i="3"/>
  <c r="U32" i="3"/>
  <c r="T32" i="3"/>
  <c r="S32" i="3"/>
  <c r="R32" i="3"/>
  <c r="J32" i="3"/>
  <c r="I32" i="3"/>
  <c r="H32" i="3"/>
  <c r="F32" i="3"/>
  <c r="D32" i="3"/>
  <c r="C32" i="3"/>
  <c r="B32" i="3"/>
  <c r="AW31" i="3"/>
  <c r="AN31" i="3"/>
  <c r="AL31" i="3"/>
  <c r="V31" i="3"/>
  <c r="U31" i="3"/>
  <c r="K31" i="3"/>
  <c r="I31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Z29" i="3"/>
  <c r="V29" i="3"/>
  <c r="U29" i="3"/>
  <c r="T29" i="3"/>
  <c r="AZ28" i="3"/>
  <c r="AY28" i="3"/>
  <c r="AX28" i="3"/>
  <c r="AW28" i="3"/>
  <c r="AV28" i="3"/>
  <c r="AU28" i="3"/>
  <c r="AN28" i="3"/>
  <c r="AL28" i="3"/>
  <c r="U28" i="3"/>
  <c r="T28" i="3"/>
  <c r="Q28" i="3"/>
  <c r="P28" i="3"/>
  <c r="O28" i="3"/>
  <c r="N28" i="3"/>
  <c r="M28" i="3"/>
  <c r="L28" i="3"/>
  <c r="K28" i="3"/>
  <c r="J28" i="3"/>
  <c r="I28" i="3"/>
  <c r="H28" i="3"/>
  <c r="C28" i="3"/>
  <c r="B28" i="3"/>
  <c r="AZ27" i="3"/>
  <c r="AY27" i="3"/>
  <c r="AX27" i="3"/>
  <c r="AW27" i="3"/>
  <c r="AV27" i="3"/>
  <c r="AU27" i="3"/>
  <c r="AN27" i="3"/>
  <c r="AL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AZ25" i="3"/>
  <c r="AY25" i="3"/>
  <c r="AX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2" i="3"/>
  <c r="AX45" i="3" s="1"/>
  <c r="AW22" i="3"/>
  <c r="AW45" i="3" s="1"/>
  <c r="AT22" i="3"/>
  <c r="AT45" i="3" s="1"/>
  <c r="AL22" i="3"/>
  <c r="AJ22" i="3"/>
  <c r="Q22" i="3"/>
  <c r="M22" i="3"/>
  <c r="M45" i="3" s="1"/>
  <c r="I22" i="3"/>
  <c r="I45" i="3" s="1"/>
  <c r="H22" i="3"/>
  <c r="H45" i="3" s="1"/>
  <c r="E22" i="3"/>
  <c r="D22" i="3"/>
  <c r="AM21" i="3"/>
  <c r="AK21" i="3"/>
  <c r="K21" i="3"/>
  <c r="J21" i="3"/>
  <c r="F21" i="3"/>
  <c r="G21" i="3" s="1"/>
  <c r="AY19" i="3"/>
  <c r="AX19" i="3"/>
  <c r="AW19" i="3"/>
  <c r="AV19" i="3"/>
  <c r="AU19" i="3"/>
  <c r="AT19" i="3"/>
  <c r="AL19" i="3"/>
  <c r="AJ19" i="3"/>
  <c r="AM18" i="3"/>
  <c r="AK18" i="3"/>
  <c r="AZ17" i="3"/>
  <c r="AY17" i="3"/>
  <c r="AX17" i="3"/>
  <c r="AW17" i="3"/>
  <c r="AT17" i="3"/>
  <c r="V17" i="3"/>
  <c r="U17" i="3"/>
  <c r="T17" i="3"/>
  <c r="S17" i="3"/>
  <c r="R17" i="3"/>
  <c r="Q17" i="3"/>
  <c r="P17" i="3"/>
  <c r="N17" i="3"/>
  <c r="L17" i="3"/>
  <c r="K17" i="3"/>
  <c r="J17" i="3"/>
  <c r="H17" i="3"/>
  <c r="D17" i="3"/>
  <c r="AV16" i="3"/>
  <c r="AU16" i="3"/>
  <c r="AU17" i="3" s="1"/>
  <c r="AT16" i="3"/>
  <c r="AR16" i="3"/>
  <c r="AN16" i="3"/>
  <c r="AM16" i="3"/>
  <c r="AL16" i="3"/>
  <c r="AL17" i="3" s="1"/>
  <c r="AJ16" i="3"/>
  <c r="AQ16" i="3" s="1"/>
  <c r="G16" i="3"/>
  <c r="AM15" i="3"/>
  <c r="AM36" i="3" s="1"/>
  <c r="AK15" i="3"/>
  <c r="AZ14" i="3"/>
  <c r="AY14" i="3"/>
  <c r="AX14" i="3"/>
  <c r="AW14" i="3"/>
  <c r="AV14" i="3"/>
  <c r="AT14" i="3"/>
  <c r="AN14" i="3"/>
  <c r="AL14" i="3"/>
  <c r="AJ14" i="3"/>
  <c r="V14" i="3"/>
  <c r="U14" i="3"/>
  <c r="T14" i="3"/>
  <c r="S14" i="3"/>
  <c r="R14" i="3"/>
  <c r="Q14" i="3"/>
  <c r="P14" i="3"/>
  <c r="O14" i="3"/>
  <c r="N14" i="3"/>
  <c r="AM13" i="3"/>
  <c r="AM35" i="3" s="1"/>
  <c r="AK13" i="3"/>
  <c r="V12" i="3"/>
  <c r="T12" i="3"/>
  <c r="S12" i="3"/>
  <c r="R12" i="3"/>
  <c r="Q12" i="3"/>
  <c r="P12" i="3"/>
  <c r="O12" i="3"/>
  <c r="N12" i="3"/>
  <c r="AH11" i="3"/>
  <c r="AD11" i="3"/>
  <c r="AH10" i="3"/>
  <c r="AD10" i="3"/>
  <c r="AZ9" i="3"/>
  <c r="AZ32" i="3" s="1"/>
  <c r="AM9" i="3"/>
  <c r="AM32" i="3" s="1"/>
  <c r="AK9" i="3"/>
  <c r="V9" i="3"/>
  <c r="U9" i="3"/>
  <c r="U12" i="3" s="1"/>
  <c r="AZ7" i="3"/>
  <c r="AZ31" i="3" s="1"/>
  <c r="AY7" i="3"/>
  <c r="AY31" i="3" s="1"/>
  <c r="AX7" i="3"/>
  <c r="AW7" i="3"/>
  <c r="AV7" i="3"/>
  <c r="AU7" i="3"/>
  <c r="AU31" i="3" s="1"/>
  <c r="AT7" i="3"/>
  <c r="AQ7" i="3"/>
  <c r="AN7" i="3"/>
  <c r="AL7" i="3"/>
  <c r="AJ7" i="3"/>
  <c r="U7" i="3"/>
  <c r="T7" i="3"/>
  <c r="R7" i="3"/>
  <c r="Q7" i="3"/>
  <c r="P7" i="3"/>
  <c r="T31" i="3" s="1"/>
  <c r="O7" i="3"/>
  <c r="N7" i="3"/>
  <c r="N31" i="3" s="1"/>
  <c r="M7" i="3"/>
  <c r="L7" i="3"/>
  <c r="L31" i="3" s="1"/>
  <c r="K7" i="3"/>
  <c r="O31" i="3" s="1"/>
  <c r="J7" i="3"/>
  <c r="I7" i="3"/>
  <c r="H7" i="3"/>
  <c r="H31" i="3" s="1"/>
  <c r="G7" i="3"/>
  <c r="D7" i="3"/>
  <c r="AR6" i="3"/>
  <c r="AQ6" i="3"/>
  <c r="AN6" i="3"/>
  <c r="AM6" i="3"/>
  <c r="AM7" i="3" s="1"/>
  <c r="AK6" i="3"/>
  <c r="AK7" i="3" s="1"/>
  <c r="S6" i="3"/>
  <c r="R6" i="3"/>
  <c r="F6" i="3"/>
  <c r="F43" i="3" s="1"/>
  <c r="E6" i="3"/>
  <c r="E137" i="3" s="1"/>
  <c r="AR5" i="3"/>
  <c r="AR7" i="3" s="1"/>
  <c r="AQ5" i="3"/>
  <c r="AN5" i="3"/>
  <c r="AN19" i="3" s="1"/>
  <c r="AM5" i="3"/>
  <c r="AM19" i="3" s="1"/>
  <c r="AK5" i="3"/>
  <c r="AM27" i="3" s="1"/>
  <c r="F5" i="3"/>
  <c r="E5" i="3"/>
  <c r="E7" i="3" s="1"/>
  <c r="BC87" i="2"/>
  <c r="BB87" i="2"/>
  <c r="BC85" i="2"/>
  <c r="BB85" i="2"/>
  <c r="BC84" i="2"/>
  <c r="BB84" i="2"/>
  <c r="BE81" i="2"/>
  <c r="BD81" i="2"/>
  <c r="BC81" i="2"/>
  <c r="AZ81" i="2"/>
  <c r="AY81" i="2"/>
  <c r="AX81" i="2"/>
  <c r="P81" i="2"/>
  <c r="O81" i="2"/>
  <c r="N81" i="2"/>
  <c r="M81" i="2"/>
  <c r="BB81" i="2" s="1"/>
  <c r="L81" i="2"/>
  <c r="K81" i="2"/>
  <c r="J81" i="2"/>
  <c r="I81" i="2"/>
  <c r="E81" i="2"/>
  <c r="BE80" i="2"/>
  <c r="BD80" i="2"/>
  <c r="BE79" i="2"/>
  <c r="BD79" i="2"/>
  <c r="BC79" i="2"/>
  <c r="BB79" i="2"/>
  <c r="BE77" i="2"/>
  <c r="BD77" i="2"/>
  <c r="BC77" i="2"/>
  <c r="BB77" i="2"/>
  <c r="AZ77" i="2"/>
  <c r="AY77" i="2"/>
  <c r="E77" i="2"/>
  <c r="BE75" i="2"/>
  <c r="BD75" i="2"/>
  <c r="BC75" i="2"/>
  <c r="BB75" i="2"/>
  <c r="BE73" i="2"/>
  <c r="BC73" i="2"/>
  <c r="BA73" i="2"/>
  <c r="AZ73" i="2"/>
  <c r="AY73" i="2"/>
  <c r="AX73" i="2"/>
  <c r="AW73" i="2"/>
  <c r="AT73" i="2"/>
  <c r="AR73" i="2"/>
  <c r="AP73" i="2"/>
  <c r="AN73" i="2"/>
  <c r="V73" i="2"/>
  <c r="U73" i="2"/>
  <c r="BD73" i="2" s="1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E73" i="2"/>
  <c r="C73" i="2"/>
  <c r="BE72" i="2"/>
  <c r="BD72" i="2"/>
  <c r="BC72" i="2"/>
  <c r="BB72" i="2"/>
  <c r="BB73" i="2" s="1"/>
  <c r="BE71" i="2"/>
  <c r="BD71" i="2"/>
  <c r="BC71" i="2"/>
  <c r="BB71" i="2"/>
  <c r="BE70" i="2"/>
  <c r="BD70" i="2"/>
  <c r="BC70" i="2"/>
  <c r="BB70" i="2"/>
  <c r="BE67" i="2"/>
  <c r="BD67" i="2"/>
  <c r="BC67" i="2"/>
  <c r="BB67" i="2"/>
  <c r="BA67" i="2"/>
  <c r="AZ67" i="2"/>
  <c r="AY67" i="2"/>
  <c r="AX67" i="2"/>
  <c r="AW67" i="2"/>
  <c r="AT67" i="2"/>
  <c r="AR67" i="2"/>
  <c r="AP67" i="2"/>
  <c r="AO67" i="2"/>
  <c r="AN67" i="2"/>
  <c r="AC67" i="2"/>
  <c r="AB67" i="2"/>
  <c r="AA67" i="2"/>
  <c r="Z67" i="2"/>
  <c r="Y67" i="2"/>
  <c r="X67" i="2"/>
  <c r="T67" i="2"/>
  <c r="S67" i="2"/>
  <c r="R67" i="2"/>
  <c r="Q67" i="2"/>
  <c r="P67" i="2"/>
  <c r="O67" i="2"/>
  <c r="N67" i="2"/>
  <c r="M67" i="2"/>
  <c r="L67" i="2"/>
  <c r="H67" i="2"/>
  <c r="G67" i="2"/>
  <c r="D67" i="2"/>
  <c r="BE66" i="2"/>
  <c r="BD66" i="2"/>
  <c r="BC66" i="2"/>
  <c r="BB66" i="2"/>
  <c r="BA66" i="2"/>
  <c r="AZ66" i="2"/>
  <c r="AY66" i="2"/>
  <c r="AX66" i="2"/>
  <c r="AW66" i="2"/>
  <c r="AT66" i="2"/>
  <c r="AR66" i="2"/>
  <c r="AP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E66" i="2"/>
  <c r="D66" i="2"/>
  <c r="BE65" i="2"/>
  <c r="AM65" i="2"/>
  <c r="AL65" i="2"/>
  <c r="AK65" i="2"/>
  <c r="AD65" i="2"/>
  <c r="AW64" i="2"/>
  <c r="AT64" i="2"/>
  <c r="AJ64" i="2"/>
  <c r="AJ63" i="2"/>
  <c r="AC63" i="2"/>
  <c r="G63" i="2"/>
  <c r="BE62" i="2"/>
  <c r="BB62" i="2"/>
  <c r="BA62" i="2"/>
  <c r="AZ62" i="2"/>
  <c r="AY62" i="2"/>
  <c r="AX62" i="2"/>
  <c r="AW62" i="2"/>
  <c r="AT62" i="2"/>
  <c r="AR62" i="2"/>
  <c r="AP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U62" i="2"/>
  <c r="T62" i="2"/>
  <c r="R62" i="2"/>
  <c r="M62" i="2"/>
  <c r="L62" i="2"/>
  <c r="K62" i="2"/>
  <c r="J62" i="2"/>
  <c r="I62" i="2"/>
  <c r="H62" i="2"/>
  <c r="G62" i="2"/>
  <c r="E62" i="2"/>
  <c r="D62" i="2"/>
  <c r="BE61" i="2"/>
  <c r="BD61" i="2"/>
  <c r="BC61" i="2"/>
  <c r="BB61" i="2"/>
  <c r="BA61" i="2"/>
  <c r="AZ61" i="2"/>
  <c r="AY61" i="2"/>
  <c r="AX61" i="2"/>
  <c r="AW61" i="2"/>
  <c r="AU61" i="2"/>
  <c r="AT61" i="2"/>
  <c r="AR61" i="2"/>
  <c r="AP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E61" i="2"/>
  <c r="D61" i="2"/>
  <c r="BE60" i="2"/>
  <c r="BD60" i="2"/>
  <c r="BC60" i="2"/>
  <c r="BB60" i="2"/>
  <c r="BA60" i="2"/>
  <c r="AZ60" i="2"/>
  <c r="AY60" i="2"/>
  <c r="AX60" i="2"/>
  <c r="AW60" i="2"/>
  <c r="AT60" i="2"/>
  <c r="AR60" i="2"/>
  <c r="AP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E60" i="2"/>
  <c r="D60" i="2"/>
  <c r="AT58" i="2"/>
  <c r="AK58" i="2"/>
  <c r="AJ58" i="2"/>
  <c r="AG58" i="2"/>
  <c r="AE58" i="2"/>
  <c r="AC58" i="2"/>
  <c r="AA58" i="2"/>
  <c r="Z58" i="2"/>
  <c r="O58" i="2"/>
  <c r="N58" i="2"/>
  <c r="M58" i="2"/>
  <c r="L58" i="2"/>
  <c r="K58" i="2"/>
  <c r="AP55" i="2"/>
  <c r="H55" i="2"/>
  <c r="AL54" i="2"/>
  <c r="AK54" i="2"/>
  <c r="AJ54" i="2"/>
  <c r="BE53" i="2"/>
  <c r="BD53" i="2"/>
  <c r="BC53" i="2"/>
  <c r="BB53" i="2"/>
  <c r="BA53" i="2"/>
  <c r="AZ53" i="2"/>
  <c r="AY53" i="2"/>
  <c r="AW53" i="2"/>
  <c r="AV53" i="2"/>
  <c r="AT53" i="2"/>
  <c r="AR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I53" i="2"/>
  <c r="H53" i="2"/>
  <c r="AW52" i="2"/>
  <c r="BB50" i="2"/>
  <c r="BA50" i="2"/>
  <c r="AZ50" i="2"/>
  <c r="AY50" i="2"/>
  <c r="AW50" i="2"/>
  <c r="AT50" i="2"/>
  <c r="AS50" i="2"/>
  <c r="AR50" i="2"/>
  <c r="AQ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X50" i="2"/>
  <c r="W50" i="2"/>
  <c r="Q50" i="2"/>
  <c r="M50" i="2"/>
  <c r="L50" i="2"/>
  <c r="K50" i="2"/>
  <c r="I50" i="2"/>
  <c r="H50" i="2"/>
  <c r="BE49" i="2"/>
  <c r="BD49" i="2"/>
  <c r="BC49" i="2"/>
  <c r="BB49" i="2"/>
  <c r="BA49" i="2"/>
  <c r="AZ49" i="2"/>
  <c r="AY49" i="2"/>
  <c r="AW49" i="2"/>
  <c r="AT49" i="2"/>
  <c r="AR49" i="2"/>
  <c r="AP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I49" i="2"/>
  <c r="H49" i="2"/>
  <c r="BE48" i="2"/>
  <c r="BD48" i="2"/>
  <c r="BC48" i="2"/>
  <c r="BB48" i="2"/>
  <c r="BA48" i="2"/>
  <c r="AZ48" i="2"/>
  <c r="AY48" i="2"/>
  <c r="AW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I48" i="2"/>
  <c r="H48" i="2"/>
  <c r="AL47" i="2"/>
  <c r="AH47" i="2"/>
  <c r="AF47" i="2"/>
  <c r="AT46" i="2"/>
  <c r="AS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E46" i="2"/>
  <c r="BE45" i="2"/>
  <c r="BD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BE44" i="2"/>
  <c r="BD44" i="2"/>
  <c r="BC44" i="2"/>
  <c r="BB44" i="2"/>
  <c r="BA44" i="2"/>
  <c r="AZ44" i="2"/>
  <c r="AY44" i="2"/>
  <c r="AW44" i="2"/>
  <c r="AT44" i="2"/>
  <c r="AR44" i="2"/>
  <c r="AP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I44" i="2"/>
  <c r="H44" i="2"/>
  <c r="AP43" i="2"/>
  <c r="BE38" i="2"/>
  <c r="BD38" i="2"/>
  <c r="BD55" i="2" s="1"/>
  <c r="BC38" i="2"/>
  <c r="BB38" i="2"/>
  <c r="BB55" i="2" s="1"/>
  <c r="BA38" i="2"/>
  <c r="AZ38" i="2"/>
  <c r="AZ55" i="2" s="1"/>
  <c r="AY38" i="2"/>
  <c r="AY55" i="2" s="1"/>
  <c r="AX38" i="2"/>
  <c r="AT38" i="2"/>
  <c r="AS38" i="2"/>
  <c r="AR38" i="2"/>
  <c r="AQ38" i="2"/>
  <c r="AP38" i="2"/>
  <c r="AR55" i="2" s="1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T38" i="2"/>
  <c r="S38" i="2"/>
  <c r="R38" i="2"/>
  <c r="P38" i="2"/>
  <c r="O38" i="2"/>
  <c r="N38" i="2"/>
  <c r="M38" i="2"/>
  <c r="L38" i="2"/>
  <c r="K38" i="2"/>
  <c r="J38" i="2"/>
  <c r="H38" i="2"/>
  <c r="G38" i="2"/>
  <c r="D38" i="2"/>
  <c r="AV37" i="2"/>
  <c r="AU37" i="2"/>
  <c r="F37" i="2"/>
  <c r="AV36" i="2"/>
  <c r="AU36" i="2"/>
  <c r="U36" i="2"/>
  <c r="Q36" i="2"/>
  <c r="M36" i="2"/>
  <c r="F36" i="2"/>
  <c r="AV35" i="2"/>
  <c r="AU35" i="2"/>
  <c r="Q35" i="2"/>
  <c r="Q38" i="2" s="1"/>
  <c r="M35" i="2"/>
  <c r="F35" i="2"/>
  <c r="AW33" i="2"/>
  <c r="AW54" i="2" s="1"/>
  <c r="AT33" i="2"/>
  <c r="AS33" i="2"/>
  <c r="AJ33" i="2"/>
  <c r="AH33" i="2"/>
  <c r="AH54" i="2" s="1"/>
  <c r="AC33" i="2"/>
  <c r="AB33" i="2"/>
  <c r="AA33" i="2"/>
  <c r="Z33" i="2"/>
  <c r="AW30" i="2"/>
  <c r="AT30" i="2"/>
  <c r="AR30" i="2"/>
  <c r="AR33" i="2" s="1"/>
  <c r="AQ30" i="2"/>
  <c r="AQ33" i="2" s="1"/>
  <c r="AP30" i="2"/>
  <c r="AP33" i="2" s="1"/>
  <c r="AN30" i="2"/>
  <c r="AN33" i="2" s="1"/>
  <c r="AI30" i="2"/>
  <c r="AI33" i="2" s="1"/>
  <c r="AI54" i="2" s="1"/>
  <c r="AH30" i="2"/>
  <c r="AC30" i="2"/>
  <c r="AB30" i="2"/>
  <c r="AA30" i="2"/>
  <c r="Z30" i="2"/>
  <c r="AV28" i="2"/>
  <c r="AU28" i="2"/>
  <c r="AQ28" i="2"/>
  <c r="AO28" i="2"/>
  <c r="F28" i="2"/>
  <c r="AV25" i="2"/>
  <c r="AU25" i="2"/>
  <c r="AQ25" i="2"/>
  <c r="AO25" i="2"/>
  <c r="F25" i="2"/>
  <c r="AV24" i="2"/>
  <c r="AU24" i="2"/>
  <c r="AQ24" i="2"/>
  <c r="AO24" i="2"/>
  <c r="F24" i="2"/>
  <c r="AV23" i="2"/>
  <c r="AU23" i="2"/>
  <c r="AQ23" i="2"/>
  <c r="AO23" i="2"/>
  <c r="F23" i="2"/>
  <c r="AV22" i="2"/>
  <c r="AU22" i="2"/>
  <c r="AQ22" i="2"/>
  <c r="AO22" i="2"/>
  <c r="F22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T21" i="2"/>
  <c r="AQ20" i="2"/>
  <c r="AO20" i="2"/>
  <c r="F20" i="2"/>
  <c r="J53" i="2" s="1"/>
  <c r="AJ19" i="2"/>
  <c r="AJ65" i="2" s="1"/>
  <c r="U19" i="2"/>
  <c r="U65" i="2" s="1"/>
  <c r="AV18" i="2"/>
  <c r="AU18" i="2"/>
  <c r="AQ18" i="2"/>
  <c r="AO18" i="2"/>
  <c r="F18" i="2"/>
  <c r="AV17" i="2"/>
  <c r="AU17" i="2"/>
  <c r="AQ17" i="2"/>
  <c r="AO17" i="2"/>
  <c r="F17" i="2"/>
  <c r="AX16" i="2"/>
  <c r="AX64" i="2" s="1"/>
  <c r="AJ16" i="2"/>
  <c r="AA16" i="2"/>
  <c r="AA64" i="2" s="1"/>
  <c r="U16" i="2"/>
  <c r="U64" i="2" s="1"/>
  <c r="AR15" i="2"/>
  <c r="AN15" i="2"/>
  <c r="AM15" i="2"/>
  <c r="AL15" i="2"/>
  <c r="AJ15" i="2"/>
  <c r="AC15" i="2"/>
  <c r="AC16" i="2" s="1"/>
  <c r="AA15" i="2"/>
  <c r="AA63" i="2" s="1"/>
  <c r="Z15" i="2"/>
  <c r="U15" i="2"/>
  <c r="U63" i="2" s="1"/>
  <c r="L15" i="2"/>
  <c r="J15" i="2"/>
  <c r="I15" i="2"/>
  <c r="G15" i="2"/>
  <c r="G19" i="2" s="1"/>
  <c r="G65" i="2" s="1"/>
  <c r="AJ13" i="2"/>
  <c r="AH13" i="2"/>
  <c r="AG13" i="2"/>
  <c r="AF13" i="2"/>
  <c r="AE13" i="2"/>
  <c r="AD13" i="2"/>
  <c r="AC13" i="2"/>
  <c r="AA13" i="2"/>
  <c r="Z13" i="2"/>
  <c r="AV12" i="2"/>
  <c r="AU12" i="2"/>
  <c r="AQ12" i="2"/>
  <c r="AO12" i="2"/>
  <c r="AO38" i="2" s="1"/>
  <c r="F12" i="2"/>
  <c r="BD11" i="2"/>
  <c r="BC11" i="2"/>
  <c r="BC50" i="2" s="1"/>
  <c r="AV11" i="2"/>
  <c r="AU11" i="2"/>
  <c r="AU62" i="2" s="1"/>
  <c r="AQ11" i="2"/>
  <c r="AO11" i="2"/>
  <c r="W11" i="2"/>
  <c r="V11" i="2"/>
  <c r="U11" i="2"/>
  <c r="S11" i="2"/>
  <c r="S62" i="2" s="1"/>
  <c r="R11" i="2"/>
  <c r="Q11" i="2"/>
  <c r="Q62" i="2" s="1"/>
  <c r="P11" i="2"/>
  <c r="O11" i="2"/>
  <c r="N11" i="2"/>
  <c r="F11" i="2"/>
  <c r="AV10" i="2"/>
  <c r="AV49" i="2" s="1"/>
  <c r="AU10" i="2"/>
  <c r="AQ10" i="2"/>
  <c r="AO10" i="2"/>
  <c r="AS49" i="2" s="1"/>
  <c r="F10" i="2"/>
  <c r="AV9" i="2"/>
  <c r="AU9" i="2"/>
  <c r="AQ9" i="2"/>
  <c r="AO9" i="2"/>
  <c r="AO60" i="2" s="1"/>
  <c r="F9" i="2"/>
  <c r="J48" i="2" s="1"/>
  <c r="BE8" i="2"/>
  <c r="BD8" i="2"/>
  <c r="BC8" i="2"/>
  <c r="BB8" i="2"/>
  <c r="BA8" i="2"/>
  <c r="AZ8" i="2"/>
  <c r="AZ15" i="2" s="1"/>
  <c r="AY8" i="2"/>
  <c r="AY58" i="2" s="1"/>
  <c r="AX8" i="2"/>
  <c r="AX15" i="2" s="1"/>
  <c r="AW8" i="2"/>
  <c r="AW47" i="2" s="1"/>
  <c r="AT8" i="2"/>
  <c r="AR8" i="2"/>
  <c r="AR58" i="2" s="1"/>
  <c r="AP8" i="2"/>
  <c r="AN8" i="2"/>
  <c r="AO8" i="2" s="1"/>
  <c r="AM8" i="2"/>
  <c r="AL8" i="2"/>
  <c r="AL58" i="2" s="1"/>
  <c r="AK8" i="2"/>
  <c r="AK47" i="2" s="1"/>
  <c r="AI8" i="2"/>
  <c r="AH8" i="2"/>
  <c r="AH58" i="2" s="1"/>
  <c r="AG8" i="2"/>
  <c r="AG47" i="2" s="1"/>
  <c r="AF8" i="2"/>
  <c r="AE8" i="2"/>
  <c r="AE47" i="2" s="1"/>
  <c r="AD8" i="2"/>
  <c r="AD58" i="2" s="1"/>
  <c r="AC8" i="2"/>
  <c r="AB8" i="2"/>
  <c r="AB58" i="2" s="1"/>
  <c r="Y8" i="2"/>
  <c r="X8" i="2"/>
  <c r="W8" i="2"/>
  <c r="V8" i="2"/>
  <c r="U8" i="2"/>
  <c r="U47" i="2" s="1"/>
  <c r="T8" i="2"/>
  <c r="S8" i="2"/>
  <c r="R8" i="2"/>
  <c r="R15" i="2" s="1"/>
  <c r="R63" i="2" s="1"/>
  <c r="Q8" i="2"/>
  <c r="P8" i="2"/>
  <c r="P58" i="2" s="1"/>
  <c r="O8" i="2"/>
  <c r="N8" i="2"/>
  <c r="M8" i="2"/>
  <c r="M15" i="2" s="1"/>
  <c r="M63" i="2" s="1"/>
  <c r="L8" i="2"/>
  <c r="P47" i="2" s="1"/>
  <c r="K8" i="2"/>
  <c r="O47" i="2" s="1"/>
  <c r="J8" i="2"/>
  <c r="N47" i="2" s="1"/>
  <c r="I8" i="2"/>
  <c r="H8" i="2"/>
  <c r="G8" i="2"/>
  <c r="G58" i="2" s="1"/>
  <c r="E8" i="2"/>
  <c r="E15" i="2" s="1"/>
  <c r="D8" i="2"/>
  <c r="D58" i="2" s="1"/>
  <c r="AV6" i="2"/>
  <c r="AU6" i="2"/>
  <c r="AQ6" i="2"/>
  <c r="AO6" i="2"/>
  <c r="F6" i="2"/>
  <c r="AV5" i="2"/>
  <c r="AW46" i="2" s="1"/>
  <c r="AU5" i="2"/>
  <c r="AQ5" i="2"/>
  <c r="AO5" i="2"/>
  <c r="F5" i="2"/>
  <c r="F66" i="2" s="1"/>
  <c r="AD4" i="2"/>
  <c r="AC4" i="2"/>
  <c r="AB4" i="2"/>
  <c r="AA4" i="2"/>
  <c r="Z4" i="2"/>
  <c r="Y4" i="2"/>
  <c r="X4" i="2"/>
  <c r="W2" i="2"/>
  <c r="G31" i="1"/>
  <c r="F31" i="1"/>
  <c r="C31" i="1"/>
  <c r="B31" i="1"/>
  <c r="K30" i="1"/>
  <c r="K31" i="1" s="1"/>
  <c r="F30" i="1"/>
  <c r="J30" i="1" s="1"/>
  <c r="J31" i="1" s="1"/>
  <c r="D30" i="1"/>
  <c r="K29" i="1"/>
  <c r="F29" i="1"/>
  <c r="J29" i="1" s="1"/>
  <c r="L29" i="1" s="1"/>
  <c r="D29" i="1"/>
  <c r="K28" i="1"/>
  <c r="L28" i="1" s="1"/>
  <c r="J28" i="1"/>
  <c r="H28" i="1"/>
  <c r="D28" i="1"/>
  <c r="K25" i="1"/>
  <c r="L25" i="1" s="1"/>
  <c r="J25" i="1"/>
  <c r="H25" i="1"/>
  <c r="D25" i="1"/>
  <c r="K24" i="1"/>
  <c r="J24" i="1"/>
  <c r="H24" i="1"/>
  <c r="D24" i="1"/>
  <c r="L23" i="1"/>
  <c r="K23" i="1"/>
  <c r="J23" i="1"/>
  <c r="H23" i="1"/>
  <c r="D23" i="1"/>
  <c r="D15" i="1"/>
  <c r="D14" i="1"/>
  <c r="D12" i="1"/>
  <c r="D11" i="1"/>
  <c r="D9" i="1"/>
  <c r="D7" i="1"/>
  <c r="G6" i="1"/>
  <c r="C6" i="1"/>
  <c r="B6" i="1"/>
  <c r="K5" i="1"/>
  <c r="K6" i="1" s="1"/>
  <c r="D5" i="1"/>
  <c r="K4" i="1"/>
  <c r="L4" i="1" s="1"/>
  <c r="J4" i="1"/>
  <c r="H4" i="1"/>
  <c r="D4" i="1"/>
  <c r="AO12" i="10" l="1"/>
  <c r="BD12" i="10"/>
  <c r="AL12" i="10"/>
  <c r="AO14" i="10"/>
  <c r="AP14" i="10"/>
  <c r="AR14" i="10" s="1"/>
  <c r="AV12" i="10"/>
  <c r="AX12" i="10" s="1"/>
  <c r="AV14" i="10"/>
  <c r="AX14" i="10" s="1"/>
  <c r="AF12" i="10"/>
  <c r="AL10" i="10"/>
  <c r="AO10" i="10"/>
  <c r="AL11" i="10"/>
  <c r="AI11" i="10"/>
  <c r="AS12" i="10"/>
  <c r="AU12" i="10" s="1"/>
  <c r="AS14" i="10"/>
  <c r="AU14" i="10" s="1"/>
  <c r="AX3" i="10"/>
  <c r="AY14" i="10"/>
  <c r="BA14" i="10" s="1"/>
  <c r="Q3" i="10"/>
  <c r="AO11" i="10"/>
  <c r="AY12" i="10"/>
  <c r="BA12" i="10" s="1"/>
  <c r="O13" i="10"/>
  <c r="O14" i="10"/>
  <c r="AI14" i="10"/>
  <c r="BB14" i="10"/>
  <c r="BD14" i="10" s="1"/>
  <c r="AI12" i="10"/>
  <c r="AL14" i="10"/>
  <c r="AP12" i="10"/>
  <c r="AR12" i="10" s="1"/>
  <c r="AX8" i="10"/>
  <c r="AI10" i="10"/>
  <c r="AB21" i="10"/>
  <c r="AA21" i="10" s="1"/>
  <c r="AS47" i="2"/>
  <c r="AO47" i="2"/>
  <c r="AO58" i="2"/>
  <c r="AQ66" i="2"/>
  <c r="AU53" i="2"/>
  <c r="O15" i="2"/>
  <c r="O62" i="2"/>
  <c r="O50" i="2"/>
  <c r="G27" i="2"/>
  <c r="AO15" i="2"/>
  <c r="AZ19" i="2"/>
  <c r="AZ16" i="2"/>
  <c r="AZ63" i="2"/>
  <c r="AC64" i="2"/>
  <c r="G145" i="3"/>
  <c r="J91" i="3"/>
  <c r="J90" i="3" s="1"/>
  <c r="J88" i="3"/>
  <c r="AD54" i="2"/>
  <c r="AQ22" i="3"/>
  <c r="AQ45" i="3" s="1"/>
  <c r="AJ45" i="3"/>
  <c r="AN76" i="3"/>
  <c r="AN71" i="3"/>
  <c r="AN57" i="3"/>
  <c r="AN54" i="3"/>
  <c r="AN60" i="3"/>
  <c r="AN77" i="3" s="1"/>
  <c r="AT146" i="3"/>
  <c r="AT161" i="3" s="1"/>
  <c r="AT160" i="3"/>
  <c r="AL16" i="2"/>
  <c r="AL63" i="2"/>
  <c r="AN127" i="3"/>
  <c r="AN112" i="3"/>
  <c r="AN117" i="3"/>
  <c r="AN133" i="3" s="1"/>
  <c r="AN115" i="3"/>
  <c r="AN132" i="3"/>
  <c r="BC58" i="2"/>
  <c r="BC47" i="2"/>
  <c r="BD47" i="2"/>
  <c r="BD15" i="2"/>
  <c r="BD58" i="2"/>
  <c r="AN19" i="2"/>
  <c r="AN65" i="2" s="1"/>
  <c r="AN16" i="2"/>
  <c r="AN63" i="2"/>
  <c r="BB4" i="10"/>
  <c r="V58" i="2"/>
  <c r="Z47" i="2"/>
  <c r="V47" i="2"/>
  <c r="V15" i="2"/>
  <c r="T50" i="2"/>
  <c r="AP50" i="2"/>
  <c r="P62" i="2"/>
  <c r="P15" i="2"/>
  <c r="P50" i="2"/>
  <c r="AR156" i="3"/>
  <c r="AR160" i="3"/>
  <c r="J63" i="2"/>
  <c r="J16" i="2"/>
  <c r="J19" i="2"/>
  <c r="F141" i="3"/>
  <c r="F57" i="3"/>
  <c r="F160" i="3"/>
  <c r="F115" i="3"/>
  <c r="F17" i="3"/>
  <c r="L30" i="1"/>
  <c r="AO44" i="2"/>
  <c r="AS44" i="2"/>
  <c r="AP46" i="2"/>
  <c r="AO46" i="2"/>
  <c r="AV4" i="10"/>
  <c r="X58" i="2"/>
  <c r="X47" i="2"/>
  <c r="X13" i="2"/>
  <c r="K15" i="2"/>
  <c r="BC15" i="2"/>
  <c r="J47" i="2"/>
  <c r="Z58" i="3"/>
  <c r="AD56" i="3"/>
  <c r="L63" i="2"/>
  <c r="L19" i="2"/>
  <c r="L16" i="2"/>
  <c r="K47" i="2"/>
  <c r="BC62" i="2"/>
  <c r="AT57" i="3"/>
  <c r="AA58" i="3"/>
  <c r="AE58" i="3"/>
  <c r="F46" i="2"/>
  <c r="J44" i="2"/>
  <c r="F67" i="2"/>
  <c r="G46" i="2"/>
  <c r="AS4" i="10"/>
  <c r="Y13" i="2"/>
  <c r="Y47" i="2"/>
  <c r="Y58" i="2"/>
  <c r="AC47" i="2"/>
  <c r="J50" i="2"/>
  <c r="F62" i="2"/>
  <c r="E63" i="2"/>
  <c r="E19" i="2"/>
  <c r="E16" i="2"/>
  <c r="E64" i="2" s="1"/>
  <c r="AN50" i="2"/>
  <c r="N15" i="2"/>
  <c r="N62" i="2"/>
  <c r="N50" i="2"/>
  <c r="AM16" i="2"/>
  <c r="AM63" i="2"/>
  <c r="AU22" i="3"/>
  <c r="AU45" i="3" s="1"/>
  <c r="AU44" i="3"/>
  <c r="AU14" i="3"/>
  <c r="AF54" i="2"/>
  <c r="AV22" i="3"/>
  <c r="AV45" i="3" s="1"/>
  <c r="AW37" i="3"/>
  <c r="AV37" i="3"/>
  <c r="AV44" i="3"/>
  <c r="AV17" i="3"/>
  <c r="AQ17" i="3"/>
  <c r="AQ160" i="3"/>
  <c r="AM47" i="2"/>
  <c r="AM58" i="2"/>
  <c r="AM13" i="2"/>
  <c r="E146" i="3"/>
  <c r="E161" i="3" s="1"/>
  <c r="E115" i="3"/>
  <c r="E141" i="3"/>
  <c r="E160" i="3"/>
  <c r="E57" i="3"/>
  <c r="E17" i="3"/>
  <c r="AN58" i="2"/>
  <c r="AN47" i="2"/>
  <c r="AR47" i="2"/>
  <c r="R19" i="2"/>
  <c r="AM54" i="2"/>
  <c r="X15" i="2"/>
  <c r="R50" i="2"/>
  <c r="AJ77" i="3"/>
  <c r="AQ60" i="3"/>
  <c r="AQ77" i="3" s="1"/>
  <c r="BB47" i="2"/>
  <c r="BB58" i="2"/>
  <c r="D6" i="1"/>
  <c r="BD62" i="2"/>
  <c r="BD50" i="2"/>
  <c r="BE50" i="2"/>
  <c r="AE54" i="2"/>
  <c r="AL76" i="3"/>
  <c r="AL71" i="3"/>
  <c r="AL57" i="3"/>
  <c r="AL54" i="3"/>
  <c r="AL60" i="3"/>
  <c r="AR56" i="3"/>
  <c r="AR57" i="3" s="1"/>
  <c r="G56" i="3"/>
  <c r="H58" i="2"/>
  <c r="H47" i="2"/>
  <c r="AV8" i="2"/>
  <c r="H15" i="2"/>
  <c r="BE58" i="2"/>
  <c r="BE47" i="2"/>
  <c r="I63" i="2"/>
  <c r="I19" i="2"/>
  <c r="I16" i="2"/>
  <c r="AM76" i="3"/>
  <c r="AM71" i="3"/>
  <c r="AM60" i="3"/>
  <c r="AM77" i="3" s="1"/>
  <c r="AM57" i="3"/>
  <c r="M47" i="2"/>
  <c r="I58" i="2"/>
  <c r="I47" i="2"/>
  <c r="BB15" i="2"/>
  <c r="AR54" i="2"/>
  <c r="AQ53" i="2"/>
  <c r="AQ67" i="2"/>
  <c r="AQ44" i="2"/>
  <c r="AR46" i="2"/>
  <c r="AQ46" i="2"/>
  <c r="AQ62" i="2"/>
  <c r="AQ8" i="2"/>
  <c r="AP15" i="2"/>
  <c r="AP58" i="2"/>
  <c r="AP47" i="2"/>
  <c r="F8" i="2"/>
  <c r="F58" i="2" s="1"/>
  <c r="BE15" i="2"/>
  <c r="AU46" i="2"/>
  <c r="AU44" i="2"/>
  <c r="AU66" i="2"/>
  <c r="L47" i="2"/>
  <c r="AT47" i="2"/>
  <c r="Y15" i="2"/>
  <c r="S50" i="2"/>
  <c r="AY4" i="10"/>
  <c r="W47" i="2"/>
  <c r="W58" i="2"/>
  <c r="AA47" i="2"/>
  <c r="W15" i="2"/>
  <c r="AX63" i="2"/>
  <c r="AX19" i="2"/>
  <c r="Z63" i="2"/>
  <c r="Z16" i="2"/>
  <c r="Z19" i="2"/>
  <c r="R16" i="2"/>
  <c r="J58" i="2"/>
  <c r="AR63" i="2"/>
  <c r="AR16" i="2"/>
  <c r="H30" i="1"/>
  <c r="S47" i="2"/>
  <c r="S58" i="2"/>
  <c r="AI58" i="2"/>
  <c r="AI13" i="2"/>
  <c r="AI47" i="2"/>
  <c r="AQ61" i="2"/>
  <c r="AQ49" i="2"/>
  <c r="AI15" i="2"/>
  <c r="AY15" i="2"/>
  <c r="AC19" i="2"/>
  <c r="AC65" i="2" s="1"/>
  <c r="BE55" i="2"/>
  <c r="AB47" i="2"/>
  <c r="BA55" i="2"/>
  <c r="AK16" i="3"/>
  <c r="AM37" i="3" s="1"/>
  <c r="AM14" i="3"/>
  <c r="AN17" i="3"/>
  <c r="AN44" i="3"/>
  <c r="AN22" i="3"/>
  <c r="AN45" i="3" s="1"/>
  <c r="AM43" i="3"/>
  <c r="T58" i="2"/>
  <c r="T47" i="2"/>
  <c r="AU49" i="2"/>
  <c r="AB13" i="2"/>
  <c r="M16" i="2"/>
  <c r="AV46" i="2"/>
  <c r="E58" i="2"/>
  <c r="F60" i="2"/>
  <c r="AO61" i="2"/>
  <c r="AV66" i="2"/>
  <c r="AR17" i="3"/>
  <c r="F145" i="3"/>
  <c r="F146" i="3" s="1"/>
  <c r="F161" i="3" s="1"/>
  <c r="AT117" i="3"/>
  <c r="AT133" i="3" s="1"/>
  <c r="AM143" i="3"/>
  <c r="AZ58" i="2"/>
  <c r="AZ47" i="2"/>
  <c r="BA58" i="2"/>
  <c r="BA47" i="2"/>
  <c r="AV61" i="2"/>
  <c r="AV62" i="2"/>
  <c r="AK15" i="2"/>
  <c r="BA15" i="2"/>
  <c r="M19" i="2"/>
  <c r="AO66" i="2"/>
  <c r="AS53" i="2"/>
  <c r="AD47" i="2"/>
  <c r="AN37" i="3"/>
  <c r="D146" i="3"/>
  <c r="D161" i="3" s="1"/>
  <c r="D141" i="3"/>
  <c r="D160" i="3"/>
  <c r="D57" i="3"/>
  <c r="D115" i="3"/>
  <c r="AN156" i="3"/>
  <c r="AN146" i="3"/>
  <c r="AN161" i="3" s="1"/>
  <c r="D156" i="3"/>
  <c r="D169" i="3" s="1"/>
  <c r="S28" i="3"/>
  <c r="S29" i="3"/>
  <c r="S7" i="3"/>
  <c r="S31" i="3" s="1"/>
  <c r="AR22" i="3"/>
  <c r="AR45" i="3" s="1"/>
  <c r="G22" i="3"/>
  <c r="G45" i="3" s="1"/>
  <c r="AU115" i="3"/>
  <c r="AV127" i="3"/>
  <c r="AU127" i="3"/>
  <c r="I156" i="3"/>
  <c r="I115" i="3"/>
  <c r="I57" i="3"/>
  <c r="I17" i="3"/>
  <c r="I160" i="3"/>
  <c r="I146" i="3"/>
  <c r="I161" i="3" s="1"/>
  <c r="I141" i="3"/>
  <c r="AB58" i="3"/>
  <c r="H27" i="5"/>
  <c r="H24" i="5"/>
  <c r="H25" i="5" s="1"/>
  <c r="Q31" i="3"/>
  <c r="M31" i="3"/>
  <c r="AB15" i="2"/>
  <c r="G16" i="2"/>
  <c r="G64" i="2" s="1"/>
  <c r="X82" i="3"/>
  <c r="X87" i="3"/>
  <c r="H176" i="3"/>
  <c r="G176" i="3"/>
  <c r="I152" i="3"/>
  <c r="AV31" i="3"/>
  <c r="AV101" i="3"/>
  <c r="AW101" i="3"/>
  <c r="H141" i="3"/>
  <c r="H57" i="3"/>
  <c r="H115" i="3"/>
  <c r="H160" i="3"/>
  <c r="H146" i="3"/>
  <c r="H161" i="3" s="1"/>
  <c r="AU146" i="3"/>
  <c r="AU161" i="3" s="1"/>
  <c r="AU156" i="3"/>
  <c r="AU160" i="3"/>
  <c r="AQ60" i="2"/>
  <c r="AK13" i="2"/>
  <c r="AT15" i="2"/>
  <c r="P31" i="3"/>
  <c r="AU57" i="3"/>
  <c r="AU76" i="3"/>
  <c r="L24" i="1"/>
  <c r="AU8" i="2"/>
  <c r="AU48" i="2"/>
  <c r="U50" i="2"/>
  <c r="Y50" i="2"/>
  <c r="T13" i="2"/>
  <c r="AL13" i="2"/>
  <c r="Q15" i="2"/>
  <c r="AE15" i="2"/>
  <c r="F38" i="2"/>
  <c r="AO49" i="2"/>
  <c r="AU50" i="2"/>
  <c r="AW58" i="2"/>
  <c r="AM28" i="3"/>
  <c r="S44" i="3"/>
  <c r="AK56" i="3"/>
  <c r="AK75" i="3"/>
  <c r="AM54" i="3"/>
  <c r="Y57" i="3"/>
  <c r="Y55" i="3"/>
  <c r="AT115" i="3"/>
  <c r="G117" i="3"/>
  <c r="G133" i="3" s="1"/>
  <c r="F159" i="3"/>
  <c r="I176" i="3"/>
  <c r="J152" i="3"/>
  <c r="AG54" i="2"/>
  <c r="AR19" i="2"/>
  <c r="AR65" i="2" s="1"/>
  <c r="AT60" i="3"/>
  <c r="AT77" i="3" s="1"/>
  <c r="AT76" i="3"/>
  <c r="AM31" i="3"/>
  <c r="AV60" i="2"/>
  <c r="AV48" i="2"/>
  <c r="AV50" i="2"/>
  <c r="AX58" i="2"/>
  <c r="AU60" i="2"/>
  <c r="R31" i="3"/>
  <c r="AQ44" i="3"/>
  <c r="AK19" i="3"/>
  <c r="AM75" i="3"/>
  <c r="AM68" i="3"/>
  <c r="AU60" i="3"/>
  <c r="AU77" i="3" s="1"/>
  <c r="AU71" i="3"/>
  <c r="D133" i="3"/>
  <c r="AQ117" i="3"/>
  <c r="H29" i="1"/>
  <c r="AD15" i="2"/>
  <c r="U58" i="2"/>
  <c r="AX31" i="3"/>
  <c r="AF58" i="2"/>
  <c r="AJ47" i="2"/>
  <c r="Z50" i="2"/>
  <c r="V62" i="2"/>
  <c r="V50" i="2"/>
  <c r="AF15" i="2"/>
  <c r="Q47" i="2"/>
  <c r="Q58" i="2"/>
  <c r="J49" i="2"/>
  <c r="F61" i="2"/>
  <c r="AA50" i="2"/>
  <c r="W62" i="2"/>
  <c r="D15" i="2"/>
  <c r="S15" i="2"/>
  <c r="AG15" i="2"/>
  <c r="AW15" i="2"/>
  <c r="U27" i="2"/>
  <c r="U30" i="2" s="1"/>
  <c r="U33" i="2" s="1"/>
  <c r="AT54" i="2"/>
  <c r="AU38" i="2"/>
  <c r="AU67" i="2"/>
  <c r="BC55" i="2"/>
  <c r="AV44" i="2"/>
  <c r="AK43" i="3"/>
  <c r="AT54" i="3"/>
  <c r="W59" i="3"/>
  <c r="F123" i="3"/>
  <c r="E123" i="3"/>
  <c r="I122" i="3"/>
  <c r="AK143" i="3"/>
  <c r="AK141" i="3"/>
  <c r="AJ161" i="3"/>
  <c r="AQ146" i="3"/>
  <c r="AQ161" i="3" s="1"/>
  <c r="AM159" i="3"/>
  <c r="R58" i="2"/>
  <c r="R47" i="2"/>
  <c r="AO62" i="2"/>
  <c r="AO50" i="2"/>
  <c r="T15" i="2"/>
  <c r="AH15" i="2"/>
  <c r="AV38" i="2"/>
  <c r="AV55" i="2" s="1"/>
  <c r="AV67" i="2"/>
  <c r="AY47" i="2"/>
  <c r="AM44" i="3"/>
  <c r="AM22" i="3"/>
  <c r="AM45" i="3" s="1"/>
  <c r="AM17" i="3"/>
  <c r="AU54" i="3"/>
  <c r="AQ57" i="3"/>
  <c r="AK83" i="3"/>
  <c r="AO83" i="3"/>
  <c r="J31" i="3"/>
  <c r="V87" i="3"/>
  <c r="V92" i="3" s="1"/>
  <c r="AK115" i="3"/>
  <c r="O156" i="3"/>
  <c r="O17" i="3"/>
  <c r="O161" i="3"/>
  <c r="P150" i="3"/>
  <c r="R44" i="3"/>
  <c r="R29" i="3"/>
  <c r="R28" i="3"/>
  <c r="V28" i="3"/>
  <c r="W82" i="3"/>
  <c r="V84" i="3"/>
  <c r="AL115" i="3"/>
  <c r="AK132" i="3"/>
  <c r="AM114" i="3"/>
  <c r="T150" i="3"/>
  <c r="T141" i="3"/>
  <c r="T57" i="3"/>
  <c r="AL160" i="3"/>
  <c r="AL156" i="3"/>
  <c r="AL146" i="3"/>
  <c r="K27" i="5"/>
  <c r="G27" i="5"/>
  <c r="G24" i="5"/>
  <c r="G25" i="5" s="1"/>
  <c r="AV71" i="3"/>
  <c r="AV57" i="3"/>
  <c r="AV60" i="3"/>
  <c r="AV77" i="3" s="1"/>
  <c r="AM154" i="3"/>
  <c r="J156" i="3"/>
  <c r="AV156" i="3"/>
  <c r="AV160" i="3"/>
  <c r="AA19" i="2"/>
  <c r="AA65" i="2" s="1"/>
  <c r="F7" i="3"/>
  <c r="AL44" i="3"/>
  <c r="E67" i="3"/>
  <c r="AR82" i="3"/>
  <c r="T115" i="3"/>
  <c r="K160" i="3"/>
  <c r="AW156" i="3"/>
  <c r="AW115" i="3"/>
  <c r="AW57" i="3"/>
  <c r="AW160" i="3"/>
  <c r="S156" i="3"/>
  <c r="H3" i="5"/>
  <c r="AJ17" i="3"/>
  <c r="F67" i="3"/>
  <c r="E76" i="3"/>
  <c r="AM131" i="3"/>
  <c r="F137" i="3"/>
  <c r="L156" i="3"/>
  <c r="T156" i="3"/>
  <c r="E82" i="3"/>
  <c r="G114" i="3"/>
  <c r="M156" i="3"/>
  <c r="M160" i="3"/>
  <c r="M17" i="3"/>
  <c r="BD6" i="10"/>
  <c r="F82" i="3"/>
  <c r="N156" i="3"/>
  <c r="O150" i="3"/>
  <c r="L14" i="5"/>
  <c r="AP10" i="10"/>
  <c r="AR10" i="10" s="1"/>
  <c r="U27" i="5"/>
  <c r="U41" i="5"/>
  <c r="P14" i="5"/>
  <c r="V27" i="5"/>
  <c r="V32" i="5"/>
  <c r="V34" i="5"/>
  <c r="V41" i="5"/>
  <c r="S46" i="5"/>
  <c r="L160" i="3"/>
  <c r="L27" i="5"/>
  <c r="N160" i="3"/>
  <c r="Q13" i="5"/>
  <c r="U15" i="5" s="1"/>
  <c r="V14" i="5"/>
  <c r="R13" i="5"/>
  <c r="V15" i="5" s="1"/>
  <c r="O27" i="5"/>
  <c r="S13" i="5"/>
  <c r="S15" i="5" s="1"/>
  <c r="U22" i="5"/>
  <c r="P27" i="5"/>
  <c r="AW183" i="3"/>
  <c r="V22" i="5"/>
  <c r="R32" i="5"/>
  <c r="R34" i="5"/>
  <c r="S32" i="5"/>
  <c r="S34" i="5"/>
  <c r="AC19" i="10" l="1"/>
  <c r="AW19" i="2"/>
  <c r="AW65" i="2" s="1"/>
  <c r="AW63" i="2"/>
  <c r="G76" i="3"/>
  <c r="K71" i="3"/>
  <c r="AY10" i="10"/>
  <c r="BA10" i="10" s="1"/>
  <c r="BA4" i="10"/>
  <c r="AK160" i="3"/>
  <c r="AK146" i="3"/>
  <c r="AK161" i="3" s="1"/>
  <c r="AG63" i="2"/>
  <c r="AG19" i="2"/>
  <c r="AG65" i="2" s="1"/>
  <c r="AG16" i="2"/>
  <c r="AK14" i="3"/>
  <c r="AP63" i="2"/>
  <c r="AP16" i="2"/>
  <c r="F15" i="2"/>
  <c r="AP19" i="2"/>
  <c r="L64" i="2"/>
  <c r="BD16" i="2"/>
  <c r="BD19" i="2"/>
  <c r="BD63" i="2"/>
  <c r="AZ52" i="2"/>
  <c r="AO16" i="2"/>
  <c r="AZ64" i="2"/>
  <c r="S63" i="2"/>
  <c r="S19" i="2"/>
  <c r="S16" i="2"/>
  <c r="M27" i="2"/>
  <c r="M30" i="2" s="1"/>
  <c r="M33" i="2" s="1"/>
  <c r="M65" i="2"/>
  <c r="AQ15" i="2"/>
  <c r="AQ47" i="2"/>
  <c r="AQ58" i="2"/>
  <c r="AL77" i="3"/>
  <c r="G60" i="3"/>
  <c r="G77" i="3" s="1"/>
  <c r="AR60" i="3"/>
  <c r="L27" i="2"/>
  <c r="L30" i="2" s="1"/>
  <c r="L33" i="2" s="1"/>
  <c r="L65" i="2"/>
  <c r="P63" i="2"/>
  <c r="P16" i="2"/>
  <c r="P19" i="2"/>
  <c r="AZ65" i="2"/>
  <c r="AZ27" i="2"/>
  <c r="AZ30" i="2" s="1"/>
  <c r="AO63" i="2"/>
  <c r="AO19" i="2"/>
  <c r="AO65" i="2" s="1"/>
  <c r="AH16" i="2"/>
  <c r="AH19" i="2"/>
  <c r="AH65" i="2" s="1"/>
  <c r="AH63" i="2"/>
  <c r="AE63" i="2"/>
  <c r="AE19" i="2"/>
  <c r="AE65" i="2" s="1"/>
  <c r="AE16" i="2"/>
  <c r="Y63" i="2"/>
  <c r="Y16" i="2"/>
  <c r="Y19" i="2"/>
  <c r="I64" i="2"/>
  <c r="I52" i="2"/>
  <c r="AM64" i="2"/>
  <c r="AU4" i="10"/>
  <c r="AS10" i="10"/>
  <c r="AU10" i="10" s="1"/>
  <c r="F27" i="2"/>
  <c r="G30" i="2"/>
  <c r="AT63" i="2"/>
  <c r="AT19" i="2"/>
  <c r="AT65" i="2" s="1"/>
  <c r="AM132" i="3"/>
  <c r="AM117" i="3"/>
  <c r="AM133" i="3" s="1"/>
  <c r="AM115" i="3"/>
  <c r="AM127" i="3"/>
  <c r="AK16" i="2"/>
  <c r="AK63" i="2"/>
  <c r="AR64" i="2"/>
  <c r="AR52" i="2"/>
  <c r="I65" i="2"/>
  <c r="I27" i="2"/>
  <c r="I30" i="2" s="1"/>
  <c r="I33" i="2" s="1"/>
  <c r="V19" i="2"/>
  <c r="V16" i="2"/>
  <c r="V63" i="2"/>
  <c r="D19" i="2"/>
  <c r="AU15" i="2"/>
  <c r="AU63" i="2" s="1"/>
  <c r="D16" i="2"/>
  <c r="D63" i="2"/>
  <c r="BA19" i="2"/>
  <c r="BA63" i="2"/>
  <c r="BA16" i="2"/>
  <c r="M64" i="2"/>
  <c r="M52" i="2"/>
  <c r="R64" i="2"/>
  <c r="R65" i="2"/>
  <c r="R27" i="2"/>
  <c r="R30" i="2" s="1"/>
  <c r="R33" i="2" s="1"/>
  <c r="BC19" i="2"/>
  <c r="BC16" i="2"/>
  <c r="BC63" i="2"/>
  <c r="Q63" i="2"/>
  <c r="Q16" i="2"/>
  <c r="Q19" i="2"/>
  <c r="AM112" i="3"/>
  <c r="AY19" i="2"/>
  <c r="AY63" i="2"/>
  <c r="AY16" i="2"/>
  <c r="AP5" i="10"/>
  <c r="Z65" i="2"/>
  <c r="N63" i="2"/>
  <c r="N19" i="2"/>
  <c r="N16" i="2"/>
  <c r="K63" i="2"/>
  <c r="K19" i="2"/>
  <c r="K16" i="2"/>
  <c r="O63" i="2"/>
  <c r="O19" i="2"/>
  <c r="O16" i="2"/>
  <c r="T19" i="2"/>
  <c r="T63" i="2"/>
  <c r="T16" i="2"/>
  <c r="AI19" i="2"/>
  <c r="AI65" i="2" s="1"/>
  <c r="AI16" i="2"/>
  <c r="AI63" i="2"/>
  <c r="Z64" i="2"/>
  <c r="Z52" i="2"/>
  <c r="AF63" i="2"/>
  <c r="AF19" i="2"/>
  <c r="AF65" i="2" s="1"/>
  <c r="AF16" i="2"/>
  <c r="AK57" i="3"/>
  <c r="AK76" i="3"/>
  <c r="AK60" i="3"/>
  <c r="AK77" i="3" s="1"/>
  <c r="AK54" i="3"/>
  <c r="AB63" i="2"/>
  <c r="AB19" i="2"/>
  <c r="AB65" i="2" s="1"/>
  <c r="AB16" i="2"/>
  <c r="H19" i="2"/>
  <c r="AV15" i="2"/>
  <c r="AV63" i="2" s="1"/>
  <c r="H63" i="2"/>
  <c r="H16" i="2"/>
  <c r="J65" i="2"/>
  <c r="J27" i="2"/>
  <c r="J30" i="2" s="1"/>
  <c r="J33" i="2" s="1"/>
  <c r="BB10" i="10"/>
  <c r="BD10" i="10" s="1"/>
  <c r="BD4" i="10"/>
  <c r="X16" i="2"/>
  <c r="X19" i="2"/>
  <c r="X63" i="2"/>
  <c r="K127" i="3"/>
  <c r="G132" i="3"/>
  <c r="G143" i="3"/>
  <c r="AM156" i="3"/>
  <c r="AM146" i="3"/>
  <c r="AM161" i="3" s="1"/>
  <c r="AM160" i="3"/>
  <c r="AM141" i="3"/>
  <c r="AX65" i="2"/>
  <c r="AX27" i="2"/>
  <c r="AX30" i="2" s="1"/>
  <c r="AX33" i="2" s="1"/>
  <c r="BE63" i="2"/>
  <c r="BE16" i="2"/>
  <c r="BB19" i="2"/>
  <c r="BB16" i="2"/>
  <c r="BB63" i="2"/>
  <c r="AV58" i="2"/>
  <c r="AV47" i="2"/>
  <c r="E65" i="2"/>
  <c r="E27" i="2"/>
  <c r="E30" i="2" s="1"/>
  <c r="E33" i="2" s="1"/>
  <c r="J64" i="2"/>
  <c r="AL52" i="2"/>
  <c r="AL64" i="2"/>
  <c r="AU58" i="2"/>
  <c r="AU47" i="2"/>
  <c r="AV10" i="10"/>
  <c r="AX10" i="10" s="1"/>
  <c r="AX4" i="10"/>
  <c r="AN64" i="2"/>
  <c r="AK17" i="3"/>
  <c r="AK44" i="3"/>
  <c r="AK22" i="3"/>
  <c r="AK45" i="3" s="1"/>
  <c r="AD63" i="2"/>
  <c r="AD16" i="2"/>
  <c r="AL161" i="3"/>
  <c r="AR146" i="3"/>
  <c r="AR161" i="3" s="1"/>
  <c r="U35" i="2"/>
  <c r="W19" i="2"/>
  <c r="W16" i="2"/>
  <c r="W63" i="2"/>
  <c r="BB27" i="2" l="1"/>
  <c r="BB30" i="2" s="1"/>
  <c r="BB33" i="2" s="1"/>
  <c r="BB65" i="2"/>
  <c r="BB64" i="2"/>
  <c r="BB52" i="2"/>
  <c r="T65" i="2"/>
  <c r="T27" i="2"/>
  <c r="T30" i="2" s="1"/>
  <c r="T33" i="2" s="1"/>
  <c r="AY65" i="2"/>
  <c r="AY27" i="2"/>
  <c r="AY30" i="2" s="1"/>
  <c r="AY33" i="2" s="1"/>
  <c r="BA52" i="2"/>
  <c r="BA64" i="2"/>
  <c r="S64" i="2"/>
  <c r="S52" i="2"/>
  <c r="AV5" i="10"/>
  <c r="X65" i="2"/>
  <c r="X27" i="2"/>
  <c r="X30" i="2" s="1"/>
  <c r="X33" i="2" s="1"/>
  <c r="O64" i="2"/>
  <c r="O52" i="2"/>
  <c r="AK64" i="2"/>
  <c r="AK52" i="2"/>
  <c r="P27" i="2"/>
  <c r="P30" i="2" s="1"/>
  <c r="P33" i="2" s="1"/>
  <c r="P54" i="2" s="1"/>
  <c r="P65" i="2"/>
  <c r="S65" i="2"/>
  <c r="S27" i="2"/>
  <c r="S30" i="2" s="1"/>
  <c r="S33" i="2" s="1"/>
  <c r="Y65" i="2"/>
  <c r="AS5" i="10"/>
  <c r="Y27" i="2"/>
  <c r="Y30" i="2" s="1"/>
  <c r="Y33" i="2" s="1"/>
  <c r="P52" i="2"/>
  <c r="P64" i="2"/>
  <c r="AG64" i="2"/>
  <c r="AG52" i="2"/>
  <c r="Y52" i="2"/>
  <c r="Y64" i="2"/>
  <c r="AC52" i="2"/>
  <c r="AF52" i="2"/>
  <c r="AF64" i="2"/>
  <c r="AJ52" i="2"/>
  <c r="AE64" i="2"/>
  <c r="AE52" i="2"/>
  <c r="H64" i="2"/>
  <c r="H52" i="2"/>
  <c r="AV16" i="2"/>
  <c r="N52" i="2"/>
  <c r="N64" i="2"/>
  <c r="BC27" i="2"/>
  <c r="BC30" i="2" s="1"/>
  <c r="BC33" i="2" s="1"/>
  <c r="BC65" i="2"/>
  <c r="BD65" i="2"/>
  <c r="BD27" i="2"/>
  <c r="BD30" i="2" s="1"/>
  <c r="R54" i="2"/>
  <c r="AQ54" i="2"/>
  <c r="BD64" i="2"/>
  <c r="BD52" i="2"/>
  <c r="Q64" i="2"/>
  <c r="Q52" i="2"/>
  <c r="U52" i="2"/>
  <c r="BB5" i="10"/>
  <c r="BB11" i="10" s="1"/>
  <c r="V65" i="2"/>
  <c r="V27" i="2"/>
  <c r="V30" i="2" s="1"/>
  <c r="V33" i="2" s="1"/>
  <c r="L52" i="2"/>
  <c r="W64" i="2"/>
  <c r="W52" i="2"/>
  <c r="AA52" i="2"/>
  <c r="BE52" i="2"/>
  <c r="BE64" i="2"/>
  <c r="X64" i="2"/>
  <c r="X52" i="2"/>
  <c r="O27" i="2"/>
  <c r="O30" i="2" s="1"/>
  <c r="O33" i="2" s="1"/>
  <c r="O65" i="2"/>
  <c r="Q27" i="2"/>
  <c r="Q30" i="2" s="1"/>
  <c r="Q33" i="2" s="1"/>
  <c r="Q65" i="2"/>
  <c r="BA27" i="2"/>
  <c r="BA30" i="2" s="1"/>
  <c r="BA33" i="2" s="1"/>
  <c r="BA65" i="2"/>
  <c r="AY5" i="10"/>
  <c r="W65" i="2"/>
  <c r="W27" i="2"/>
  <c r="W30" i="2" s="1"/>
  <c r="W33" i="2" s="1"/>
  <c r="U38" i="2"/>
  <c r="U67" i="2"/>
  <c r="V52" i="2"/>
  <c r="V64" i="2"/>
  <c r="G160" i="3"/>
  <c r="G146" i="3"/>
  <c r="G161" i="3" s="1"/>
  <c r="G17" i="3"/>
  <c r="G141" i="3"/>
  <c r="K156" i="3"/>
  <c r="H65" i="2"/>
  <c r="AV19" i="2"/>
  <c r="AV65" i="2" s="1"/>
  <c r="H27" i="2"/>
  <c r="H30" i="2" s="1"/>
  <c r="AI52" i="2"/>
  <c r="AI64" i="2"/>
  <c r="I54" i="2"/>
  <c r="AH52" i="2"/>
  <c r="AH64" i="2"/>
  <c r="G57" i="3"/>
  <c r="AS52" i="2"/>
  <c r="AO64" i="2"/>
  <c r="AO52" i="2"/>
  <c r="J54" i="2"/>
  <c r="K27" i="2"/>
  <c r="K30" i="2" s="1"/>
  <c r="K33" i="2" s="1"/>
  <c r="K54" i="2" s="1"/>
  <c r="K65" i="2"/>
  <c r="N27" i="2"/>
  <c r="N30" i="2" s="1"/>
  <c r="N33" i="2" s="1"/>
  <c r="N54" i="2" s="1"/>
  <c r="N65" i="2"/>
  <c r="AB64" i="2"/>
  <c r="AB52" i="2"/>
  <c r="AP11" i="10"/>
  <c r="AR11" i="10" s="1"/>
  <c r="AR5" i="10"/>
  <c r="R52" i="2"/>
  <c r="AQ63" i="2"/>
  <c r="AQ19" i="2"/>
  <c r="AQ65" i="2" s="1"/>
  <c r="AQ16" i="2"/>
  <c r="AP65" i="2"/>
  <c r="F19" i="2"/>
  <c r="F65" i="2" s="1"/>
  <c r="BC52" i="2"/>
  <c r="BC64" i="2"/>
  <c r="AD64" i="2"/>
  <c r="AD52" i="2"/>
  <c r="T52" i="2"/>
  <c r="T64" i="2"/>
  <c r="AY52" i="2"/>
  <c r="AY64" i="2"/>
  <c r="AM52" i="2"/>
  <c r="F63" i="2"/>
  <c r="F16" i="2"/>
  <c r="K64" i="2"/>
  <c r="K52" i="2"/>
  <c r="AU16" i="2"/>
  <c r="D64" i="2"/>
  <c r="D65" i="2"/>
  <c r="AU19" i="2"/>
  <c r="AU65" i="2" s="1"/>
  <c r="D27" i="2"/>
  <c r="D30" i="2" s="1"/>
  <c r="G33" i="2"/>
  <c r="F33" i="2" s="1"/>
  <c r="F30" i="2"/>
  <c r="AN52" i="2"/>
  <c r="G115" i="3"/>
  <c r="AZ33" i="2"/>
  <c r="AO30" i="2"/>
  <c r="AO33" i="2" s="1"/>
  <c r="M54" i="2"/>
  <c r="AP64" i="2"/>
  <c r="AT52" i="2"/>
  <c r="AP52" i="2"/>
  <c r="Y54" i="2" l="1"/>
  <c r="AC54" i="2"/>
  <c r="F64" i="2"/>
  <c r="J52" i="2"/>
  <c r="T54" i="2"/>
  <c r="AV11" i="10"/>
  <c r="AX11" i="10" s="1"/>
  <c r="AX5" i="10"/>
  <c r="O54" i="2"/>
  <c r="AN54" i="2"/>
  <c r="S54" i="2"/>
  <c r="Q54" i="2"/>
  <c r="AP54" i="2"/>
  <c r="U54" i="2"/>
  <c r="W54" i="2"/>
  <c r="W35" i="2"/>
  <c r="AA54" i="2"/>
  <c r="AV64" i="2"/>
  <c r="AV52" i="2"/>
  <c r="AS11" i="10"/>
  <c r="AU11" i="10" s="1"/>
  <c r="AU5" i="10"/>
  <c r="AO54" i="2"/>
  <c r="AS54" i="2"/>
  <c r="AU30" i="2"/>
  <c r="AU33" i="2" s="1"/>
  <c r="AU54" i="2" s="1"/>
  <c r="D33" i="2"/>
  <c r="AV30" i="2"/>
  <c r="AV33" i="2" s="1"/>
  <c r="AV54" i="2" s="1"/>
  <c r="H33" i="2"/>
  <c r="AQ64" i="2"/>
  <c r="AQ52" i="2"/>
  <c r="AY11" i="10"/>
  <c r="BA11" i="10" s="1"/>
  <c r="BA5" i="10"/>
  <c r="AU52" i="2"/>
  <c r="AU64" i="2"/>
  <c r="V54" i="2"/>
  <c r="V35" i="2"/>
  <c r="Z54" i="2"/>
  <c r="X54" i="2"/>
  <c r="AB54" i="2"/>
  <c r="H54" i="2" l="1"/>
  <c r="L54" i="2"/>
  <c r="V67" i="2"/>
  <c r="V38" i="2"/>
  <c r="W67" i="2"/>
  <c r="W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26Q2 update</author>
    <author>Shiyuan Tian （田诗园）</author>
  </authors>
  <commentList>
    <comment ref="AM5" authorId="0" shapeId="0" xr:uid="{00000000-0006-0000-0100-000001000000}">
      <text>
        <r>
          <rPr>
            <sz val="11"/>
            <color theme="1"/>
            <rFont val="等线"/>
            <family val="2"/>
            <scheme val="minor"/>
          </rPr>
          <t>Source: HKEX results announcement 2026082800435, P9/P15, RMB thousand.</t>
        </r>
      </text>
    </comment>
    <comment ref="AK19" authorId="1" shapeId="0" xr:uid="{00000000-0006-0000-0100-000002000000}">
      <text>
        <r>
          <rPr>
            <sz val="11"/>
            <color theme="1"/>
            <rFont val="等线"/>
            <family val="2"/>
            <scheme val="minor"/>
          </rPr>
          <t>Shiyuan Tian （田诗园）:
reported number</t>
        </r>
      </text>
    </comment>
    <comment ref="AL19" authorId="1" shapeId="0" xr:uid="{00000000-0006-0000-0100-000003000000}">
      <text>
        <r>
          <rPr>
            <sz val="11"/>
            <color theme="1"/>
            <rFont val="等线"/>
            <family val="2"/>
            <scheme val="minor"/>
          </rPr>
          <t>reported number</t>
        </r>
      </text>
    </comment>
    <comment ref="A33" authorId="1" shapeId="0" xr:uid="{00000000-0006-0000-0100-000004000000}">
      <text>
        <r>
          <rPr>
            <sz val="11"/>
            <color theme="1"/>
            <rFont val="等线"/>
            <family val="2"/>
            <scheme val="minor"/>
          </rPr>
          <t>Shiyuan Tian （田诗园）: Profit for the period</t>
        </r>
      </text>
    </comment>
    <comment ref="A37" authorId="1" shapeId="0" xr:uid="{00000000-0006-0000-0100-000005000000}">
      <text>
        <r>
          <rPr>
            <sz val="11"/>
            <color theme="1"/>
            <rFont val="等线"/>
            <family val="2"/>
            <scheme val="minor"/>
          </rPr>
          <t>Shiyuan Tian （田诗园）:
Net (gains)/losses from investments</t>
        </r>
      </text>
    </comment>
    <comment ref="AM37" authorId="0" shapeId="0" xr:uid="{00000000-0006-0000-0100-000006000000}">
      <text>
        <r>
          <rPr>
            <sz val="11"/>
            <color theme="1"/>
            <rFont val="等线"/>
            <family val="2"/>
            <scheme val="minor"/>
          </rPr>
          <t>P21 net gains from investments 1,604,473. Row is (gains)/losses so gains are negative, same as 25Q2/25Q4.</t>
        </r>
      </text>
    </comment>
    <comment ref="AK38" authorId="1" shapeId="0" xr:uid="{00000000-0006-0000-0100-000007000000}">
      <text>
        <r>
          <rPr>
            <sz val="11"/>
            <color theme="1"/>
            <rFont val="等线"/>
            <family val="2"/>
            <scheme val="minor"/>
          </rPr>
          <t>Shiyuan Tian （田诗园）:
formula incorrect</t>
        </r>
      </text>
    </comment>
    <comment ref="A45" authorId="1" shapeId="0" xr:uid="{00000000-0006-0000-0100-000008000000}">
      <text>
        <r>
          <rPr>
            <sz val="11"/>
            <color theme="1"/>
            <rFont val="等线"/>
            <family val="2"/>
            <scheme val="minor"/>
          </rPr>
          <t>Shiyuan Tian （田诗园）:
vs.2019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Shirley Sun</author>
    <author>wjy吴佳盈</author>
  </authors>
  <commentList>
    <comment ref="U10" authorId="0" shapeId="0" xr:uid="{00000000-0006-0000-0200-000001000000}">
      <text>
        <r>
          <rPr>
            <sz val="11"/>
            <color theme="1"/>
            <rFont val="等线"/>
            <family val="2"/>
            <scheme val="minor"/>
          </rPr>
          <t>Shirley Sun:
2021Q4新拆出餐饮外卖配送服务</t>
        </r>
      </text>
    </comment>
    <comment ref="V83" authorId="1" shapeId="0" xr:uid="{00000000-0006-0000-0200-000002000000}">
      <text>
        <r>
          <rPr>
            <sz val="11"/>
            <color theme="1"/>
            <rFont val="等线"/>
            <family val="2"/>
            <scheme val="minor"/>
          </rPr>
          <t xml:space="preserve">wjy吴佳盈:
From Goldman report
</t>
        </r>
      </text>
    </comment>
    <comment ref="V86" authorId="0" shapeId="0" xr:uid="{00000000-0006-0000-0200-000003000000}">
      <text>
        <r>
          <rPr>
            <sz val="11"/>
            <color theme="1"/>
            <rFont val="等线"/>
            <family val="2"/>
            <scheme val="minor"/>
          </rPr>
          <t>Shirley Sun:
高星酒店间夜量占比达17.4%，历史新高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26Q2 update</author>
  </authors>
  <commentList>
    <comment ref="V2" authorId="0" shapeId="0" xr:uid="{00000000-0006-0000-0400-000001000000}">
      <text>
        <r>
          <rPr>
            <sz val="11"/>
            <color theme="1"/>
            <rFont val="等线"/>
            <family val="2"/>
            <scheme val="minor"/>
          </rPr>
          <t>26Q2 P3/P16: Commission=Merchant services; Other=Product+Others (+New Delivery). OMS blank. OP P13/P19.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wjy吴佳盈</author>
  </authors>
  <commentList>
    <comment ref="B4" authorId="0" shapeId="0" xr:uid="{00000000-0006-0000-0800-000001000000}">
      <text>
        <r>
          <rPr>
            <sz val="11"/>
            <color theme="1"/>
            <rFont val="等线"/>
            <family val="2"/>
            <scheme val="minor"/>
          </rPr>
          <t>High-end hotels constituted a growing portion of bookings and accounted for over 10% of the overall room nights booked on our platform during 2018</t>
        </r>
      </text>
    </comment>
    <comment ref="F4" authorId="0" shapeId="0" xr:uid="{00000000-0006-0000-0800-000002000000}">
      <text>
        <r>
          <rPr>
            <sz val="11"/>
            <color theme="1"/>
            <rFont val="等线"/>
            <family val="2"/>
            <scheme val="minor"/>
          </rPr>
          <t xml:space="preserve">High-end hotels continue to represent a growing portion of our hotel booking consumption and accounting for over 13% of our overall room nights in the fourth quarter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26Q2</author>
  </authors>
  <commentList>
    <comment ref="D2" authorId="0" shapeId="0" xr:uid="{00000000-0006-0000-0900-000001000000}">
      <text>
        <r>
          <rPr>
            <sz val="11"/>
            <color theme="1"/>
            <rFont val="等线"/>
            <family val="2"/>
            <scheme val="minor"/>
          </rPr>
          <t>FactSet Estimate Summary 28-Aug-2026 10:47, Q2 Jun-26, CNY MM. Same mapping as 1Q26: Revenue / Gross Income / EBIT / EBITDA / Net Income.</t>
        </r>
      </text>
    </comment>
  </commentList>
</comments>
</file>

<file path=xl/sharedStrings.xml><?xml version="1.0" encoding="utf-8"?>
<sst xmlns="http://schemas.openxmlformats.org/spreadsheetml/2006/main" count="602" uniqueCount="332">
  <si>
    <t>Meituan financial disclosure</t>
  </si>
  <si>
    <t>CEQ (*only account for E that we can consolidate)</t>
  </si>
  <si>
    <t>(RMB millions)</t>
  </si>
  <si>
    <t>Jan to Apr 2017</t>
  </si>
  <si>
    <t>Jan to Apr 2018</t>
  </si>
  <si>
    <t>YoY</t>
  </si>
  <si>
    <t>1H 2017</t>
  </si>
  <si>
    <t>1H 2018</t>
  </si>
  <si>
    <t>May to Jun 2017</t>
  </si>
  <si>
    <t>May to Jun 2018</t>
  </si>
  <si>
    <t>Comments</t>
  </si>
  <si>
    <t>Jan.-Apr. 2017</t>
  </si>
  <si>
    <t>Jan.-Apr. 2018</t>
  </si>
  <si>
    <t>Meituan hotels only:</t>
  </si>
  <si>
    <t>Room Nights</t>
  </si>
  <si>
    <t>Slight deceleration of RNs growth</t>
  </si>
  <si>
    <t>GMV</t>
  </si>
  <si>
    <t>ADR</t>
  </si>
  <si>
    <t>ADR mgmt. stated is increasing</t>
  </si>
  <si>
    <t>Take-rate</t>
  </si>
  <si>
    <t>Increasing</t>
  </si>
  <si>
    <t>Active Hotels</t>
  </si>
  <si>
    <t>Revenue</t>
  </si>
  <si>
    <t>Cost of Revenue</t>
  </si>
  <si>
    <t>Gross Profit</t>
  </si>
  <si>
    <t>Gross Margin</t>
  </si>
  <si>
    <t>1Q2018 RN mkt share</t>
  </si>
  <si>
    <t>#1</t>
  </si>
  <si>
    <t>% of transactions from cross-sell</t>
  </si>
  <si>
    <t>China hotel online penetration</t>
  </si>
  <si>
    <t>Total Meituan Group:</t>
  </si>
  <si>
    <t>Total revenues</t>
  </si>
  <si>
    <t>Total operating loss</t>
  </si>
  <si>
    <t>Slight improvement in profitability</t>
  </si>
  <si>
    <t>Total adjusted EBITDA</t>
  </si>
  <si>
    <t>In-store, hotel &amp; travel:</t>
  </si>
  <si>
    <t xml:space="preserve">GMV </t>
  </si>
  <si>
    <t xml:space="preserve">Revenues </t>
  </si>
  <si>
    <t>Gross profit/loss</t>
  </si>
  <si>
    <t>Gross margin</t>
  </si>
  <si>
    <t>* Hotel entering maturity stage and margins are stable bc of economies of scale</t>
  </si>
  <si>
    <t>* Traffic source: 80% of hotel transactions and 74% of lifestyle transactions from food delivery/in-store dining</t>
  </si>
  <si>
    <t>* Hotel RN mkt share 33.6%  in 1Q2018 - they said they are the largest hotel booking platform in China</t>
  </si>
  <si>
    <t xml:space="preserve">* Expanding steadily to mid to high-end hotels to satisfy consumer needs </t>
  </si>
  <si>
    <t>总则：</t>
  </si>
  <si>
    <t>黑色数字为历史数字，请自行输入或导入；绿色数字为计算项，无需改动；蓝色字体部分需要做出合理估计、或者需要从会计报表附注中查找、等；</t>
  </si>
  <si>
    <t>Unit: Thousand</t>
  </si>
  <si>
    <t>17Q1</t>
  </si>
  <si>
    <t>17Q2</t>
  </si>
  <si>
    <t>17Q3</t>
  </si>
  <si>
    <t>17Q4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</si>
  <si>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</si>
  <si>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</si>
  <si>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</si>
  <si>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</si>
  <si>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</si>
  <si>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</si>
  <si>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</si>
  <si>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</si>
  <si>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</si>
  <si>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</si>
  <si>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</si>
  <si>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</si>
  <si>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</si>
  <si>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</si>
  <si>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</si>
  <si>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</si>
  <si>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</si>
  <si>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</si>
  <si>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</si>
  <si>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</si>
  <si>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</si>
  <si>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</si>
  <si>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</si>
  <si>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</si>
  <si>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</si>
  <si>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</si>
  <si>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</si>
  <si>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</si>
  <si>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25Q1</t>
  </si>
  <si>
    <t>25Q2</t>
  </si>
  <si>
    <t>25Q3</t>
  </si>
  <si>
    <t>25Q4</t>
  </si>
  <si>
    <t>26Q1</t>
  </si>
  <si>
    <t>26Q2</t>
  </si>
  <si>
    <t>2017 1H</t>
  </si>
  <si>
    <t>2017 2H</t>
  </si>
  <si>
    <t>2018 1H</t>
  </si>
  <si>
    <t>2018 2H</t>
  </si>
  <si>
    <t>2019 1H</t>
  </si>
  <si>
    <t>2020 1H</t>
  </si>
  <si>
    <t>2017 YTD-Q3</t>
  </si>
  <si>
    <t>2018 YTD-Q3</t>
  </si>
  <si>
    <t>2015 FY</t>
  </si>
  <si>
    <t>2016 FY</t>
  </si>
  <si>
    <t>2017 FY</t>
  </si>
  <si>
    <t>2018 FY</t>
  </si>
  <si>
    <t>2019 FY</t>
  </si>
  <si>
    <t>2020 FY</t>
  </si>
  <si>
    <t>2021 FY</t>
  </si>
  <si>
    <t>2022 FY</t>
  </si>
  <si>
    <t>2023FY</t>
  </si>
  <si>
    <t>P&amp;L</t>
  </si>
  <si>
    <t>(倒减)</t>
  </si>
  <si>
    <t>(加总)</t>
  </si>
  <si>
    <t>Revenues</t>
  </si>
  <si>
    <t>Cost of revenues</t>
  </si>
  <si>
    <t>Gross profit</t>
  </si>
  <si>
    <t>Selling and marketing expenses</t>
  </si>
  <si>
    <t>Research and development expenses</t>
  </si>
  <si>
    <t>General and administrative expenses</t>
  </si>
  <si>
    <t>Share-based compensation</t>
  </si>
  <si>
    <t>Operating Income (Loss) - comparable to Ctrip</t>
  </si>
  <si>
    <t>Non-GAAP Operating Income(Loss) - comparable to Ctrip</t>
  </si>
  <si>
    <t>Fair value changes on investments measured
at fair value through profit or loss</t>
  </si>
  <si>
    <t>Other gains, net</t>
  </si>
  <si>
    <t>Meituan Reported Operating Income (Loss)</t>
  </si>
  <si>
    <t xml:space="preserve"> </t>
  </si>
  <si>
    <t>Meituan reported Adjusted EBITDA</t>
  </si>
  <si>
    <t>Finance income</t>
  </si>
  <si>
    <t>Finance costs</t>
  </si>
  <si>
    <t>Fair value changes of convertible redeemable preferred shares</t>
  </si>
  <si>
    <t>Share of gains of investments accounted for using equity method</t>
  </si>
  <si>
    <t>Gain (Loss) before income tax</t>
  </si>
  <si>
    <t>Income tax expenses</t>
  </si>
  <si>
    <t>Loss for the year/period from contuning operations</t>
  </si>
  <si>
    <t>(Loss)/profit from discontuning operation</t>
  </si>
  <si>
    <t>Gain (Loss) for the period</t>
  </si>
  <si>
    <t>Loss for the period attributable to:</t>
  </si>
  <si>
    <t>Equity holders of the Company</t>
  </si>
  <si>
    <t>Non-controlling interests</t>
  </si>
  <si>
    <t>Fair value (gains)/losses on investments</t>
  </si>
  <si>
    <t>Non-GAAP Loss for the period attributable to Equity holders of the Company  - comparable to Ctrip</t>
  </si>
  <si>
    <t>EPS to equity shareholoders</t>
  </si>
  <si>
    <t>Basic EPS</t>
  </si>
  <si>
    <t>Diluted EPS</t>
  </si>
  <si>
    <t>YoY Growth</t>
  </si>
  <si>
    <t>Revenues Yo2Y</t>
  </si>
  <si>
    <t xml:space="preserve">   Revenuea QoQ Growth</t>
  </si>
  <si>
    <t>Operating Income (Loss)</t>
  </si>
  <si>
    <t>Non-GAAP Loss for the period attributable to Equity holders of the Company</t>
  </si>
  <si>
    <t>Margins and Ratios</t>
  </si>
  <si>
    <t>Opex as % of revenue</t>
  </si>
  <si>
    <t>Operating Margin (Comparable to Ctrip)</t>
  </si>
  <si>
    <t>Non-GAAP Operating Margin (Comparable to Ctrip)</t>
  </si>
  <si>
    <t>Operating Margin (MT version)</t>
  </si>
  <si>
    <t>Meituan reported adjusted EBITDA Margin</t>
  </si>
  <si>
    <t>Net Margin to equity shareholders</t>
  </si>
  <si>
    <t>Balance Sheet</t>
  </si>
  <si>
    <t>Cash and cash equivalents</t>
  </si>
  <si>
    <t>Restricted cash</t>
  </si>
  <si>
    <t>Short-term investments</t>
  </si>
  <si>
    <t>Cash, restricted cash and short-term investments</t>
  </si>
  <si>
    <t>Total assets</t>
  </si>
  <si>
    <t>Total equity</t>
  </si>
  <si>
    <t>Borrowings (current)</t>
  </si>
  <si>
    <t>Borrowings (non-current)</t>
  </si>
  <si>
    <t>Total liabilities</t>
  </si>
  <si>
    <t>Cash Flow</t>
  </si>
  <si>
    <t>Net cash flows (used in)/generated from operating activities</t>
  </si>
  <si>
    <t>Net cash flows generated/(used in) from investing activities</t>
  </si>
  <si>
    <t>CAPEX (Investment in PPE)</t>
  </si>
  <si>
    <t>Net cash flows generated from/(used in) financing activities</t>
  </si>
  <si>
    <t>蓝色数字为历史数字，请自行输入或导入；黑色数字为计算项，无需改动；红色字体部分需要做出合理估计、或者需要从会计报表附注中查找、等；</t>
  </si>
  <si>
    <t>2017YTD-Q3</t>
  </si>
  <si>
    <t>2018YTD-Q3</t>
  </si>
  <si>
    <t>Food Delivery</t>
  </si>
  <si>
    <t>Numer of Food delivery orders (million)</t>
  </si>
  <si>
    <t>Gross Transaction Value (RMB bn)</t>
  </si>
  <si>
    <t>Average Order Value (RMB)</t>
  </si>
  <si>
    <t>Commission (RMB '000)</t>
  </si>
  <si>
    <t>- Food delivery services</t>
  </si>
  <si>
    <t>- Commission</t>
  </si>
  <si>
    <t>% of segment revenue</t>
  </si>
  <si>
    <t>Online Marketing Service (RMB '000)</t>
  </si>
  <si>
    <t>Other services and sales (RMB '000)</t>
  </si>
  <si>
    <t>Revenue in Total (RMB '000)</t>
  </si>
  <si>
    <t xml:space="preserve">     % Total revenue</t>
  </si>
  <si>
    <t>Food Delivery Rider Cost (RMB'000)</t>
  </si>
  <si>
    <t>Average rider cost/order</t>
  </si>
  <si>
    <t>Cost of Revenues (RMB '000)</t>
  </si>
  <si>
    <t>Gross Profit (Loss) (RMB '000)</t>
  </si>
  <si>
    <t>Operating Profit</t>
  </si>
  <si>
    <t>OPM</t>
  </si>
  <si>
    <t>Number of Transactions</t>
  </si>
  <si>
    <t>Gross Transaction Value</t>
  </si>
  <si>
    <t>Gross Transaction Value vs 2019</t>
  </si>
  <si>
    <t xml:space="preserve">    QoQ Growth</t>
  </si>
  <si>
    <t>Commission</t>
  </si>
  <si>
    <t>Online Marketing Service</t>
  </si>
  <si>
    <t>Other services and sales</t>
  </si>
  <si>
    <t>Revenue in Total</t>
  </si>
  <si>
    <t>Revenue in Total vs 2019</t>
  </si>
  <si>
    <t>Operating Income/Loss</t>
  </si>
  <si>
    <t>Margins</t>
  </si>
  <si>
    <t>Commssion Rate</t>
  </si>
  <si>
    <t>Monetization Rate</t>
  </si>
  <si>
    <t>Instore, Hotels and Travel</t>
  </si>
  <si>
    <t>Numer of Transactions (million)</t>
  </si>
  <si>
    <t>Operating Income / Loss</t>
  </si>
  <si>
    <t>NM</t>
  </si>
  <si>
    <t>Hotel Sepecific matrix</t>
  </si>
  <si>
    <t>Hotel GTV (RMB bn)</t>
  </si>
  <si>
    <t>Number of domestic hotel room nights (in millions)</t>
  </si>
  <si>
    <t>QoQ Growth</t>
  </si>
  <si>
    <t>YoY Growth vs 2019</t>
  </si>
  <si>
    <t>高星占比</t>
  </si>
  <si>
    <t>本地占比</t>
  </si>
  <si>
    <t>异地占比</t>
  </si>
  <si>
    <t>Active Merchants (million)</t>
  </si>
  <si>
    <t>Revenue (RMB ‘'000)</t>
  </si>
  <si>
    <t>Cost of revenues  (RMB ‘'000)</t>
  </si>
  <si>
    <t>Gross profit  (RMB ‘'000)</t>
  </si>
  <si>
    <t>Growth</t>
  </si>
  <si>
    <t>- Hotel GTV</t>
  </si>
  <si>
    <t>- Number of domestic hotel room nights</t>
  </si>
  <si>
    <t>- Average Daily Room Rate</t>
  </si>
  <si>
    <t>- Revenue</t>
  </si>
  <si>
    <t>Hotel monetization rate</t>
  </si>
  <si>
    <t>Hotel gross margin</t>
  </si>
  <si>
    <t>New Initiatives and Others</t>
  </si>
  <si>
    <t xml:space="preserve">  QoQ Growth</t>
  </si>
  <si>
    <t>Total</t>
  </si>
  <si>
    <t>Check</t>
  </si>
  <si>
    <t>% of revenue</t>
  </si>
  <si>
    <t>Unallocated Items</t>
  </si>
  <si>
    <t>Other Operating Metrix</t>
  </si>
  <si>
    <t>Volume</t>
  </si>
  <si>
    <t>Gross Transaction Volume (in billions)</t>
  </si>
  <si>
    <t>Daily Average Food Deliveray Transactions (in millions)</t>
  </si>
  <si>
    <t>User/Merchants</t>
  </si>
  <si>
    <t>12-M Active Merchants (in millions)</t>
  </si>
  <si>
    <t>12-M Transaction Users (in millions)</t>
  </si>
  <si>
    <t>Average Number of Transactions per Anuual Transacting User</t>
  </si>
  <si>
    <t>Monthly Active Users (in millions)</t>
  </si>
  <si>
    <t>Average annual purchases</t>
  </si>
  <si>
    <t>12-M Active Merchants</t>
  </si>
  <si>
    <t xml:space="preserve">12-M Transaction Users </t>
  </si>
  <si>
    <t>拍的</t>
  </si>
  <si>
    <t>Core Local Commerce</t>
  </si>
  <si>
    <t>Delivery Services</t>
  </si>
  <si>
    <t>Online marketing services</t>
  </si>
  <si>
    <t>Total Revenue</t>
  </si>
  <si>
    <t>Cost of Revenues, operating expenses and uncllocated items</t>
  </si>
  <si>
    <t>Rev YoY Growth</t>
  </si>
  <si>
    <t>New Initiatives</t>
  </si>
  <si>
    <t>Rev YoY</t>
  </si>
  <si>
    <t>Ctrip GMV RMB 725bn (US$106 bn)</t>
  </si>
  <si>
    <t>2018 (bn)</t>
  </si>
  <si>
    <t>Ctrip %</t>
  </si>
  <si>
    <t>WTTC</t>
  </si>
  <si>
    <t>Global Travel Spending</t>
  </si>
  <si>
    <t>PhoCusWright</t>
  </si>
  <si>
    <t>Global Travel (Hotel/Air/Rail/Car)</t>
  </si>
  <si>
    <t>Online Travel (Hotel/Air/Rail/Car)</t>
  </si>
  <si>
    <t>国家文旅部</t>
  </si>
  <si>
    <t>China Travel Spending</t>
  </si>
  <si>
    <t>Meituan Hotel</t>
  </si>
  <si>
    <t>1-4月 2017</t>
  </si>
  <si>
    <t>1-4月 2018</t>
  </si>
  <si>
    <t>Q2 2019</t>
  </si>
  <si>
    <t>Q3 2019</t>
  </si>
  <si>
    <t>Q4 2019</t>
  </si>
  <si>
    <t>Take Rate</t>
  </si>
  <si>
    <t xml:space="preserve">High-end </t>
  </si>
  <si>
    <t>9%-10%</t>
  </si>
  <si>
    <t>&gt;13%</t>
  </si>
  <si>
    <t>% In store revenue</t>
  </si>
  <si>
    <t>美团</t>
  </si>
  <si>
    <t>间夜量（百万）</t>
  </si>
  <si>
    <t>同比增速</t>
  </si>
  <si>
    <t>超10%</t>
  </si>
  <si>
    <t>”进一步提升“</t>
  </si>
  <si>
    <t>”同比有所提升“</t>
  </si>
  <si>
    <t>超13%</t>
  </si>
  <si>
    <t>携程</t>
  </si>
  <si>
    <t>酒店收入（RMB 百万）</t>
  </si>
  <si>
    <t>低星间夜增速</t>
  </si>
  <si>
    <t>约60%</t>
  </si>
  <si>
    <t>超50%</t>
  </si>
  <si>
    <t>/</t>
  </si>
  <si>
    <t>约50%</t>
  </si>
  <si>
    <t>MS</t>
  </si>
  <si>
    <t>(RMB mn)</t>
  </si>
  <si>
    <t>2Q26
实际</t>
  </si>
  <si>
    <t>2Q26
市场预期</t>
  </si>
  <si>
    <t>实际/
预期</t>
  </si>
  <si>
    <t>1Q26
实际</t>
  </si>
  <si>
    <t>1Q26
市场预期</t>
  </si>
  <si>
    <t>4Q25
实际</t>
  </si>
  <si>
    <t>4Q25
市场预期</t>
  </si>
  <si>
    <t>3Q25
实际</t>
  </si>
  <si>
    <t>3Q25
市场预期</t>
  </si>
  <si>
    <t>2Q25
实际</t>
  </si>
  <si>
    <t>2Q25
市场预期</t>
  </si>
  <si>
    <t>1Q25
实际</t>
  </si>
  <si>
    <t>1Q25
市场预期</t>
  </si>
  <si>
    <t>4Q24
实际</t>
  </si>
  <si>
    <t>4Q24
市场预期</t>
  </si>
  <si>
    <t>4Q23
实际</t>
  </si>
  <si>
    <t>4Q23
市场预期</t>
  </si>
  <si>
    <t>3Q23
实际</t>
  </si>
  <si>
    <t>3Q23
市场预期</t>
  </si>
  <si>
    <t>2Q23
实际</t>
  </si>
  <si>
    <t>2Q23
市场预期</t>
  </si>
  <si>
    <t>1Q23
实际</t>
  </si>
  <si>
    <t>1Q23
市场预期</t>
  </si>
  <si>
    <t>4Q22
实际</t>
  </si>
  <si>
    <t>4Q22
市场预期</t>
  </si>
  <si>
    <t>3Q22
实际</t>
  </si>
  <si>
    <t>3Q22
市场预期</t>
  </si>
  <si>
    <t>2Q22
实际</t>
  </si>
  <si>
    <t>2Q22
市场预期</t>
  </si>
  <si>
    <t>1Q22
实际</t>
  </si>
  <si>
    <t>1Q22
市场预期</t>
  </si>
  <si>
    <t>4Q21
实际</t>
  </si>
  <si>
    <t>4Q21
市场预期</t>
  </si>
  <si>
    <t>3Q21
实际</t>
  </si>
  <si>
    <t>3Q21
市场预期</t>
  </si>
  <si>
    <t>2Q21
实际</t>
  </si>
  <si>
    <t>2Q21
市场预期</t>
  </si>
  <si>
    <t>1Q21
实际</t>
  </si>
  <si>
    <t>1Q21
市场预期</t>
  </si>
  <si>
    <t>营业利润</t>
  </si>
  <si>
    <t>N/A</t>
  </si>
  <si>
    <t>Adj EBITDA</t>
  </si>
  <si>
    <t>Adj Net Profit</t>
  </si>
  <si>
    <t>Margin</t>
  </si>
  <si>
    <t>(ppt)</t>
  </si>
  <si>
    <t>营业利润率</t>
  </si>
  <si>
    <t>GTV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</si>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</sst>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_(* #,##0.0_);_(* \(#,##0.0\);_(* &quot;-&quot;??_);_(@_)"/>
    <numFmt numFmtId="177" formatCode="_(* #,##0_);_(* \(#,##0\);_(* &quot;-&quot;??_);_(@_)"/>
    <numFmt numFmtId="178" formatCode="0.0%"/>
    <numFmt numFmtId="179" formatCode="#,##0.0"/>
    <numFmt numFmtId="180" formatCode="#,##0_ "/>
    <numFmt numFmtId="181" formatCode="_-\$* #,##0_ ;_-\$* \-#,##0\ ;_-\$* &quot;-&quot;_ ;_-@_ "/>
    <numFmt numFmtId="182" formatCode="#,##0.0_ "/>
    <numFmt numFmtId="183" formatCode="#,##0.000"/>
    <numFmt numFmtId="184" formatCode="0.0"/>
  </numFmts>
  <fonts count="4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i/>
      <sz val="11"/>
      <color theme="0"/>
      <name val="等线"/>
      <family val="2"/>
      <scheme val="minor"/>
    </font>
    <font>
      <i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0"/>
      <name val="等线"/>
      <family val="2"/>
      <scheme val="minor"/>
    </font>
    <font>
      <b/>
      <sz val="9"/>
      <name val="Arial"/>
      <family val="2"/>
    </font>
    <font>
      <b/>
      <sz val="10"/>
      <color indexed="18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name val="宋体"/>
      <family val="3"/>
      <charset val="134"/>
    </font>
    <font>
      <sz val="9"/>
      <name val="Arial"/>
      <family val="2"/>
    </font>
    <font>
      <sz val="11"/>
      <color theme="9" tint="-0.249977111117893"/>
      <name val="等线"/>
      <family val="2"/>
      <scheme val="minor"/>
    </font>
    <font>
      <b/>
      <sz val="11"/>
      <color theme="9" tint="-0.249977111117893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10"/>
      <color theme="9" tint="-0.249977111117893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rgb="FF0000FF"/>
      <name val="等线"/>
      <family val="2"/>
      <scheme val="minor"/>
    </font>
    <font>
      <sz val="11"/>
      <color rgb="FF0000FF"/>
      <name val="等线"/>
      <family val="3"/>
      <charset val="134"/>
      <scheme val="minor"/>
    </font>
    <font>
      <b/>
      <sz val="11"/>
      <color rgb="FF0000FF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  <font>
      <i/>
      <sz val="11"/>
      <name val="等线"/>
      <family val="3"/>
      <charset val="134"/>
      <scheme val="minor"/>
    </font>
    <font>
      <i/>
      <sz val="11"/>
      <name val="等线"/>
      <family val="2"/>
      <scheme val="minor"/>
    </font>
    <font>
      <b/>
      <i/>
      <sz val="10"/>
      <name val="等线"/>
      <family val="3"/>
      <charset val="134"/>
      <scheme val="minor"/>
    </font>
    <font>
      <i/>
      <sz val="11"/>
      <color rgb="FFFF0000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b/>
      <i/>
      <sz val="8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4" tint="-0.499984740745262"/>
      <name val="等线"/>
      <family val="2"/>
      <scheme val="minor"/>
    </font>
    <font>
      <sz val="11"/>
      <color rgb="FF00B050"/>
      <name val="等线"/>
      <family val="3"/>
      <charset val="134"/>
      <scheme val="minor"/>
    </font>
    <font>
      <i/>
      <sz val="11"/>
      <color rgb="FF00B05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477">
    <xf numFmtId="0" fontId="0" fillId="0" borderId="0" xfId="0"/>
    <xf numFmtId="177" fontId="0" fillId="2" borderId="0" xfId="1" applyNumberFormat="1" applyFont="1" applyFill="1"/>
    <xf numFmtId="9" fontId="0" fillId="2" borderId="0" xfId="2" applyFont="1" applyFill="1"/>
    <xf numFmtId="178" fontId="0" fillId="2" borderId="0" xfId="0" applyNumberFormat="1" applyFill="1"/>
    <xf numFmtId="0" fontId="0" fillId="2" borderId="0" xfId="0" applyFill="1"/>
    <xf numFmtId="0" fontId="2" fillId="0" borderId="4" xfId="0" applyFont="1" applyBorder="1"/>
    <xf numFmtId="0" fontId="2" fillId="0" borderId="6" xfId="0" applyFont="1" applyBorder="1"/>
    <xf numFmtId="0" fontId="4" fillId="0" borderId="0" xfId="0" applyFont="1" applyAlignment="1">
      <alignment horizontal="center"/>
    </xf>
    <xf numFmtId="178" fontId="0" fillId="0" borderId="0" xfId="0" applyNumberFormat="1"/>
    <xf numFmtId="9" fontId="3" fillId="0" borderId="0" xfId="2" applyFont="1" applyAlignment="1">
      <alignment horizontal="right"/>
    </xf>
    <xf numFmtId="176" fontId="0" fillId="0" borderId="0" xfId="1" applyNumberFormat="1" applyFont="1"/>
    <xf numFmtId="0" fontId="0" fillId="0" borderId="2" xfId="0" applyBorder="1"/>
    <xf numFmtId="177" fontId="0" fillId="0" borderId="0" xfId="1" applyNumberFormat="1" applyFont="1"/>
    <xf numFmtId="0" fontId="0" fillId="0" borderId="7" xfId="0" applyBorder="1"/>
    <xf numFmtId="177" fontId="0" fillId="0" borderId="7" xfId="1" applyNumberFormat="1" applyFont="1" applyBorder="1"/>
    <xf numFmtId="178" fontId="0" fillId="0" borderId="7" xfId="2" applyNumberFormat="1" applyFont="1" applyBorder="1"/>
    <xf numFmtId="9" fontId="0" fillId="4" borderId="0" xfId="2" applyFont="1" applyFill="1"/>
    <xf numFmtId="0" fontId="0" fillId="4" borderId="0" xfId="0" applyFill="1"/>
    <xf numFmtId="0" fontId="0" fillId="4" borderId="0" xfId="0" applyFill="1" applyAlignment="1">
      <alignment horizontal="right"/>
    </xf>
    <xf numFmtId="9" fontId="0" fillId="4" borderId="0" xfId="0" applyNumberFormat="1" applyFill="1"/>
    <xf numFmtId="0" fontId="0" fillId="4" borderId="2" xfId="0" applyFill="1" applyBorder="1"/>
    <xf numFmtId="177" fontId="0" fillId="4" borderId="0" xfId="2" applyNumberFormat="1" applyFont="1" applyFill="1"/>
    <xf numFmtId="177" fontId="0" fillId="4" borderId="7" xfId="2" applyNumberFormat="1" applyFont="1" applyFill="1" applyBorder="1"/>
    <xf numFmtId="178" fontId="0" fillId="4" borderId="7" xfId="2" applyNumberFormat="1" applyFont="1" applyFill="1" applyBorder="1"/>
    <xf numFmtId="0" fontId="6" fillId="3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9" fontId="3" fillId="0" borderId="0" xfId="0" applyNumberFormat="1" applyFont="1"/>
    <xf numFmtId="0" fontId="3" fillId="0" borderId="2" xfId="0" applyFont="1" applyBorder="1"/>
    <xf numFmtId="9" fontId="3" fillId="0" borderId="0" xfId="2" applyFont="1"/>
    <xf numFmtId="9" fontId="3" fillId="0" borderId="7" xfId="2" applyFont="1" applyBorder="1"/>
    <xf numFmtId="0" fontId="3" fillId="0" borderId="7" xfId="0" applyFont="1" applyBorder="1"/>
    <xf numFmtId="9" fontId="3" fillId="4" borderId="0" xfId="2" applyFont="1" applyFill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9" fontId="3" fillId="4" borderId="0" xfId="0" applyNumberFormat="1" applyFont="1" applyFill="1"/>
    <xf numFmtId="0" fontId="3" fillId="4" borderId="3" xfId="0" applyFont="1" applyFill="1" applyBorder="1"/>
    <xf numFmtId="9" fontId="3" fillId="4" borderId="5" xfId="2" applyFont="1" applyFill="1" applyBorder="1"/>
    <xf numFmtId="9" fontId="3" fillId="4" borderId="8" xfId="2" applyFont="1" applyFill="1" applyBorder="1"/>
    <xf numFmtId="0" fontId="3" fillId="4" borderId="8" xfId="0" applyFont="1" applyFill="1" applyBorder="1"/>
    <xf numFmtId="0" fontId="5" fillId="5" borderId="0" xfId="0" applyFont="1" applyFill="1"/>
    <xf numFmtId="0" fontId="5" fillId="5" borderId="1" xfId="0" applyFont="1" applyFill="1" applyBorder="1"/>
    <xf numFmtId="0" fontId="2" fillId="0" borderId="0" xfId="0" applyFont="1"/>
    <xf numFmtId="0" fontId="7" fillId="3" borderId="0" xfId="0" applyFont="1" applyFill="1" applyAlignment="1">
      <alignment horizontal="left"/>
    </xf>
    <xf numFmtId="0" fontId="9" fillId="0" borderId="0" xfId="0" applyFont="1"/>
    <xf numFmtId="0" fontId="11" fillId="3" borderId="0" xfId="0" applyFont="1" applyFill="1" applyAlignment="1">
      <alignment horizontal="center"/>
    </xf>
    <xf numFmtId="3" fontId="0" fillId="0" borderId="0" xfId="0" applyNumberForma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vertical="center"/>
    </xf>
    <xf numFmtId="3" fontId="19" fillId="0" borderId="0" xfId="0" applyNumberFormat="1" applyFont="1"/>
    <xf numFmtId="9" fontId="18" fillId="0" borderId="0" xfId="2" applyFont="1"/>
    <xf numFmtId="0" fontId="18" fillId="0" borderId="0" xfId="0" applyFont="1"/>
    <xf numFmtId="38" fontId="0" fillId="0" borderId="0" xfId="0" applyNumberFormat="1"/>
    <xf numFmtId="0" fontId="0" fillId="0" borderId="0" xfId="0" applyAlignment="1">
      <alignment horizontal="right"/>
    </xf>
    <xf numFmtId="0" fontId="20" fillId="0" borderId="0" xfId="0" applyFont="1"/>
    <xf numFmtId="3" fontId="20" fillId="0" borderId="0" xfId="0" applyNumberFormat="1" applyFont="1"/>
    <xf numFmtId="176" fontId="18" fillId="0" borderId="0" xfId="1" applyNumberFormat="1" applyFont="1"/>
    <xf numFmtId="0" fontId="0" fillId="5" borderId="0" xfId="0" applyFill="1" applyAlignment="1">
      <alignment horizontal="center"/>
    </xf>
    <xf numFmtId="3" fontId="0" fillId="5" borderId="0" xfId="0" applyNumberFormat="1" applyFill="1"/>
    <xf numFmtId="3" fontId="19" fillId="7" borderId="0" xfId="0" applyNumberFormat="1" applyFont="1" applyFill="1"/>
    <xf numFmtId="176" fontId="9" fillId="0" borderId="0" xfId="1" applyNumberFormat="1" applyFont="1"/>
    <xf numFmtId="3" fontId="23" fillId="0" borderId="0" xfId="0" applyNumberFormat="1" applyFont="1"/>
    <xf numFmtId="0" fontId="0" fillId="0" borderId="9" xfId="0" applyBorder="1"/>
    <xf numFmtId="9" fontId="0" fillId="0" borderId="9" xfId="2" applyFont="1" applyBorder="1" applyAlignment="1">
      <alignment horizontal="right"/>
    </xf>
    <xf numFmtId="0" fontId="25" fillId="8" borderId="0" xfId="0" applyFont="1" applyFill="1"/>
    <xf numFmtId="0" fontId="25" fillId="8" borderId="0" xfId="0" applyFont="1" applyFill="1" applyAlignment="1">
      <alignment horizontal="center"/>
    </xf>
    <xf numFmtId="37" fontId="19" fillId="0" borderId="0" xfId="0" applyNumberFormat="1" applyFont="1"/>
    <xf numFmtId="0" fontId="23" fillId="5" borderId="0" xfId="0" applyFont="1" applyFill="1"/>
    <xf numFmtId="0" fontId="23" fillId="5" borderId="0" xfId="0" applyFont="1" applyFill="1" applyAlignment="1">
      <alignment horizontal="left"/>
    </xf>
    <xf numFmtId="0" fontId="29" fillId="0" borderId="0" xfId="0" applyFont="1"/>
    <xf numFmtId="37" fontId="9" fillId="0" borderId="0" xfId="0" applyNumberFormat="1" applyFont="1" applyAlignment="1">
      <alignment horizontal="center"/>
    </xf>
    <xf numFmtId="37" fontId="18" fillId="0" borderId="0" xfId="0" applyNumberFormat="1" applyFont="1"/>
    <xf numFmtId="37" fontId="23" fillId="5" borderId="0" xfId="0" applyNumberFormat="1" applyFont="1" applyFill="1"/>
    <xf numFmtId="37" fontId="22" fillId="9" borderId="0" xfId="0" applyNumberFormat="1" applyFont="1" applyFill="1"/>
    <xf numFmtId="37" fontId="29" fillId="0" borderId="0" xfId="0" applyNumberFormat="1" applyFont="1"/>
    <xf numFmtId="37" fontId="24" fillId="0" borderId="0" xfId="0" applyNumberFormat="1" applyFont="1"/>
    <xf numFmtId="179" fontId="27" fillId="0" borderId="0" xfId="0" applyNumberFormat="1" applyFont="1"/>
    <xf numFmtId="176" fontId="27" fillId="0" borderId="0" xfId="0" applyNumberFormat="1" applyFont="1"/>
    <xf numFmtId="43" fontId="24" fillId="0" borderId="0" xfId="1" applyFont="1"/>
    <xf numFmtId="0" fontId="22" fillId="0" borderId="0" xfId="0" applyFont="1" applyAlignment="1">
      <alignment wrapText="1"/>
    </xf>
    <xf numFmtId="0" fontId="30" fillId="0" borderId="0" xfId="0" applyFont="1" applyAlignment="1">
      <alignment wrapText="1"/>
    </xf>
    <xf numFmtId="3" fontId="29" fillId="0" borderId="0" xfId="0" applyNumberFormat="1" applyFont="1"/>
    <xf numFmtId="0" fontId="24" fillId="0" borderId="0" xfId="0" applyFont="1" applyAlignment="1">
      <alignment wrapText="1"/>
    </xf>
    <xf numFmtId="176" fontId="24" fillId="0" borderId="0" xfId="0" applyNumberFormat="1" applyFont="1"/>
    <xf numFmtId="176" fontId="28" fillId="0" borderId="0" xfId="1" applyNumberFormat="1" applyFont="1"/>
    <xf numFmtId="176" fontId="28" fillId="0" borderId="0" xfId="0" applyNumberFormat="1" applyFont="1"/>
    <xf numFmtId="0" fontId="24" fillId="0" borderId="0" xfId="0" quotePrefix="1" applyFont="1"/>
    <xf numFmtId="2" fontId="27" fillId="0" borderId="0" xfId="0" applyNumberFormat="1" applyFont="1"/>
    <xf numFmtId="3" fontId="30" fillId="0" borderId="0" xfId="0" applyNumberFormat="1" applyFont="1"/>
    <xf numFmtId="0" fontId="24" fillId="0" borderId="0" xfId="0" applyFont="1"/>
    <xf numFmtId="176" fontId="27" fillId="0" borderId="0" xfId="1" applyNumberFormat="1" applyFont="1"/>
    <xf numFmtId="0" fontId="27" fillId="0" borderId="0" xfId="0" applyFont="1" applyAlignment="1">
      <alignment horizontal="right"/>
    </xf>
    <xf numFmtId="0" fontId="31" fillId="3" borderId="0" xfId="0" applyFont="1" applyFill="1" applyAlignment="1">
      <alignment horizontal="left"/>
    </xf>
    <xf numFmtId="37" fontId="22" fillId="0" borderId="0" xfId="0" applyNumberFormat="1" applyFont="1" applyAlignment="1">
      <alignment wrapText="1"/>
    </xf>
    <xf numFmtId="37" fontId="24" fillId="0" borderId="0" xfId="0" applyNumberFormat="1" applyFont="1" applyAlignment="1">
      <alignment horizontal="left" indent="1"/>
    </xf>
    <xf numFmtId="37" fontId="24" fillId="0" borderId="0" xfId="0" applyNumberFormat="1" applyFont="1" applyAlignment="1">
      <alignment horizontal="left"/>
    </xf>
    <xf numFmtId="37" fontId="23" fillId="5" borderId="0" xfId="0" applyNumberFormat="1" applyFont="1" applyFill="1" applyAlignment="1">
      <alignment horizontal="left"/>
    </xf>
    <xf numFmtId="37" fontId="24" fillId="0" borderId="0" xfId="0" applyNumberFormat="1" applyFont="1" applyAlignment="1">
      <alignment wrapText="1"/>
    </xf>
    <xf numFmtId="0" fontId="23" fillId="6" borderId="0" xfId="0" applyFont="1" applyFill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3" fillId="7" borderId="0" xfId="0" applyFont="1" applyFill="1" applyAlignment="1">
      <alignment horizontal="left"/>
    </xf>
    <xf numFmtId="0" fontId="32" fillId="0" borderId="0" xfId="0" applyFont="1"/>
    <xf numFmtId="0" fontId="22" fillId="0" borderId="0" xfId="0" applyFont="1" applyAlignment="1">
      <alignment horizontal="left" indent="1"/>
    </xf>
    <xf numFmtId="3" fontId="28" fillId="0" borderId="0" xfId="0" applyNumberFormat="1" applyFont="1"/>
    <xf numFmtId="178" fontId="22" fillId="0" borderId="0" xfId="0" applyNumberFormat="1" applyFont="1" applyAlignment="1">
      <alignment wrapText="1"/>
    </xf>
    <xf numFmtId="178" fontId="24" fillId="0" borderId="0" xfId="0" applyNumberFormat="1" applyFont="1" applyAlignment="1">
      <alignment horizontal="left" indent="2"/>
    </xf>
    <xf numFmtId="178" fontId="23" fillId="0" borderId="0" xfId="0" applyNumberFormat="1" applyFont="1"/>
    <xf numFmtId="178" fontId="24" fillId="0" borderId="0" xfId="0" applyNumberFormat="1" applyFont="1"/>
    <xf numFmtId="43" fontId="26" fillId="0" borderId="0" xfId="1" applyFont="1"/>
    <xf numFmtId="178" fontId="22" fillId="0" borderId="0" xfId="2" applyNumberFormat="1" applyFont="1" applyAlignment="1">
      <alignment wrapText="1"/>
    </xf>
    <xf numFmtId="9" fontId="0" fillId="0" borderId="0" xfId="0" applyNumberFormat="1"/>
    <xf numFmtId="0" fontId="9" fillId="10" borderId="9" xfId="0" applyFont="1" applyFill="1" applyBorder="1"/>
    <xf numFmtId="0" fontId="9" fillId="10" borderId="9" xfId="0" applyFont="1" applyFill="1" applyBorder="1" applyAlignment="1">
      <alignment horizontal="center"/>
    </xf>
    <xf numFmtId="0" fontId="34" fillId="0" borderId="9" xfId="0" applyFont="1" applyBorder="1" applyAlignment="1">
      <alignment horizontal="left" indent="1"/>
    </xf>
    <xf numFmtId="0" fontId="0" fillId="0" borderId="9" xfId="0" applyBorder="1" applyAlignment="1">
      <alignment horizontal="center"/>
    </xf>
    <xf numFmtId="9" fontId="34" fillId="0" borderId="9" xfId="2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11" borderId="13" xfId="0" applyFill="1" applyBorder="1"/>
    <xf numFmtId="177" fontId="0" fillId="11" borderId="0" xfId="1" applyNumberFormat="1" applyFont="1" applyFill="1"/>
    <xf numFmtId="9" fontId="0" fillId="11" borderId="14" xfId="2" applyFont="1" applyFill="1" applyBorder="1" applyAlignment="1">
      <alignment horizontal="center"/>
    </xf>
    <xf numFmtId="0" fontId="9" fillId="11" borderId="12" xfId="0" applyFont="1" applyFill="1" applyBorder="1"/>
    <xf numFmtId="0" fontId="0" fillId="11" borderId="10" xfId="0" applyFill="1" applyBorder="1"/>
    <xf numFmtId="0" fontId="0" fillId="11" borderId="11" xfId="0" applyFill="1" applyBorder="1" applyAlignment="1">
      <alignment horizontal="center"/>
    </xf>
    <xf numFmtId="9" fontId="0" fillId="11" borderId="0" xfId="2" applyFont="1" applyFill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0" xfId="0" applyFill="1"/>
    <xf numFmtId="0" fontId="0" fillId="11" borderId="15" xfId="0" applyFill="1" applyBorder="1"/>
    <xf numFmtId="9" fontId="0" fillId="11" borderId="16" xfId="2" applyFont="1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36" fillId="11" borderId="0" xfId="0" applyFont="1" applyFill="1" applyAlignment="1">
      <alignment wrapText="1"/>
    </xf>
    <xf numFmtId="0" fontId="35" fillId="12" borderId="12" xfId="0" applyFont="1" applyFill="1" applyBorder="1" applyAlignment="1">
      <alignment horizontal="center" vertical="center" wrapText="1"/>
    </xf>
    <xf numFmtId="0" fontId="35" fillId="12" borderId="10" xfId="0" applyFont="1" applyFill="1" applyBorder="1" applyAlignment="1">
      <alignment horizontal="center" vertical="center" wrapText="1"/>
    </xf>
    <xf numFmtId="0" fontId="35" fillId="12" borderId="11" xfId="0" applyFont="1" applyFill="1" applyBorder="1" applyAlignment="1">
      <alignment horizontal="center" vertical="center" wrapText="1"/>
    </xf>
    <xf numFmtId="3" fontId="26" fillId="0" borderId="0" xfId="0" applyNumberFormat="1" applyFont="1"/>
    <xf numFmtId="9" fontId="26" fillId="13" borderId="0" xfId="2" applyFont="1" applyFill="1"/>
    <xf numFmtId="0" fontId="38" fillId="0" borderId="0" xfId="0" applyFont="1"/>
    <xf numFmtId="0" fontId="38" fillId="0" borderId="0" xfId="0" applyFont="1" applyAlignment="1">
      <alignment horizontal="left" indent="1"/>
    </xf>
    <xf numFmtId="0" fontId="25" fillId="3" borderId="0" xfId="0" applyFont="1" applyFill="1" applyAlignment="1">
      <alignment horizontal="center"/>
    </xf>
    <xf numFmtId="37" fontId="26" fillId="0" borderId="0" xfId="0" applyNumberFormat="1" applyFont="1"/>
    <xf numFmtId="37" fontId="23" fillId="0" borderId="0" xfId="0" applyNumberFormat="1" applyFont="1"/>
    <xf numFmtId="37" fontId="27" fillId="0" borderId="0" xfId="0" applyNumberFormat="1" applyFont="1"/>
    <xf numFmtId="177" fontId="28" fillId="0" borderId="0" xfId="1" applyNumberFormat="1" applyFont="1"/>
    <xf numFmtId="3" fontId="22" fillId="0" borderId="0" xfId="0" applyNumberFormat="1" applyFont="1"/>
    <xf numFmtId="0" fontId="16" fillId="0" borderId="0" xfId="0" applyFont="1" applyAlignment="1">
      <alignment horizontal="center"/>
    </xf>
    <xf numFmtId="37" fontId="22" fillId="0" borderId="0" xfId="0" applyNumberFormat="1" applyFont="1"/>
    <xf numFmtId="178" fontId="23" fillId="0" borderId="0" xfId="2" applyNumberFormat="1" applyFont="1"/>
    <xf numFmtId="37" fontId="9" fillId="0" borderId="0" xfId="0" applyNumberFormat="1" applyFont="1"/>
    <xf numFmtId="0" fontId="4" fillId="14" borderId="0" xfId="0" applyFont="1" applyFill="1" applyAlignment="1">
      <alignment horizontal="center"/>
    </xf>
    <xf numFmtId="9" fontId="26" fillId="0" borderId="0" xfId="2" applyFont="1"/>
    <xf numFmtId="9" fontId="37" fillId="0" borderId="0" xfId="2" applyFont="1"/>
    <xf numFmtId="0" fontId="27" fillId="0" borderId="0" xfId="0" applyFont="1"/>
    <xf numFmtId="0" fontId="27" fillId="0" borderId="0" xfId="0" applyFont="1" applyAlignment="1">
      <alignment horizontal="left" indent="1"/>
    </xf>
    <xf numFmtId="9" fontId="24" fillId="15" borderId="0" xfId="2" applyFont="1" applyFill="1"/>
    <xf numFmtId="43" fontId="27" fillId="0" borderId="0" xfId="1" applyFont="1"/>
    <xf numFmtId="43" fontId="0" fillId="5" borderId="0" xfId="1" applyFont="1" applyFill="1"/>
    <xf numFmtId="177" fontId="0" fillId="11" borderId="13" xfId="1" applyNumberFormat="1" applyFont="1" applyFill="1" applyBorder="1"/>
    <xf numFmtId="0" fontId="0" fillId="11" borderId="12" xfId="0" applyFill="1" applyBorder="1"/>
    <xf numFmtId="9" fontId="0" fillId="11" borderId="13" xfId="2" applyFont="1" applyFill="1" applyBorder="1" applyAlignment="1">
      <alignment horizontal="center"/>
    </xf>
    <xf numFmtId="9" fontId="0" fillId="11" borderId="15" xfId="2" applyFont="1" applyFill="1" applyBorder="1" applyAlignment="1">
      <alignment horizontal="center"/>
    </xf>
    <xf numFmtId="178" fontId="0" fillId="11" borderId="13" xfId="2" applyNumberFormat="1" applyFont="1" applyFill="1" applyBorder="1" applyAlignment="1">
      <alignment horizontal="center"/>
    </xf>
    <xf numFmtId="178" fontId="0" fillId="11" borderId="0" xfId="2" applyNumberFormat="1" applyFont="1" applyFill="1" applyAlignment="1">
      <alignment horizontal="center"/>
    </xf>
    <xf numFmtId="178" fontId="0" fillId="11" borderId="15" xfId="2" applyNumberFormat="1" applyFont="1" applyFill="1" applyBorder="1" applyAlignment="1">
      <alignment horizontal="center"/>
    </xf>
    <xf numFmtId="178" fontId="0" fillId="11" borderId="16" xfId="2" applyNumberFormat="1" applyFont="1" applyFill="1" applyBorder="1" applyAlignment="1">
      <alignment horizontal="center"/>
    </xf>
    <xf numFmtId="184" fontId="0" fillId="11" borderId="14" xfId="0" applyNumberFormat="1" applyFill="1" applyBorder="1" applyAlignment="1">
      <alignment horizontal="center"/>
    </xf>
    <xf numFmtId="1" fontId="0" fillId="11" borderId="14" xfId="0" applyNumberFormat="1" applyFill="1" applyBorder="1" applyAlignment="1">
      <alignment horizontal="center"/>
    </xf>
    <xf numFmtId="9" fontId="0" fillId="11" borderId="18" xfId="2" applyFont="1" applyFill="1" applyBorder="1" applyAlignment="1">
      <alignment horizontal="center"/>
    </xf>
    <xf numFmtId="9" fontId="0" fillId="11" borderId="19" xfId="2" applyFont="1" applyFill="1" applyBorder="1" applyAlignment="1">
      <alignment horizontal="center"/>
    </xf>
    <xf numFmtId="1" fontId="0" fillId="11" borderId="20" xfId="0" applyNumberFormat="1" applyFill="1" applyBorder="1" applyAlignment="1">
      <alignment horizontal="center"/>
    </xf>
    <xf numFmtId="184" fontId="0" fillId="11" borderId="17" xfId="0" applyNumberFormat="1" applyFill="1" applyBorder="1" applyAlignment="1">
      <alignment horizontal="center"/>
    </xf>
    <xf numFmtId="0" fontId="0" fillId="11" borderId="19" xfId="0" applyFill="1" applyBorder="1"/>
    <xf numFmtId="0" fontId="0" fillId="11" borderId="18" xfId="0" applyFill="1" applyBorder="1"/>
    <xf numFmtId="0" fontId="0" fillId="11" borderId="20" xfId="0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3" xfId="0" applyBorder="1"/>
    <xf numFmtId="0" fontId="4" fillId="3" borderId="13" xfId="0" applyFont="1" applyFill="1" applyBorder="1" applyAlignment="1">
      <alignment horizontal="center"/>
    </xf>
    <xf numFmtId="9" fontId="0" fillId="0" borderId="13" xfId="2" applyFont="1" applyBorder="1"/>
    <xf numFmtId="37" fontId="26" fillId="0" borderId="13" xfId="0" applyNumberFormat="1" applyFont="1" applyBorder="1"/>
    <xf numFmtId="37" fontId="27" fillId="0" borderId="13" xfId="0" applyNumberFormat="1" applyFont="1" applyBorder="1"/>
    <xf numFmtId="37" fontId="24" fillId="0" borderId="13" xfId="0" applyNumberFormat="1" applyFont="1" applyBorder="1"/>
    <xf numFmtId="37" fontId="18" fillId="0" borderId="13" xfId="0" applyNumberFormat="1" applyFont="1" applyBorder="1"/>
    <xf numFmtId="37" fontId="0" fillId="0" borderId="13" xfId="0" applyNumberFormat="1" applyBorder="1"/>
    <xf numFmtId="37" fontId="22" fillId="0" borderId="13" xfId="0" applyNumberFormat="1" applyFont="1" applyBorder="1"/>
    <xf numFmtId="9" fontId="30" fillId="0" borderId="13" xfId="2" applyFont="1" applyBorder="1"/>
    <xf numFmtId="0" fontId="30" fillId="0" borderId="13" xfId="0" applyFont="1" applyBorder="1"/>
    <xf numFmtId="9" fontId="33" fillId="0" borderId="13" xfId="2" applyFont="1" applyBorder="1"/>
    <xf numFmtId="178" fontId="24" fillId="0" borderId="13" xfId="2" applyNumberFormat="1" applyFont="1" applyBorder="1"/>
    <xf numFmtId="178" fontId="24" fillId="0" borderId="13" xfId="0" applyNumberFormat="1" applyFont="1" applyBorder="1"/>
    <xf numFmtId="178" fontId="23" fillId="0" borderId="13" xfId="2" applyNumberFormat="1" applyFont="1" applyBorder="1"/>
    <xf numFmtId="37" fontId="23" fillId="0" borderId="13" xfId="0" applyNumberFormat="1" applyFont="1" applyBorder="1"/>
    <xf numFmtId="37" fontId="9" fillId="0" borderId="13" xfId="0" applyNumberFormat="1" applyFont="1" applyBorder="1"/>
    <xf numFmtId="0" fontId="15" fillId="0" borderId="13" xfId="0" applyFont="1" applyBorder="1" applyAlignment="1">
      <alignment horizontal="center"/>
    </xf>
    <xf numFmtId="0" fontId="15" fillId="0" borderId="13" xfId="0" applyFont="1" applyBorder="1"/>
    <xf numFmtId="0" fontId="0" fillId="5" borderId="13" xfId="0" applyFill="1" applyBorder="1"/>
    <xf numFmtId="4" fontId="27" fillId="0" borderId="13" xfId="0" applyNumberFormat="1" applyFont="1" applyBorder="1"/>
    <xf numFmtId="176" fontId="24" fillId="0" borderId="13" xfId="1" applyNumberFormat="1" applyFont="1" applyBorder="1"/>
    <xf numFmtId="177" fontId="27" fillId="0" borderId="13" xfId="1" applyNumberFormat="1" applyFont="1" applyBorder="1"/>
    <xf numFmtId="3" fontId="27" fillId="0" borderId="13" xfId="0" applyNumberFormat="1" applyFont="1" applyBorder="1"/>
    <xf numFmtId="177" fontId="26" fillId="0" borderId="13" xfId="1" applyNumberFormat="1" applyFont="1" applyBorder="1"/>
    <xf numFmtId="0" fontId="22" fillId="0" borderId="13" xfId="0" applyFont="1" applyBorder="1"/>
    <xf numFmtId="0" fontId="26" fillId="13" borderId="13" xfId="0" applyFont="1" applyFill="1" applyBorder="1"/>
    <xf numFmtId="3" fontId="24" fillId="13" borderId="13" xfId="0" applyNumberFormat="1" applyFont="1" applyFill="1" applyBorder="1"/>
    <xf numFmtId="3" fontId="24" fillId="0" borderId="13" xfId="0" applyNumberFormat="1" applyFont="1" applyBorder="1"/>
    <xf numFmtId="178" fontId="0" fillId="0" borderId="13" xfId="2" applyNumberFormat="1" applyFont="1" applyBorder="1"/>
    <xf numFmtId="0" fontId="9" fillId="6" borderId="13" xfId="0" applyFont="1" applyFill="1" applyBorder="1" applyAlignment="1">
      <alignment horizontal="left"/>
    </xf>
    <xf numFmtId="9" fontId="30" fillId="15" borderId="13" xfId="2" applyFont="1" applyFill="1" applyBorder="1"/>
    <xf numFmtId="0" fontId="24" fillId="0" borderId="13" xfId="0" applyFont="1" applyBorder="1"/>
    <xf numFmtId="9" fontId="27" fillId="0" borderId="13" xfId="2" applyFont="1" applyBorder="1"/>
    <xf numFmtId="9" fontId="26" fillId="13" borderId="13" xfId="2" applyFont="1" applyFill="1" applyBorder="1"/>
    <xf numFmtId="0" fontId="0" fillId="7" borderId="13" xfId="0" applyFill="1" applyBorder="1"/>
    <xf numFmtId="0" fontId="27" fillId="0" borderId="13" xfId="0" applyFont="1" applyBorder="1"/>
    <xf numFmtId="0" fontId="28" fillId="0" borderId="13" xfId="0" applyFont="1" applyBorder="1"/>
    <xf numFmtId="9" fontId="10" fillId="0" borderId="13" xfId="2" applyFont="1" applyBorder="1"/>
    <xf numFmtId="9" fontId="24" fillId="15" borderId="13" xfId="2" applyFont="1" applyFill="1" applyBorder="1"/>
    <xf numFmtId="9" fontId="37" fillId="0" borderId="13" xfId="2" applyFont="1" applyBorder="1"/>
    <xf numFmtId="43" fontId="0" fillId="0" borderId="13" xfId="1" applyFont="1" applyBorder="1"/>
    <xf numFmtId="9" fontId="39" fillId="0" borderId="13" xfId="2" applyFont="1" applyBorder="1"/>
    <xf numFmtId="177" fontId="22" fillId="0" borderId="13" xfId="1" applyNumberFormat="1" applyFont="1" applyBorder="1"/>
    <xf numFmtId="9" fontId="40" fillId="0" borderId="13" xfId="2" applyFont="1" applyBorder="1"/>
    <xf numFmtId="176" fontId="39" fillId="0" borderId="13" xfId="2" applyNumberFormat="1" applyFont="1" applyBorder="1"/>
    <xf numFmtId="177" fontId="24" fillId="0" borderId="13" xfId="1" applyNumberFormat="1" applyFont="1" applyBorder="1"/>
    <xf numFmtId="179" fontId="21" fillId="0" borderId="13" xfId="0" applyNumberFormat="1" applyFont="1" applyBorder="1"/>
    <xf numFmtId="9" fontId="24" fillId="0" borderId="13" xfId="2" applyFont="1" applyBorder="1"/>
    <xf numFmtId="43" fontId="18" fillId="0" borderId="13" xfId="1" applyFont="1" applyBorder="1"/>
    <xf numFmtId="0" fontId="26" fillId="0" borderId="13" xfId="0" applyFont="1" applyBorder="1"/>
    <xf numFmtId="43" fontId="22" fillId="0" borderId="13" xfId="1" applyFont="1" applyBorder="1"/>
    <xf numFmtId="178" fontId="30" fillId="0" borderId="13" xfId="2" applyNumberFormat="1" applyFont="1" applyBorder="1"/>
    <xf numFmtId="43" fontId="27" fillId="0" borderId="13" xfId="1" applyFont="1" applyBorder="1"/>
    <xf numFmtId="3" fontId="9" fillId="6" borderId="13" xfId="0" applyNumberFormat="1" applyFont="1" applyFill="1" applyBorder="1" applyAlignment="1">
      <alignment horizontal="left"/>
    </xf>
    <xf numFmtId="179" fontId="27" fillId="0" borderId="13" xfId="0" applyNumberFormat="1" applyFont="1" applyBorder="1"/>
    <xf numFmtId="3" fontId="0" fillId="0" borderId="13" xfId="0" applyNumberFormat="1" applyBorder="1"/>
    <xf numFmtId="9" fontId="18" fillId="0" borderId="13" xfId="2" applyFont="1" applyBorder="1"/>
    <xf numFmtId="3" fontId="19" fillId="7" borderId="13" xfId="0" applyNumberFormat="1" applyFont="1" applyFill="1" applyBorder="1"/>
    <xf numFmtId="9" fontId="37" fillId="5" borderId="13" xfId="2" applyFont="1" applyFill="1" applyBorder="1"/>
    <xf numFmtId="3" fontId="30" fillId="0" borderId="13" xfId="0" applyNumberFormat="1" applyFont="1" applyBorder="1"/>
    <xf numFmtId="3" fontId="26" fillId="13" borderId="0" xfId="0" applyNumberFormat="1" applyFont="1" applyFill="1"/>
    <xf numFmtId="0" fontId="41" fillId="0" borderId="0" xfId="0" quotePrefix="1" applyFont="1" applyAlignment="1">
      <alignment horizontal="right" indent="1"/>
    </xf>
    <xf numFmtId="9" fontId="41" fillId="0" borderId="0" xfId="2" applyFont="1"/>
    <xf numFmtId="10" fontId="24" fillId="0" borderId="0" xfId="0" applyNumberFormat="1" applyFont="1"/>
    <xf numFmtId="9" fontId="9" fillId="6" borderId="13" xfId="2" applyFont="1" applyFill="1" applyBorder="1" applyAlignment="1">
      <alignment horizontal="right"/>
    </xf>
    <xf numFmtId="177" fontId="41" fillId="0" borderId="13" xfId="1" applyNumberFormat="1" applyFont="1" applyBorder="1"/>
    <xf numFmtId="9" fontId="42" fillId="0" borderId="0" xfId="2" applyFont="1"/>
    <xf numFmtId="4" fontId="27" fillId="5" borderId="0" xfId="0" applyNumberFormat="1" applyFont="1" applyFill="1"/>
    <xf numFmtId="176" fontId="24" fillId="5" borderId="0" xfId="1" applyNumberFormat="1" applyFont="1" applyFill="1"/>
    <xf numFmtId="178" fontId="37" fillId="0" borderId="0" xfId="2" applyNumberFormat="1" applyFont="1"/>
    <xf numFmtId="184" fontId="26" fillId="0" borderId="0" xfId="0" applyNumberFormat="1" applyFont="1"/>
    <xf numFmtId="178" fontId="43" fillId="0" borderId="0" xfId="2" applyNumberFormat="1" applyFont="1"/>
    <xf numFmtId="0" fontId="0" fillId="0" borderId="0" xfId="0" applyAlignment="1">
      <alignment horizontal="left" inden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10" borderId="0" xfId="0" applyFont="1" applyFill="1" applyAlignment="1">
      <alignment horizontal="left"/>
    </xf>
    <xf numFmtId="177" fontId="9" fillId="10" borderId="0" xfId="0" applyNumberFormat="1" applyFont="1" applyFill="1"/>
    <xf numFmtId="0" fontId="9" fillId="0" borderId="0" xfId="0" applyFont="1" applyAlignment="1">
      <alignment horizontal="left" vertical="top"/>
    </xf>
    <xf numFmtId="178" fontId="26" fillId="0" borderId="0" xfId="2" applyNumberFormat="1" applyFont="1"/>
    <xf numFmtId="177" fontId="27" fillId="5" borderId="0" xfId="1" applyNumberFormat="1" applyFont="1" applyFill="1"/>
    <xf numFmtId="9" fontId="24" fillId="5" borderId="0" xfId="2" applyFont="1" applyFill="1"/>
    <xf numFmtId="0" fontId="0" fillId="0" borderId="0" xfId="0"/>
    <xf numFmtId="9" fontId="1" fillId="0" borderId="0" xfId="2"/>
    <xf numFmtId="37" fontId="0" fillId="0" borderId="0" xfId="0" applyNumberFormat="1"/>
    <xf numFmtId="0" fontId="16" fillId="0" borderId="14" xfId="0" applyFont="1" applyBorder="1" applyAlignment="1">
      <alignment horizontal="center"/>
    </xf>
    <xf numFmtId="0" fontId="0" fillId="0" borderId="14" xfId="0" applyBorder="1"/>
    <xf numFmtId="0" fontId="4" fillId="14" borderId="14" xfId="0" applyFont="1" applyFill="1" applyBorder="1" applyAlignment="1">
      <alignment horizontal="center"/>
    </xf>
    <xf numFmtId="37" fontId="26" fillId="0" borderId="14" xfId="0" applyNumberFormat="1" applyFont="1" applyBorder="1"/>
    <xf numFmtId="9" fontId="26" fillId="0" borderId="14" xfId="2" applyFont="1" applyBorder="1"/>
    <xf numFmtId="37" fontId="27" fillId="0" borderId="14" xfId="0" applyNumberFormat="1" applyFont="1" applyBorder="1"/>
    <xf numFmtId="37" fontId="24" fillId="0" borderId="14" xfId="0" applyNumberFormat="1" applyFont="1" applyBorder="1"/>
    <xf numFmtId="178" fontId="18" fillId="0" borderId="14" xfId="2" applyNumberFormat="1" applyFont="1" applyBorder="1"/>
    <xf numFmtId="37" fontId="0" fillId="0" borderId="14" xfId="0" applyNumberFormat="1" applyBorder="1"/>
    <xf numFmtId="37" fontId="22" fillId="0" borderId="14" xfId="0" applyNumberFormat="1" applyFont="1" applyBorder="1"/>
    <xf numFmtId="9" fontId="30" fillId="0" borderId="14" xfId="2" applyFont="1" applyBorder="1"/>
    <xf numFmtId="0" fontId="30" fillId="0" borderId="14" xfId="0" applyFont="1" applyBorder="1"/>
    <xf numFmtId="9" fontId="33" fillId="0" borderId="14" xfId="2" applyFont="1" applyBorder="1"/>
    <xf numFmtId="178" fontId="24" fillId="0" borderId="14" xfId="2" applyNumberFormat="1" applyFont="1" applyBorder="1"/>
    <xf numFmtId="178" fontId="24" fillId="0" borderId="14" xfId="0" applyNumberFormat="1" applyFont="1" applyBorder="1"/>
    <xf numFmtId="178" fontId="23" fillId="0" borderId="14" xfId="2" applyNumberFormat="1" applyFont="1" applyBorder="1"/>
    <xf numFmtId="37" fontId="23" fillId="0" borderId="14" xfId="0" applyNumberFormat="1" applyFont="1" applyBorder="1"/>
    <xf numFmtId="37" fontId="9" fillId="0" borderId="14" xfId="0" applyNumberFormat="1" applyFont="1" applyBorder="1"/>
    <xf numFmtId="0" fontId="4" fillId="3" borderId="0" xfId="0" applyFont="1" applyFill="1" applyAlignment="1">
      <alignment horizontal="center"/>
    </xf>
    <xf numFmtId="0" fontId="4" fillId="3" borderId="14" xfId="0" applyFont="1" applyFill="1" applyBorder="1" applyAlignment="1">
      <alignment horizontal="center"/>
    </xf>
    <xf numFmtId="37" fontId="18" fillId="0" borderId="14" xfId="0" applyNumberFormat="1" applyFont="1" applyBorder="1"/>
    <xf numFmtId="0" fontId="15" fillId="0" borderId="14" xfId="0" applyFont="1" applyBorder="1"/>
    <xf numFmtId="0" fontId="0" fillId="5" borderId="14" xfId="0" applyFill="1" applyBorder="1"/>
    <xf numFmtId="4" fontId="27" fillId="0" borderId="14" xfId="0" applyNumberFormat="1" applyFont="1" applyBorder="1"/>
    <xf numFmtId="4" fontId="27" fillId="5" borderId="14" xfId="0" applyNumberFormat="1" applyFont="1" applyFill="1" applyBorder="1"/>
    <xf numFmtId="176" fontId="24" fillId="5" borderId="14" xfId="1" applyNumberFormat="1" applyFont="1" applyFill="1" applyBorder="1"/>
    <xf numFmtId="177" fontId="27" fillId="0" borderId="14" xfId="1" applyNumberFormat="1" applyFont="1" applyBorder="1"/>
    <xf numFmtId="177" fontId="41" fillId="0" borderId="14" xfId="1" applyNumberFormat="1" applyFont="1" applyBorder="1"/>
    <xf numFmtId="3" fontId="27" fillId="0" borderId="14" xfId="0" applyNumberFormat="1" applyFont="1" applyBorder="1"/>
    <xf numFmtId="177" fontId="26" fillId="0" borderId="14" xfId="1" applyNumberFormat="1" applyFont="1" applyBorder="1"/>
    <xf numFmtId="0" fontId="22" fillId="0" borderId="14" xfId="0" applyFont="1" applyBorder="1"/>
    <xf numFmtId="3" fontId="26" fillId="13" borderId="14" xfId="0" applyNumberFormat="1" applyFont="1" applyFill="1" applyBorder="1"/>
    <xf numFmtId="3" fontId="24" fillId="13" borderId="14" xfId="0" applyNumberFormat="1" applyFont="1" applyFill="1" applyBorder="1"/>
    <xf numFmtId="3" fontId="24" fillId="0" borderId="14" xfId="0" applyNumberFormat="1" applyFont="1" applyBorder="1"/>
    <xf numFmtId="178" fontId="0" fillId="0" borderId="14" xfId="2" applyNumberFormat="1" applyFont="1" applyBorder="1"/>
    <xf numFmtId="0" fontId="9" fillId="6" borderId="14" xfId="0" applyFont="1" applyFill="1" applyBorder="1" applyAlignment="1">
      <alignment horizontal="left"/>
    </xf>
    <xf numFmtId="178" fontId="30" fillId="0" borderId="14" xfId="2" applyNumberFormat="1" applyFont="1" applyBorder="1"/>
    <xf numFmtId="178" fontId="30" fillId="15" borderId="14" xfId="2" applyNumberFormat="1" applyFont="1" applyFill="1" applyBorder="1"/>
    <xf numFmtId="9" fontId="42" fillId="0" borderId="14" xfId="2" applyFont="1" applyBorder="1"/>
    <xf numFmtId="9" fontId="30" fillId="15" borderId="14" xfId="2" applyFont="1" applyFill="1" applyBorder="1"/>
    <xf numFmtId="0" fontId="24" fillId="0" borderId="14" xfId="0" applyFont="1" applyBorder="1"/>
    <xf numFmtId="9" fontId="27" fillId="0" borderId="14" xfId="2" applyFont="1" applyBorder="1"/>
    <xf numFmtId="177" fontId="27" fillId="5" borderId="14" xfId="1" applyNumberFormat="1" applyFont="1" applyFill="1" applyBorder="1"/>
    <xf numFmtId="9" fontId="24" fillId="5" borderId="14" xfId="2" applyFont="1" applyFill="1" applyBorder="1"/>
    <xf numFmtId="9" fontId="26" fillId="13" borderId="14" xfId="2" applyFont="1" applyFill="1" applyBorder="1"/>
    <xf numFmtId="177" fontId="24" fillId="13" borderId="14" xfId="1" applyNumberFormat="1" applyFont="1" applyFill="1" applyBorder="1"/>
    <xf numFmtId="9" fontId="9" fillId="6" borderId="14" xfId="2" applyFont="1" applyFill="1" applyBorder="1" applyAlignment="1">
      <alignment horizontal="right"/>
    </xf>
    <xf numFmtId="0" fontId="0" fillId="7" borderId="14" xfId="0" applyFill="1" applyBorder="1"/>
    <xf numFmtId="0" fontId="27" fillId="0" borderId="14" xfId="0" applyFont="1" applyBorder="1"/>
    <xf numFmtId="0" fontId="9" fillId="5" borderId="14" xfId="0" applyFont="1" applyFill="1" applyBorder="1"/>
    <xf numFmtId="9" fontId="10" fillId="0" borderId="14" xfId="2" applyFont="1" applyBorder="1"/>
    <xf numFmtId="178" fontId="43" fillId="0" borderId="14" xfId="2" applyNumberFormat="1" applyFont="1" applyBorder="1"/>
    <xf numFmtId="178" fontId="24" fillId="15" borderId="14" xfId="2" applyNumberFormat="1" applyFont="1" applyFill="1" applyBorder="1"/>
    <xf numFmtId="43" fontId="0" fillId="0" borderId="14" xfId="1" applyFont="1" applyBorder="1"/>
    <xf numFmtId="9" fontId="39" fillId="0" borderId="14" xfId="2" applyFont="1" applyBorder="1"/>
    <xf numFmtId="177" fontId="22" fillId="0" borderId="14" xfId="1" applyNumberFormat="1" applyFont="1" applyBorder="1"/>
    <xf numFmtId="9" fontId="40" fillId="0" borderId="14" xfId="2" applyFont="1" applyBorder="1"/>
    <xf numFmtId="176" fontId="39" fillId="0" borderId="14" xfId="2" applyNumberFormat="1" applyFont="1" applyBorder="1"/>
    <xf numFmtId="177" fontId="24" fillId="0" borderId="14" xfId="1" applyNumberFormat="1" applyFont="1" applyBorder="1"/>
    <xf numFmtId="9" fontId="0" fillId="0" borderId="14" xfId="2" applyFont="1" applyBorder="1"/>
    <xf numFmtId="179" fontId="21" fillId="0" borderId="14" xfId="0" applyNumberFormat="1" applyFont="1" applyBorder="1"/>
    <xf numFmtId="9" fontId="24" fillId="0" borderId="14" xfId="2" applyFont="1" applyBorder="1"/>
    <xf numFmtId="43" fontId="18" fillId="0" borderId="14" xfId="1" applyFont="1" applyBorder="1"/>
    <xf numFmtId="184" fontId="26" fillId="0" borderId="14" xfId="0" applyNumberFormat="1" applyFont="1" applyBorder="1"/>
    <xf numFmtId="0" fontId="26" fillId="0" borderId="14" xfId="0" applyFont="1" applyBorder="1"/>
    <xf numFmtId="43" fontId="22" fillId="0" borderId="14" xfId="1" applyFont="1" applyBorder="1"/>
    <xf numFmtId="0" fontId="15" fillId="0" borderId="20" xfId="0" applyFont="1" applyBorder="1"/>
    <xf numFmtId="176" fontId="24" fillId="0" borderId="14" xfId="1" applyNumberFormat="1" applyFont="1" applyBorder="1"/>
    <xf numFmtId="177" fontId="26" fillId="13" borderId="14" xfId="1" applyNumberFormat="1" applyFont="1" applyFill="1" applyBorder="1"/>
    <xf numFmtId="0" fontId="28" fillId="0" borderId="14" xfId="0" applyFont="1" applyBorder="1"/>
    <xf numFmtId="9" fontId="37" fillId="5" borderId="14" xfId="2" applyFont="1" applyFill="1" applyBorder="1"/>
    <xf numFmtId="0" fontId="15" fillId="0" borderId="0" xfId="0" applyFont="1"/>
    <xf numFmtId="0" fontId="0" fillId="5" borderId="0" xfId="0" applyFill="1"/>
    <xf numFmtId="4" fontId="27" fillId="0" borderId="0" xfId="0" applyNumberFormat="1" applyFont="1"/>
    <xf numFmtId="176" fontId="24" fillId="0" borderId="0" xfId="1" applyNumberFormat="1" applyFont="1"/>
    <xf numFmtId="177" fontId="27" fillId="0" borderId="0" xfId="1" applyNumberFormat="1" applyFont="1"/>
    <xf numFmtId="177" fontId="41" fillId="0" borderId="0" xfId="1" applyNumberFormat="1" applyFont="1"/>
    <xf numFmtId="3" fontId="27" fillId="0" borderId="0" xfId="0" applyNumberFormat="1" applyFont="1"/>
    <xf numFmtId="177" fontId="26" fillId="0" borderId="0" xfId="1" applyNumberFormat="1" applyFont="1"/>
    <xf numFmtId="0" fontId="22" fillId="0" borderId="0" xfId="0" applyFont="1"/>
    <xf numFmtId="0" fontId="26" fillId="13" borderId="0" xfId="0" applyFont="1" applyFill="1"/>
    <xf numFmtId="3" fontId="24" fillId="13" borderId="0" xfId="0" applyNumberFormat="1" applyFont="1" applyFill="1"/>
    <xf numFmtId="3" fontId="24" fillId="0" borderId="0" xfId="0" applyNumberFormat="1" applyFont="1"/>
    <xf numFmtId="178" fontId="0" fillId="0" borderId="0" xfId="2" applyNumberFormat="1" applyFont="1"/>
    <xf numFmtId="0" fontId="9" fillId="6" borderId="0" xfId="0" applyFont="1" applyFill="1" applyAlignment="1">
      <alignment horizontal="left"/>
    </xf>
    <xf numFmtId="178" fontId="30" fillId="0" borderId="0" xfId="2" applyNumberFormat="1" applyFont="1"/>
    <xf numFmtId="178" fontId="30" fillId="15" borderId="0" xfId="2" applyNumberFormat="1" applyFont="1" applyFill="1"/>
    <xf numFmtId="9" fontId="30" fillId="0" borderId="0" xfId="2" applyFont="1"/>
    <xf numFmtId="0" fontId="30" fillId="0" borderId="0" xfId="0" applyFont="1"/>
    <xf numFmtId="9" fontId="30" fillId="15" borderId="0" xfId="2" applyFont="1" applyFill="1"/>
    <xf numFmtId="178" fontId="24" fillId="0" borderId="0" xfId="2" applyNumberFormat="1" applyFont="1"/>
    <xf numFmtId="9" fontId="27" fillId="0" borderId="0" xfId="2" applyFont="1"/>
    <xf numFmtId="177" fontId="26" fillId="13" borderId="0" xfId="1" applyNumberFormat="1" applyFont="1" applyFill="1"/>
    <xf numFmtId="177" fontId="24" fillId="13" borderId="0" xfId="1" applyNumberFormat="1" applyFont="1" applyFill="1"/>
    <xf numFmtId="9" fontId="9" fillId="6" borderId="0" xfId="2" applyFont="1" applyFill="1" applyAlignment="1">
      <alignment horizontal="right"/>
    </xf>
    <xf numFmtId="0" fontId="0" fillId="7" borderId="0" xfId="0" applyFill="1"/>
    <xf numFmtId="0" fontId="28" fillId="0" borderId="0" xfId="0" applyFont="1"/>
    <xf numFmtId="9" fontId="10" fillId="0" borderId="0" xfId="2" applyFont="1"/>
    <xf numFmtId="178" fontId="24" fillId="15" borderId="0" xfId="2" applyNumberFormat="1" applyFont="1" applyFill="1"/>
    <xf numFmtId="9" fontId="37" fillId="5" borderId="0" xfId="2" applyFont="1" applyFill="1"/>
    <xf numFmtId="43" fontId="0" fillId="0" borderId="0" xfId="1" applyFont="1"/>
    <xf numFmtId="9" fontId="39" fillId="0" borderId="0" xfId="2" applyFont="1"/>
    <xf numFmtId="177" fontId="22" fillId="0" borderId="0" xfId="1" applyNumberFormat="1" applyFont="1"/>
    <xf numFmtId="9" fontId="40" fillId="0" borderId="0" xfId="2" applyFont="1"/>
    <xf numFmtId="176" fontId="39" fillId="0" borderId="0" xfId="2" applyNumberFormat="1" applyFont="1"/>
    <xf numFmtId="177" fontId="24" fillId="0" borderId="0" xfId="1" applyNumberFormat="1" applyFont="1"/>
    <xf numFmtId="9" fontId="0" fillId="0" borderId="0" xfId="2" applyFont="1"/>
    <xf numFmtId="179" fontId="21" fillId="0" borderId="0" xfId="0" applyNumberFormat="1" applyFont="1"/>
    <xf numFmtId="9" fontId="24" fillId="0" borderId="0" xfId="2" applyFont="1"/>
    <xf numFmtId="43" fontId="18" fillId="0" borderId="0" xfId="1" applyFont="1"/>
    <xf numFmtId="0" fontId="26" fillId="0" borderId="0" xfId="0" applyFont="1"/>
    <xf numFmtId="43" fontId="22" fillId="0" borderId="0" xfId="1" applyFont="1"/>
    <xf numFmtId="177" fontId="0" fillId="0" borderId="14" xfId="1" applyNumberFormat="1" applyFont="1" applyBorder="1"/>
    <xf numFmtId="177" fontId="9" fillId="10" borderId="14" xfId="1" applyNumberFormat="1" applyFont="1" applyFill="1" applyBorder="1"/>
    <xf numFmtId="177" fontId="0" fillId="0" borderId="14" xfId="0" applyNumberFormat="1" applyBorder="1"/>
    <xf numFmtId="177" fontId="9" fillId="10" borderId="14" xfId="0" applyNumberFormat="1" applyFont="1" applyFill="1" applyBorder="1"/>
    <xf numFmtId="0" fontId="9" fillId="5" borderId="0" xfId="0" applyFont="1" applyFill="1"/>
    <xf numFmtId="177" fontId="9" fillId="10" borderId="0" xfId="1" applyNumberFormat="1" applyFont="1" applyFill="1"/>
    <xf numFmtId="177" fontId="0" fillId="0" borderId="0" xfId="0" applyNumberFormat="1"/>
    <xf numFmtId="178" fontId="26" fillId="13" borderId="0" xfId="2" applyNumberFormat="1" applyFont="1" applyFill="1"/>
    <xf numFmtId="0" fontId="4" fillId="3" borderId="9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178" fontId="37" fillId="0" borderId="9" xfId="2" applyNumberFormat="1" applyFont="1" applyBorder="1"/>
    <xf numFmtId="9" fontId="37" fillId="0" borderId="9" xfId="2" applyFont="1" applyBorder="1"/>
    <xf numFmtId="178" fontId="37" fillId="5" borderId="14" xfId="2" applyNumberFormat="1" applyFont="1" applyFill="1" applyBorder="1"/>
    <xf numFmtId="178" fontId="18" fillId="0" borderId="0" xfId="2" applyNumberFormat="1" applyFont="1"/>
    <xf numFmtId="9" fontId="33" fillId="0" borderId="0" xfId="2" applyFont="1"/>
    <xf numFmtId="37" fontId="22" fillId="16" borderId="0" xfId="0" applyNumberFormat="1" applyFont="1" applyFill="1"/>
    <xf numFmtId="37" fontId="26" fillId="16" borderId="0" xfId="0" applyNumberFormat="1" applyFont="1" applyFill="1"/>
    <xf numFmtId="37" fontId="23" fillId="16" borderId="0" xfId="0" applyNumberFormat="1" applyFont="1" applyFill="1"/>
    <xf numFmtId="37" fontId="9" fillId="16" borderId="0" xfId="0" applyNumberFormat="1" applyFont="1" applyFill="1"/>
    <xf numFmtId="37" fontId="27" fillId="16" borderId="0" xfId="0" applyNumberFormat="1" applyFont="1" applyFill="1"/>
    <xf numFmtId="37" fontId="0" fillId="16" borderId="0" xfId="0" applyNumberFormat="1" applyFill="1"/>
    <xf numFmtId="0" fontId="4" fillId="3" borderId="21" xfId="0" applyFont="1" applyFill="1" applyBorder="1" applyAlignment="1">
      <alignment horizontal="center"/>
    </xf>
    <xf numFmtId="9" fontId="37" fillId="0" borderId="21" xfId="2" applyFont="1" applyBorder="1"/>
    <xf numFmtId="0" fontId="44" fillId="5" borderId="0" xfId="0" applyFont="1" applyFill="1" applyAlignment="1">
      <alignment horizontal="center"/>
    </xf>
    <xf numFmtId="9" fontId="0" fillId="11" borderId="0" xfId="2" applyFont="1" applyFill="1"/>
    <xf numFmtId="37" fontId="24" fillId="5" borderId="0" xfId="0" applyNumberFormat="1" applyFont="1" applyFill="1"/>
    <xf numFmtId="9" fontId="0" fillId="5" borderId="0" xfId="0" applyNumberFormat="1" applyFill="1"/>
    <xf numFmtId="37" fontId="26" fillId="5" borderId="0" xfId="0" applyNumberFormat="1" applyFont="1" applyFill="1"/>
    <xf numFmtId="0" fontId="0" fillId="11" borderId="0" xfId="0" applyFill="1" applyAlignment="1">
      <alignment horizontal="center" vertical="center"/>
    </xf>
    <xf numFmtId="177" fontId="0" fillId="11" borderId="13" xfId="1" applyNumberFormat="1" applyFont="1" applyFill="1" applyBorder="1" applyAlignment="1">
      <alignment horizontal="center" vertical="center"/>
    </xf>
    <xf numFmtId="177" fontId="0" fillId="11" borderId="0" xfId="1" applyNumberFormat="1" applyFont="1" applyFill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9" fontId="0" fillId="11" borderId="18" xfId="2" applyFont="1" applyFill="1" applyBorder="1" applyAlignment="1">
      <alignment horizontal="center" vertical="center"/>
    </xf>
    <xf numFmtId="9" fontId="0" fillId="11" borderId="19" xfId="2" applyFont="1" applyFill="1" applyBorder="1" applyAlignment="1">
      <alignment horizontal="center" vertical="center"/>
    </xf>
    <xf numFmtId="1" fontId="0" fillId="11" borderId="20" xfId="0" applyNumberFormat="1" applyFill="1" applyBorder="1" applyAlignment="1">
      <alignment horizontal="center" vertical="center"/>
    </xf>
    <xf numFmtId="9" fontId="0" fillId="11" borderId="13" xfId="2" applyFont="1" applyFill="1" applyBorder="1" applyAlignment="1">
      <alignment horizontal="center" vertical="center"/>
    </xf>
    <xf numFmtId="9" fontId="0" fillId="11" borderId="0" xfId="2" applyFont="1" applyFill="1" applyAlignment="1">
      <alignment horizontal="center" vertical="center"/>
    </xf>
    <xf numFmtId="1" fontId="0" fillId="11" borderId="14" xfId="0" applyNumberFormat="1" applyFill="1" applyBorder="1" applyAlignment="1">
      <alignment horizontal="center" vertical="center"/>
    </xf>
    <xf numFmtId="178" fontId="0" fillId="11" borderId="13" xfId="2" applyNumberFormat="1" applyFont="1" applyFill="1" applyBorder="1" applyAlignment="1">
      <alignment horizontal="center" vertical="center"/>
    </xf>
    <xf numFmtId="178" fontId="0" fillId="11" borderId="0" xfId="2" applyNumberFormat="1" applyFont="1" applyFill="1" applyAlignment="1">
      <alignment horizontal="center" vertical="center"/>
    </xf>
    <xf numFmtId="184" fontId="0" fillId="11" borderId="14" xfId="0" applyNumberFormat="1" applyFill="1" applyBorder="1" applyAlignment="1">
      <alignment horizontal="center" vertical="center"/>
    </xf>
    <xf numFmtId="178" fontId="0" fillId="11" borderId="15" xfId="2" applyNumberFormat="1" applyFont="1" applyFill="1" applyBorder="1" applyAlignment="1">
      <alignment horizontal="center" vertical="center"/>
    </xf>
    <xf numFmtId="178" fontId="0" fillId="11" borderId="16" xfId="2" applyNumberFormat="1" applyFont="1" applyFill="1" applyBorder="1" applyAlignment="1">
      <alignment horizontal="center" vertical="center"/>
    </xf>
    <xf numFmtId="184" fontId="0" fillId="11" borderId="17" xfId="0" applyNumberFormat="1" applyFill="1" applyBorder="1" applyAlignment="1">
      <alignment horizontal="center" vertical="center"/>
    </xf>
    <xf numFmtId="0" fontId="36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9" fillId="5" borderId="0" xfId="1" applyNumberFormat="1" applyFont="1" applyFill="1"/>
    <xf numFmtId="178" fontId="0" fillId="11" borderId="18" xfId="2" applyNumberFormat="1" applyFont="1" applyFill="1" applyBorder="1" applyAlignment="1">
      <alignment horizontal="center" vertical="center"/>
    </xf>
    <xf numFmtId="178" fontId="0" fillId="11" borderId="19" xfId="2" applyNumberFormat="1" applyFon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184" fontId="0" fillId="11" borderId="20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11" borderId="14" xfId="2" applyFont="1" applyFill="1" applyBorder="1" applyAlignment="1">
      <alignment horizontal="center" vertical="center"/>
    </xf>
    <xf numFmtId="9" fontId="1" fillId="0" borderId="0" xfId="0" applyNumberFormat="1" applyFont="1"/>
    <xf numFmtId="177" fontId="27" fillId="0" borderId="0" xfId="0" applyNumberFormat="1" applyFont="1"/>
    <xf numFmtId="178" fontId="26" fillId="0" borderId="0" xfId="0" applyNumberFormat="1" applyFont="1"/>
    <xf numFmtId="37" fontId="1" fillId="0" borderId="0" xfId="0" applyNumberFormat="1" applyFont="1"/>
    <xf numFmtId="178" fontId="18" fillId="0" borderId="0" xfId="0" applyNumberFormat="1" applyFont="1"/>
    <xf numFmtId="9" fontId="30" fillId="0" borderId="14" xfId="0" applyNumberFormat="1" applyFont="1" applyBorder="1"/>
    <xf numFmtId="9" fontId="30" fillId="15" borderId="14" xfId="0" applyNumberFormat="1" applyFont="1" applyFill="1" applyBorder="1"/>
    <xf numFmtId="9" fontId="33" fillId="0" borderId="14" xfId="0" applyNumberFormat="1" applyFont="1" applyBorder="1"/>
    <xf numFmtId="178" fontId="23" fillId="0" borderId="14" xfId="0" applyNumberFormat="1" applyFont="1" applyBorder="1"/>
    <xf numFmtId="182" fontId="27" fillId="0" borderId="0" xfId="0" applyNumberFormat="1" applyFont="1"/>
    <xf numFmtId="180" fontId="27" fillId="0" borderId="0" xfId="0" applyNumberFormat="1" applyFont="1"/>
    <xf numFmtId="180" fontId="24" fillId="0" borderId="0" xfId="0" applyNumberFormat="1" applyFont="1"/>
    <xf numFmtId="183" fontId="27" fillId="0" borderId="0" xfId="0" applyNumberFormat="1" applyFont="1"/>
    <xf numFmtId="180" fontId="0" fillId="0" borderId="0" xfId="0" applyNumberFormat="1"/>
    <xf numFmtId="177" fontId="1" fillId="0" borderId="0" xfId="0" applyNumberFormat="1" applyFont="1"/>
    <xf numFmtId="178" fontId="1" fillId="0" borderId="0" xfId="0" applyNumberFormat="1" applyFont="1"/>
    <xf numFmtId="181" fontId="0" fillId="0" borderId="9" xfId="1" applyNumberFormat="1" applyFont="1" applyBorder="1" applyAlignment="1">
      <alignment horizontal="center"/>
    </xf>
    <xf numFmtId="0" fontId="1" fillId="11" borderId="0" xfId="0" applyFont="1" applyFill="1"/>
    <xf numFmtId="177" fontId="1" fillId="11" borderId="13" xfId="0" applyNumberFormat="1" applyFont="1" applyFill="1" applyBorder="1" applyAlignment="1">
      <alignment horizontal="center" vertical="center"/>
    </xf>
    <xf numFmtId="177" fontId="1" fillId="11" borderId="0" xfId="0" applyNumberFormat="1" applyFont="1" applyFill="1" applyAlignment="1">
      <alignment horizontal="center" vertical="center"/>
    </xf>
    <xf numFmtId="9" fontId="1" fillId="11" borderId="14" xfId="0" applyNumberFormat="1" applyFont="1" applyFill="1" applyBorder="1" applyAlignment="1">
      <alignment horizontal="center" vertical="center"/>
    </xf>
    <xf numFmtId="9" fontId="1" fillId="11" borderId="0" xfId="0" applyNumberFormat="1" applyFont="1" applyFill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178" fontId="1" fillId="11" borderId="18" xfId="0" applyNumberFormat="1" applyFont="1" applyFill="1" applyBorder="1" applyAlignment="1">
      <alignment horizontal="center" vertical="center"/>
    </xf>
    <xf numFmtId="178" fontId="1" fillId="11" borderId="19" xfId="0" applyNumberFormat="1" applyFont="1" applyFill="1" applyBorder="1" applyAlignment="1">
      <alignment horizontal="center" vertical="center"/>
    </xf>
    <xf numFmtId="184" fontId="1" fillId="11" borderId="20" xfId="0" applyNumberFormat="1" applyFont="1" applyFill="1" applyBorder="1" applyAlignment="1">
      <alignment horizontal="center" vertical="center"/>
    </xf>
    <xf numFmtId="9" fontId="1" fillId="11" borderId="13" xfId="0" applyNumberFormat="1" applyFont="1" applyFill="1" applyBorder="1" applyAlignment="1">
      <alignment horizontal="center" vertical="center"/>
    </xf>
    <xf numFmtId="1" fontId="1" fillId="11" borderId="14" xfId="0" applyNumberFormat="1" applyFont="1" applyFill="1" applyBorder="1" applyAlignment="1">
      <alignment horizontal="center" vertical="center"/>
    </xf>
    <xf numFmtId="178" fontId="1" fillId="11" borderId="13" xfId="0" applyNumberFormat="1" applyFont="1" applyFill="1" applyBorder="1" applyAlignment="1">
      <alignment horizontal="center" vertical="center"/>
    </xf>
    <xf numFmtId="178" fontId="1" fillId="11" borderId="0" xfId="0" applyNumberFormat="1" applyFont="1" applyFill="1" applyAlignment="1">
      <alignment horizontal="center" vertical="center"/>
    </xf>
    <xf numFmtId="184" fontId="1" fillId="11" borderId="14" xfId="0" applyNumberFormat="1" applyFont="1" applyFill="1" applyBorder="1" applyAlignment="1">
      <alignment horizontal="center" vertical="center"/>
    </xf>
    <xf numFmtId="178" fontId="1" fillId="11" borderId="15" xfId="0" applyNumberFormat="1" applyFont="1" applyFill="1" applyBorder="1" applyAlignment="1">
      <alignment horizontal="center" vertical="center"/>
    </xf>
    <xf numFmtId="178" fontId="1" fillId="11" borderId="16" xfId="0" applyNumberFormat="1" applyFont="1" applyFill="1" applyBorder="1" applyAlignment="1">
      <alignment horizontal="center" vertical="center"/>
    </xf>
    <xf numFmtId="184" fontId="1" fillId="11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0">
                <a:latin typeface="+mn-ea"/>
                <a:ea typeface="+mn-ea"/>
              </a:rPr>
              <a:t>Meituan</a:t>
            </a:r>
            <a:r>
              <a:rPr lang="zh-CN" altLang="en-US" b="0">
                <a:latin typeface="+mn-ea"/>
                <a:ea typeface="+mn-ea"/>
              </a:rPr>
              <a:t>季度总收入额及增速</a:t>
            </a:r>
          </a:p>
        </c:rich>
      </c:tx>
      <c:layout>
        <c:manualLayout>
          <c:xMode val="edge"/>
          <c:yMode val="edge"/>
          <c:x val="0.26028342920931419"/>
          <c:y val="2.772970542995532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9013207181437645E-2"/>
          <c:y val="0.15251308151753251"/>
          <c:w val="0.84124182082030174"/>
          <c:h val="0.63859821882479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Financial Data'!$A$5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('Key Financial Data'!$J$3:$M$3,'Key Financial Data'!$Z$3:$AM$3)</c:f>
              <c:strCache>
                <c:ptCount val="18"/>
                <c:pt idx="0">
                  <c:v>19Q1</c:v>
                </c:pt>
                <c:pt idx="1">
                  <c:v>19Q2</c:v>
                </c:pt>
                <c:pt idx="2">
                  <c:v>19Q3</c:v>
                </c:pt>
                <c:pt idx="3">
                  <c:v>19Q4</c:v>
                </c:pt>
                <c:pt idx="4">
                  <c:v>23Q1</c:v>
                </c:pt>
                <c:pt idx="5">
                  <c:v>23Q2</c:v>
                </c:pt>
                <c:pt idx="6">
                  <c:v>23Q3</c:v>
                </c:pt>
                <c:pt idx="7">
                  <c:v>23Q4</c:v>
                </c:pt>
                <c:pt idx="8">
                  <c:v>24Q1</c:v>
                </c:pt>
                <c:pt idx="9">
                  <c:v>24Q2</c:v>
                </c:pt>
                <c:pt idx="10">
                  <c:v>24Q3</c:v>
                </c:pt>
                <c:pt idx="11">
                  <c:v>24Q4</c:v>
                </c:pt>
                <c:pt idx="12">
                  <c:v>25Q1</c:v>
                </c:pt>
                <c:pt idx="13">
                  <c:v>25Q2</c:v>
                </c:pt>
                <c:pt idx="14">
                  <c:v>25Q3</c:v>
                </c:pt>
                <c:pt idx="15">
                  <c:v>25Q4</c:v>
                </c:pt>
                <c:pt idx="16">
                  <c:v>26Q1</c:v>
                </c:pt>
                <c:pt idx="17">
                  <c:v>26Q2</c:v>
                </c:pt>
              </c:strCache>
            </c:strRef>
          </c:cat>
          <c:val>
            <c:numRef>
              <c:f>('Key Financial Data'!$J$5:$M$5,'Key Financial Data'!$Z$5:$AM$5)</c:f>
              <c:numCache>
                <c:formatCode>#,##0_);\(#,##0\)</c:formatCode>
                <c:ptCount val="18"/>
                <c:pt idx="0">
                  <c:v>19173512</c:v>
                </c:pt>
                <c:pt idx="1">
                  <c:v>22703137</c:v>
                </c:pt>
                <c:pt idx="2">
                  <c:v>27493629</c:v>
                </c:pt>
                <c:pt idx="3">
                  <c:v>28158253</c:v>
                </c:pt>
                <c:pt idx="4">
                  <c:v>58617472</c:v>
                </c:pt>
                <c:pt idx="5">
                  <c:v>67964624</c:v>
                </c:pt>
                <c:pt idx="6">
                  <c:v>76466907</c:v>
                </c:pt>
                <c:pt idx="7">
                  <c:v>73695951</c:v>
                </c:pt>
                <c:pt idx="8">
                  <c:v>73275884</c:v>
                </c:pt>
                <c:pt idx="9" formatCode="_(* #,##0_);_(* \(#,##0\);_(* &quot;-&quot;??_);_(@_)">
                  <c:v>82251077</c:v>
                </c:pt>
                <c:pt idx="10" formatCode="_(* #,##0_);_(* \(#,##0\);_(* &quot;-&quot;??_);_(@_)">
                  <c:v>93577319</c:v>
                </c:pt>
                <c:pt idx="11" formatCode="_(* #,##0_);_(* \(#,##0\);_(* &quot;-&quot;??_);_(@_)">
                  <c:v>88487296</c:v>
                </c:pt>
                <c:pt idx="12" formatCode="_(* #,##0_);_(* \(#,##0\);_(* &quot;-&quot;??_);_(@_)">
                  <c:v>86557126</c:v>
                </c:pt>
                <c:pt idx="13" formatCode="_(* #,##0_);_(* \(#,##0\);_(* &quot;-&quot;??_);_(@_)">
                  <c:v>91840480</c:v>
                </c:pt>
                <c:pt idx="14" formatCode="_(* #,##0_);_(* \(#,##0\);_(* &quot;-&quot;??_);_(@_)">
                  <c:v>95488113</c:v>
                </c:pt>
                <c:pt idx="15" formatCode="_(* #,##0_);_(* \(#,##0\);_(* &quot;-&quot;??_);_(@_)">
                  <c:v>92096429</c:v>
                </c:pt>
                <c:pt idx="16" formatCode="_(* #,##0_);_(* \(#,##0\);_(* &quot;-&quot;??_);_(@_)">
                  <c:v>91038906</c:v>
                </c:pt>
                <c:pt idx="17" formatCode="_(* #,##0_);_(* \(#,##0\);_(* &quot;-&quot;??_);_(@_)">
                  <c:v>104643044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0-4EF0-A96A-2F07F9042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300768"/>
        <c:axId val="481301184"/>
      </c:barChart>
      <c:lineChart>
        <c:grouping val="standard"/>
        <c:varyColors val="0"/>
        <c:ser>
          <c:idx val="1"/>
          <c:order val="1"/>
          <c:tx>
            <c:strRef>
              <c:f>'Key Financial Data'!$A$43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50-4EF0-A96A-2F07F90428B5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50-4EF0-A96A-2F07F90428B5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50-4EF0-A96A-2F07F90428B5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50-4EF0-A96A-2F07F90428B5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50-4EF0-A96A-2F07F90428B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'Key Financial Data'!$F$3:$AM$3</c:f>
              <c:strCache>
                <c:ptCount val="34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  <c:pt idx="22">
                  <c:v>23Q3</c:v>
                </c:pt>
                <c:pt idx="23">
                  <c:v>23Q4</c:v>
                </c:pt>
                <c:pt idx="24">
                  <c:v>24Q1</c:v>
                </c:pt>
                <c:pt idx="25">
                  <c:v>24Q2</c:v>
                </c:pt>
                <c:pt idx="26">
                  <c:v>24Q3</c:v>
                </c:pt>
                <c:pt idx="27">
                  <c:v>24Q4</c:v>
                </c:pt>
                <c:pt idx="28">
                  <c:v>25Q1</c:v>
                </c:pt>
                <c:pt idx="29">
                  <c:v>25Q2</c:v>
                </c:pt>
                <c:pt idx="30">
                  <c:v>25Q3</c:v>
                </c:pt>
                <c:pt idx="31">
                  <c:v>25Q4</c:v>
                </c:pt>
                <c:pt idx="32">
                  <c:v>26Q1</c:v>
                </c:pt>
                <c:pt idx="33">
                  <c:v>26Q2</c:v>
                </c:pt>
              </c:strCache>
            </c:strRef>
          </c:cat>
          <c:val>
            <c:numRef>
              <c:f>('Key Financial Data'!$J$44:$M$44,'Key Financial Data'!$Z$44:$AM$44)</c:f>
              <c:numCache>
                <c:formatCode>0%</c:formatCode>
                <c:ptCount val="18"/>
                <c:pt idx="0">
                  <c:v>0.70052371325996132</c:v>
                </c:pt>
                <c:pt idx="1">
                  <c:v>0.50623581713347332</c:v>
                </c:pt>
                <c:pt idx="2">
                  <c:v>0.44126810868463551</c:v>
                </c:pt>
                <c:pt idx="3">
                  <c:v>0.42188609339422234</c:v>
                </c:pt>
                <c:pt idx="4">
                  <c:v>0.2668910859367426</c:v>
                </c:pt>
                <c:pt idx="5">
                  <c:v>0.33425222165070356</c:v>
                </c:pt>
                <c:pt idx="6">
                  <c:v>0.2211475571940813</c:v>
                </c:pt>
                <c:pt idx="7">
                  <c:v>0.22563198728652112</c:v>
                </c:pt>
                <c:pt idx="8">
                  <c:v>0.25006898966915525</c:v>
                </c:pt>
                <c:pt idx="9">
                  <c:v>0.21020425273006738</c:v>
                </c:pt>
                <c:pt idx="10">
                  <c:v>0.22376231328409824</c:v>
                </c:pt>
                <c:pt idx="11">
                  <c:v>0.20070770238109814</c:v>
                </c:pt>
                <c:pt idx="12">
                  <c:v>0.18124983657651961</c:v>
                </c:pt>
                <c:pt idx="13">
                  <c:v>0.11658695970631494</c:v>
                </c:pt>
                <c:pt idx="14">
                  <c:v>2.0419413811160858E-2</c:v>
                </c:pt>
                <c:pt idx="15">
                  <c:v>4.0787018737695302E-2</c:v>
                </c:pt>
                <c:pt idx="16">
                  <c:v>5.1778290328170051E-2</c:v>
                </c:pt>
                <c:pt idx="17">
                  <c:v>0.13940001184662787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50-4EF0-A96A-2F07F9042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908608"/>
        <c:axId val="593909024"/>
      </c:lineChart>
      <c:catAx>
        <c:axId val="4813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01184"/>
        <c:crosses val="autoZero"/>
        <c:auto val="1"/>
        <c:lblAlgn val="ctr"/>
        <c:lblOffset val="100"/>
        <c:noMultiLvlLbl val="0"/>
      </c:catAx>
      <c:valAx>
        <c:axId val="4813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0076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53027278775782E-2"/>
                <c:y val="2.77296511850059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bn</a:t>
                  </a:r>
                  <a:endParaRPr lang="zh-CN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593908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3909024"/>
        <c:crosses val="autoZero"/>
        <c:auto val="1"/>
        <c:lblAlgn val="ctr"/>
        <c:lblOffset val="100"/>
        <c:noMultiLvlLbl val="0"/>
      </c:catAx>
      <c:valAx>
        <c:axId val="593909024"/>
        <c:scaling>
          <c:orientation val="minMax"/>
          <c:max val="1.3"/>
          <c:min val="-0.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9086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11710712433400911"/>
          <c:y val="0.91746861439573013"/>
          <c:w val="0.86440200962903579"/>
          <c:h val="7.7990189817104399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主要费用占收入比例</a:t>
            </a:r>
          </a:p>
        </c:rich>
      </c:tx>
      <c:layout>
        <c:manualLayout>
          <c:xMode val="edge"/>
          <c:yMode val="edge"/>
          <c:x val="0.2569931758530184"/>
          <c:y val="2.782609203717302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'Key Financial Data'!$A$60</c:f>
              <c:strCache>
                <c:ptCount val="1"/>
                <c:pt idx="0">
                  <c:v>Selling and marketing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5624051489476335E-2"/>
                  <c:y val="-5.45829045913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4A8-4761-8605-B58526D5C256}"/>
                </c:ext>
              </c:extLst>
            </c:dLbl>
            <c:dLbl>
              <c:idx val="4"/>
              <c:layout>
                <c:manualLayout>
                  <c:x val="-5.5624051489476321E-2"/>
                  <c:y val="-4.5485753826086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A8-4761-8605-B58526D5C256}"/>
                </c:ext>
              </c:extLst>
            </c:dLbl>
            <c:dLbl>
              <c:idx val="8"/>
              <c:layout>
                <c:manualLayout>
                  <c:x val="-5.0061646340528794E-2"/>
                  <c:y val="-5.0034329208694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A8-4761-8605-B58526D5C256}"/>
                </c:ext>
              </c:extLst>
            </c:dLbl>
            <c:dLbl>
              <c:idx val="12"/>
              <c:layout>
                <c:manualLayout>
                  <c:x val="-6.1186456638424057E-2"/>
                  <c:y val="-5.00343292086947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A8-4761-8605-B58526D5C256}"/>
                </c:ext>
              </c:extLst>
            </c:dLbl>
            <c:dLbl>
              <c:idx val="16"/>
              <c:layout>
                <c:manualLayout>
                  <c:x val="-1.6687215446842998E-2"/>
                  <c:y val="-5.00343292086947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A8-4761-8605-B58526D5C256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A8-4761-8605-B58526D5C25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Data'!$F$60:$M$60,'Key Financial Data'!$Z$60:$AM$60)</c15:sqref>
                  </c15:fullRef>
                </c:ext>
              </c:extLst>
              <c:f>('Key Financial Data'!$F$60:$I$60,'Key Financial Data'!$K$60:$M$60,'Key Financial Data'!$Z$60:$AM$60)</c:f>
              <c:numCache>
                <c:formatCode>0.0%</c:formatCode>
                <c:ptCount val="17"/>
                <c:pt idx="0">
                  <c:v>0.1827549206085485</c:v>
                </c:pt>
                <c:pt idx="1">
                  <c:v>0.20422003948623879</c:v>
                </c:pt>
                <c:pt idx="2">
                  <c:v>0.18996544281351546</c:v>
                </c:pt>
                <c:pt idx="3">
                  <c:v>0.17798566952870298</c:v>
                </c:pt>
                <c:pt idx="4">
                  <c:v>0.21412897097760741</c:v>
                </c:pt>
                <c:pt idx="5">
                  <c:v>0.22108154577247383</c:v>
                </c:pt>
                <c:pt idx="6">
                  <c:v>0.22695018889165294</c:v>
                </c:pt>
                <c:pt idx="7">
                  <c:v>0.18953441762640488</c:v>
                </c:pt>
                <c:pt idx="8">
                  <c:v>0.18033135298641742</c:v>
                </c:pt>
                <c:pt idx="9">
                  <c:v>0.19185378670658432</c:v>
                </c:pt>
                <c:pt idx="10">
                  <c:v>0.19552323081496353</c:v>
                </c:pt>
                <c:pt idx="11">
                  <c:v>0.17965032711460405</c:v>
                </c:pt>
                <c:pt idx="12">
                  <c:v>0.24519594192016417</c:v>
                </c:pt>
                <c:pt idx="13">
                  <c:v>0.35885959962367253</c:v>
                </c:pt>
                <c:pt idx="14">
                  <c:v>0.34448340011098583</c:v>
                </c:pt>
                <c:pt idx="15">
                  <c:v>0.25229344254202701</c:v>
                </c:pt>
                <c:pt idx="16">
                  <c:v>0.23626362589375746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A8-4761-8605-B58526D5C256}"/>
            </c:ext>
          </c:extLst>
        </c:ser>
        <c:ser>
          <c:idx val="1"/>
          <c:order val="1"/>
          <c:tx>
            <c:strRef>
              <c:f>'Key Financial Data'!$A$61</c:f>
              <c:strCache>
                <c:ptCount val="1"/>
                <c:pt idx="0">
                  <c:v>Research and development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280443766054885E-2"/>
                  <c:y val="-4.5485753826086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A8-4761-8605-B58526D5C256}"/>
                </c:ext>
              </c:extLst>
            </c:dLbl>
            <c:dLbl>
              <c:idx val="4"/>
              <c:layout>
                <c:manualLayout>
                  <c:x val="-5.006164634052869E-2"/>
                  <c:y val="-5.4582904591303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4A8-4761-8605-B58526D5C256}"/>
                </c:ext>
              </c:extLst>
            </c:dLbl>
            <c:dLbl>
              <c:idx val="8"/>
              <c:layout>
                <c:manualLayout>
                  <c:x val="-5.0061646340528794E-2"/>
                  <c:y val="-4.5485753826086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A8-4761-8605-B58526D5C256}"/>
                </c:ext>
              </c:extLst>
            </c:dLbl>
            <c:dLbl>
              <c:idx val="12"/>
              <c:layout>
                <c:manualLayout>
                  <c:x val="-4.7280443766054975E-2"/>
                  <c:y val="-4.09371784434775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4A8-4761-8605-B58526D5C256}"/>
                </c:ext>
              </c:extLst>
            </c:dLbl>
            <c:dLbl>
              <c:idx val="16"/>
              <c:layout>
                <c:manualLayout>
                  <c:x val="-2.5030823170264345E-2"/>
                  <c:y val="-5.00343292086948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A8-4761-8605-B58526D5C256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A8-4761-8605-B58526D5C25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Data'!$F$61:$M$61,'Key Financial Data'!$Z$61:$AM$61)</c15:sqref>
                  </c15:fullRef>
                </c:ext>
              </c:extLst>
              <c:f>('Key Financial Data'!$F$61:$I$61,'Key Financial Data'!$K$61:$M$61,'Key Financial Data'!$Z$61:$AM$61)</c:f>
              <c:numCache>
                <c:formatCode>0.0%</c:formatCode>
                <c:ptCount val="17"/>
                <c:pt idx="0">
                  <c:v>8.9517585168957053E-2</c:v>
                </c:pt>
                <c:pt idx="1">
                  <c:v>7.7739792007813877E-2</c:v>
                </c:pt>
                <c:pt idx="2">
                  <c:v>7.954630566036891E-2</c:v>
                </c:pt>
                <c:pt idx="3">
                  <c:v>8.6107210491779648E-2</c:v>
                </c:pt>
                <c:pt idx="4">
                  <c:v>7.9558683352680654E-2</c:v>
                </c:pt>
                <c:pt idx="5">
                  <c:v>6.9587710668093328E-2</c:v>
                </c:pt>
                <c:pt idx="6">
                  <c:v>7.3617138070448396E-2</c:v>
                </c:pt>
                <c:pt idx="7">
                  <c:v>6.8237361694606105E-2</c:v>
                </c:pt>
                <c:pt idx="8">
                  <c:v>6.4919271513004015E-2</c:v>
                </c:pt>
                <c:pt idx="9">
                  <c:v>5.6568013024609093E-2</c:v>
                </c:pt>
                <c:pt idx="10">
                  <c:v>6.1254951219212303E-2</c:v>
                </c:pt>
                <c:pt idx="11">
                  <c:v>6.6684630910688977E-2</c:v>
                </c:pt>
                <c:pt idx="12">
                  <c:v>6.816261195498978E-2</c:v>
                </c:pt>
                <c:pt idx="13">
                  <c:v>7.264616277420835E-2</c:v>
                </c:pt>
                <c:pt idx="14">
                  <c:v>7.632546751622693E-2</c:v>
                </c:pt>
                <c:pt idx="15">
                  <c:v>7.7363605401848737E-2</c:v>
                </c:pt>
                <c:pt idx="16">
                  <c:v>7.3297227477442259E-2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4A8-4761-8605-B58526D5C256}"/>
            </c:ext>
          </c:extLst>
        </c:ser>
        <c:ser>
          <c:idx val="2"/>
          <c:order val="2"/>
          <c:tx>
            <c:strRef>
              <c:f>'Key Financial Data'!$A$62</c:f>
              <c:strCache>
                <c:ptCount val="1"/>
                <c:pt idx="0">
                  <c:v>General and administrative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280443766054885E-2"/>
                  <c:y val="1.8194301530434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A8-4761-8605-B58526D5C256}"/>
                </c:ext>
              </c:extLst>
            </c:dLbl>
            <c:dLbl>
              <c:idx val="4"/>
              <c:layout>
                <c:manualLayout>
                  <c:x val="-4.4499241191581058E-2"/>
                  <c:y val="2.2742876913042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4A8-4761-8605-B58526D5C256}"/>
                </c:ext>
              </c:extLst>
            </c:dLbl>
            <c:dLbl>
              <c:idx val="8"/>
              <c:layout>
                <c:manualLayout>
                  <c:x val="-4.7280443766054975E-2"/>
                  <c:y val="1.8194301530434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A8-4761-8605-B58526D5C256}"/>
                </c:ext>
              </c:extLst>
            </c:dLbl>
            <c:dLbl>
              <c:idx val="12"/>
              <c:layout>
                <c:manualLayout>
                  <c:x val="-4.4499241191581163E-2"/>
                  <c:y val="2.72914522956517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4A8-4761-8605-B58526D5C256}"/>
                </c:ext>
              </c:extLst>
            </c:dLbl>
            <c:dLbl>
              <c:idx val="16"/>
              <c:layout>
                <c:manualLayout>
                  <c:x val="-2.2249511099626178E-2"/>
                  <c:y val="2.0468768299509721E-2"/>
                </c:manualLayout>
              </c:layout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262260833003003E-2"/>
                      <c:h val="6.81605811861610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94A8-4761-8605-B58526D5C256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4A8-4761-8605-B58526D5C25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Data'!$F$62:$M$62,'Key Financial Data'!$Z$62:$AM$62)</c15:sqref>
                  </c15:fullRef>
                </c:ext>
              </c:extLst>
              <c:f>('Key Financial Data'!$F$62:$I$62,'Key Financial Data'!$K$62:$M$62,'Key Financial Data'!$Z$62:$AM$62)</c:f>
              <c:numCache>
                <c:formatCode>0.0%</c:formatCode>
                <c:ptCount val="17"/>
                <c:pt idx="0">
                  <c:v>4.5733679887497485E-2</c:v>
                </c:pt>
                <c:pt idx="1">
                  <c:v>3.8407770760273227E-2</c:v>
                </c:pt>
                <c:pt idx="2">
                  <c:v>5.5560194021979988E-2</c:v>
                </c:pt>
                <c:pt idx="3">
                  <c:v>3.4033419250833606E-2</c:v>
                </c:pt>
                <c:pt idx="4">
                  <c:v>3.1473491268045564E-2</c:v>
                </c:pt>
                <c:pt idx="5">
                  <c:v>3.3188016876372413E-2</c:v>
                </c:pt>
                <c:pt idx="6">
                  <c:v>3.66408325472318E-2</c:v>
                </c:pt>
                <c:pt idx="7">
                  <c:v>3.1365339789008892E-2</c:v>
                </c:pt>
                <c:pt idx="8">
                  <c:v>3.2764689512819391E-2</c:v>
                </c:pt>
                <c:pt idx="9">
                  <c:v>2.9897843087383174E-2</c:v>
                </c:pt>
                <c:pt idx="10">
                  <c:v>3.3204642166938858E-2</c:v>
                </c:pt>
                <c:pt idx="11">
                  <c:v>3.0350095034347605E-2</c:v>
                </c:pt>
                <c:pt idx="12">
                  <c:v>2.9169599287808601E-2</c:v>
                </c:pt>
                <c:pt idx="13">
                  <c:v>3.0975625206877844E-2</c:v>
                </c:pt>
                <c:pt idx="14">
                  <c:v>3.966126634508272E-2</c:v>
                </c:pt>
                <c:pt idx="15">
                  <c:v>3.2276233635760078E-2</c:v>
                </c:pt>
                <c:pt idx="16">
                  <c:v>3.0943958396317292E-2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A8-4761-8605-B58526D5C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71712"/>
        <c:axId val="752674208"/>
      </c:lineChart>
      <c:catAx>
        <c:axId val="75267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4208"/>
        <c:crosses val="autoZero"/>
        <c:auto val="1"/>
        <c:lblAlgn val="ctr"/>
        <c:lblOffset val="100"/>
        <c:noMultiLvlLbl val="0"/>
      </c:catAx>
      <c:valAx>
        <c:axId val="7526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1712"/>
        <c:crosses val="autoZero"/>
        <c:crossBetween val="between"/>
        <c:majorUnit val="0.1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Meituan</a:t>
            </a:r>
            <a:r>
              <a:rPr lang="zh-CN" sz="1200"/>
              <a:t>季度经营利润及利润率（</a:t>
            </a:r>
            <a:r>
              <a:rPr lang="en-US" sz="1200"/>
              <a:t>Non-GAAP)</a:t>
            </a:r>
            <a:endParaRPr lang="zh-CN" sz="1200"/>
          </a:p>
        </c:rich>
      </c:tx>
      <c:layout>
        <c:manualLayout>
          <c:xMode val="edge"/>
          <c:yMode val="edge"/>
          <c:x val="0.18027076463559499"/>
          <c:y val="4.584350975022868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1019850063652222E-2"/>
          <c:y val="0.23231236203090511"/>
          <c:w val="0.81982315287294316"/>
          <c:h val="0.57588888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Financial Data'!$A$16</c:f>
              <c:strCache>
                <c:ptCount val="1"/>
                <c:pt idx="0">
                  <c:v>Non-GAAP Operating Income(Loss) - comparable to Ctrip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Data'!$F$16:$M$16,'Key Financial Data'!$Z$16:$AM$16)</c15:sqref>
                  </c15:fullRef>
                </c:ext>
              </c:extLst>
              <c:f>('Key Financial Data'!$F$16:$I$16,'Key Financial Data'!$K$16:$M$16,'Key Financial Data'!$Z$16:$AM$16)</c:f>
              <c:numCache>
                <c:formatCode>#,##0_);\(#,##0\)</c:formatCode>
                <c:ptCount val="17"/>
                <c:pt idx="0">
                  <c:v>1236398</c:v>
                </c:pt>
                <c:pt idx="1">
                  <c:v>1321385</c:v>
                </c:pt>
                <c:pt idx="2">
                  <c:v>1264804</c:v>
                </c:pt>
                <c:pt idx="3">
                  <c:v>4278863</c:v>
                </c:pt>
                <c:pt idx="4">
                  <c:v>5749190</c:v>
                </c:pt>
                <c:pt idx="5">
                  <c:v>4356471</c:v>
                </c:pt>
                <c:pt idx="6">
                  <c:v>1999885</c:v>
                </c:pt>
                <c:pt idx="7">
                  <c:v>6360974</c:v>
                </c:pt>
                <c:pt idx="8">
                  <c:v>13092112</c:v>
                </c:pt>
                <c:pt idx="9">
                  <c:v>12599479</c:v>
                </c:pt>
                <c:pt idx="10">
                  <c:v>9556683</c:v>
                </c:pt>
                <c:pt idx="11">
                  <c:v>10172472</c:v>
                </c:pt>
                <c:pt idx="12">
                  <c:v>343469</c:v>
                </c:pt>
                <c:pt idx="13">
                  <c:v>-17422106</c:v>
                </c:pt>
                <c:pt idx="14">
                  <c:v>-16932083</c:v>
                </c:pt>
                <c:pt idx="15">
                  <c:v>-5596932</c:v>
                </c:pt>
                <c:pt idx="16">
                  <c:v>1381920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2-452B-8187-D7E8CED1E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177408"/>
        <c:axId val="742177824"/>
      </c:barChart>
      <c:lineChart>
        <c:grouping val="standard"/>
        <c:varyColors val="0"/>
        <c:ser>
          <c:idx val="1"/>
          <c:order val="1"/>
          <c:tx>
            <c:strRef>
              <c:f>'Key Financial Data'!$A$64</c:f>
              <c:strCache>
                <c:ptCount val="1"/>
                <c:pt idx="0">
                  <c:v>Non-GAAP Operating Margin (Comparable to Ctrip)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0294850357095779E-2"/>
                  <c:y val="-7.73886995293232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02-452B-8187-D7E8CED1E701}"/>
                </c:ext>
              </c:extLst>
            </c:dLbl>
            <c:dLbl>
              <c:idx val="4"/>
              <c:layout>
                <c:manualLayout>
                  <c:x val="-5.3253370966336692E-2"/>
                  <c:y val="-5.462731731481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02-452B-8187-D7E8CED1E701}"/>
                </c:ext>
              </c:extLst>
            </c:dLbl>
            <c:dLbl>
              <c:idx val="8"/>
              <c:layout>
                <c:manualLayout>
                  <c:x val="-5.6211891575577676E-2"/>
                  <c:y val="-6.828414664352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02-452B-8187-D7E8CED1E701}"/>
                </c:ext>
              </c:extLst>
            </c:dLbl>
            <c:dLbl>
              <c:idx val="12"/>
              <c:layout>
                <c:manualLayout>
                  <c:x val="-3.5502247310891133E-2"/>
                  <c:y val="-5.0075040871915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02-452B-8187-D7E8CED1E701}"/>
                </c:ext>
              </c:extLst>
            </c:dLbl>
            <c:dLbl>
              <c:idx val="16"/>
              <c:layout>
                <c:manualLayout>
                  <c:x val="-5.3253370966336692E-2"/>
                  <c:y val="-5.91795937577178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02-452B-8187-D7E8CED1E701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02-452B-8187-D7E8CED1E70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Data'!$F$64:$M$64,'Key Financial Data'!$Z$64:$AM$64)</c15:sqref>
                  </c15:fullRef>
                </c:ext>
              </c:extLst>
              <c:f>('Key Financial Data'!$F$64:$I$64,'Key Financial Data'!$K$64:$M$64,'Key Financial Data'!$Z$64:$AM$64)</c:f>
              <c:numCache>
                <c:formatCode>0.0%</c:formatCode>
                <c:ptCount val="17"/>
                <c:pt idx="0">
                  <c:v>5.4459346300909872E-2</c:v>
                </c:pt>
                <c:pt idx="1">
                  <c:v>4.8061498174722585E-2</c:v>
                </c:pt>
                <c:pt idx="2">
                  <c:v>4.491770139290957E-2</c:v>
                </c:pt>
                <c:pt idx="3">
                  <c:v>7.2996375551644399E-2</c:v>
                </c:pt>
                <c:pt idx="4">
                  <c:v>8.4590918946303592E-2</c:v>
                </c:pt>
                <c:pt idx="5">
                  <c:v>5.697197874107815E-2</c:v>
                </c:pt>
                <c:pt idx="6">
                  <c:v>2.7136972559048733E-2</c:v>
                </c:pt>
                <c:pt idx="7">
                  <c:v>8.680856037164969E-2</c:v>
                </c:pt>
                <c:pt idx="8">
                  <c:v>0.15917252974085677</c:v>
                </c:pt>
                <c:pt idx="9">
                  <c:v>0.1346424447146215</c:v>
                </c:pt>
                <c:pt idx="10">
                  <c:v>0.10800062191978382</c:v>
                </c:pt>
                <c:pt idx="11">
                  <c:v>0.11752321813457624</c:v>
                </c:pt>
                <c:pt idx="12">
                  <c:v>3.7398432586589268E-3</c:v>
                </c:pt>
                <c:pt idx="13">
                  <c:v>-0.18245313948135095</c:v>
                </c:pt>
                <c:pt idx="14">
                  <c:v>-0.1838516778973048</c:v>
                </c:pt>
                <c:pt idx="15">
                  <c:v>-6.1478462845324613E-2</c:v>
                </c:pt>
                <c:pt idx="16">
                  <c:v>1.3206037851880532E-2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02-452B-8187-D7E8CED1E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658976"/>
        <c:axId val="742656896"/>
      </c:lineChart>
      <c:catAx>
        <c:axId val="7421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7824"/>
        <c:crosses val="autoZero"/>
        <c:auto val="1"/>
        <c:lblAlgn val="ctr"/>
        <c:lblOffset val="100"/>
        <c:noMultiLvlLbl val="0"/>
      </c:catAx>
      <c:valAx>
        <c:axId val="7421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7408"/>
        <c:crosses val="autoZero"/>
        <c:crossBetween val="between"/>
        <c:majorUnit val="5000000"/>
        <c:dispUnits>
          <c:builtInUnit val="millions"/>
          <c:dispUnitsLbl>
            <c:layout>
              <c:manualLayout>
                <c:xMode val="edge"/>
                <c:yMode val="edge"/>
                <c:x val="3.2272882057407498E-2"/>
                <c:y val="4.0242639662093488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bn</a:t>
                  </a:r>
                  <a:endParaRPr lang="zh-CN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742658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2656896"/>
        <c:crosses val="autoZero"/>
        <c:auto val="1"/>
        <c:lblAlgn val="ctr"/>
        <c:lblOffset val="100"/>
        <c:noMultiLvlLbl val="0"/>
      </c:catAx>
      <c:valAx>
        <c:axId val="7426568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58976"/>
        <c:crosses val="max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年度总收入及增速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5581146106736663E-2"/>
          <c:y val="0.18039370078740161"/>
          <c:w val="0.82729615048118976"/>
          <c:h val="0.601673957421988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Financial Data'!$A$5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'Key Financial Data'!$AW$3:$BA$3</c:f>
              <c:strCache>
                <c:ptCount val="1"/>
                <c:pt idx="0">
                  <c:v>2018 FY</c:v>
                </c:pt>
              </c:strCache>
            </c:strRef>
          </c:cat>
          <c:val>
            <c:numRef>
              <c:f>'Key Financial Data'!$AW$5:$BA$5</c:f>
              <c:numCache>
                <c:formatCode>#,##0_);\(#,##0\)</c:formatCode>
                <c:ptCount val="1"/>
                <c:pt idx="0">
                  <c:v>65227278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7-4EEF-8CD0-020B0CBF5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42655648"/>
        <c:axId val="742655232"/>
      </c:barChart>
      <c:lineChart>
        <c:grouping val="standard"/>
        <c:varyColors val="0"/>
        <c:ser>
          <c:idx val="1"/>
          <c:order val="1"/>
          <c:tx>
            <c:v>Revenues 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'Key Financial Data'!$AW$44:$BA$44</c:f>
              <c:numCache>
                <c:formatCode>0%</c:formatCode>
                <c:ptCount val="1"/>
                <c:pt idx="0">
                  <c:v>0.92252130961969536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7-4EEF-8CD0-020B0CBF5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69920"/>
        <c:axId val="742165344"/>
      </c:lineChart>
      <c:catAx>
        <c:axId val="7426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55232"/>
        <c:crosses val="autoZero"/>
        <c:auto val="1"/>
        <c:lblAlgn val="ctr"/>
        <c:lblOffset val="100"/>
        <c:noMultiLvlLbl val="0"/>
      </c:catAx>
      <c:valAx>
        <c:axId val="742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55648"/>
        <c:crosses val="autoZero"/>
        <c:crossBetween val="between"/>
        <c:majorUnit val="10000000"/>
        <c:dispUnits>
          <c:builtInUnit val="millions"/>
          <c:dispUnitsLbl>
            <c:layout>
              <c:manualLayout>
                <c:xMode val="edge"/>
                <c:yMode val="edge"/>
                <c:x val="1.9444444444444441E-2"/>
                <c:y val="4.6134441528142313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742169920"/>
        <c:scaling>
          <c:orientation val="minMax"/>
        </c:scaling>
        <c:delete val="1"/>
        <c:axPos val="b"/>
        <c:majorTickMark val="out"/>
        <c:minorTickMark val="none"/>
        <c:tickLblPos val="nextTo"/>
        <c:crossAx val="742165344"/>
        <c:crosses val="autoZero"/>
        <c:auto val="1"/>
        <c:lblAlgn val="ctr"/>
        <c:lblOffset val="100"/>
        <c:noMultiLvlLbl val="0"/>
      </c:catAx>
      <c:valAx>
        <c:axId val="74216534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6992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年度总收入按业务部门分布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9900481189851273E-2"/>
          <c:y val="0.15261592300962379"/>
          <c:w val="0.80419903762029743"/>
          <c:h val="0.5559536307961503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'Segment Reporting'!$A$4</c:f>
              <c:strCache>
                <c:ptCount val="1"/>
                <c:pt idx="0">
                  <c:v>Food Delivery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Reporting'!$AT$16:$AX$16</c:f>
              <c:numCache>
                <c:formatCode>_(* #,##0_);_(* \(#,##0\);_(* "-"??_);_(@_)</c:formatCode>
                <c:ptCount val="1"/>
                <c:pt idx="0">
                  <c:v>54843205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4-421A-B683-BCFB7D37ED7B}"/>
            </c:ext>
          </c:extLst>
        </c:ser>
        <c:ser>
          <c:idx val="1"/>
          <c:order val="1"/>
          <c:tx>
            <c:strRef>
              <c:f>'Segment Reporting'!$A$47</c:f>
              <c:strCache>
                <c:ptCount val="1"/>
                <c:pt idx="0">
                  <c:v>Instore, Hotels and Travel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Reporting'!$AT$56:$AX$56</c:f>
              <c:numCache>
                <c:formatCode>_(* #,##0_);_(* \(#,##0\);_(* "-"??_);_(@_)</c:formatCode>
                <c:ptCount val="1"/>
                <c:pt idx="0">
                  <c:v>22275472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4-421A-B683-BCFB7D37ED7B}"/>
            </c:ext>
          </c:extLst>
        </c:ser>
        <c:ser>
          <c:idx val="2"/>
          <c:order val="2"/>
          <c:tx>
            <c:strRef>
              <c:f>'Segment Reporting'!$A$107</c:f>
              <c:strCache>
                <c:ptCount val="1"/>
                <c:pt idx="0">
                  <c:v>New Initiatives and Others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Reporting'!$AT$114:$AX$114</c:f>
              <c:numCache>
                <c:formatCode>_(* #,##0_);_(* \(#,##0\);_(* "-"??_);_(@_)</c:formatCode>
                <c:ptCount val="1"/>
                <c:pt idx="0">
                  <c:v>20409854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4-421A-B683-BCFB7D37E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2667712"/>
        <c:axId val="742666464"/>
      </c:barChart>
      <c:lineChart>
        <c:grouping val="standard"/>
        <c:varyColors val="0"/>
        <c:ser>
          <c:idx val="3"/>
          <c:order val="3"/>
          <c:tx>
            <c:v>Food delivery YoY frowth</c:v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Reporting'!$AT$37:$AX$37</c:f>
              <c:numCache>
                <c:formatCode>0%</c:formatCode>
                <c:ptCount val="1"/>
                <c:pt idx="0">
                  <c:v>0.43782832132368532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4-421A-B683-BCFB7D37ED7B}"/>
            </c:ext>
          </c:extLst>
        </c:ser>
        <c:ser>
          <c:idx val="4"/>
          <c:order val="4"/>
          <c:tx>
            <c:v>Instore,Hotels and Travel YoY growth</c:v>
          </c:tx>
          <c:spPr>
            <a:ln w="28575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Reporting'!$AT$71:$AX$71</c:f>
              <c:numCache>
                <c:formatCode>0%</c:formatCode>
                <c:ptCount val="1"/>
                <c:pt idx="0">
                  <c:v>0.40624774902541683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E4-421A-B683-BCFB7D37ED7B}"/>
            </c:ext>
          </c:extLst>
        </c:ser>
        <c:ser>
          <c:idx val="5"/>
          <c:order val="5"/>
          <c:tx>
            <c:v>New Initiatives and Others YoY growth</c:v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Reporting'!$AT$127:$AX$127</c:f>
              <c:numCache>
                <c:formatCode>0%</c:formatCode>
                <c:ptCount val="1"/>
                <c:pt idx="0">
                  <c:v>0.81520413766336297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E4-421A-B683-BCFB7D37E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72416"/>
        <c:axId val="742170752"/>
      </c:lineChart>
      <c:catAx>
        <c:axId val="74266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6464"/>
        <c:crosses val="autoZero"/>
        <c:auto val="1"/>
        <c:lblAlgn val="ctr"/>
        <c:lblOffset val="100"/>
        <c:noMultiLvlLbl val="0"/>
      </c:catAx>
      <c:valAx>
        <c:axId val="7426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7712"/>
        <c:crosses val="autoZero"/>
        <c:crossBetween val="between"/>
        <c:majorUnit val="0.2"/>
      </c:valAx>
      <c:catAx>
        <c:axId val="742172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2170752"/>
        <c:crosses val="autoZero"/>
        <c:auto val="1"/>
        <c:lblAlgn val="ctr"/>
        <c:lblOffset val="100"/>
        <c:noMultiLvlLbl val="0"/>
      </c:catAx>
      <c:valAx>
        <c:axId val="742170752"/>
        <c:scaling>
          <c:orientation val="minMax"/>
          <c:max val="1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2416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5373797025371829E-2"/>
          <c:y val="0.78819116360454944"/>
          <c:w val="0.96369663167104092"/>
          <c:h val="0.184031058617672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季度总收入按收入类型分布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340974044911053"/>
          <c:w val="0.86969041648698564"/>
          <c:h val="0.6651883002499531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'Segment Reporting'!$A$153</c:f>
              <c:strCache>
                <c:ptCount val="1"/>
                <c:pt idx="0">
                  <c:v>Commission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Reporting'!$F$3:$AB$3</c:f>
              <c:strCache>
                <c:ptCount val="23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  <c:pt idx="22">
                  <c:v>23Q3</c:v>
                </c:pt>
              </c:strCache>
            </c:strRef>
          </c:cat>
          <c:val>
            <c:numRef>
              <c:f>'Segment Reporting'!$F$139:$AB$139</c:f>
              <c:numCache>
                <c:formatCode>#,##0</c:formatCode>
                <c:ptCount val="23"/>
                <c:pt idx="0">
                  <c:v>9211226</c:v>
                </c:pt>
                <c:pt idx="1">
                  <c:v>11082513</c:v>
                </c:pt>
                <c:pt idx="2">
                  <c:v>13568388</c:v>
                </c:pt>
                <c:pt idx="3">
                  <c:v>13150122</c:v>
                </c:pt>
                <c:pt idx="4">
                  <c:v>13164718</c:v>
                </c:pt>
                <c:pt idx="5">
                  <c:v>15429574</c:v>
                </c:pt>
                <c:pt idx="6" formatCode="General">
                  <c:v>18573968</c:v>
                </c:pt>
                <c:pt idx="7" formatCode="General">
                  <c:v>18357737</c:v>
                </c:pt>
                <c:pt idx="8" formatCode="_(* #,##0_);_(* \(#,##0\);_(* &quot;-&quot;??_);_(@_)">
                  <c:v>10800101</c:v>
                </c:pt>
                <c:pt idx="9" formatCode="_(* #,##0_);_(* \(#,##0\);_(* &quot;-&quot;??_);_(@_)">
                  <c:v>15911364</c:v>
                </c:pt>
                <c:pt idx="10" formatCode="_(* #,##0_);_(* \(#,##0\);_(* &quot;-&quot;??_);_(@_)">
                  <c:v>23128278</c:v>
                </c:pt>
                <c:pt idx="11" formatCode="_(* #,##0_);_(* \(#,##0\);_(* &quot;-&quot;??_);_(@_)">
                  <c:v>24373609</c:v>
                </c:pt>
                <c:pt idx="12" formatCode="_(* #,##0_);_(* \(#,##0\);_(* &quot;-&quot;??_);_(@_)">
                  <c:v>23454460</c:v>
                </c:pt>
                <c:pt idx="13" formatCode="_(* #,##0_);_(* \(#,##0\);_(* &quot;-&quot;??_);_(@_)">
                  <c:v>26900050</c:v>
                </c:pt>
                <c:pt idx="14" formatCode="_(* #,##0_);_(* \(#,##0\);_(* &quot;-&quot;??_);_(@_)">
                  <c:v>29558524</c:v>
                </c:pt>
                <c:pt idx="15" formatCode="_(* #,##0_);_(* \(#,##0\);_(* &quot;-&quot;??_);_(@_)">
                  <c:v>28414844</c:v>
                </c:pt>
                <c:pt idx="16" formatCode="_(* #,##0_);_(* \(#,##0\);_(* &quot;-&quot;??_);_(@_)">
                  <c:v>26532092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4-485C-BF71-FA1D6F61551A}"/>
            </c:ext>
          </c:extLst>
        </c:ser>
        <c:ser>
          <c:idx val="1"/>
          <c:order val="1"/>
          <c:tx>
            <c:strRef>
              <c:f>'Segment Reporting'!$A$125</c:f>
              <c:strCache>
                <c:ptCount val="1"/>
                <c:pt idx="0">
                  <c:v>Online Marketing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Reporting'!$F$3:$AB$3</c:f>
              <c:strCache>
                <c:ptCount val="23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  <c:pt idx="22">
                  <c:v>23Q3</c:v>
                </c:pt>
              </c:strCache>
            </c:strRef>
          </c:cat>
          <c:val>
            <c:numRef>
              <c:f>'Segment Reporting'!$F$140:$AB$140</c:f>
              <c:numCache>
                <c:formatCode>#,##0</c:formatCode>
                <c:ptCount val="23"/>
                <c:pt idx="0">
                  <c:v>1496028</c:v>
                </c:pt>
                <c:pt idx="1">
                  <c:v>2099972</c:v>
                </c:pt>
                <c:pt idx="2">
                  <c:v>2724333</c:v>
                </c:pt>
                <c:pt idx="3">
                  <c:v>3071073</c:v>
                </c:pt>
                <c:pt idx="4">
                  <c:v>2860807</c:v>
                </c:pt>
                <c:pt idx="5">
                  <c:v>3632236</c:v>
                </c:pt>
                <c:pt idx="6" formatCode="General">
                  <c:v>4409272</c:v>
                </c:pt>
                <c:pt idx="7" formatCode="General">
                  <c:v>4937769</c:v>
                </c:pt>
                <c:pt idx="8" formatCode="_(* #,##0_);_(* \(#,##0\);_(* &quot;-&quot;??_);_(@_)">
                  <c:v>2864409</c:v>
                </c:pt>
                <c:pt idx="9" formatCode="_(* #,##0_);_(* \(#,##0\);_(* &quot;-&quot;??_);_(@_)">
                  <c:v>4323011</c:v>
                </c:pt>
                <c:pt idx="10" formatCode="_(* #,##0_);_(* \(#,##0\);_(* &quot;-&quot;??_);_(@_)">
                  <c:v>5659942</c:v>
                </c:pt>
                <c:pt idx="11" formatCode="_(* #,##0_);_(* \(#,##0\);_(* &quot;-&quot;??_);_(@_)">
                  <c:v>6060683</c:v>
                </c:pt>
                <c:pt idx="12" formatCode="_(* #,##0_);_(* \(#,##0\);_(* &quot;-&quot;??_);_(@_)">
                  <c:v>5665135</c:v>
                </c:pt>
                <c:pt idx="13" formatCode="_(* #,##0_);_(* \(#,##0\);_(* &quot;-&quot;??_);_(@_)">
                  <c:v>7215696</c:v>
                </c:pt>
                <c:pt idx="14" formatCode="_(* #,##0_);_(* \(#,##0\);_(* &quot;-&quot;??_);_(@_)">
                  <c:v>8021710</c:v>
                </c:pt>
                <c:pt idx="15" formatCode="_(* #,##0_);_(* \(#,##0\);_(* &quot;-&quot;??_);_(@_)">
                  <c:v>8182629</c:v>
                </c:pt>
                <c:pt idx="16" formatCode="_(* #,##0_);_(* \(#,##0\);_(* &quot;-&quot;??_);_(@_)">
                  <c:v>7018882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4-485C-BF71-FA1D6F61551A}"/>
            </c:ext>
          </c:extLst>
        </c:ser>
        <c:ser>
          <c:idx val="2"/>
          <c:order val="2"/>
          <c:tx>
            <c:strRef>
              <c:f>'Segment Reporting'!$A$126</c:f>
              <c:strCache>
                <c:ptCount val="1"/>
                <c:pt idx="0">
                  <c:v>Other services and sales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Reporting'!$F$3:$AB$3</c:f>
              <c:strCache>
                <c:ptCount val="23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  <c:pt idx="22">
                  <c:v>23Q3</c:v>
                </c:pt>
              </c:strCache>
            </c:strRef>
          </c:cat>
          <c:val>
            <c:numRef>
              <c:f>'Segment Reporting'!$F$142:$AB$142</c:f>
              <c:numCache>
                <c:formatCode>#,##0</c:formatCode>
                <c:ptCount val="23"/>
                <c:pt idx="0">
                  <c:v>567809</c:v>
                </c:pt>
                <c:pt idx="1">
                  <c:v>1890279</c:v>
                </c:pt>
                <c:pt idx="2">
                  <c:v>2783278</c:v>
                </c:pt>
                <c:pt idx="3">
                  <c:v>3582257</c:v>
                </c:pt>
                <c:pt idx="4">
                  <c:v>3147993</c:v>
                </c:pt>
                <c:pt idx="5">
                  <c:v>3641327</c:v>
                </c:pt>
                <c:pt idx="6" formatCode="General">
                  <c:v>4510389</c:v>
                </c:pt>
                <c:pt idx="7" formatCode="General">
                  <c:v>4862747</c:v>
                </c:pt>
                <c:pt idx="8" formatCode="_(* #,##0_);_(* \(#,##0\);_(* &quot;-&quot;??_);_(@_)">
                  <c:v>3089377</c:v>
                </c:pt>
                <c:pt idx="9" formatCode="_(* #,##0_);_(* \(#,##0\);_(* &quot;-&quot;??_);_(@_)">
                  <c:v>4487462</c:v>
                </c:pt>
                <c:pt idx="10" formatCode="_(* #,##0_);_(* \(#,##0\);_(* &quot;-&quot;??_);_(@_)">
                  <c:v>6613062</c:v>
                </c:pt>
                <c:pt idx="11" formatCode="_(* #,##0_);_(* \(#,##0\);_(* &quot;-&quot;??_);_(@_)">
                  <c:v>7483212</c:v>
                </c:pt>
                <c:pt idx="12" formatCode="_(* #,##0_);_(* \(#,##0\);_(* &quot;-&quot;??_);_(@_)">
                  <c:v>7721345</c:v>
                </c:pt>
                <c:pt idx="13" formatCode="_(* #,##0_);_(* \(#,##0\);_(* &quot;-&quot;??_);_(@_)">
                  <c:v>9643486</c:v>
                </c:pt>
                <c:pt idx="14" formatCode="_(* #,##0_);_(* \(#,##0\);_(* &quot;-&quot;??_);_(@_)">
                  <c:v>11249136</c:v>
                </c:pt>
                <c:pt idx="15" formatCode="_(* #,##0_);_(* \(#,##0\);_(* &quot;-&quot;??_);_(@_)">
                  <c:v>12925660</c:v>
                </c:pt>
                <c:pt idx="16" formatCode="_(* #,##0_);_(* \(#,##0\);_(* &quot;-&quot;??_);_(@_)">
                  <c:v>12717780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B4-485C-BF71-FA1D6F615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2165760"/>
        <c:axId val="742169504"/>
      </c:barChart>
      <c:catAx>
        <c:axId val="74216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69504"/>
        <c:crosses val="autoZero"/>
        <c:auto val="1"/>
        <c:lblAlgn val="ctr"/>
        <c:lblOffset val="100"/>
        <c:noMultiLvlLbl val="0"/>
      </c:catAx>
      <c:valAx>
        <c:axId val="74216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65760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年度总收入按收入类型分布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'Segment Reporting'!$A$124</c:f>
              <c:strCache>
                <c:ptCount val="1"/>
                <c:pt idx="0">
                  <c:v>Commission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Reporting'!$AT$139:$AX$139</c:f>
              <c:numCache>
                <c:formatCode>_(* #,##0_);_(* \(#,##0\);_(* "-"??_);_(@_)</c:formatCode>
                <c:ptCount val="1"/>
                <c:pt idx="0">
                  <c:v>65525997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4-426C-BC9A-18ECB0502E61}"/>
            </c:ext>
          </c:extLst>
        </c:ser>
        <c:ser>
          <c:idx val="1"/>
          <c:order val="1"/>
          <c:tx>
            <c:strRef>
              <c:f>'Segment Reporting'!$A$125</c:f>
              <c:strCache>
                <c:ptCount val="1"/>
                <c:pt idx="0">
                  <c:v>Online Marketing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Reporting'!$AT$140:$AX$140</c:f>
              <c:numCache>
                <c:formatCode>_(* #,##0_);_(* \(#,##0\);_(* "-"??_);_(@_)</c:formatCode>
                <c:ptCount val="1"/>
                <c:pt idx="0">
                  <c:v>15840078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4-426C-BC9A-18ECB0502E61}"/>
            </c:ext>
          </c:extLst>
        </c:ser>
        <c:ser>
          <c:idx val="2"/>
          <c:order val="2"/>
          <c:tx>
            <c:strRef>
              <c:f>'Segment Reporting'!$A$126</c:f>
              <c:strCache>
                <c:ptCount val="1"/>
                <c:pt idx="0">
                  <c:v>Other services and sales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Reporting'!$AT$142:$AX$142</c:f>
              <c:numCache>
                <c:formatCode>_(* #,##0_);_(* \(#,##0\);_(* "-"??_);_(@_)</c:formatCode>
                <c:ptCount val="1"/>
                <c:pt idx="0">
                  <c:v>16162456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4-426C-BC9A-18ECB050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42665632"/>
        <c:axId val="742666880"/>
      </c:barChart>
      <c:lineChart>
        <c:grouping val="standard"/>
        <c:varyColors val="0"/>
        <c:ser>
          <c:idx val="3"/>
          <c:order val="3"/>
          <c:tx>
            <c:v>Commision YoY growth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Reporting'!$AT$153:$AX$153</c:f>
              <c:numCache>
                <c:formatCode>0%</c:formatCode>
                <c:ptCount val="1"/>
                <c:pt idx="0">
                  <c:v>0.39380689913388323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14-426C-BC9A-18ECB0502E61}"/>
            </c:ext>
          </c:extLst>
        </c:ser>
        <c:ser>
          <c:idx val="4"/>
          <c:order val="4"/>
          <c:tx>
            <c:v>Online Marketing Service YoY growth</c:v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Reporting'!$AT$154:$AX$154</c:f>
              <c:numCache>
                <c:formatCode>0%</c:formatCode>
                <c:ptCount val="1"/>
                <c:pt idx="0">
                  <c:v>0.68665671572499365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14-426C-BC9A-18ECB0502E61}"/>
            </c:ext>
          </c:extLst>
        </c:ser>
        <c:ser>
          <c:idx val="5"/>
          <c:order val="5"/>
          <c:tx>
            <c:v>Other services and sales YoY growth</c:v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Reporting'!$AT$155:$AX$155</c:f>
              <c:numCache>
                <c:formatCode>0%</c:formatCode>
                <c:ptCount val="1"/>
                <c:pt idx="0">
                  <c:v>0.83172558483063019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14-426C-BC9A-18ECB050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74624"/>
        <c:axId val="752676704"/>
      </c:lineChart>
      <c:catAx>
        <c:axId val="7426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6880"/>
        <c:crosses val="autoZero"/>
        <c:auto val="1"/>
        <c:lblAlgn val="ctr"/>
        <c:lblOffset val="100"/>
        <c:noMultiLvlLbl val="0"/>
      </c:catAx>
      <c:valAx>
        <c:axId val="7426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5632"/>
        <c:crosses val="autoZero"/>
        <c:crossBetween val="between"/>
      </c:valAx>
      <c:catAx>
        <c:axId val="75267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2676704"/>
        <c:crosses val="autoZero"/>
        <c:auto val="1"/>
        <c:lblAlgn val="ctr"/>
        <c:lblOffset val="100"/>
        <c:noMultiLvlLbl val="0"/>
      </c:catAx>
      <c:valAx>
        <c:axId val="7526767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462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季度毛利润及毛利率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5136701662292202E-2"/>
          <c:y val="0.17576407115777201"/>
          <c:w val="0.81446727898270221"/>
          <c:h val="0.62042021897641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Financial Data'!$A$8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Data'!$F$8:$M$8,'Key Financial Data'!$Z$8:$AM$8)</c15:sqref>
                  </c15:fullRef>
                </c:ext>
              </c:extLst>
              <c:f>('Key Financial Data'!$F$8:$I$8,'Key Financial Data'!$K$8:$M$8,'Key Financial Data'!$Z$8:$AM$8)</c:f>
              <c:numCache>
                <c:formatCode>#,##0_);\(#,##0\)</c:formatCode>
                <c:ptCount val="17"/>
                <c:pt idx="0">
                  <c:v>7940635</c:v>
                </c:pt>
                <c:pt idx="1">
                  <c:v>9592284</c:v>
                </c:pt>
                <c:pt idx="2">
                  <c:v>9718129</c:v>
                </c:pt>
                <c:pt idx="3">
                  <c:v>19817425</c:v>
                </c:pt>
                <c:pt idx="4">
                  <c:v>25398005</c:v>
                </c:pt>
                <c:pt idx="5">
                  <c:v>26982392</c:v>
                </c:pt>
                <c:pt idx="6">
                  <c:v>24993339</c:v>
                </c:pt>
                <c:pt idx="7">
                  <c:v>25696740</c:v>
                </c:pt>
                <c:pt idx="8">
                  <c:v>33889844</c:v>
                </c:pt>
                <c:pt idx="9">
                  <c:v>36753863</c:v>
                </c:pt>
                <c:pt idx="10">
                  <c:v>33444147</c:v>
                </c:pt>
                <c:pt idx="11">
                  <c:v>32413689</c:v>
                </c:pt>
                <c:pt idx="12">
                  <c:v>30414003</c:v>
                </c:pt>
                <c:pt idx="13">
                  <c:v>25181063</c:v>
                </c:pt>
                <c:pt idx="14">
                  <c:v>24127273</c:v>
                </c:pt>
                <c:pt idx="15">
                  <c:v>25970072</c:v>
                </c:pt>
                <c:pt idx="16">
                  <c:v>35094797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3-41BE-B18A-D8D3FD6F7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742663136"/>
        <c:axId val="742658560"/>
      </c:barChart>
      <c:lineChart>
        <c:grouping val="standard"/>
        <c:varyColors val="0"/>
        <c:ser>
          <c:idx val="1"/>
          <c:order val="1"/>
          <c:tx>
            <c:strRef>
              <c:f>'Key Financial Data'!$A$58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105633504804756E-2"/>
                  <c:y val="8.5665496295402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43-41BE-B18A-D8D3FD6F7AA8}"/>
                </c:ext>
              </c:extLst>
            </c:dLbl>
            <c:dLbl>
              <c:idx val="4"/>
              <c:layout>
                <c:manualLayout>
                  <c:x val="-5.3743510576892153E-2"/>
                  <c:y val="-6.7630654970054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43-41BE-B18A-D8D3FD6F7AA8}"/>
                </c:ext>
              </c:extLst>
            </c:dLbl>
            <c:dLbl>
              <c:idx val="8"/>
              <c:layout>
                <c:manualLayout>
                  <c:x val="-5.1056335048047546E-2"/>
                  <c:y val="-6.3121944638717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43-41BE-B18A-D8D3FD6F7AA8}"/>
                </c:ext>
              </c:extLst>
            </c:dLbl>
            <c:dLbl>
              <c:idx val="12"/>
              <c:layout>
                <c:manualLayout>
                  <c:x val="-5.3743510576892153E-2"/>
                  <c:y val="-6.31219446387174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43-41BE-B18A-D8D3FD6F7AA8}"/>
                </c:ext>
              </c:extLst>
            </c:dLbl>
            <c:dLbl>
              <c:idx val="16"/>
              <c:layout>
                <c:manualLayout>
                  <c:x val="-0.11286137221147362"/>
                  <c:y val="-6.76306549700543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43-41BE-B18A-D8D3FD6F7AA8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43-41BE-B18A-D8D3FD6F7AA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Data'!$F$58:$M$58,'Key Financial Data'!$Z$58:$AM$58)</c15:sqref>
                  </c15:fullRef>
                </c:ext>
              </c:extLst>
              <c:f>('Key Financial Data'!$F$58:$I$58,'Key Financial Data'!$K$58:$M$58,'Key Financial Data'!$Z$58:$AM$58)</c:f>
              <c:numCache>
                <c:formatCode>0.0%</c:formatCode>
                <c:ptCount val="17"/>
                <c:pt idx="0">
                  <c:v>0.34975937466262924</c:v>
                </c:pt>
                <c:pt idx="1">
                  <c:v>0.3488911558383217</c:v>
                </c:pt>
                <c:pt idx="2">
                  <c:v>0.34512542379671068</c:v>
                </c:pt>
                <c:pt idx="3">
                  <c:v>0.33808051292283636</c:v>
                </c:pt>
                <c:pt idx="4">
                  <c:v>0.37369448258847132</c:v>
                </c:pt>
                <c:pt idx="5">
                  <c:v>0.35286365120011981</c:v>
                </c:pt>
                <c:pt idx="6">
                  <c:v>0.3391412779244819</c:v>
                </c:pt>
                <c:pt idx="7">
                  <c:v>0.35068481739503821</c:v>
                </c:pt>
                <c:pt idx="8">
                  <c:v>0.41202918230481045</c:v>
                </c:pt>
                <c:pt idx="9">
                  <c:v>0.39276465058803406</c:v>
                </c:pt>
                <c:pt idx="10">
                  <c:v>0.37795422068270679</c:v>
                </c:pt>
                <c:pt idx="11">
                  <c:v>0.37447741737635792</c:v>
                </c:pt>
                <c:pt idx="12">
                  <c:v>0.33116119384393461</c:v>
                </c:pt>
                <c:pt idx="13">
                  <c:v>0.26370887651743624</c:v>
                </c:pt>
                <c:pt idx="14">
                  <c:v>0.26197837703348953</c:v>
                </c:pt>
                <c:pt idx="15">
                  <c:v>0.28526344549878491</c:v>
                </c:pt>
                <c:pt idx="16">
                  <c:v>0.33537630078880348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43-41BE-B18A-D8D3FD6F7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75328"/>
        <c:axId val="742667296"/>
      </c:lineChart>
      <c:catAx>
        <c:axId val="7426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58560"/>
        <c:crosses val="autoZero"/>
        <c:auto val="1"/>
        <c:lblAlgn val="ctr"/>
        <c:lblOffset val="100"/>
        <c:noMultiLvlLbl val="0"/>
      </c:catAx>
      <c:valAx>
        <c:axId val="7426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3136"/>
        <c:crosses val="autoZero"/>
        <c:crossBetween val="between"/>
        <c:majorUnit val="4000000"/>
        <c:minorUnit val="1000000"/>
        <c:dispUnits>
          <c:builtInUnit val="millions"/>
          <c:dispUnitsLbl>
            <c:layout>
              <c:manualLayout>
                <c:xMode val="edge"/>
                <c:yMode val="edge"/>
                <c:x val="2.777777777777778E-2"/>
                <c:y val="4.1504811898512677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742175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2667296"/>
        <c:crosses val="autoZero"/>
        <c:auto val="1"/>
        <c:lblAlgn val="ctr"/>
        <c:lblOffset val="100"/>
        <c:noMultiLvlLbl val="0"/>
      </c:catAx>
      <c:valAx>
        <c:axId val="7426672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532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26954888152667961"/>
          <c:y val="0.91077766661306936"/>
          <c:w val="0.46090202076431258"/>
          <c:h val="7.976837046433102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年交易量（</a:t>
            </a:r>
            <a:r>
              <a:rPr lang="en-US" altLang="zh-CN"/>
              <a:t>GTV</a:t>
            </a:r>
            <a:r>
              <a:rPr lang="zh-CN" altLang="en-US"/>
              <a:t>）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2025371828521432E-2"/>
          <c:y val="0.1850233304170312"/>
          <c:w val="0.84740748031496071"/>
          <c:h val="0.60167395742198893"/>
        </c:manualLayout>
      </c:layout>
      <c:barChart>
        <c:barDir val="col"/>
        <c:grouping val="clustered"/>
        <c:varyColors val="0"/>
        <c:ser>
          <c:idx val="0"/>
          <c:order val="0"/>
          <c:tx>
            <c:v>Gross Transaction Value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Reporting'!$AT$3:$AW$3</c:f>
            </c:multiLvlStrRef>
          </c:cat>
          <c:val>
            <c:numRef>
              <c:f>'Segment Reporting'!$AT$165:$AW$165</c:f>
            </c:numRef>
          </c:val>
          <c:extLst>
            <c:ext xmlns:c16="http://schemas.microsoft.com/office/drawing/2014/chart" uri="{C3380CC4-5D6E-409C-BE32-E72D297353CC}">
              <c16:uniqueId val="{00000000-5FD5-49BC-862A-403EAD6B4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168672"/>
        <c:axId val="742170336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Reporting'!$AT$3:$AW$3</c:f>
            </c:multiLvlStrRef>
          </c:cat>
          <c:val>
            <c:numRef>
              <c:f>'Segment Reporting'!$AT$169:$AW$169</c:f>
            </c:numRef>
          </c:val>
          <c:smooth val="0"/>
          <c:extLst>
            <c:ext xmlns:c16="http://schemas.microsoft.com/office/drawing/2014/chart" uri="{C3380CC4-5D6E-409C-BE32-E72D297353CC}">
              <c16:uniqueId val="{00000001-5FD5-49BC-862A-403EAD6B4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67424"/>
        <c:axId val="742174912"/>
      </c:lineChart>
      <c:catAx>
        <c:axId val="7421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0336"/>
        <c:crosses val="autoZero"/>
        <c:auto val="1"/>
        <c:lblAlgn val="ctr"/>
        <c:lblOffset val="100"/>
        <c:noMultiLvlLbl val="0"/>
      </c:catAx>
      <c:valAx>
        <c:axId val="7421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bn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2.777777777777778E-2"/>
              <c:y val="5.5555555555555552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68672"/>
        <c:crosses val="autoZero"/>
        <c:crossBetween val="between"/>
      </c:valAx>
      <c:catAx>
        <c:axId val="742167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2174912"/>
        <c:crosses val="autoZero"/>
        <c:auto val="1"/>
        <c:lblAlgn val="ctr"/>
        <c:lblOffset val="100"/>
        <c:noMultiLvlLbl val="0"/>
      </c:catAx>
      <c:valAx>
        <c:axId val="742174912"/>
        <c:scaling>
          <c:orientation val="minMax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67424"/>
        <c:crosses val="max"/>
        <c:crossBetween val="between"/>
        <c:majorUnit val="0.1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外卖季度总收入及增速</a:t>
            </a:r>
            <a:endParaRPr lang="en-US" altLang="zh-CN"/>
          </a:p>
        </c:rich>
      </c:tx>
      <c:layout>
        <c:manualLayout>
          <c:xMode val="edge"/>
          <c:yMode val="edge"/>
          <c:x val="0.17704982260818289"/>
          <c:y val="3.6993922340320243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6720034995625551E-2"/>
          <c:y val="0.18039370078740161"/>
          <c:w val="0.82993503937007862"/>
          <c:h val="0.62482210557013707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Reporting'!$D$16:$W$16</c:f>
              <c:numCache>
                <c:formatCode>_(* #,##0.0_);_(* \(#,##0.0\);_(* "-"??_);_(@_)</c:formatCode>
                <c:ptCount val="20"/>
                <c:pt idx="0" formatCode="#,##0">
                  <c:v>6044214</c:v>
                </c:pt>
                <c:pt idx="1">
                  <c:v>6624416</c:v>
                </c:pt>
                <c:pt idx="2">
                  <c:v>7056361</c:v>
                </c:pt>
                <c:pt idx="3" formatCode="#,##0">
                  <c:v>8907967</c:v>
                </c:pt>
                <c:pt idx="4" formatCode="#,##0">
                  <c:v>11172478</c:v>
                </c:pt>
                <c:pt idx="5" formatCode="#,##0">
                  <c:v>11006277</c:v>
                </c:pt>
                <c:pt idx="6" formatCode="#,##0">
                  <c:v>10705803</c:v>
                </c:pt>
                <c:pt idx="7" formatCode="#,##0">
                  <c:v>12844720</c:v>
                </c:pt>
                <c:pt idx="8" formatCode="General">
                  <c:v>15576972</c:v>
                </c:pt>
                <c:pt idx="9" formatCode="General">
                  <c:v>15715710</c:v>
                </c:pt>
                <c:pt idx="10" formatCode="_(* #,##0_);_(* \(#,##0\);_(* &quot;-&quot;??_);_(@_)">
                  <c:v>9490423</c:v>
                </c:pt>
                <c:pt idx="11" formatCode="_(* #,##0_);_(* \(#,##0\);_(* &quot;-&quot;??_);_(@_)">
                  <c:v>14544095</c:v>
                </c:pt>
                <c:pt idx="12" formatCode="_(* #,##0_);_(* \(#,##0\);_(* &quot;-&quot;??_);_(@_)">
                  <c:v>20692816</c:v>
                </c:pt>
                <c:pt idx="13" formatCode="_(* #,##0_);_(* \(#,##0\);_(* &quot;-&quot;??_);_(@_)">
                  <c:v>21537985</c:v>
                </c:pt>
                <c:pt idx="14" formatCode="_(* #,##0_);_(* \(#,##0\);_(* &quot;-&quot;??_);_(@_)">
                  <c:v>20575410</c:v>
                </c:pt>
                <c:pt idx="15" formatCode="_(* #,##0_);_(* \(#,##0\);_(* &quot;-&quot;??_);_(@_)">
                  <c:v>23125084</c:v>
                </c:pt>
                <c:pt idx="16" formatCode="_(* #,##0_);_(* \(#,##0\);_(* &quot;-&quot;??_);_(@_)">
                  <c:v>26484643</c:v>
                </c:pt>
                <c:pt idx="17" formatCode="_(* #,##0_);_(* \(#,##0\);_(* &quot;-&quot;??_);_(@_)">
                  <c:v>26126641</c:v>
                </c:pt>
                <c:pt idx="18" formatCode="_(* #,##0_);_(* \(#,##0\);_(* &quot;-&quot;??_);_(@_)">
                  <c:v>24156722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2-4103-8D43-2643EC06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42653984"/>
        <c:axId val="742669792"/>
      </c:barChart>
      <c:lineChart>
        <c:grouping val="standard"/>
        <c:varyColors val="0"/>
        <c:ser>
          <c:idx val="1"/>
          <c:order val="1"/>
          <c:tx>
            <c:v>Revenue 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1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42-4103-8D43-2643EC06F64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Reporting'!$D$3:$V$3</c:f>
              <c:strCache>
                <c:ptCount val="19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</c:strCache>
            </c:strRef>
          </c:cat>
          <c:val>
            <c:numRef>
              <c:f>'Segment Reporting'!$D$37:$V$37</c:f>
              <c:numCache>
                <c:formatCode>0%</c:formatCode>
                <c:ptCount val="19"/>
                <c:pt idx="4">
                  <c:v>0.84845837688738346</c:v>
                </c:pt>
                <c:pt idx="5">
                  <c:v>0.66147129045035813</c:v>
                </c:pt>
                <c:pt idx="6">
                  <c:v>0.51718470752842727</c:v>
                </c:pt>
                <c:pt idx="7">
                  <c:v>0.44193619037879239</c:v>
                </c:pt>
                <c:pt idx="8">
                  <c:v>0.39422713564528844</c:v>
                </c:pt>
                <c:pt idx="9">
                  <c:v>0.42788610535606186</c:v>
                </c:pt>
                <c:pt idx="10">
                  <c:v>-0.11352534695435734</c:v>
                </c:pt>
                <c:pt idx="11">
                  <c:v>0.1323014437060519</c:v>
                </c:pt>
                <c:pt idx="12">
                  <c:v>0.32842352159328536</c:v>
                </c:pt>
                <c:pt idx="13">
                  <c:v>0.37047483059944475</c:v>
                </c:pt>
                <c:pt idx="14">
                  <c:v>1.1680182221593283</c:v>
                </c:pt>
                <c:pt idx="15">
                  <c:v>0.58999814013866114</c:v>
                </c:pt>
                <c:pt idx="16">
                  <c:v>0.27989554442469311</c:v>
                </c:pt>
                <c:pt idx="17">
                  <c:v>0.21304945657636964</c:v>
                </c:pt>
                <c:pt idx="18">
                  <c:v>0.17405786810566592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2-4103-8D43-2643EC06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72128"/>
        <c:axId val="742176992"/>
      </c:lineChart>
      <c:catAx>
        <c:axId val="74265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9792"/>
        <c:crosses val="autoZero"/>
        <c:auto val="1"/>
        <c:lblAlgn val="ctr"/>
        <c:lblOffset val="100"/>
        <c:noMultiLvlLbl val="0"/>
      </c:catAx>
      <c:valAx>
        <c:axId val="742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539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4.0680664916885392E-2"/>
                <c:y val="6.0023330417031201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75267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2176992"/>
        <c:crosses val="autoZero"/>
        <c:auto val="1"/>
        <c:lblAlgn val="ctr"/>
        <c:lblOffset val="100"/>
        <c:noMultiLvlLbl val="0"/>
      </c:catAx>
      <c:valAx>
        <c:axId val="74217699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212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22671611876340561"/>
          <c:y val="0.92224260464090257"/>
          <c:w val="0.54656776247318883"/>
          <c:h val="7.7757395359097425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外卖季度毛利润及毛利率</a:t>
            </a:r>
          </a:p>
        </c:rich>
      </c:tx>
      <c:layout>
        <c:manualLayout>
          <c:xMode val="edge"/>
          <c:yMode val="edge"/>
          <c:x val="0.2496456692913385"/>
          <c:y val="4.166666666666665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5720034995625532E-2"/>
          <c:y val="0.17576407115777201"/>
          <c:w val="0.83426837270341203"/>
          <c:h val="0.62945173519976672"/>
        </c:manualLayout>
      </c:layout>
      <c:barChart>
        <c:barDir val="col"/>
        <c:grouping val="clustered"/>
        <c:varyColors val="0"/>
        <c:ser>
          <c:idx val="0"/>
          <c:order val="0"/>
          <c:tx>
            <c:v>Gross profit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Reporting'!$D$3:$S$3</c:f>
              <c:strCache>
                <c:ptCount val="16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</c:strCache>
            </c:strRef>
          </c:cat>
          <c:val>
            <c:numRef>
              <c:f>'Segment Reporting'!$D$22:$S$22</c:f>
              <c:numCache>
                <c:formatCode>#,##0</c:formatCode>
                <c:ptCount val="16"/>
                <c:pt idx="0">
                  <c:v>477989</c:v>
                </c:pt>
                <c:pt idx="1">
                  <c:v>415989</c:v>
                </c:pt>
                <c:pt idx="2">
                  <c:v>535095</c:v>
                </c:pt>
                <c:pt idx="3">
                  <c:v>1410306</c:v>
                </c:pt>
                <c:pt idx="4">
                  <c:v>1851075</c:v>
                </c:pt>
                <c:pt idx="5">
                  <c:v>1471721</c:v>
                </c:pt>
                <c:pt idx="6">
                  <c:v>1540754</c:v>
                </c:pt>
                <c:pt idx="7">
                  <c:v>2860276</c:v>
                </c:pt>
                <c:pt idx="8" formatCode="General">
                  <c:v>3045222</c:v>
                </c:pt>
                <c:pt idx="9">
                  <c:v>2786936</c:v>
                </c:pt>
                <c:pt idx="13">
                  <c:v>882352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0-4BD9-A361-F8877BA7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42654816"/>
        <c:axId val="742663968"/>
      </c:barChart>
      <c:lineChart>
        <c:grouping val="standard"/>
        <c:varyColors val="0"/>
        <c:ser>
          <c:idx val="1"/>
          <c:order val="1"/>
          <c:tx>
            <c:strRef>
              <c:f>'Segment Reporting'!$A$77</c:f>
              <c:strCache>
                <c:ptCount val="1"/>
                <c:pt idx="0">
                  <c:v>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1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10-4BD9-A361-F8877BA73D24}"/>
                </c:ext>
              </c:extLst>
            </c:dLbl>
            <c:dLbl>
              <c:idx val="1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10-4BD9-A361-F8877BA73D2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Reporting'!$D$3:$S$3</c:f>
              <c:strCache>
                <c:ptCount val="16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</c:strCache>
            </c:strRef>
          </c:cat>
          <c:val>
            <c:numRef>
              <c:f>'Segment Reporting'!$D$45:$S$45</c:f>
              <c:numCache>
                <c:formatCode>0.0%</c:formatCode>
                <c:ptCount val="16"/>
                <c:pt idx="0">
                  <c:v>7.9082077504204845E-2</c:v>
                </c:pt>
                <c:pt idx="1">
                  <c:v>6.2796328008385943E-2</c:v>
                </c:pt>
                <c:pt idx="2">
                  <c:v>7.5831579478430874E-2</c:v>
                </c:pt>
                <c:pt idx="3">
                  <c:v>0.15831962556664164</c:v>
                </c:pt>
                <c:pt idx="4">
                  <c:v>0.16568168673055342</c:v>
                </c:pt>
                <c:pt idx="5">
                  <c:v>0.13371651467612528</c:v>
                </c:pt>
                <c:pt idx="6">
                  <c:v>0.14391764914784999</c:v>
                </c:pt>
                <c:pt idx="7">
                  <c:v>0.22268107050990602</c:v>
                </c:pt>
                <c:pt idx="8">
                  <c:v>0.19549511933384742</c:v>
                </c:pt>
                <c:pt idx="9">
                  <c:v>0.17733439978212884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10-4BD9-A361-F8877BA7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79904"/>
        <c:axId val="742176160"/>
      </c:lineChart>
      <c:catAx>
        <c:axId val="7426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3968"/>
        <c:crosses val="autoZero"/>
        <c:auto val="1"/>
        <c:lblAlgn val="ctr"/>
        <c:lblOffset val="100"/>
        <c:noMultiLvlLbl val="0"/>
      </c:catAx>
      <c:valAx>
        <c:axId val="7426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54816"/>
        <c:crosses val="autoZero"/>
        <c:crossBetween val="between"/>
        <c:majorUnit val="500000"/>
        <c:dispUnits>
          <c:builtInUnit val="millions"/>
          <c:dispUnitsLbl>
            <c:layout>
              <c:manualLayout>
                <c:xMode val="edge"/>
                <c:yMode val="edge"/>
                <c:x val="2.5833552055993001E-2"/>
                <c:y val="5.0764071157771942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74217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2176160"/>
        <c:crosses val="autoZero"/>
        <c:auto val="1"/>
        <c:lblAlgn val="ctr"/>
        <c:lblOffset val="100"/>
        <c:noMultiLvlLbl val="0"/>
      </c:catAx>
      <c:valAx>
        <c:axId val="7421761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990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外卖季度点单量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092825896762909"/>
          <c:y val="0.16650481189851271"/>
          <c:w val="0.82850459317585301"/>
          <c:h val="0.62019247594050742"/>
        </c:manualLayout>
      </c:layout>
      <c:barChart>
        <c:barDir val="col"/>
        <c:grouping val="clustered"/>
        <c:varyColors val="0"/>
        <c:ser>
          <c:idx val="0"/>
          <c:order val="0"/>
          <c:tx>
            <c:v>Number of food delivery orders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Reporting'!$D$5:$W$5</c:f>
              <c:numCache>
                <c:formatCode>_(* #,##0.0_);_(* \(#,##0.0\);_(* "-"??_);_(@_)</c:formatCode>
                <c:ptCount val="20"/>
                <c:pt idx="0" formatCode="#,##0.0">
                  <c:v>1204.0999999999999</c:v>
                </c:pt>
                <c:pt idx="1">
                  <c:v>1354.4</c:v>
                </c:pt>
                <c:pt idx="2">
                  <c:v>1224.3999999999999</c:v>
                </c:pt>
                <c:pt idx="3" formatCode="#,##0.0">
                  <c:v>1549.2</c:v>
                </c:pt>
                <c:pt idx="4" formatCode="#,##0.0">
                  <c:v>1787.5</c:v>
                </c:pt>
                <c:pt idx="5" formatCode="#,##0.0">
                  <c:v>1832.3</c:v>
                </c:pt>
                <c:pt idx="6" formatCode="#,##0.0">
                  <c:v>1662.6</c:v>
                </c:pt>
                <c:pt idx="7" formatCode="General">
                  <c:v>2085.1</c:v>
                </c:pt>
                <c:pt idx="8" formatCode="General">
                  <c:v>2469.1</c:v>
                </c:pt>
                <c:pt idx="9" formatCode="General">
                  <c:v>2505.3000000000002</c:v>
                </c:pt>
                <c:pt idx="10" formatCode="_(* #,##0.00_);_(* \(#,##0.00\);_(* &quot;-&quot;??_);_(@_)">
                  <c:v>1374.5</c:v>
                </c:pt>
                <c:pt idx="11" formatCode="_(* #,##0.00_);_(* \(#,##0.00\);_(* &quot;-&quot;??_);_(@_)">
                  <c:v>2228.9</c:v>
                </c:pt>
                <c:pt idx="12" formatCode="_(* #,##0.00_);_(* \(#,##0.00\);_(* &quot;-&quot;??_);_(@_)">
                  <c:v>3212.7</c:v>
                </c:pt>
                <c:pt idx="13" formatCode="_(* #,##0.00_);_(* \(#,##0.00\);_(* &quot;-&quot;??_);_(@_)">
                  <c:v>3331.3</c:v>
                </c:pt>
                <c:pt idx="14" formatCode="#,##0.00">
                  <c:v>2902.7</c:v>
                </c:pt>
                <c:pt idx="15" formatCode="#,##0.00">
                  <c:v>3541.4</c:v>
                </c:pt>
                <c:pt idx="16" formatCode="#,##0.00">
                  <c:v>4013</c:v>
                </c:pt>
                <c:pt idx="17" formatCode="#,##0.00">
                  <c:v>3910.6</c:v>
                </c:pt>
                <c:pt idx="18" formatCode="#,##0.00">
                  <c:v>3361.6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E-40CF-934D-8F5D4120E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664800"/>
        <c:axId val="742665216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Reporting'!$D$27:$W$27</c:f>
              <c:numCache>
                <c:formatCode>#,##0</c:formatCode>
                <c:ptCount val="20"/>
                <c:pt idx="4" formatCode="0%">
                  <c:v>0.48451125321817146</c:v>
                </c:pt>
                <c:pt idx="5" formatCode="0%">
                  <c:v>0.35284997046662725</c:v>
                </c:pt>
                <c:pt idx="6" formatCode="0%">
                  <c:v>0.3578895785690952</c:v>
                </c:pt>
                <c:pt idx="7" formatCode="0%">
                  <c:v>0.34592047508391421</c:v>
                </c:pt>
                <c:pt idx="8" formatCode="0%">
                  <c:v>0.38131468531468515</c:v>
                </c:pt>
                <c:pt idx="9" formatCode="0%">
                  <c:v>0.36729793156142576</c:v>
                </c:pt>
                <c:pt idx="10" formatCode="0%">
                  <c:v>-0.17328281005653789</c:v>
                </c:pt>
                <c:pt idx="11" formatCode="0%">
                  <c:v>6.8965517241379448E-2</c:v>
                </c:pt>
                <c:pt idx="12" formatCode="0%">
                  <c:v>0.3011623668543193</c:v>
                </c:pt>
                <c:pt idx="13" formatCode="0%">
                  <c:v>0.32970103380832638</c:v>
                </c:pt>
                <c:pt idx="14" formatCode="0%">
                  <c:v>1.1118224809021462</c:v>
                </c:pt>
                <c:pt idx="15" formatCode="0%">
                  <c:v>0.58885548925478925</c:v>
                </c:pt>
                <c:pt idx="16" formatCode="0%">
                  <c:v>0.249105114078501</c:v>
                </c:pt>
                <c:pt idx="17" formatCode="0%">
                  <c:v>0.17389607660673012</c:v>
                </c:pt>
                <c:pt idx="18" formatCode="0%">
                  <c:v>0.15809418816963516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E-40CF-934D-8F5D4120E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568848"/>
        <c:axId val="750825728"/>
      </c:lineChart>
      <c:catAx>
        <c:axId val="74266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5216"/>
        <c:crosses val="autoZero"/>
        <c:auto val="1"/>
        <c:lblAlgn val="ctr"/>
        <c:lblOffset val="100"/>
        <c:noMultiLvlLbl val="0"/>
      </c:catAx>
      <c:valAx>
        <c:axId val="7426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5"/>
              <c:y val="3.7037037037037028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4800"/>
        <c:crosses val="autoZero"/>
        <c:crossBetween val="between"/>
        <c:majorUnit val="500"/>
      </c:valAx>
      <c:catAx>
        <c:axId val="597568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0825728"/>
        <c:crosses val="autoZero"/>
        <c:auto val="1"/>
        <c:lblAlgn val="ctr"/>
        <c:lblOffset val="100"/>
        <c:noMultiLvlLbl val="0"/>
      </c:catAx>
      <c:valAx>
        <c:axId val="75082572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56884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300"/>
              <a:t>Meituan</a:t>
            </a:r>
            <a:r>
              <a:rPr lang="zh-CN" altLang="en-US" sz="1300"/>
              <a:t>到店、酒店、旅游季度总收入及增速</a:t>
            </a:r>
            <a:endParaRPr lang="en-US" altLang="zh-CN" sz="1300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5720034995625532E-2"/>
          <c:y val="0.20817147856517931"/>
          <c:w val="0.84260170603674533"/>
          <c:h val="0.57852580927384079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Reporting'!$D$56:$W$56</c:f>
              <c:numCache>
                <c:formatCode>#,##0</c:formatCode>
                <c:ptCount val="20"/>
                <c:pt idx="0">
                  <c:v>3022586</c:v>
                </c:pt>
                <c:pt idx="1">
                  <c:v>3103191</c:v>
                </c:pt>
                <c:pt idx="2">
                  <c:v>3137805</c:v>
                </c:pt>
                <c:pt idx="3">
                  <c:v>3672694</c:v>
                </c:pt>
                <c:pt idx="4">
                  <c:v>4435730</c:v>
                </c:pt>
                <c:pt idx="5">
                  <c:v>4594132</c:v>
                </c:pt>
                <c:pt idx="6">
                  <c:v>4492102</c:v>
                </c:pt>
                <c:pt idx="7">
                  <c:v>5245308</c:v>
                </c:pt>
                <c:pt idx="8" formatCode="General">
                  <c:v>6181117</c:v>
                </c:pt>
                <c:pt idx="9" formatCode="General">
                  <c:v>6356945</c:v>
                </c:pt>
                <c:pt idx="10" formatCode="_(* #,##0_);_(* \(#,##0\);_(* &quot;-&quot;??_);_(@_)">
                  <c:v>3094978</c:v>
                </c:pt>
                <c:pt idx="11" formatCode="_(* #,##0_);_(* \(#,##0\);_(* &quot;-&quot;??_);_(@_)">
                  <c:v>4543982</c:v>
                </c:pt>
                <c:pt idx="12" formatCode="_(* #,##0_);_(* \(#,##0\);_(* &quot;-&quot;??_);_(@_)">
                  <c:v>6478078</c:v>
                </c:pt>
                <c:pt idx="13" formatCode="_(* #,##0_);_(* \(#,##0\);_(* &quot;-&quot;??_);_(@_)">
                  <c:v>7135360</c:v>
                </c:pt>
                <c:pt idx="14" formatCode="_(* #,##0_);_(* \(#,##0\);_(* &quot;-&quot;??_);_(@_)">
                  <c:v>6584391</c:v>
                </c:pt>
                <c:pt idx="15" formatCode="_(* #,##0_);_(* \(#,##0\);_(* &quot;-&quot;??_);_(@_)">
                  <c:v>8602179</c:v>
                </c:pt>
                <c:pt idx="16" formatCode="_(* #,##0_);_(* \(#,##0\);_(* &quot;-&quot;??_);_(@_)">
                  <c:v>8621328</c:v>
                </c:pt>
                <c:pt idx="17" formatCode="_(* #,##0_);_(* \(#,##0\);_(* &quot;-&quot;??_);_(@_)">
                  <c:v>8722427</c:v>
                </c:pt>
                <c:pt idx="18" formatCode="_(* #,##0_);_(* \(#,##0\);_(* &quot;-&quot;??_);_(@_)">
                  <c:v>7621509</c:v>
                </c:pt>
                <c:pt idx="19" formatCode="_(* #,##0_);_(* \(#,##0\);_(* &quot;-&quot;??_);_(@_)">
                  <c:v>7002173.7059999993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8-478D-91DB-667F4B58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52673376"/>
        <c:axId val="752672544"/>
      </c:barChart>
      <c:lineChart>
        <c:grouping val="standard"/>
        <c:varyColors val="0"/>
        <c:ser>
          <c:idx val="1"/>
          <c:order val="1"/>
          <c:tx>
            <c:v>Revenue 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Reporting'!$D$71:$W$71</c:f>
              <c:numCache>
                <c:formatCode>0%</c:formatCode>
                <c:ptCount val="20"/>
                <c:pt idx="4">
                  <c:v>0.46752813650298131</c:v>
                </c:pt>
                <c:pt idx="5">
                  <c:v>0.48045415187141227</c:v>
                </c:pt>
                <c:pt idx="6">
                  <c:v>0.43160648924965073</c:v>
                </c:pt>
                <c:pt idx="7">
                  <c:v>0.42819085935283474</c:v>
                </c:pt>
                <c:pt idx="8">
                  <c:v>0.39348359796470933</c:v>
                </c:pt>
                <c:pt idx="9">
                  <c:v>0.3837096975010732</c:v>
                </c:pt>
                <c:pt idx="10">
                  <c:v>-0.31101787092100763</c:v>
                </c:pt>
                <c:pt idx="11">
                  <c:v>-0.13370539918723556</c:v>
                </c:pt>
                <c:pt idx="12">
                  <c:v>4.8043258200742622E-2</c:v>
                </c:pt>
                <c:pt idx="13">
                  <c:v>0.12245111448974311</c:v>
                </c:pt>
                <c:pt idx="14">
                  <c:v>1.1274435553338344</c:v>
                </c:pt>
                <c:pt idx="15">
                  <c:v>0.89309266630017459</c:v>
                </c:pt>
                <c:pt idx="16">
                  <c:v>0.33084658752179275</c:v>
                </c:pt>
                <c:pt idx="17">
                  <c:v>0.22242283500762405</c:v>
                </c:pt>
                <c:pt idx="18">
                  <c:v>0.15751160585694257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8-478D-91DB-667F4B58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95792"/>
        <c:axId val="147798288"/>
      </c:lineChart>
      <c:catAx>
        <c:axId val="7526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2544"/>
        <c:crosses val="autoZero"/>
        <c:auto val="1"/>
        <c:lblAlgn val="ctr"/>
        <c:lblOffset val="100"/>
        <c:noMultiLvlLbl val="0"/>
      </c:catAx>
      <c:valAx>
        <c:axId val="7526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3376"/>
        <c:crosses val="autoZero"/>
        <c:crossBetween val="between"/>
        <c:majorUnit val="1000000"/>
        <c:dispUnits>
          <c:builtInUnit val="millions"/>
          <c:dispUnitsLbl>
            <c:layout>
              <c:manualLayout>
                <c:xMode val="edge"/>
                <c:yMode val="edge"/>
                <c:x val="2.6791776027996511E-2"/>
                <c:y val="7.8541848935549718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147795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798288"/>
        <c:crosses val="autoZero"/>
        <c:auto val="1"/>
        <c:lblAlgn val="ctr"/>
        <c:lblOffset val="100"/>
        <c:noMultiLvlLbl val="0"/>
      </c:catAx>
      <c:valAx>
        <c:axId val="147798288"/>
        <c:scaling>
          <c:orientation val="minMax"/>
          <c:max val="1.2"/>
          <c:min val="-0.4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95792"/>
        <c:crosses val="max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Meituan</a:t>
            </a:r>
            <a:r>
              <a:rPr lang="zh-CN" sz="1200"/>
              <a:t>到店、酒店、旅游</a:t>
            </a:r>
            <a:r>
              <a:rPr lang="zh-CN" altLang="en-US" sz="1200"/>
              <a:t>季度</a:t>
            </a:r>
            <a:r>
              <a:rPr lang="zh-CN" sz="1200"/>
              <a:t>毛利润及毛利率</a:t>
            </a:r>
          </a:p>
        </c:rich>
      </c:tx>
      <c:layout>
        <c:manualLayout>
          <c:xMode val="edge"/>
          <c:yMode val="edge"/>
          <c:x val="0.11239465681324751"/>
          <c:y val="3.74037387540284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6706036745406825E-2"/>
          <c:y val="0.18039370078740161"/>
          <c:w val="0.83883792650918632"/>
          <c:h val="0.60630358705161858"/>
        </c:manualLayout>
      </c:layout>
      <c:barChart>
        <c:barDir val="col"/>
        <c:grouping val="clustered"/>
        <c:varyColors val="0"/>
        <c:ser>
          <c:idx val="0"/>
          <c:order val="0"/>
          <c:tx>
            <c:v>Gross profit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Reporting'!$D$3:$S$3</c:f>
              <c:strCache>
                <c:ptCount val="16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</c:strCache>
            </c:strRef>
          </c:cat>
          <c:val>
            <c:numRef>
              <c:f>'Segment Reporting'!$D$60:$S$60</c:f>
              <c:numCache>
                <c:formatCode>#,##0</c:formatCode>
                <c:ptCount val="16"/>
                <c:pt idx="0">
                  <c:v>2674879</c:v>
                </c:pt>
                <c:pt idx="1">
                  <c:v>2720830</c:v>
                </c:pt>
                <c:pt idx="2">
                  <c:v>2755959</c:v>
                </c:pt>
                <c:pt idx="3">
                  <c:v>3334019</c:v>
                </c:pt>
                <c:pt idx="4">
                  <c:v>4017119</c:v>
                </c:pt>
                <c:pt idx="5">
                  <c:v>3988258</c:v>
                </c:pt>
                <c:pt idx="6">
                  <c:v>3968376</c:v>
                </c:pt>
                <c:pt idx="7">
                  <c:v>4659267</c:v>
                </c:pt>
                <c:pt idx="8" formatCode="General">
                  <c:v>5476217</c:v>
                </c:pt>
                <c:pt idx="9">
                  <c:v>5642495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2-433E-A88E-F511A7CA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742664384"/>
        <c:axId val="742662720"/>
      </c:barChart>
      <c:lineChart>
        <c:grouping val="standard"/>
        <c:varyColors val="0"/>
        <c:ser>
          <c:idx val="1"/>
          <c:order val="1"/>
          <c:tx>
            <c:strRef>
              <c:f>'Segment Reporting'!$A$77</c:f>
              <c:strCache>
                <c:ptCount val="1"/>
                <c:pt idx="0">
                  <c:v>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Reporting'!$D$3:$S$3</c:f>
              <c:strCache>
                <c:ptCount val="16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</c:strCache>
            </c:strRef>
          </c:cat>
          <c:val>
            <c:numRef>
              <c:f>'Segment Reporting'!$D$77:$S$77</c:f>
              <c:numCache>
                <c:formatCode>0.0%</c:formatCode>
                <c:ptCount val="16"/>
                <c:pt idx="0">
                  <c:v>0.88496373635026426</c:v>
                </c:pt>
                <c:pt idx="1">
                  <c:v>0.87678457433010082</c:v>
                </c:pt>
                <c:pt idx="2">
                  <c:v>0.87830792544469782</c:v>
                </c:pt>
                <c:pt idx="3">
                  <c:v>0.90778567449398184</c:v>
                </c:pt>
                <c:pt idx="4">
                  <c:v>0.90562748408942839</c:v>
                </c:pt>
                <c:pt idx="5">
                  <c:v>0.8681200278964557</c:v>
                </c:pt>
                <c:pt idx="6">
                  <c:v>0.88341181923295597</c:v>
                </c:pt>
                <c:pt idx="7">
                  <c:v>0.88827329110130426</c:v>
                </c:pt>
                <c:pt idx="8">
                  <c:v>0.88595912356941309</c:v>
                </c:pt>
                <c:pt idx="9">
                  <c:v>0.8876111087951839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F2-433E-A88E-F511A7CA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024176"/>
        <c:axId val="478024592"/>
      </c:lineChart>
      <c:catAx>
        <c:axId val="7426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2720"/>
        <c:crosses val="autoZero"/>
        <c:auto val="1"/>
        <c:lblAlgn val="ctr"/>
        <c:lblOffset val="100"/>
        <c:noMultiLvlLbl val="0"/>
      </c:catAx>
      <c:valAx>
        <c:axId val="74266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4384"/>
        <c:crosses val="autoZero"/>
        <c:crossBetween val="between"/>
        <c:majorUnit val="1000000"/>
        <c:dispUnits>
          <c:builtInUnit val="millions"/>
          <c:dispUnitsLbl>
            <c:layout>
              <c:manualLayout>
                <c:xMode val="edge"/>
                <c:yMode val="edge"/>
                <c:x val="2.5000000000000001E-2"/>
                <c:y val="6.0023330417031201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47802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8024592"/>
        <c:crosses val="autoZero"/>
        <c:auto val="1"/>
        <c:lblAlgn val="ctr"/>
        <c:lblOffset val="100"/>
        <c:noMultiLvlLbl val="0"/>
      </c:catAx>
      <c:valAx>
        <c:axId val="4780245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02417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酒店各季度间夜量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22338145231846E-2"/>
          <c:y val="0.1710486473997116"/>
          <c:w val="0.85719903762029737"/>
          <c:h val="0.59695833718115654"/>
        </c:manualLayout>
      </c:layout>
      <c:barChart>
        <c:barDir val="col"/>
        <c:grouping val="clustered"/>
        <c:varyColors val="0"/>
        <c:ser>
          <c:idx val="0"/>
          <c:order val="0"/>
          <c:tx>
            <c:v>Number of Domestic Hotal Room Nights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Reporting'!$F$3:$AB$3</c:f>
              <c:strCache>
                <c:ptCount val="23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  <c:pt idx="22">
                  <c:v>23Q3</c:v>
                </c:pt>
              </c:strCache>
            </c:strRef>
          </c:cat>
          <c:val>
            <c:numRef>
              <c:f>'Segment Reporting'!$F$81:$AB$81</c:f>
              <c:numCache>
                <c:formatCode>_(* #,##0.0_);_(* \(#,##0.0\);_(* "-"??_);_(@_)</c:formatCode>
                <c:ptCount val="23"/>
                <c:pt idx="0">
                  <c:v>60.599999999999994</c:v>
                </c:pt>
                <c:pt idx="1">
                  <c:v>72.900000000000006</c:v>
                </c:pt>
                <c:pt idx="2">
                  <c:v>76.099999999999994</c:v>
                </c:pt>
                <c:pt idx="3">
                  <c:v>74.400000000000006</c:v>
                </c:pt>
                <c:pt idx="4" formatCode="General">
                  <c:v>78.599999999999994</c:v>
                </c:pt>
                <c:pt idx="5" formatCode="General">
                  <c:v>94</c:v>
                </c:pt>
                <c:pt idx="6" formatCode="General">
                  <c:v>109.8</c:v>
                </c:pt>
                <c:pt idx="7" formatCode="General">
                  <c:v>110</c:v>
                </c:pt>
                <c:pt idx="8" formatCode="General">
                  <c:v>42.8</c:v>
                </c:pt>
                <c:pt idx="9" formatCode="General">
                  <c:v>78</c:v>
                </c:pt>
                <c:pt idx="10" formatCode="General">
                  <c:v>113.9</c:v>
                </c:pt>
                <c:pt idx="11" formatCode="General">
                  <c:v>119.7</c:v>
                </c:pt>
                <c:pt idx="12" formatCode="General">
                  <c:v>101</c:v>
                </c:pt>
                <c:pt idx="13" formatCode="General">
                  <c:v>140.80000000000001</c:v>
                </c:pt>
                <c:pt idx="14" formatCode="General">
                  <c:v>119.8</c:v>
                </c:pt>
                <c:pt idx="15" formatCode="General">
                  <c:v>115.3</c:v>
                </c:pt>
                <c:pt idx="16" formatCode="General">
                  <c:v>96.96</c:v>
                </c:pt>
                <c:pt idx="17" formatCode="General">
                  <c:v>91.52000000000001</c:v>
                </c:pt>
                <c:pt idx="18" formatCode="General">
                  <c:v>117.404</c:v>
                </c:pt>
                <c:pt idx="19" formatCode="General">
                  <c:v>83.015999999999991</c:v>
                </c:pt>
                <c:pt idx="20" formatCode="General">
                  <c:v>129.69</c:v>
                </c:pt>
                <c:pt idx="21" formatCode="General">
                  <c:v>155.584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D-48D8-9778-3146828A6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176576"/>
        <c:axId val="742179072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'Segment Reporting'!$F$3:$AB$3</c:f>
              <c:strCache>
                <c:ptCount val="23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  <c:pt idx="22">
                  <c:v>23Q3</c:v>
                </c:pt>
              </c:strCache>
            </c:strRef>
          </c:cat>
          <c:val>
            <c:numRef>
              <c:f>'Segment Reporting'!$F$100:$AB$100</c:f>
              <c:numCache>
                <c:formatCode>0%</c:formatCode>
                <c:ptCount val="23"/>
                <c:pt idx="2">
                  <c:v>0.34929078014184389</c:v>
                </c:pt>
                <c:pt idx="3">
                  <c:v>0.25675675675675702</c:v>
                </c:pt>
                <c:pt idx="4">
                  <c:v>0.29702970297029707</c:v>
                </c:pt>
                <c:pt idx="5">
                  <c:v>0.28943758573388201</c:v>
                </c:pt>
                <c:pt idx="6">
                  <c:v>0.44283837056504605</c:v>
                </c:pt>
                <c:pt idx="7">
                  <c:v>0.47849462365591378</c:v>
                </c:pt>
                <c:pt idx="8">
                  <c:v>-0.45547073791348602</c:v>
                </c:pt>
                <c:pt idx="9">
                  <c:v>-0.17021276595744683</c:v>
                </c:pt>
                <c:pt idx="10">
                  <c:v>3.7340619307832501E-2</c:v>
                </c:pt>
                <c:pt idx="11">
                  <c:v>8.8181818181818139E-2</c:v>
                </c:pt>
                <c:pt idx="12">
                  <c:v>1.3598130841121496</c:v>
                </c:pt>
                <c:pt idx="13" formatCode="0.0%">
                  <c:v>0.80512820512820538</c:v>
                </c:pt>
                <c:pt idx="14" formatCode="0.0%">
                  <c:v>5.1799824407374739E-2</c:v>
                </c:pt>
                <c:pt idx="15" formatCode="0.0%">
                  <c:v>-3.6758563074352546E-2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D-48D8-9778-3146828A6CD8}"/>
            </c:ext>
          </c:extLst>
        </c:ser>
        <c:ser>
          <c:idx val="2"/>
          <c:order val="2"/>
          <c:tx>
            <c:strRef>
              <c:f>'Segment Reporting'!$A$82</c:f>
              <c:strCache>
                <c:ptCount val="1"/>
                <c:pt idx="0">
                  <c:v>QoQ Growth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cat>
            <c:strRef>
              <c:f>'Segment Reporting'!$F$3:$AB$3</c:f>
              <c:strCache>
                <c:ptCount val="23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  <c:pt idx="22">
                  <c:v>23Q3</c:v>
                </c:pt>
              </c:strCache>
            </c:strRef>
          </c:cat>
          <c:val>
            <c:numRef>
              <c:f>'Segment Reporting'!$F$82:$AB$82</c:f>
              <c:numCache>
                <c:formatCode>0%</c:formatCode>
                <c:ptCount val="23"/>
                <c:pt idx="0">
                  <c:v>2.3648648648648685E-2</c:v>
                </c:pt>
                <c:pt idx="1">
                  <c:v>0.20297029702970315</c:v>
                </c:pt>
                <c:pt idx="2">
                  <c:v>4.3895747599451251E-2</c:v>
                </c:pt>
                <c:pt idx="3">
                  <c:v>-2.233902759526929E-2</c:v>
                </c:pt>
                <c:pt idx="4">
                  <c:v>5.6451612903225756E-2</c:v>
                </c:pt>
                <c:pt idx="5">
                  <c:v>0.19592875318066172</c:v>
                </c:pt>
                <c:pt idx="6">
                  <c:v>0.16808510638297869</c:v>
                </c:pt>
                <c:pt idx="7">
                  <c:v>1.8214936247722413E-3</c:v>
                </c:pt>
                <c:pt idx="8">
                  <c:v>-0.61090909090909096</c:v>
                </c:pt>
                <c:pt idx="9">
                  <c:v>0.82242990654205617</c:v>
                </c:pt>
                <c:pt idx="10">
                  <c:v>0.4602564102564104</c:v>
                </c:pt>
                <c:pt idx="11">
                  <c:v>5.0921861281826075E-2</c:v>
                </c:pt>
                <c:pt idx="12">
                  <c:v>-0.15622389306599838</c:v>
                </c:pt>
                <c:pt idx="13">
                  <c:v>0.39405940594059419</c:v>
                </c:pt>
                <c:pt idx="14">
                  <c:v>-0.1491477272727274</c:v>
                </c:pt>
                <c:pt idx="15">
                  <c:v>-3.7562604340567574E-2</c:v>
                </c:pt>
                <c:pt idx="16">
                  <c:v>-0.15906331309627064</c:v>
                </c:pt>
                <c:pt idx="17">
                  <c:v>-5.6105610561055896E-2</c:v>
                </c:pt>
                <c:pt idx="18">
                  <c:v>0.28282342657342641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D-48D8-9778-3146828A6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898656"/>
        <c:axId val="750826976"/>
      </c:lineChart>
      <c:catAx>
        <c:axId val="7421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9072"/>
        <c:crosses val="autoZero"/>
        <c:auto val="1"/>
        <c:lblAlgn val="ctr"/>
        <c:lblOffset val="100"/>
        <c:noMultiLvlLbl val="0"/>
      </c:catAx>
      <c:valAx>
        <c:axId val="7421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2.222222222222222E-2"/>
              <c:y val="4.0848643919510062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6576"/>
        <c:crosses val="autoZero"/>
        <c:crossBetween val="between"/>
        <c:majorUnit val="20"/>
      </c:valAx>
      <c:catAx>
        <c:axId val="602898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0826976"/>
        <c:crosses val="autoZero"/>
        <c:auto val="1"/>
        <c:lblAlgn val="ctr"/>
        <c:lblOffset val="100"/>
        <c:noMultiLvlLbl val="0"/>
      </c:catAx>
      <c:valAx>
        <c:axId val="7508269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898656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7.9748990523966709E-3"/>
          <c:y val="0.84989185010818691"/>
          <c:w val="0.99202510094760332"/>
          <c:h val="0.13141784710522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新业务及其他季度收入及增速</a:t>
            </a:r>
          </a:p>
        </c:rich>
      </c:tx>
      <c:layout>
        <c:manualLayout>
          <c:xMode val="edge"/>
          <c:yMode val="edge"/>
          <c:x val="0.2052012248468941"/>
          <c:y val="3.703703703703702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1150481189851275E-2"/>
          <c:y val="0.17113444152814231"/>
          <c:w val="0.83172681539807525"/>
          <c:h val="0.61556284631087776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Reporting'!$F$3:$W$3</c:f>
              <c:strCache>
                <c:ptCount val="18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</c:strCache>
            </c:strRef>
          </c:cat>
          <c:val>
            <c:numRef>
              <c:f>'Segment Reporting'!$F$114:$W$114</c:f>
              <c:numCache>
                <c:formatCode>#,##0</c:formatCode>
                <c:ptCount val="18"/>
                <c:pt idx="0">
                  <c:v>1080897</c:v>
                </c:pt>
                <c:pt idx="1">
                  <c:v>2492103</c:v>
                </c:pt>
                <c:pt idx="2">
                  <c:v>3467791</c:v>
                </c:pt>
                <c:pt idx="3">
                  <c:v>4203043</c:v>
                </c:pt>
                <c:pt idx="4">
                  <c:v>3975607</c:v>
                </c:pt>
                <c:pt idx="5">
                  <c:v>4613109</c:v>
                </c:pt>
                <c:pt idx="6" formatCode="General">
                  <c:v>5735540</c:v>
                </c:pt>
                <c:pt idx="7" formatCode="General">
                  <c:v>6085598</c:v>
                </c:pt>
                <c:pt idx="8" formatCode="_(* #,##0_);_(* \(#,##0\);_(* &quot;-&quot;??_);_(@_)">
                  <c:v>4168486</c:v>
                </c:pt>
                <c:pt idx="9" formatCode="_(* #,##0_);_(* \(#,##0\);_(* &quot;-&quot;??_);_(@_)">
                  <c:v>5633760</c:v>
                </c:pt>
                <c:pt idx="10" formatCode="_(* #,##0_);_(* \(#,##0\);_(* &quot;-&quot;??_);_(@_)">
                  <c:v>8230388</c:v>
                </c:pt>
                <c:pt idx="11" formatCode="_(* #,##0_);_(* \(#,##0\);_(* &quot;-&quot;??_);_(@_)">
                  <c:v>9244159</c:v>
                </c:pt>
                <c:pt idx="12" formatCode="_(* #,##0_);_(* \(#,##0\);_(* &quot;-&quot;??_);_(@_)">
                  <c:v>9856461</c:v>
                </c:pt>
                <c:pt idx="13" formatCode="_(* #,##0_);_(* \(#,##0\);_(* &quot;-&quot;??_);_(@_)">
                  <c:v>12031969</c:v>
                </c:pt>
                <c:pt idx="14" formatCode="_(* #,##0_);_(* \(#,##0\);_(* &quot;-&quot;??_);_(@_)">
                  <c:v>13723399</c:v>
                </c:pt>
                <c:pt idx="15" formatCode="_(* #,##0_);_(* \(#,##0\);_(* &quot;-&quot;??_);_(@_)">
                  <c:v>14674065</c:v>
                </c:pt>
                <c:pt idx="16" formatCode="_(* #,##0_);_(* \(#,##0\);_(* &quot;-&quot;??_);_(@_)">
                  <c:v>14490523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7-47AA-B069-A71C9F36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02898240"/>
        <c:axId val="602896576"/>
      </c:barChart>
      <c:lineChart>
        <c:grouping val="standard"/>
        <c:varyColors val="0"/>
        <c:ser>
          <c:idx val="1"/>
          <c:order val="1"/>
          <c:tx>
            <c:v>Revenue 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'Segment Reporting'!$F$3:$W$3</c:f>
              <c:strCache>
                <c:ptCount val="18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</c:strCache>
            </c:strRef>
          </c:cat>
          <c:val>
            <c:numRef>
              <c:f>'Segment Reporting'!$F$127:$W$127</c:f>
              <c:numCache>
                <c:formatCode>#,##0</c:formatCode>
                <c:ptCount val="18"/>
                <c:pt idx="2" formatCode="0%">
                  <c:v>4.7130376476945486</c:v>
                </c:pt>
                <c:pt idx="3" formatCode="0%">
                  <c:v>4.6207622387067699</c:v>
                </c:pt>
                <c:pt idx="4" formatCode="0%">
                  <c:v>2.6780627571359714</c:v>
                </c:pt>
                <c:pt idx="5" formatCode="0%">
                  <c:v>0.85109082570022188</c:v>
                </c:pt>
                <c:pt idx="6" formatCode="0%">
                  <c:v>0.65394627300203512</c:v>
                </c:pt>
                <c:pt idx="7" formatCode="0%">
                  <c:v>0.44790286466257889</c:v>
                </c:pt>
                <c:pt idx="8" formatCode="0%">
                  <c:v>4.8515610320637892E-2</c:v>
                </c:pt>
                <c:pt idx="9" formatCode="0%">
                  <c:v>0.22125013738023536</c:v>
                </c:pt>
                <c:pt idx="10" formatCode="0%">
                  <c:v>0.43498049006719497</c:v>
                </c:pt>
                <c:pt idx="11" formatCode="0%">
                  <c:v>0.51902228836015785</c:v>
                </c:pt>
                <c:pt idx="12" formatCode="0%">
                  <c:v>1.3645181967745605</c:v>
                </c:pt>
                <c:pt idx="13" formatCode="0%">
                  <c:v>1.1356907287495384</c:v>
                </c:pt>
                <c:pt idx="14" formatCode="0%">
                  <c:v>0.66740608097698439</c:v>
                </c:pt>
                <c:pt idx="15" formatCode="0%">
                  <c:v>0.58738777643266404</c:v>
                </c:pt>
                <c:pt idx="16" formatCode="0%">
                  <c:v>0.47015475432815079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7-47AA-B069-A71C9F36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824896"/>
        <c:axId val="750825312"/>
      </c:lineChart>
      <c:catAx>
        <c:axId val="60289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896576"/>
        <c:crosses val="autoZero"/>
        <c:auto val="1"/>
        <c:lblAlgn val="ctr"/>
        <c:lblOffset val="100"/>
        <c:noMultiLvlLbl val="0"/>
      </c:catAx>
      <c:valAx>
        <c:axId val="6028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898240"/>
        <c:crosses val="autoZero"/>
        <c:crossBetween val="between"/>
        <c:majorUnit val="1000000"/>
        <c:dispUnits>
          <c:builtInUnit val="millions"/>
          <c:dispUnitsLbl>
            <c:layout>
              <c:manualLayout>
                <c:xMode val="edge"/>
                <c:yMode val="edge"/>
                <c:x val="1.9444444444444441E-2"/>
                <c:y val="4.6134441528142313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750824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0825312"/>
        <c:crosses val="autoZero"/>
        <c:auto val="1"/>
        <c:lblAlgn val="ctr"/>
        <c:lblOffset val="100"/>
        <c:noMultiLvlLbl val="0"/>
      </c:catAx>
      <c:valAx>
        <c:axId val="75082531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824896"/>
        <c:crosses val="max"/>
        <c:crossBetween val="between"/>
        <c:majorUnit val="0.5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Meituan</a:t>
            </a:r>
            <a:r>
              <a:rPr lang="zh-CN" sz="1300"/>
              <a:t>新业务以及其他季度毛利润及毛利率</a:t>
            </a:r>
            <a:endParaRPr lang="en-US" altLang="zh-CN" sz="1300"/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300"/>
              <a:t>不再更新</a:t>
            </a:r>
            <a:endParaRPr lang="zh-CN" sz="1300"/>
          </a:p>
        </c:rich>
      </c:tx>
      <c:layout>
        <c:manualLayout>
          <c:xMode val="edge"/>
          <c:yMode val="edge"/>
          <c:x val="0.1496456692913386"/>
          <c:y val="3.2407407407407413E-2"/>
        </c:manualLayout>
      </c:layout>
      <c:overlay val="0"/>
      <c:spPr>
        <a:solidFill>
          <a:srgbClr val="FFFF00"/>
        </a:solidFill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7775590551181096E-2"/>
          <c:y val="0.15261592300962379"/>
          <c:w val="0.81011548556430435"/>
          <c:h val="0.69055482648002331"/>
        </c:manualLayout>
      </c:layout>
      <c:barChart>
        <c:barDir val="col"/>
        <c:grouping val="clustered"/>
        <c:varyColors val="0"/>
        <c:ser>
          <c:idx val="0"/>
          <c:order val="0"/>
          <c:tx>
            <c:v>Gross profit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Reporting'!$D$3:$N$3</c:f>
              <c:strCache>
                <c:ptCount val="11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</c:strCache>
            </c:strRef>
          </c:cat>
          <c:val>
            <c:numRef>
              <c:f>'Segment Reporting'!$D$117:$N$117</c:f>
              <c:numCache>
                <c:formatCode>#,##0</c:formatCode>
                <c:ptCount val="11"/>
                <c:pt idx="0">
                  <c:v>280249</c:v>
                </c:pt>
                <c:pt idx="1">
                  <c:v>214690</c:v>
                </c:pt>
                <c:pt idx="2">
                  <c:v>-79081</c:v>
                </c:pt>
                <c:pt idx="3">
                  <c:v>-1903575</c:v>
                </c:pt>
                <c:pt idx="4">
                  <c:v>-1296953</c:v>
                </c:pt>
                <c:pt idx="5">
                  <c:v>-978985</c:v>
                </c:pt>
                <c:pt idx="6">
                  <c:v>-439790</c:v>
                </c:pt>
                <c:pt idx="7">
                  <c:v>421092</c:v>
                </c:pt>
                <c:pt idx="8" formatCode="General">
                  <c:v>1070845</c:v>
                </c:pt>
                <c:pt idx="9">
                  <c:v>1288698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6-45ED-BAEB-E97F2148F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52672960"/>
        <c:axId val="752677120"/>
      </c:barChart>
      <c:lineChart>
        <c:grouping val="standard"/>
        <c:varyColors val="0"/>
        <c:ser>
          <c:idx val="1"/>
          <c:order val="1"/>
          <c:tx>
            <c:strRef>
              <c:f>'Segment Reporting'!$A$133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Reporting'!$D$3:$N$3</c:f>
              <c:strCache>
                <c:ptCount val="11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</c:strCache>
            </c:strRef>
          </c:cat>
          <c:val>
            <c:numRef>
              <c:f>'Segment Reporting'!$D$133:$N$133</c:f>
              <c:numCache>
                <c:formatCode>0.0%</c:formatCode>
                <c:ptCount val="11"/>
                <c:pt idx="0">
                  <c:v>0.46169826489795651</c:v>
                </c:pt>
                <c:pt idx="1">
                  <c:v>0.2871066141907081</c:v>
                </c:pt>
                <c:pt idx="2">
                  <c:v>-7.316238272471845E-2</c:v>
                </c:pt>
                <c:pt idx="3">
                  <c:v>-0.76384282672104642</c:v>
                </c:pt>
                <c:pt idx="4">
                  <c:v>-0.37399975950107722</c:v>
                </c:pt>
                <c:pt idx="5">
                  <c:v>-0.23292290847369393</c:v>
                </c:pt>
                <c:pt idx="6">
                  <c:v>-0.11062210122881865</c:v>
                </c:pt>
                <c:pt idx="7">
                  <c:v>9.1281606396033568E-2</c:v>
                </c:pt>
                <c:pt idx="8">
                  <c:v>0.18670343158621508</c:v>
                </c:pt>
                <c:pt idx="9">
                  <c:v>0.21176193366699542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6-45ED-BAEB-E97F2148F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660640"/>
        <c:axId val="742668544"/>
      </c:lineChart>
      <c:catAx>
        <c:axId val="75267296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7120"/>
        <c:crosses val="autoZero"/>
        <c:auto val="1"/>
        <c:lblAlgn val="ctr"/>
        <c:lblOffset val="100"/>
        <c:noMultiLvlLbl val="0"/>
      </c:catAx>
      <c:valAx>
        <c:axId val="7526771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2960"/>
        <c:crosses val="autoZero"/>
        <c:crossBetween val="between"/>
        <c:majorUnit val="400000"/>
        <c:dispUnits>
          <c:builtInUnit val="millions"/>
          <c:dispUnitsLbl>
            <c:layout>
              <c:manualLayout>
                <c:xMode val="edge"/>
                <c:yMode val="edge"/>
                <c:x val="3.888888888888889E-2"/>
                <c:y val="4.6134441528142327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bn</a:t>
                  </a:r>
                  <a:endParaRPr lang="zh-CN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742660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2668544"/>
        <c:crossesAt val="0"/>
        <c:auto val="1"/>
        <c:lblAlgn val="ctr"/>
        <c:lblOffset val="100"/>
        <c:noMultiLvlLbl val="0"/>
      </c:catAx>
      <c:valAx>
        <c:axId val="74266854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0640"/>
        <c:crosses val="max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外卖季度总交易额及增速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3817147856517921E-2"/>
          <c:y val="0.1850233304170312"/>
          <c:w val="0.83172681539807525"/>
          <c:h val="0.60167395742198893"/>
        </c:manualLayout>
      </c:layout>
      <c:barChart>
        <c:barDir val="col"/>
        <c:grouping val="clustered"/>
        <c:varyColors val="0"/>
        <c:ser>
          <c:idx val="0"/>
          <c:order val="0"/>
          <c:tx>
            <c:v>Gross Transaction Value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Reporting'!$D$6:$W$6</c:f>
              <c:numCache>
                <c:formatCode>_(* #,##0.0_);_(* \(#,##0.0\);_(* "-"??_);_(@_)</c:formatCode>
                <c:ptCount val="20"/>
                <c:pt idx="0" formatCode="#,##0.0">
                  <c:v>51.8</c:v>
                </c:pt>
                <c:pt idx="1">
                  <c:v>57</c:v>
                </c:pt>
                <c:pt idx="2">
                  <c:v>54.5</c:v>
                </c:pt>
                <c:pt idx="3" formatCode="#,##0.0">
                  <c:v>68.2</c:v>
                </c:pt>
                <c:pt idx="4" formatCode="#,##0.0">
                  <c:v>80</c:v>
                </c:pt>
                <c:pt idx="5" formatCode="#,##0.0">
                  <c:v>80.2</c:v>
                </c:pt>
                <c:pt idx="6" formatCode="General">
                  <c:v>75.599999999999994</c:v>
                </c:pt>
                <c:pt idx="7" formatCode="General">
                  <c:v>93.1</c:v>
                </c:pt>
                <c:pt idx="8" formatCode="General">
                  <c:v>111.9</c:v>
                </c:pt>
                <c:pt idx="9" formatCode="General">
                  <c:v>112.1</c:v>
                </c:pt>
                <c:pt idx="10" formatCode="General">
                  <c:v>71.504000000000005</c:v>
                </c:pt>
                <c:pt idx="11" formatCode="General">
                  <c:v>108.8271</c:v>
                </c:pt>
                <c:pt idx="12" formatCode="General">
                  <c:v>152.23249999999999</c:v>
                </c:pt>
                <c:pt idx="13" formatCode="General">
                  <c:v>156.28729999999999</c:v>
                </c:pt>
                <c:pt idx="14" formatCode="#,##0.00">
                  <c:v>142.7354</c:v>
                </c:pt>
                <c:pt idx="15" formatCode="#,##0.00">
                  <c:v>173.60329999999999</c:v>
                </c:pt>
                <c:pt idx="16" formatCode="#,##0.00">
                  <c:v>197.09800000000001</c:v>
                </c:pt>
                <c:pt idx="17" formatCode="#,##0.00">
                  <c:v>188.6208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5-4B33-9516-1E1FD47C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50831136"/>
        <c:axId val="750828224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Reporting'!$D$28:$W$28</c:f>
              <c:numCache>
                <c:formatCode>0%</c:formatCode>
                <c:ptCount val="20"/>
                <c:pt idx="4">
                  <c:v>0.54440154440154442</c:v>
                </c:pt>
                <c:pt idx="5">
                  <c:v>0.40701754385964928</c:v>
                </c:pt>
                <c:pt idx="6">
                  <c:v>0.38715596330275215</c:v>
                </c:pt>
                <c:pt idx="7">
                  <c:v>0.36510263929618758</c:v>
                </c:pt>
                <c:pt idx="8">
                  <c:v>0.39875000000000016</c:v>
                </c:pt>
                <c:pt idx="9">
                  <c:v>0.3977556109725684</c:v>
                </c:pt>
                <c:pt idx="10">
                  <c:v>-5.4179894179893995E-2</c:v>
                </c:pt>
                <c:pt idx="11">
                  <c:v>0.16892696025778742</c:v>
                </c:pt>
                <c:pt idx="12">
                  <c:v>0.36043342269883816</c:v>
                </c:pt>
                <c:pt idx="13">
                  <c:v>0.39417752007136486</c:v>
                </c:pt>
                <c:pt idx="14">
                  <c:v>0.99618762586708409</c:v>
                </c:pt>
                <c:pt idx="15" formatCode="0.0%">
                  <c:v>0.59522122706568492</c:v>
                </c:pt>
                <c:pt idx="16" formatCode="0.0%">
                  <c:v>0.29471696254085056</c:v>
                </c:pt>
                <c:pt idx="17" formatCode="0.0%">
                  <c:v>0.20688501240983759</c:v>
                </c:pt>
                <c:pt idx="18" formatCode="0.0%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5-4B33-9516-1E1FD47C9A12}"/>
            </c:ext>
          </c:extLst>
        </c:ser>
        <c:ser>
          <c:idx val="2"/>
          <c:order val="2"/>
          <c:tx>
            <c:v>QoQ growth</c:v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cat>
            <c:strRef>
              <c:f>'Segment Reporting'!$D$3:$W$3</c:f>
              <c:strCache>
                <c:ptCount val="2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</c:strCache>
            </c:strRef>
          </c:cat>
          <c:val>
            <c:numRef>
              <c:f>'Segment Reporting'!$D$30:$V$30</c:f>
              <c:numCache>
                <c:formatCode>0%</c:formatCode>
                <c:ptCount val="19"/>
                <c:pt idx="1">
                  <c:v>0.12482351964122596</c:v>
                </c:pt>
                <c:pt idx="2">
                  <c:v>-9.5983461311281881E-2</c:v>
                </c:pt>
                <c:pt idx="3">
                  <c:v>0.26527278667102272</c:v>
                </c:pt>
                <c:pt idx="4">
                  <c:v>0.15382132713658669</c:v>
                </c:pt>
                <c:pt idx="5">
                  <c:v>2.5062937062936941E-2</c:v>
                </c:pt>
                <c:pt idx="6">
                  <c:v>-9.2615838017791829E-2</c:v>
                </c:pt>
                <c:pt idx="7">
                  <c:v>0.25412005292914719</c:v>
                </c:pt>
                <c:pt idx="8">
                  <c:v>0.18416382907294615</c:v>
                </c:pt>
                <c:pt idx="9">
                  <c:v>1.4661212587582684E-2</c:v>
                </c:pt>
                <c:pt idx="10">
                  <c:v>-0.45136311020636255</c:v>
                </c:pt>
                <c:pt idx="11">
                  <c:v>0.62160785740269198</c:v>
                </c:pt>
                <c:pt idx="12">
                  <c:v>0.44138364215532322</c:v>
                </c:pt>
                <c:pt idx="13">
                  <c:v>3.6915989666013171E-2</c:v>
                </c:pt>
                <c:pt idx="14">
                  <c:v>-0.1286584816738211</c:v>
                </c:pt>
                <c:pt idx="15">
                  <c:v>0.22003651772487687</c:v>
                </c:pt>
                <c:pt idx="16">
                  <c:v>0.13316767380132144</c:v>
                </c:pt>
                <c:pt idx="17">
                  <c:v>-2.5517069524046865E-2</c:v>
                </c:pt>
                <c:pt idx="18">
                  <c:v>-0.14038766429703886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15-4B33-9516-1E1FD47C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023760"/>
        <c:axId val="147798704"/>
      </c:lineChart>
      <c:catAx>
        <c:axId val="75083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828224"/>
        <c:crosses val="autoZero"/>
        <c:auto val="1"/>
        <c:lblAlgn val="ctr"/>
        <c:lblOffset val="100"/>
        <c:noMultiLvlLbl val="0"/>
      </c:catAx>
      <c:valAx>
        <c:axId val="75082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888888888888889E-2"/>
              <c:y val="6.5698089822105607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831136"/>
        <c:crosses val="autoZero"/>
        <c:crossBetween val="between"/>
        <c:majorUnit val="20"/>
      </c:valAx>
      <c:catAx>
        <c:axId val="47802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798704"/>
        <c:crosses val="autoZero"/>
        <c:auto val="1"/>
        <c:lblAlgn val="ctr"/>
        <c:lblOffset val="100"/>
        <c:noMultiLvlLbl val="0"/>
      </c:catAx>
      <c:valAx>
        <c:axId val="1477987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02376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Meituan</a:t>
            </a:r>
            <a:r>
              <a:rPr lang="zh-CN" altLang="en-US" sz="1200"/>
              <a:t>到店、酒店、旅游季度总交易量及增速</a:t>
            </a:r>
            <a:endParaRPr lang="en-US" altLang="zh-CN" sz="1200"/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不再更新</a:t>
            </a:r>
            <a:endParaRPr lang="en-US" altLang="zh-CN" sz="1200"/>
          </a:p>
        </c:rich>
      </c:tx>
      <c:layout>
        <c:manualLayout>
          <c:xMode val="edge"/>
          <c:yMode val="edge"/>
          <c:x val="0.1331363263737419"/>
          <c:y val="3.2728271409774891E-2"/>
        </c:manualLayout>
      </c:layout>
      <c:overlay val="0"/>
      <c:spPr>
        <a:solidFill>
          <a:srgbClr val="FFFF00"/>
        </a:solidFill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594925634295702E-2"/>
          <c:y val="0.16187518226888309"/>
          <c:w val="0.82894903762029737"/>
          <c:h val="0.62482210557013707"/>
        </c:manualLayout>
      </c:layout>
      <c:barChart>
        <c:barDir val="col"/>
        <c:grouping val="clustered"/>
        <c:varyColors val="0"/>
        <c:ser>
          <c:idx val="0"/>
          <c:order val="0"/>
          <c:tx>
            <c:v>Gross Transaction Value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Reporting'!$F$3:$O$3</c:f>
              <c:strCache>
                <c:ptCount val="10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</c:strCache>
            </c:strRef>
          </c:cat>
          <c:val>
            <c:numRef>
              <c:f>'Segment Reporting'!$F$49:$O$49</c:f>
              <c:numCache>
                <c:formatCode>General</c:formatCode>
                <c:ptCount val="10"/>
                <c:pt idx="0" formatCode="_(* #,##0.0_);_(* \(#,##0.0\);_(* &quot;-&quot;??_);_(@_)">
                  <c:v>40.299999999999997</c:v>
                </c:pt>
                <c:pt idx="1">
                  <c:v>42.5</c:v>
                </c:pt>
                <c:pt idx="2">
                  <c:v>49.3</c:v>
                </c:pt>
                <c:pt idx="3">
                  <c:v>44.7</c:v>
                </c:pt>
                <c:pt idx="4">
                  <c:v>46.4</c:v>
                </c:pt>
                <c:pt idx="5">
                  <c:v>51.3</c:v>
                </c:pt>
                <c:pt idx="6">
                  <c:v>63.9</c:v>
                </c:pt>
                <c:pt idx="7">
                  <c:v>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3-4A99-9B1B-541456F0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42166592"/>
        <c:axId val="742172832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Reporting'!$F$3:$Q$3</c:f>
              <c:strCache>
                <c:ptCount val="12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</c:strCache>
            </c:strRef>
          </c:cat>
          <c:val>
            <c:numRef>
              <c:f>'Segment Reporting'!$F$66:$Q$66</c:f>
              <c:numCache>
                <c:formatCode>0%</c:formatCode>
                <c:ptCount val="12"/>
                <c:pt idx="2">
                  <c:v>0.13856812933025409</c:v>
                </c:pt>
                <c:pt idx="3">
                  <c:v>0.12030075187969946</c:v>
                </c:pt>
                <c:pt idx="4">
                  <c:v>0.15136476426799006</c:v>
                </c:pt>
                <c:pt idx="5">
                  <c:v>0.20705882352941174</c:v>
                </c:pt>
                <c:pt idx="6">
                  <c:v>0.29614604462474658</c:v>
                </c:pt>
                <c:pt idx="7">
                  <c:v>0.35123042505592839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3-4A99-9B1B-541456F0A7FD}"/>
            </c:ext>
          </c:extLst>
        </c:ser>
        <c:ser>
          <c:idx val="2"/>
          <c:order val="2"/>
          <c:tx>
            <c:strRef>
              <c:f>'Segment Reporting'!$A$67</c:f>
              <c:strCache>
                <c:ptCount val="1"/>
                <c:pt idx="0">
                  <c:v>    QoQ Growth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Reporting'!$F$3:$Q$3</c:f>
              <c:strCache>
                <c:ptCount val="12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</c:strCache>
            </c:strRef>
          </c:cat>
          <c:val>
            <c:numRef>
              <c:f>'Segment Reporting'!$F$67:$Q$67</c:f>
              <c:numCache>
                <c:formatCode>0%</c:formatCode>
                <c:ptCount val="12"/>
                <c:pt idx="0">
                  <c:v>1.0025062656641825E-2</c:v>
                </c:pt>
                <c:pt idx="1">
                  <c:v>5.4590570719603049E-2</c:v>
                </c:pt>
                <c:pt idx="2">
                  <c:v>0.15999999999999992</c:v>
                </c:pt>
                <c:pt idx="3">
                  <c:v>-9.3306288032454221E-2</c:v>
                </c:pt>
                <c:pt idx="4">
                  <c:v>3.8031319910514449E-2</c:v>
                </c:pt>
                <c:pt idx="5">
                  <c:v>0.1056034482758621</c:v>
                </c:pt>
                <c:pt idx="6">
                  <c:v>0.2456140350877194</c:v>
                </c:pt>
                <c:pt idx="7">
                  <c:v>-5.477308294209704E-2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D3-4A99-9B1B-541456F0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171056"/>
        <c:axId val="741169392"/>
      </c:lineChart>
      <c:catAx>
        <c:axId val="7421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2832"/>
        <c:crosses val="autoZero"/>
        <c:auto val="1"/>
        <c:lblAlgn val="ctr"/>
        <c:lblOffset val="100"/>
        <c:noMultiLvlLbl val="0"/>
      </c:catAx>
      <c:valAx>
        <c:axId val="7421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3333333333333333E-2"/>
              <c:y val="5.64388305628463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66592"/>
        <c:crosses val="autoZero"/>
        <c:crossBetween val="between"/>
      </c:valAx>
      <c:catAx>
        <c:axId val="741171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169392"/>
        <c:crosses val="autoZero"/>
        <c:auto val="1"/>
        <c:lblAlgn val="ctr"/>
        <c:lblOffset val="100"/>
        <c:noMultiLvlLbl val="0"/>
      </c:catAx>
      <c:valAx>
        <c:axId val="74116939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1171056"/>
        <c:crosses val="max"/>
        <c:crossBetween val="between"/>
        <c:minorUnit val="0.1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新业务及其他季度总交易额及增速</a:t>
            </a:r>
            <a:endParaRPr lang="en-US" altLang="zh-CN"/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不再更新</a:t>
            </a:r>
          </a:p>
        </c:rich>
      </c:tx>
      <c:overlay val="0"/>
      <c:spPr>
        <a:solidFill>
          <a:srgbClr val="FFFF00"/>
        </a:solidFill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3914479440069994E-2"/>
          <c:y val="0.16650481189851271"/>
          <c:w val="0.83162948381452328"/>
          <c:h val="0.62019247594050742"/>
        </c:manualLayout>
      </c:layout>
      <c:barChart>
        <c:barDir val="col"/>
        <c:grouping val="clustered"/>
        <c:varyColors val="0"/>
        <c:ser>
          <c:idx val="0"/>
          <c:order val="0"/>
          <c:tx>
            <c:v>Gross Transaction Value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Reporting'!$D$3:$N$3</c:f>
              <c:strCache>
                <c:ptCount val="11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</c:strCache>
            </c:strRef>
          </c:cat>
          <c:val>
            <c:numRef>
              <c:f>'Segment Reporting'!$D$108:$N$108</c:f>
              <c:numCache>
                <c:formatCode>_(* #,##0.0_);_(* \(#,##0.0\);_(* "-"??_);_(@_)</c:formatCode>
                <c:ptCount val="11"/>
                <c:pt idx="0">
                  <c:v>9</c:v>
                </c:pt>
                <c:pt idx="1">
                  <c:v>7.1999999999999993</c:v>
                </c:pt>
                <c:pt idx="2">
                  <c:v>13.399999999999999</c:v>
                </c:pt>
                <c:pt idx="3">
                  <c:v>13</c:v>
                </c:pt>
                <c:pt idx="4">
                  <c:v>16.399999999999999</c:v>
                </c:pt>
                <c:pt idx="5">
                  <c:v>13.1</c:v>
                </c:pt>
                <c:pt idx="6" formatCode="General">
                  <c:v>16.399999999999999</c:v>
                </c:pt>
                <c:pt idx="7" formatCode="General">
                  <c:v>14.8</c:v>
                </c:pt>
                <c:pt idx="8" formatCode="General">
                  <c:v>18.8</c:v>
                </c:pt>
                <c:pt idx="9" formatCode="General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4-4526-8126-390D6016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41171888"/>
        <c:axId val="741173968"/>
      </c:barChart>
      <c:lineChart>
        <c:grouping val="standard"/>
        <c:varyColors val="0"/>
        <c:ser>
          <c:idx val="1"/>
          <c:order val="1"/>
          <c:tx>
            <c:v>YoY growth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E4-4526-8126-390D601663D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Reporting'!$D$3:$N$3</c:f>
              <c:strCache>
                <c:ptCount val="11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</c:strCache>
            </c:strRef>
          </c:cat>
          <c:val>
            <c:numRef>
              <c:f>'Segment Reporting'!$D$122:$N$122</c:f>
              <c:numCache>
                <c:formatCode>0%</c:formatCode>
                <c:ptCount val="11"/>
                <c:pt idx="4">
                  <c:v>0.82222222222222197</c:v>
                </c:pt>
                <c:pt idx="5">
                  <c:v>0.81944444444444464</c:v>
                </c:pt>
                <c:pt idx="6">
                  <c:v>0.22388059701492535</c:v>
                </c:pt>
                <c:pt idx="7">
                  <c:v>0.13846153846153841</c:v>
                </c:pt>
                <c:pt idx="8">
                  <c:v>0.14634146341463428</c:v>
                </c:pt>
                <c:pt idx="9">
                  <c:v>0.3282442748091603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4-4526-8126-390D601663DF}"/>
            </c:ext>
          </c:extLst>
        </c:ser>
        <c:ser>
          <c:idx val="2"/>
          <c:order val="2"/>
          <c:tx>
            <c:strRef>
              <c:f>'Segment Reporting'!$A$123</c:f>
              <c:strCache>
                <c:ptCount val="1"/>
                <c:pt idx="0">
                  <c:v>  QoQ Growth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Reporting'!$D$3:$N$3</c:f>
              <c:strCache>
                <c:ptCount val="11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</c:strCache>
            </c:strRef>
          </c:cat>
          <c:val>
            <c:numRef>
              <c:f>'Segment Reporting'!$D$123:$N$123</c:f>
              <c:numCache>
                <c:formatCode>0%</c:formatCode>
                <c:ptCount val="11"/>
                <c:pt idx="1">
                  <c:v>-0.20000000000000007</c:v>
                </c:pt>
                <c:pt idx="2">
                  <c:v>0.86111111111111116</c:v>
                </c:pt>
                <c:pt idx="3">
                  <c:v>-2.9850746268656581E-2</c:v>
                </c:pt>
                <c:pt idx="4">
                  <c:v>0.2615384615384615</c:v>
                </c:pt>
                <c:pt idx="5">
                  <c:v>-0.20121951219512191</c:v>
                </c:pt>
                <c:pt idx="6">
                  <c:v>0.25190839694656475</c:v>
                </c:pt>
                <c:pt idx="7">
                  <c:v>-9.7560975609755962E-2</c:v>
                </c:pt>
                <c:pt idx="8">
                  <c:v>0.27027027027027017</c:v>
                </c:pt>
                <c:pt idx="9">
                  <c:v>-7.4468085106383142E-2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E4-4526-8126-390D6016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897408"/>
        <c:axId val="602896160"/>
      </c:lineChart>
      <c:catAx>
        <c:axId val="74117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1173968"/>
        <c:crosses val="autoZero"/>
        <c:auto val="1"/>
        <c:lblAlgn val="ctr"/>
        <c:lblOffset val="100"/>
        <c:noMultiLvlLbl val="0"/>
      </c:catAx>
      <c:valAx>
        <c:axId val="7411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9444444444444441E-2"/>
              <c:y val="5.6438830562846307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1171888"/>
        <c:crosses val="autoZero"/>
        <c:crossBetween val="between"/>
        <c:majorUnit val="3"/>
      </c:valAx>
      <c:catAx>
        <c:axId val="602897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2896160"/>
        <c:crosses val="autoZero"/>
        <c:auto val="1"/>
        <c:lblAlgn val="ctr"/>
        <c:lblOffset val="100"/>
        <c:noMultiLvlLbl val="0"/>
      </c:catAx>
      <c:valAx>
        <c:axId val="602896160"/>
        <c:scaling>
          <c:orientation val="minMax"/>
        </c:scaling>
        <c:delete val="0"/>
        <c:axPos val="r"/>
        <c:minorGridlines>
          <c:spPr>
            <a:ln w="9525" cap="flat" cmpd="sng" algn="ctr">
              <a:noFill/>
              <a:prstDash val="solid"/>
              <a:round/>
            </a:ln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289740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年度活跃商家数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7803149606299212E-2"/>
          <c:y val="0.17113444152814231"/>
          <c:w val="0.84774081364829401"/>
          <c:h val="0.61556284631087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'Segment Reporting'!$A$172</c:f>
              <c:strCache>
                <c:ptCount val="1"/>
                <c:pt idx="0">
                  <c:v>12-M Active Merchants (in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Reporting'!$AT$3:$AW$3</c:f>
            </c:multiLvlStrRef>
          </c:cat>
          <c:val>
            <c:numRef>
              <c:f>'Segment Reporting'!$AT$172:$AW$172</c:f>
            </c:numRef>
          </c:val>
          <c:extLst>
            <c:ext xmlns:c16="http://schemas.microsoft.com/office/drawing/2014/chart" uri="{C3380CC4-5D6E-409C-BE32-E72D297353CC}">
              <c16:uniqueId val="{00000000-39CD-4662-A139-108AD4E4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52671296"/>
        <c:axId val="752675456"/>
      </c:barChart>
      <c:lineChart>
        <c:grouping val="standard"/>
        <c:varyColors val="0"/>
        <c:ser>
          <c:idx val="1"/>
          <c:order val="1"/>
          <c:tx>
            <c:strRef>
              <c:f>'Segment Reporting'!$A$178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Reporting'!$AT$3:$AW$3</c:f>
            </c:multiLvlStrRef>
          </c:cat>
          <c:val>
            <c:numRef>
              <c:f>'Segment Reporting'!$AT$179:$AW$179</c:f>
            </c:numRef>
          </c:val>
          <c:smooth val="0"/>
          <c:extLst>
            <c:ext xmlns:c16="http://schemas.microsoft.com/office/drawing/2014/chart" uri="{C3380CC4-5D6E-409C-BE32-E72D297353CC}">
              <c16:uniqueId val="{00000001-39CD-4662-A139-108AD4E4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661056"/>
        <c:axId val="741173552"/>
      </c:lineChart>
      <c:catAx>
        <c:axId val="7526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5456"/>
        <c:crosses val="autoZero"/>
        <c:auto val="1"/>
        <c:lblAlgn val="ctr"/>
        <c:lblOffset val="100"/>
        <c:noMultiLvlLbl val="0"/>
      </c:catAx>
      <c:valAx>
        <c:axId val="75267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66666666666667E-2"/>
              <c:y val="4.1666666666666657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1296"/>
        <c:crosses val="autoZero"/>
        <c:crossBetween val="between"/>
        <c:majorUnit val="2"/>
      </c:valAx>
      <c:catAx>
        <c:axId val="742661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173552"/>
        <c:crosses val="autoZero"/>
        <c:auto val="1"/>
        <c:lblAlgn val="ctr"/>
        <c:lblOffset val="100"/>
        <c:noMultiLvlLbl val="0"/>
      </c:catAx>
      <c:valAx>
        <c:axId val="7411735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105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年度活跃用户数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759492563429569"/>
          <c:y val="0.18039370078740161"/>
          <c:w val="0.80794903762029768"/>
          <c:h val="0.60630358705161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'Segment Reporting'!$A$173</c:f>
              <c:strCache>
                <c:ptCount val="1"/>
                <c:pt idx="0">
                  <c:v>12-M Transaction Users (in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Reporting'!$AT$3:$AW$3</c:f>
            </c:multiLvlStrRef>
          </c:cat>
          <c:val>
            <c:numRef>
              <c:f>'Segment Reporting'!$AT$173:$AW$173</c:f>
            </c:numRef>
          </c:val>
          <c:extLst>
            <c:ext xmlns:c16="http://schemas.microsoft.com/office/drawing/2014/chart" uri="{C3380CC4-5D6E-409C-BE32-E72D297353CC}">
              <c16:uniqueId val="{00000000-F05A-4639-A665-689A4E0B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41175216"/>
        <c:axId val="741176464"/>
      </c:barChart>
      <c:lineChart>
        <c:grouping val="standard"/>
        <c:varyColors val="0"/>
        <c:ser>
          <c:idx val="1"/>
          <c:order val="1"/>
          <c:tx>
            <c:strRef>
              <c:f>'Segment Reporting'!$A$178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Reporting'!$AT$3:$AW$3</c:f>
            </c:multiLvlStrRef>
          </c:cat>
          <c:val>
            <c:numRef>
              <c:f>'Segment Reporting'!$AT$180:$AW$180</c:f>
            </c:numRef>
          </c:val>
          <c:smooth val="0"/>
          <c:extLst>
            <c:ext xmlns:c16="http://schemas.microsoft.com/office/drawing/2014/chart" uri="{C3380CC4-5D6E-409C-BE32-E72D297353CC}">
              <c16:uniqueId val="{00000001-F05A-4639-A665-689A4E0B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829056"/>
        <c:axId val="481302848"/>
      </c:lineChart>
      <c:catAx>
        <c:axId val="74117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1176464"/>
        <c:crosses val="autoZero"/>
        <c:auto val="1"/>
        <c:lblAlgn val="ctr"/>
        <c:lblOffset val="100"/>
        <c:noMultiLvlLbl val="0"/>
      </c:catAx>
      <c:valAx>
        <c:axId val="74117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mn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3.888888888888889E-2"/>
              <c:y val="5.0107903178769342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1175216"/>
        <c:crosses val="autoZero"/>
        <c:crossBetween val="between"/>
        <c:majorUnit val="100"/>
      </c:valAx>
      <c:catAx>
        <c:axId val="750829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1302848"/>
        <c:crosses val="autoZero"/>
        <c:auto val="1"/>
        <c:lblAlgn val="ctr"/>
        <c:lblOffset val="100"/>
        <c:noMultiLvlLbl val="0"/>
      </c:catAx>
      <c:valAx>
        <c:axId val="48130284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82905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年度变现率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72338145231846E-2"/>
          <c:y val="0.15261592300962379"/>
          <c:w val="0.89054396325459317"/>
          <c:h val="0.59993729950422858"/>
        </c:manualLayout>
      </c:layout>
      <c:lineChart>
        <c:grouping val="standard"/>
        <c:varyColors val="0"/>
        <c:ser>
          <c:idx val="0"/>
          <c:order val="0"/>
          <c:tx>
            <c:strRef>
              <c:f>'Segment Reporting'!$A$4</c:f>
              <c:strCache>
                <c:ptCount val="1"/>
                <c:pt idx="0">
                  <c:v>Food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multiLvlStrRef>
              <c:f>'Segment Reporting'!$AT$3:$AW$3</c:f>
            </c:multiLvlStrRef>
          </c:cat>
          <c:val>
            <c:numRef>
              <c:f>'Segment Reporting'!$AT$44:$AW$44</c:f>
            </c:numRef>
          </c:val>
          <c:smooth val="0"/>
          <c:extLst>
            <c:ext xmlns:c16="http://schemas.microsoft.com/office/drawing/2014/chart" uri="{C3380CC4-5D6E-409C-BE32-E72D297353CC}">
              <c16:uniqueId val="{00000000-022D-4BAE-96BB-37CA13EAE191}"/>
            </c:ext>
          </c:extLst>
        </c:ser>
        <c:ser>
          <c:idx val="1"/>
          <c:order val="1"/>
          <c:tx>
            <c:strRef>
              <c:f>'Segment Reporting'!$A$47</c:f>
              <c:strCache>
                <c:ptCount val="1"/>
                <c:pt idx="0">
                  <c:v>Instore, Hotels and Travel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multiLvlStrRef>
              <c:f>'Segment Reporting'!$AT$3:$AW$3</c:f>
            </c:multiLvlStrRef>
          </c:cat>
          <c:val>
            <c:numRef>
              <c:f>'Segment Reporting'!$AT$76:$AW$76</c:f>
            </c:numRef>
          </c:val>
          <c:smooth val="0"/>
          <c:extLst>
            <c:ext xmlns:c16="http://schemas.microsoft.com/office/drawing/2014/chart" uri="{C3380CC4-5D6E-409C-BE32-E72D297353CC}">
              <c16:uniqueId val="{00000001-022D-4BAE-96BB-37CA13EAE191}"/>
            </c:ext>
          </c:extLst>
        </c:ser>
        <c:ser>
          <c:idx val="2"/>
          <c:order val="2"/>
          <c:tx>
            <c:strRef>
              <c:f>'Segment Reporting'!$A$107</c:f>
              <c:strCache>
                <c:ptCount val="1"/>
                <c:pt idx="0">
                  <c:v>New Initiatives and Others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multiLvlStrRef>
              <c:f>'Segment Reporting'!$AT$3:$AW$3</c:f>
            </c:multiLvlStrRef>
          </c:cat>
          <c:val>
            <c:numRef>
              <c:f>'Segment Reporting'!$AT$132:$AW$132</c:f>
            </c:numRef>
          </c:val>
          <c:smooth val="0"/>
          <c:extLst>
            <c:ext xmlns:c16="http://schemas.microsoft.com/office/drawing/2014/chart" uri="{C3380CC4-5D6E-409C-BE32-E72D297353CC}">
              <c16:uniqueId val="{00000002-022D-4BAE-96BB-37CA13EAE191}"/>
            </c:ext>
          </c:extLst>
        </c:ser>
        <c:ser>
          <c:idx val="3"/>
          <c:order val="3"/>
          <c:tx>
            <c:strRef>
              <c:f>'Segment Reporting'!$A$135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multiLvlStrRef>
              <c:f>'Segment Reporting'!$AT$3:$AW$3</c:f>
            </c:multiLvlStrRef>
          </c:cat>
          <c:val>
            <c:numRef>
              <c:f>'Segment Reporting'!$AT$160:$AW$160</c:f>
            </c:numRef>
          </c:val>
          <c:smooth val="0"/>
          <c:extLst>
            <c:ext xmlns:c16="http://schemas.microsoft.com/office/drawing/2014/chart" uri="{C3380CC4-5D6E-409C-BE32-E72D297353CC}">
              <c16:uniqueId val="{00000003-022D-4BAE-96BB-37CA13EAE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78656"/>
        <c:axId val="742171168"/>
      </c:lineChart>
      <c:catAx>
        <c:axId val="7421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1168"/>
        <c:crosses val="autoZero"/>
        <c:auto val="1"/>
        <c:lblAlgn val="ctr"/>
        <c:lblOffset val="100"/>
        <c:noMultiLvlLbl val="0"/>
      </c:catAx>
      <c:valAx>
        <c:axId val="7421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86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54907116359073"/>
          <c:y val="0.84930833002512518"/>
          <c:w val="0.84195182111516542"/>
          <c:h val="0.1506916699748747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季度变现率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17615923009624"/>
          <c:y val="0.14335666375036449"/>
          <c:w val="0.85768285214348217"/>
          <c:h val="0.5721595217264509"/>
        </c:manualLayout>
      </c:layout>
      <c:lineChart>
        <c:grouping val="standard"/>
        <c:varyColors val="0"/>
        <c:ser>
          <c:idx val="0"/>
          <c:order val="0"/>
          <c:tx>
            <c:strRef>
              <c:f>'Segment Reporting'!$A$4</c:f>
              <c:strCache>
                <c:ptCount val="1"/>
                <c:pt idx="0">
                  <c:v>Food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6E-41FA-87C8-78BE2753AA46}"/>
                </c:ext>
              </c:extLst>
            </c:dLbl>
            <c:dLbl>
              <c:idx val="1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6E-41FA-87C8-78BE2753AA4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Reporting'!$D$3:$V$3</c:f>
              <c:strCache>
                <c:ptCount val="19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</c:strCache>
            </c:strRef>
          </c:cat>
          <c:val>
            <c:numRef>
              <c:f>'Segment Reporting'!$D$44:$V$44</c:f>
              <c:numCache>
                <c:formatCode>0.0%</c:formatCode>
                <c:ptCount val="19"/>
                <c:pt idx="0">
                  <c:v>0.11668366795366795</c:v>
                </c:pt>
                <c:pt idx="1">
                  <c:v>0.1162178245614035</c:v>
                </c:pt>
                <c:pt idx="2">
                  <c:v>0.1294745137614679</c:v>
                </c:pt>
                <c:pt idx="3">
                  <c:v>0.13061535190615836</c:v>
                </c:pt>
                <c:pt idx="4">
                  <c:v>0.13965597499999999</c:v>
                </c:pt>
                <c:pt idx="5">
                  <c:v>0.13723537406483791</c:v>
                </c:pt>
                <c:pt idx="6">
                  <c:v>0.1416111507936508</c:v>
                </c:pt>
                <c:pt idx="7">
                  <c:v>0.13796691729323307</c:v>
                </c:pt>
                <c:pt idx="8">
                  <c:v>0.13920439678284183</c:v>
                </c:pt>
                <c:pt idx="9">
                  <c:v>0.1401936663693131</c:v>
                </c:pt>
                <c:pt idx="10">
                  <c:v>0.1327257635936451</c:v>
                </c:pt>
                <c:pt idx="11">
                  <c:v>0.13364405557071721</c:v>
                </c:pt>
                <c:pt idx="12">
                  <c:v>0.13592902960931469</c:v>
                </c:pt>
                <c:pt idx="13">
                  <c:v>0.13781020594763618</c:v>
                </c:pt>
                <c:pt idx="14">
                  <c:v>0.14415071523952713</c:v>
                </c:pt>
                <c:pt idx="15">
                  <c:v>0.13320647706581615</c:v>
                </c:pt>
                <c:pt idx="16">
                  <c:v>0.13437296674750632</c:v>
                </c:pt>
                <c:pt idx="17">
                  <c:v>0.13851410342867806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6E-41FA-87C8-78BE2753AA46}"/>
            </c:ext>
          </c:extLst>
        </c:ser>
        <c:ser>
          <c:idx val="1"/>
          <c:order val="1"/>
          <c:tx>
            <c:strRef>
              <c:f>'Segment Reporting'!$A$47</c:f>
              <c:strCache>
                <c:ptCount val="1"/>
                <c:pt idx="0">
                  <c:v>Instore, Hotels and Travel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'Segment Reporting'!$D$3:$V$3</c:f>
              <c:strCache>
                <c:ptCount val="19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</c:strCache>
            </c:strRef>
          </c:cat>
          <c:val>
            <c:numRef>
              <c:f>'Segment Reporting'!$D$76:$M$76</c:f>
              <c:numCache>
                <c:formatCode>0.0%</c:formatCode>
                <c:ptCount val="10"/>
                <c:pt idx="0">
                  <c:v>6.9805681293302543E-2</c:v>
                </c:pt>
                <c:pt idx="1">
                  <c:v>7.7774210526315807E-2</c:v>
                </c:pt>
                <c:pt idx="2">
                  <c:v>7.7861166253101743E-2</c:v>
                </c:pt>
                <c:pt idx="3">
                  <c:v>8.6416329411764706E-2</c:v>
                </c:pt>
                <c:pt idx="4">
                  <c:v>8.9974239350912782E-2</c:v>
                </c:pt>
                <c:pt idx="5">
                  <c:v>0.10277700223713647</c:v>
                </c:pt>
                <c:pt idx="6">
                  <c:v>9.6812543103448279E-2</c:v>
                </c:pt>
                <c:pt idx="7">
                  <c:v>0.10224771929824561</c:v>
                </c:pt>
                <c:pt idx="8">
                  <c:v>9.6731095461658839E-2</c:v>
                </c:pt>
                <c:pt idx="9">
                  <c:v>0.10524743377483443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6E-41FA-87C8-78BE2753AA46}"/>
            </c:ext>
          </c:extLst>
        </c:ser>
        <c:ser>
          <c:idx val="2"/>
          <c:order val="2"/>
          <c:tx>
            <c:strRef>
              <c:f>'Segment Reporting'!$A$107</c:f>
              <c:strCache>
                <c:ptCount val="1"/>
                <c:pt idx="0">
                  <c:v>New Initiatives and Others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'Segment Reporting'!$D$3:$V$3</c:f>
              <c:strCache>
                <c:ptCount val="19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</c:strCache>
            </c:strRef>
          </c:cat>
          <c:val>
            <c:numRef>
              <c:f>'Segment Reporting'!$D$132:$M$132</c:f>
              <c:numCache>
                <c:formatCode>0%</c:formatCode>
                <c:ptCount val="10"/>
                <c:pt idx="0">
                  <c:v>6.7444000000000004E-2</c:v>
                </c:pt>
                <c:pt idx="1">
                  <c:v>0.10385708333333335</c:v>
                </c:pt>
                <c:pt idx="2">
                  <c:v>8.0663955223880604E-2</c:v>
                </c:pt>
                <c:pt idx="3">
                  <c:v>0.19170023076923076</c:v>
                </c:pt>
                <c:pt idx="4">
                  <c:v>0.21145067073170734</c:v>
                </c:pt>
                <c:pt idx="5">
                  <c:v>0.32084297709923665</c:v>
                </c:pt>
                <c:pt idx="6">
                  <c:v>0.24241506097560978</c:v>
                </c:pt>
                <c:pt idx="7">
                  <c:v>0.31169655405405405</c:v>
                </c:pt>
                <c:pt idx="8">
                  <c:v>0.30508191489361702</c:v>
                </c:pt>
                <c:pt idx="9">
                  <c:v>0.34974701149425286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6E-41FA-87C8-78BE2753AA46}"/>
            </c:ext>
          </c:extLst>
        </c:ser>
        <c:ser>
          <c:idx val="3"/>
          <c:order val="3"/>
          <c:tx>
            <c:strRef>
              <c:f>'Segment Reporting'!$A$135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'Segment Reporting'!$D$3:$V$3</c:f>
              <c:strCache>
                <c:ptCount val="19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</c:strCache>
            </c:strRef>
          </c:cat>
          <c:val>
            <c:numRef>
              <c:f>'Segment Reporting'!$D$160:$M$160</c:f>
              <c:numCache>
                <c:formatCode>0.0%</c:formatCode>
                <c:ptCount val="10"/>
                <c:pt idx="0">
                  <c:v>9.2927915465898181E-2</c:v>
                </c:pt>
                <c:pt idx="1">
                  <c:v>0.1006280307396734</c:v>
                </c:pt>
                <c:pt idx="2">
                  <c:v>0.10420575785582255</c:v>
                </c:pt>
                <c:pt idx="3">
                  <c:v>0.12184934518997576</c:v>
                </c:pt>
                <c:pt idx="4">
                  <c:v>0.13092655456417296</c:v>
                </c:pt>
                <c:pt idx="5">
                  <c:v>0.14350327536231886</c:v>
                </c:pt>
                <c:pt idx="6">
                  <c:v>0.13853693641618497</c:v>
                </c:pt>
                <c:pt idx="7">
                  <c:v>0.14260764447236182</c:v>
                </c:pt>
                <c:pt idx="8">
                  <c:v>0.14128278006166498</c:v>
                </c:pt>
                <c:pt idx="9">
                  <c:v>0.14827937335439703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6E-41FA-87C8-78BE2753A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197920"/>
        <c:axId val="476197088"/>
      </c:lineChart>
      <c:catAx>
        <c:axId val="47619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197088"/>
        <c:crosses val="autoZero"/>
        <c:auto val="1"/>
        <c:lblAlgn val="ctr"/>
        <c:lblOffset val="100"/>
        <c:noMultiLvlLbl val="0"/>
      </c:catAx>
      <c:valAx>
        <c:axId val="4761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61979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半年度总收入按业务部门分布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2681705045318641E-2"/>
          <c:y val="0.16211372075666411"/>
          <c:w val="0.82673768700621952"/>
          <c:h val="0.517546093670816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'Segment Reporting'!$A$4</c:f>
              <c:strCache>
                <c:ptCount val="1"/>
                <c:pt idx="0">
                  <c:v>Food Delivery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Reporting'!$AJ$3:$AN$3</c:f>
            </c:multiLvlStrRef>
          </c:cat>
          <c:val>
            <c:numRef>
              <c:f>'Segment Reporting'!$AJ$16:$AN$16</c:f>
            </c:numRef>
          </c:val>
          <c:extLst>
            <c:ext xmlns:c16="http://schemas.microsoft.com/office/drawing/2014/chart" uri="{C3380CC4-5D6E-409C-BE32-E72D297353CC}">
              <c16:uniqueId val="{00000000-71A0-44B6-9C80-C2FB704BCEDB}"/>
            </c:ext>
          </c:extLst>
        </c:ser>
        <c:ser>
          <c:idx val="1"/>
          <c:order val="1"/>
          <c:tx>
            <c:strRef>
              <c:f>'Segment Reporting'!$A$47</c:f>
              <c:strCache>
                <c:ptCount val="1"/>
                <c:pt idx="0">
                  <c:v>Instore, Hotels and Travel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Reporting'!$AJ$3:$AN$3</c:f>
            </c:multiLvlStrRef>
          </c:cat>
          <c:val>
            <c:numRef>
              <c:f>'Segment Reporting'!$AJ$56:$AN$56</c:f>
            </c:numRef>
          </c:val>
          <c:extLst>
            <c:ext xmlns:c16="http://schemas.microsoft.com/office/drawing/2014/chart" uri="{C3380CC4-5D6E-409C-BE32-E72D297353CC}">
              <c16:uniqueId val="{00000001-71A0-44B6-9C80-C2FB704BCEDB}"/>
            </c:ext>
          </c:extLst>
        </c:ser>
        <c:ser>
          <c:idx val="2"/>
          <c:order val="2"/>
          <c:tx>
            <c:strRef>
              <c:f>'Segment Reporting'!$A$107</c:f>
              <c:strCache>
                <c:ptCount val="1"/>
                <c:pt idx="0">
                  <c:v>New Initiatives and Others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Reporting'!$AJ$3:$AN$3</c:f>
            </c:multiLvlStrRef>
          </c:cat>
          <c:val>
            <c:numRef>
              <c:f>'Segment Reporting'!$AJ$114:$AN$114</c:f>
            </c:numRef>
          </c:val>
          <c:extLst>
            <c:ext xmlns:c16="http://schemas.microsoft.com/office/drawing/2014/chart" uri="{C3380CC4-5D6E-409C-BE32-E72D297353CC}">
              <c16:uniqueId val="{00000002-71A0-44B6-9C80-C2FB704BC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8459968"/>
        <c:axId val="478461632"/>
      </c:barChart>
      <c:lineChart>
        <c:grouping val="standard"/>
        <c:varyColors val="0"/>
        <c:ser>
          <c:idx val="3"/>
          <c:order val="3"/>
          <c:tx>
            <c:v>Food Delivery YoY growth</c:v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71A0-44B6-9C80-C2FB704BCED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71A0-44B6-9C80-C2FB704BCE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Reporting'!$AJ$3:$AN$3</c:f>
            </c:multiLvlStrRef>
          </c:cat>
          <c:val>
            <c:numRef>
              <c:f>'Segment Reporting'!$AJ$37:$AN$37</c:f>
            </c:numRef>
          </c:val>
          <c:smooth val="0"/>
          <c:extLst>
            <c:ext xmlns:c16="http://schemas.microsoft.com/office/drawing/2014/chart" uri="{C3380CC4-5D6E-409C-BE32-E72D297353CC}">
              <c16:uniqueId val="{00000007-71A0-44B6-9C80-C2FB704BCEDB}"/>
            </c:ext>
          </c:extLst>
        </c:ser>
        <c:ser>
          <c:idx val="4"/>
          <c:order val="4"/>
          <c:tx>
            <c:v>Instore,Hotel and Travel YoY growth</c:v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rgbClr val="0070C0"/>
                </a:solidFill>
                <a:prstDash val="solid"/>
              </a:ln>
            </c:spPr>
          </c:marker>
          <c:dLbls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A0-44B6-9C80-C2FB704BCEDB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A0-44B6-9C80-C2FB704BCED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Reporting'!$AJ$3:$AN$3</c:f>
            </c:multiLvlStrRef>
          </c:cat>
          <c:val>
            <c:numRef>
              <c:f>'Segment Reporting'!$AJ$71:$AN$71</c:f>
            </c:numRef>
          </c:val>
          <c:smooth val="0"/>
          <c:extLst>
            <c:ext xmlns:c16="http://schemas.microsoft.com/office/drawing/2014/chart" uri="{C3380CC4-5D6E-409C-BE32-E72D297353CC}">
              <c16:uniqueId val="{0000000A-71A0-44B6-9C80-C2FB704BCEDB}"/>
            </c:ext>
          </c:extLst>
        </c:ser>
        <c:ser>
          <c:idx val="5"/>
          <c:order val="5"/>
          <c:tx>
            <c:v>New Initiatives and Others YoY growth</c:v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Reporting'!$AJ$3:$AN$3</c:f>
            </c:multiLvlStrRef>
          </c:cat>
          <c:val>
            <c:numRef>
              <c:f>'Segment Reporting'!$AJ$127:$AN$127</c:f>
            </c:numRef>
          </c:val>
          <c:smooth val="0"/>
          <c:extLst>
            <c:ext xmlns:c16="http://schemas.microsoft.com/office/drawing/2014/chart" uri="{C3380CC4-5D6E-409C-BE32-E72D297353CC}">
              <c16:uniqueId val="{0000000B-71A0-44B6-9C80-C2FB704BC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70048"/>
        <c:axId val="752670880"/>
      </c:lineChart>
      <c:catAx>
        <c:axId val="4784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461632"/>
        <c:crosses val="autoZero"/>
        <c:auto val="1"/>
        <c:lblAlgn val="ctr"/>
        <c:lblOffset val="100"/>
        <c:noMultiLvlLbl val="0"/>
      </c:catAx>
      <c:valAx>
        <c:axId val="4784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459968"/>
        <c:crosses val="autoZero"/>
        <c:crossBetween val="between"/>
        <c:majorUnit val="0.2"/>
      </c:valAx>
      <c:catAx>
        <c:axId val="75267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2670880"/>
        <c:crosses val="autoZero"/>
        <c:auto val="1"/>
        <c:lblAlgn val="ctr"/>
        <c:lblOffset val="100"/>
        <c:noMultiLvlLbl val="0"/>
      </c:catAx>
      <c:valAx>
        <c:axId val="75267088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004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6600762876807399E-2"/>
          <c:y val="0.78144767199403453"/>
          <c:w val="0.90559216877214399"/>
          <c:h val="0.190726246130093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半年度总收入按收入类型分布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'Segment Reporting'!$A$124</c:f>
              <c:strCache>
                <c:ptCount val="1"/>
                <c:pt idx="0">
                  <c:v>Commission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Reporting'!$AJ$3:$AN$3</c:f>
            </c:multiLvlStrRef>
          </c:cat>
          <c:val>
            <c:numRef>
              <c:f>'Segment Reporting'!$AJ$139:$AN$139</c:f>
            </c:numRef>
          </c:val>
          <c:extLst>
            <c:ext xmlns:c16="http://schemas.microsoft.com/office/drawing/2014/chart" uri="{C3380CC4-5D6E-409C-BE32-E72D297353CC}">
              <c16:uniqueId val="{00000000-300E-4EDD-81EC-86C03C8A23D6}"/>
            </c:ext>
          </c:extLst>
        </c:ser>
        <c:ser>
          <c:idx val="1"/>
          <c:order val="1"/>
          <c:tx>
            <c:strRef>
              <c:f>'Segment Reporting'!$A$125</c:f>
              <c:strCache>
                <c:ptCount val="1"/>
                <c:pt idx="0">
                  <c:v>Online Marketing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Reporting'!$AJ$3:$AN$3</c:f>
            </c:multiLvlStrRef>
          </c:cat>
          <c:val>
            <c:numRef>
              <c:f>'Segment Reporting'!$AJ$140:$AN$140</c:f>
            </c:numRef>
          </c:val>
          <c:extLst>
            <c:ext xmlns:c16="http://schemas.microsoft.com/office/drawing/2014/chart" uri="{C3380CC4-5D6E-409C-BE32-E72D297353CC}">
              <c16:uniqueId val="{00000001-300E-4EDD-81EC-86C03C8A23D6}"/>
            </c:ext>
          </c:extLst>
        </c:ser>
        <c:ser>
          <c:idx val="2"/>
          <c:order val="2"/>
          <c:tx>
            <c:strRef>
              <c:f>'Segment Reporting'!$A$126</c:f>
              <c:strCache>
                <c:ptCount val="1"/>
                <c:pt idx="0">
                  <c:v>Other services and sales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Reporting'!$AJ$3:$AN$3</c:f>
            </c:multiLvlStrRef>
          </c:cat>
          <c:val>
            <c:numRef>
              <c:f>'Segment Reporting'!$AJ$142:$AN$142</c:f>
            </c:numRef>
          </c:val>
          <c:extLst>
            <c:ext xmlns:c16="http://schemas.microsoft.com/office/drawing/2014/chart" uri="{C3380CC4-5D6E-409C-BE32-E72D297353CC}">
              <c16:uniqueId val="{00000002-300E-4EDD-81EC-86C03C8A2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42665632"/>
        <c:axId val="742666880"/>
      </c:barChart>
      <c:lineChart>
        <c:grouping val="standard"/>
        <c:varyColors val="0"/>
        <c:ser>
          <c:idx val="3"/>
          <c:order val="3"/>
          <c:tx>
            <c:v>Commision YoY growth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dLbls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0E-4EDD-81EC-86C03C8A23D6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0E-4EDD-81EC-86C03C8A23D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Reporting'!$AJ$3:$AN$3</c:f>
            </c:multiLvlStrRef>
          </c:cat>
          <c:val>
            <c:numRef>
              <c:f>'Segment Reporting'!$AJ$153:$AN$153</c:f>
            </c:numRef>
          </c:val>
          <c:smooth val="0"/>
          <c:extLst>
            <c:ext xmlns:c16="http://schemas.microsoft.com/office/drawing/2014/chart" uri="{C3380CC4-5D6E-409C-BE32-E72D297353CC}">
              <c16:uniqueId val="{00000005-300E-4EDD-81EC-86C03C8A23D6}"/>
            </c:ext>
          </c:extLst>
        </c:ser>
        <c:ser>
          <c:idx val="4"/>
          <c:order val="4"/>
          <c:tx>
            <c:v>Online Marketing Service YoY growth</c:v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Reporting'!$AJ$3:$AN$3</c:f>
            </c:multiLvlStrRef>
          </c:cat>
          <c:val>
            <c:numRef>
              <c:f>'Segment Reporting'!$AJ$154:$AN$154</c:f>
            </c:numRef>
          </c:val>
          <c:smooth val="0"/>
          <c:extLst>
            <c:ext xmlns:c16="http://schemas.microsoft.com/office/drawing/2014/chart" uri="{C3380CC4-5D6E-409C-BE32-E72D297353CC}">
              <c16:uniqueId val="{00000006-300E-4EDD-81EC-86C03C8A23D6}"/>
            </c:ext>
          </c:extLst>
        </c:ser>
        <c:ser>
          <c:idx val="5"/>
          <c:order val="5"/>
          <c:tx>
            <c:v>Other services and sales YoY growth</c:v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Reporting'!$AJ$3:$AN$3</c:f>
            </c:multiLvlStrRef>
          </c:cat>
          <c:val>
            <c:numRef>
              <c:f>'Segment Reporting'!$AJ$155:$AN$155</c:f>
            </c:numRef>
          </c:val>
          <c:smooth val="0"/>
          <c:extLst>
            <c:ext xmlns:c16="http://schemas.microsoft.com/office/drawing/2014/chart" uri="{C3380CC4-5D6E-409C-BE32-E72D297353CC}">
              <c16:uniqueId val="{00000007-300E-4EDD-81EC-86C03C8A2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74624"/>
        <c:axId val="752676704"/>
      </c:lineChart>
      <c:catAx>
        <c:axId val="7426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6880"/>
        <c:crosses val="autoZero"/>
        <c:auto val="1"/>
        <c:lblAlgn val="ctr"/>
        <c:lblOffset val="100"/>
        <c:noMultiLvlLbl val="0"/>
      </c:catAx>
      <c:valAx>
        <c:axId val="7426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665632"/>
        <c:crosses val="autoZero"/>
        <c:crossBetween val="between"/>
      </c:valAx>
      <c:catAx>
        <c:axId val="75267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2676704"/>
        <c:crosses val="autoZero"/>
        <c:auto val="1"/>
        <c:lblAlgn val="ctr"/>
        <c:lblOffset val="100"/>
        <c:noMultiLvlLbl val="0"/>
      </c:catAx>
      <c:valAx>
        <c:axId val="7526767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462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半年度变现率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72338145231846E-2"/>
          <c:y val="0.15261592300962379"/>
          <c:w val="0.89054396325459317"/>
          <c:h val="0.59993729950422858"/>
        </c:manualLayout>
      </c:layout>
      <c:lineChart>
        <c:grouping val="standard"/>
        <c:varyColors val="0"/>
        <c:ser>
          <c:idx val="0"/>
          <c:order val="0"/>
          <c:tx>
            <c:strRef>
              <c:f>'Segment Reporting'!$A$4</c:f>
              <c:strCache>
                <c:ptCount val="1"/>
                <c:pt idx="0">
                  <c:v>Food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multiLvlStrRef>
              <c:f>'Segment Reporting'!$AJ$3:$AN$3</c:f>
            </c:multiLvlStrRef>
          </c:cat>
          <c:val>
            <c:numRef>
              <c:f>'Segment Reporting'!$AJ$44:$AN$44</c:f>
            </c:numRef>
          </c:val>
          <c:smooth val="0"/>
          <c:extLst>
            <c:ext xmlns:c16="http://schemas.microsoft.com/office/drawing/2014/chart" uri="{C3380CC4-5D6E-409C-BE32-E72D297353CC}">
              <c16:uniqueId val="{00000000-351E-42B4-B7E9-63DFDFC0F415}"/>
            </c:ext>
          </c:extLst>
        </c:ser>
        <c:ser>
          <c:idx val="1"/>
          <c:order val="1"/>
          <c:tx>
            <c:strRef>
              <c:f>'Segment Reporting'!$A$47</c:f>
              <c:strCache>
                <c:ptCount val="1"/>
                <c:pt idx="0">
                  <c:v>Instore, Hotels and Travel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multiLvlStrRef>
              <c:f>'Segment Reporting'!$AJ$3:$AN$3</c:f>
            </c:multiLvlStrRef>
          </c:cat>
          <c:val>
            <c:numRef>
              <c:f>'Segment Reporting'!$AJ$76:$AN$76</c:f>
            </c:numRef>
          </c:val>
          <c:smooth val="0"/>
          <c:extLst>
            <c:ext xmlns:c16="http://schemas.microsoft.com/office/drawing/2014/chart" uri="{C3380CC4-5D6E-409C-BE32-E72D297353CC}">
              <c16:uniqueId val="{00000001-351E-42B4-B7E9-63DFDFC0F415}"/>
            </c:ext>
          </c:extLst>
        </c:ser>
        <c:ser>
          <c:idx val="2"/>
          <c:order val="2"/>
          <c:tx>
            <c:strRef>
              <c:f>'Segment Reporting'!$A$107</c:f>
              <c:strCache>
                <c:ptCount val="1"/>
                <c:pt idx="0">
                  <c:v>New Initiatives and Others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multiLvlStrRef>
              <c:f>'Segment Reporting'!$AJ$3:$AN$3</c:f>
            </c:multiLvlStrRef>
          </c:cat>
          <c:val>
            <c:numRef>
              <c:f>'Segment Reporting'!$AJ$132:$AN$132</c:f>
            </c:numRef>
          </c:val>
          <c:smooth val="0"/>
          <c:extLst>
            <c:ext xmlns:c16="http://schemas.microsoft.com/office/drawing/2014/chart" uri="{C3380CC4-5D6E-409C-BE32-E72D297353CC}">
              <c16:uniqueId val="{00000002-351E-42B4-B7E9-63DFDFC0F415}"/>
            </c:ext>
          </c:extLst>
        </c:ser>
        <c:ser>
          <c:idx val="3"/>
          <c:order val="3"/>
          <c:tx>
            <c:strRef>
              <c:f>'Segment Reporting'!$A$135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multiLvlStrRef>
              <c:f>'Segment Reporting'!$AJ$3:$AN$3</c:f>
            </c:multiLvlStrRef>
          </c:cat>
          <c:val>
            <c:numRef>
              <c:f>'Segment Reporting'!$AJ$160:$AN$160</c:f>
            </c:numRef>
          </c:val>
          <c:smooth val="0"/>
          <c:extLst>
            <c:ext xmlns:c16="http://schemas.microsoft.com/office/drawing/2014/chart" uri="{C3380CC4-5D6E-409C-BE32-E72D297353CC}">
              <c16:uniqueId val="{00000003-351E-42B4-B7E9-63DFDFC0F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78656"/>
        <c:axId val="742171168"/>
      </c:lineChart>
      <c:catAx>
        <c:axId val="7421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1168"/>
        <c:crosses val="autoZero"/>
        <c:auto val="1"/>
        <c:lblAlgn val="ctr"/>
        <c:lblOffset val="100"/>
        <c:noMultiLvlLbl val="0"/>
      </c:catAx>
      <c:valAx>
        <c:axId val="7421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1786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054907116359073"/>
          <c:y val="0.84930833002512518"/>
          <c:w val="0.84195182111516542"/>
          <c:h val="0.1506916699748747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外卖年总收入及增速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3817147856517921E-2"/>
          <c:y val="0.1850233304170312"/>
          <c:w val="0.8218379265091863"/>
          <c:h val="0.60167395742198893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Reporting'!$AT$3:$AW$3</c:f>
            </c:multiLvlStrRef>
          </c:cat>
          <c:val>
            <c:numRef>
              <c:f>'Segment Reporting'!$AT$16:$AW$16</c:f>
            </c:numRef>
          </c:val>
          <c:extLst>
            <c:ext xmlns:c16="http://schemas.microsoft.com/office/drawing/2014/chart" uri="{C3380CC4-5D6E-409C-BE32-E72D297353CC}">
              <c16:uniqueId val="{00000000-F1E2-445D-9BE5-EF6B45EB2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44159008"/>
        <c:axId val="544159424"/>
      </c:barChart>
      <c:lineChart>
        <c:grouping val="standard"/>
        <c:varyColors val="0"/>
        <c:ser>
          <c:idx val="1"/>
          <c:order val="1"/>
          <c:tx>
            <c:strRef>
              <c:f>'Segment Reporting'!$A$26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  <a:prstDash val="solid"/>
              </a:ln>
            </c:spPr>
          </c:marker>
          <c:cat>
            <c:multiLvlStrRef>
              <c:f>'Segment Reporting'!$AT$3:$AW$3</c:f>
            </c:multiLvlStrRef>
          </c:cat>
          <c:val>
            <c:numRef>
              <c:f>'Segment Reporting'!$AT$37:$AW$37</c:f>
            </c:numRef>
          </c:val>
          <c:smooth val="0"/>
          <c:extLst>
            <c:ext xmlns:c16="http://schemas.microsoft.com/office/drawing/2014/chart" uri="{C3380CC4-5D6E-409C-BE32-E72D297353CC}">
              <c16:uniqueId val="{00000001-F1E2-445D-9BE5-EF6B45EB2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063104"/>
        <c:axId val="641064352"/>
      </c:lineChart>
      <c:catAx>
        <c:axId val="54415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59424"/>
        <c:crosses val="autoZero"/>
        <c:auto val="1"/>
        <c:lblAlgn val="ctr"/>
        <c:lblOffset val="100"/>
        <c:noMultiLvlLbl val="0"/>
      </c:catAx>
      <c:valAx>
        <c:axId val="54415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59008"/>
        <c:crosses val="autoZero"/>
        <c:crossBetween val="between"/>
        <c:majorUnit val="10000000"/>
        <c:dispUnits>
          <c:builtInUnit val="millions"/>
          <c:dispUnitsLbl>
            <c:layout>
              <c:manualLayout>
                <c:xMode val="edge"/>
                <c:yMode val="edge"/>
                <c:x val="3.0555555555555551E-2"/>
                <c:y val="6.0023330417031201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64106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1064352"/>
        <c:crosses val="autoZero"/>
        <c:auto val="1"/>
        <c:lblAlgn val="ctr"/>
        <c:lblOffset val="100"/>
        <c:noMultiLvlLbl val="0"/>
      </c:catAx>
      <c:valAx>
        <c:axId val="641064352"/>
        <c:scaling>
          <c:orientation val="minMax"/>
          <c:max val="6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106310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外卖年毛利润及毛利率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7136701662292232E-2"/>
          <c:y val="0.1896529600466608"/>
          <c:w val="0.80808770778652672"/>
          <c:h val="0.65351778944298633"/>
        </c:manualLayout>
      </c:layout>
      <c:barChart>
        <c:barDir val="col"/>
        <c:grouping val="clustered"/>
        <c:varyColors val="0"/>
        <c:ser>
          <c:idx val="0"/>
          <c:order val="0"/>
          <c:tx>
            <c:v>Gross profit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Reporting'!$AT$3:$AW$3</c:f>
            </c:multiLvlStrRef>
          </c:cat>
          <c:val>
            <c:numRef>
              <c:f>'Segment Reporting'!$AT$22:$AW$22</c:f>
            </c:numRef>
          </c:val>
          <c:extLst>
            <c:ext xmlns:c16="http://schemas.microsoft.com/office/drawing/2014/chart" uri="{C3380CC4-5D6E-409C-BE32-E72D297353CC}">
              <c16:uniqueId val="{00000000-8A15-473C-9FAD-7C1134931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41058112"/>
        <c:axId val="641060608"/>
      </c:barChart>
      <c:lineChart>
        <c:grouping val="standard"/>
        <c:varyColors val="0"/>
        <c:ser>
          <c:idx val="1"/>
          <c:order val="1"/>
          <c:tx>
            <c:strRef>
              <c:f>'Segment Reporting'!$A$45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Reporting'!$AT$3:$AW$3</c:f>
            </c:multiLvlStrRef>
          </c:cat>
          <c:val>
            <c:numRef>
              <c:f>'Segment Reporting'!$AT$45:$AW$45</c:f>
            </c:numRef>
          </c:val>
          <c:smooth val="0"/>
          <c:extLst>
            <c:ext xmlns:c16="http://schemas.microsoft.com/office/drawing/2014/chart" uri="{C3380CC4-5D6E-409C-BE32-E72D297353CC}">
              <c16:uniqueId val="{00000001-8A15-473C-9FAD-7C1134931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922128"/>
        <c:axId val="676921296"/>
      </c:lineChart>
      <c:catAx>
        <c:axId val="64105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1060608"/>
        <c:crosses val="autoZero"/>
        <c:auto val="1"/>
        <c:lblAlgn val="ctr"/>
        <c:lblOffset val="100"/>
        <c:noMultiLvlLbl val="0"/>
      </c:catAx>
      <c:valAx>
        <c:axId val="64106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105811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4.1666666666666657E-2"/>
                <c:y val="4.6134441528142327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67692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6921296"/>
        <c:crosses val="autoZero"/>
        <c:auto val="1"/>
        <c:lblAlgn val="ctr"/>
        <c:lblOffset val="100"/>
        <c:noMultiLvlLbl val="0"/>
      </c:catAx>
      <c:valAx>
        <c:axId val="676921296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92212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到店、酒店、旅游年总收入及增速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7553149606299216E-2"/>
          <c:y val="0.18039370078740161"/>
          <c:w val="0.81532414698162725"/>
          <c:h val="0.60630358705161858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Reporting'!$AT$56:$AX$56</c:f>
              <c:numCache>
                <c:formatCode>_(* #,##0_);_(* \(#,##0\);_(* "-"??_);_(@_)</c:formatCode>
                <c:ptCount val="1"/>
                <c:pt idx="0">
                  <c:v>22275472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1-4FCD-8FA7-A8A944393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76922544"/>
        <c:axId val="676925040"/>
      </c:barChart>
      <c:lineChart>
        <c:grouping val="standard"/>
        <c:varyColors val="0"/>
        <c:ser>
          <c:idx val="1"/>
          <c:order val="1"/>
          <c:tx>
            <c:strRef>
              <c:f>'Segment Reporting'!$A$64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Reporting'!$AT$71:$AX$71</c:f>
              <c:numCache>
                <c:formatCode>0%</c:formatCode>
                <c:ptCount val="1"/>
                <c:pt idx="0">
                  <c:v>0.40624774902541683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91-4FCD-8FA7-A8A944393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184048"/>
        <c:axId val="681184464"/>
      </c:lineChart>
      <c:catAx>
        <c:axId val="67692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925040"/>
        <c:crosses val="autoZero"/>
        <c:auto val="1"/>
        <c:lblAlgn val="ctr"/>
        <c:lblOffset val="100"/>
        <c:noMultiLvlLbl val="0"/>
      </c:catAx>
      <c:valAx>
        <c:axId val="67692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922544"/>
        <c:crosses val="autoZero"/>
        <c:crossBetween val="between"/>
        <c:majorUnit val="3000000"/>
        <c:dispUnits>
          <c:builtInUnit val="millions"/>
          <c:dispUnitsLbl>
            <c:layout>
              <c:manualLayout>
                <c:xMode val="edge"/>
                <c:yMode val="edge"/>
                <c:x val="3.0555555555555551E-2"/>
                <c:y val="4.150481189851269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681184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1184464"/>
        <c:crosses val="autoZero"/>
        <c:auto val="1"/>
        <c:lblAlgn val="ctr"/>
        <c:lblOffset val="100"/>
        <c:noMultiLvlLbl val="0"/>
      </c:catAx>
      <c:valAx>
        <c:axId val="6811844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1184048"/>
        <c:crosses val="max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到店、酒店、旅游年毛利润及毛利率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594925634295702E-2"/>
          <c:y val="0.17576407115777201"/>
          <c:w val="0.82894903762029737"/>
          <c:h val="0.61093321668124823"/>
        </c:manualLayout>
      </c:layout>
      <c:barChart>
        <c:barDir val="col"/>
        <c:grouping val="clustered"/>
        <c:varyColors val="0"/>
        <c:ser>
          <c:idx val="0"/>
          <c:order val="0"/>
          <c:tx>
            <c:v>Gross profit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Reporting'!$AT$60:$AX$60</c:f>
              <c:numCache>
                <c:formatCode>#,##0</c:formatCode>
                <c:ptCount val="1"/>
                <c:pt idx="0">
                  <c:v>19746355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4-41E0-8CCC-8BEEF023F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78779600"/>
        <c:axId val="678772528"/>
      </c:barChart>
      <c:lineChart>
        <c:grouping val="standard"/>
        <c:varyColors val="0"/>
        <c:ser>
          <c:idx val="1"/>
          <c:order val="1"/>
          <c:tx>
            <c:strRef>
              <c:f>'Segment Reporting'!$A$77</c:f>
              <c:strCache>
                <c:ptCount val="1"/>
                <c:pt idx="0">
                  <c:v>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Reporting'!$AT$3:$AW$3</c:f>
            </c:multiLvlStrRef>
          </c:cat>
          <c:val>
            <c:numRef>
              <c:f>'Segment Reporting'!$AT$77:$AX$77</c:f>
              <c:numCache>
                <c:formatCode>0.0%</c:formatCode>
                <c:ptCount val="1"/>
                <c:pt idx="0">
                  <c:v>0.88646179977690265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4-41E0-8CCC-8BEEF023F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162336"/>
        <c:axId val="641058944"/>
      </c:lineChart>
      <c:catAx>
        <c:axId val="6787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772528"/>
        <c:crosses val="autoZero"/>
        <c:auto val="1"/>
        <c:lblAlgn val="ctr"/>
        <c:lblOffset val="100"/>
        <c:noMultiLvlLbl val="0"/>
      </c:catAx>
      <c:valAx>
        <c:axId val="6787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779600"/>
        <c:crosses val="autoZero"/>
        <c:crossBetween val="between"/>
        <c:majorUnit val="3000000"/>
        <c:dispUnits>
          <c:builtInUnit val="millions"/>
          <c:dispUnitsLbl>
            <c:layout>
              <c:manualLayout>
                <c:xMode val="edge"/>
                <c:yMode val="edge"/>
                <c:x val="3.888888888888889E-2"/>
                <c:y val="6.4652960046660837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544162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1058944"/>
        <c:crosses val="autoZero"/>
        <c:auto val="1"/>
        <c:lblAlgn val="ctr"/>
        <c:lblOffset val="100"/>
        <c:noMultiLvlLbl val="0"/>
      </c:catAx>
      <c:valAx>
        <c:axId val="641058944"/>
        <c:scaling>
          <c:orientation val="minMax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62336"/>
        <c:crosses val="max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新业务及其他年收入及增速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2150481189851266E-2"/>
          <c:y val="0.18039370078740161"/>
          <c:w val="0.81072681539807534"/>
          <c:h val="0.60630358705161858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Reporting'!$AT$114:$AX$114</c:f>
              <c:numCache>
                <c:formatCode>_(* #,##0_);_(* \(#,##0\);_(* "-"??_);_(@_)</c:formatCode>
                <c:ptCount val="1"/>
                <c:pt idx="0">
                  <c:v>20409854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7-48B4-B742-65320F13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44159840"/>
        <c:axId val="544157760"/>
      </c:barChart>
      <c:lineChart>
        <c:grouping val="standard"/>
        <c:varyColors val="0"/>
        <c:ser>
          <c:idx val="1"/>
          <c:order val="1"/>
          <c:tx>
            <c:strRef>
              <c:f>'Segment Reporting'!$A$121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Reporting'!$AT$3:$AW$3</c:f>
            </c:multiLvlStrRef>
          </c:cat>
          <c:val>
            <c:numRef>
              <c:f>'Segment Reporting'!$AT$127:$AX$127</c:f>
              <c:numCache>
                <c:formatCode>0%</c:formatCode>
                <c:ptCount val="1"/>
                <c:pt idx="0">
                  <c:v>0.81520413766336297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7-48B4-B742-65320F132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446384"/>
        <c:axId val="543449296"/>
      </c:lineChart>
      <c:catAx>
        <c:axId val="5441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57760"/>
        <c:crosses val="autoZero"/>
        <c:auto val="1"/>
        <c:lblAlgn val="ctr"/>
        <c:lblOffset val="100"/>
        <c:noMultiLvlLbl val="0"/>
      </c:catAx>
      <c:valAx>
        <c:axId val="5441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5984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555555555555551E-2"/>
                <c:y val="4.150481189851269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543446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3449296"/>
        <c:crosses val="autoZero"/>
        <c:auto val="1"/>
        <c:lblAlgn val="ctr"/>
        <c:lblOffset val="100"/>
        <c:noMultiLvlLbl val="0"/>
      </c:catAx>
      <c:valAx>
        <c:axId val="54344929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44638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新业务及其他年毛利润及毛利率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Reporting'!$AT$117:$AX$117</c:f>
              <c:numCache>
                <c:formatCode>_(* #,##0_);_(* \(#,##0\);_(* "-"??_);_(@_)</c:formatCode>
                <c:ptCount val="1"/>
                <c:pt idx="0">
                  <c:v>2340845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A-43A7-B241-54B7D18E5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44163584"/>
        <c:axId val="544161920"/>
      </c:barChart>
      <c:lineChart>
        <c:grouping val="standard"/>
        <c:varyColors val="0"/>
        <c:ser>
          <c:idx val="1"/>
          <c:order val="1"/>
          <c:tx>
            <c:strRef>
              <c:f>'Segment Reporting'!$A$133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'Segment Reporting'!$AT$3:$AX$3</c:f>
              <c:numCache>
                <c:formatCode>General</c:formatCode>
                <c:ptCount val="1"/>
                <c:pt idx="0">
                  <c:v>2019</c:v>
                </c:pt>
              </c:numCache>
            </c:numRef>
          </c:cat>
          <c:val>
            <c:numRef>
              <c:f>'Segment Reporting'!$AT$133:$AX$133</c:f>
              <c:numCache>
                <c:formatCode>0%</c:formatCode>
                <c:ptCount val="1"/>
                <c:pt idx="0">
                  <c:v>0.11469190323458463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A-43A7-B241-54B7D18E5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181136"/>
        <c:axId val="681179056"/>
      </c:lineChart>
      <c:catAx>
        <c:axId val="5441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61920"/>
        <c:crosses val="autoZero"/>
        <c:auto val="1"/>
        <c:lblAlgn val="ctr"/>
        <c:lblOffset val="100"/>
        <c:noMultiLvlLbl val="0"/>
      </c:catAx>
      <c:valAx>
        <c:axId val="5441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63584"/>
        <c:crosses val="autoZero"/>
        <c:crossBetween val="between"/>
      </c:valAx>
      <c:catAx>
        <c:axId val="681181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1179056"/>
        <c:crosses val="autoZero"/>
        <c:auto val="1"/>
        <c:lblAlgn val="ctr"/>
        <c:lblOffset val="100"/>
        <c:noMultiLvlLbl val="0"/>
      </c:catAx>
      <c:valAx>
        <c:axId val="681179056"/>
        <c:scaling>
          <c:orientation val="minMax"/>
          <c:max val="0.8"/>
          <c:min val="-2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118113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/>
              <a:t>Meituan</a:t>
            </a:r>
            <a:r>
              <a:rPr lang="zh-CN" altLang="en-US" sz="1200"/>
              <a:t>季度交易额（</a:t>
            </a:r>
            <a:r>
              <a:rPr lang="en-US" altLang="zh-CN" sz="1200"/>
              <a:t>GTV</a:t>
            </a:r>
            <a:r>
              <a:rPr lang="zh-CN" altLang="en-US" sz="1200"/>
              <a:t>）及增速</a:t>
            </a:r>
            <a:r>
              <a:rPr lang="en-US" altLang="zh-CN" sz="1200"/>
              <a:t>-</a:t>
            </a:r>
            <a:r>
              <a:rPr lang="zh-CN" altLang="en-US" sz="1200"/>
              <a:t>不再更新</a:t>
            </a:r>
          </a:p>
        </c:rich>
      </c:tx>
      <c:overlay val="0"/>
      <c:spPr>
        <a:solidFill>
          <a:srgbClr val="FFFF00"/>
        </a:solidFill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Transaction Value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Reporting'!$D$3:$N$3</c:f>
              <c:strCache>
                <c:ptCount val="11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</c:strCache>
            </c:strRef>
          </c:cat>
          <c:val>
            <c:numRef>
              <c:f>'Segment Reporting'!$D$136:$N$136</c:f>
              <c:numCache>
                <c:formatCode>_(* #,##0.0_);_(* \(#,##0.0\);_(* "-"??_);_(@_)</c:formatCode>
                <c:ptCount val="11"/>
                <c:pt idx="0" formatCode="#,##0.0">
                  <c:v>104.1</c:v>
                </c:pt>
                <c:pt idx="1">
                  <c:v>104.1</c:v>
                </c:pt>
                <c:pt idx="2">
                  <c:v>108.2</c:v>
                </c:pt>
                <c:pt idx="3" formatCode="#,##0.0">
                  <c:v>123.7</c:v>
                </c:pt>
                <c:pt idx="4" formatCode="#,##0.0">
                  <c:v>145.69999999999999</c:v>
                </c:pt>
                <c:pt idx="5" formatCode="#,##0.0">
                  <c:v>138</c:v>
                </c:pt>
                <c:pt idx="6" formatCode="General">
                  <c:v>138.4</c:v>
                </c:pt>
                <c:pt idx="7" formatCode="General">
                  <c:v>159.19999999999999</c:v>
                </c:pt>
                <c:pt idx="8" formatCode="General">
                  <c:v>194.6</c:v>
                </c:pt>
                <c:pt idx="9" formatCode="General">
                  <c:v>189.9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E-4C64-8183-5940B75D1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49280720"/>
        <c:axId val="449280304"/>
      </c:barChart>
      <c:lineChart>
        <c:grouping val="standard"/>
        <c:varyColors val="0"/>
        <c:ser>
          <c:idx val="1"/>
          <c:order val="1"/>
          <c:tx>
            <c:strRef>
              <c:f>'Segment Reporting'!$A$151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4E-4C64-8183-5940B75D1CFE}"/>
                </c:ext>
              </c:extLst>
            </c:dLbl>
            <c:dLbl>
              <c:idx val="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4E-4C64-8183-5940B75D1CF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Reporting'!$D$3:$M$3</c:f>
              <c:strCache>
                <c:ptCount val="10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</c:strCache>
            </c:strRef>
          </c:cat>
          <c:val>
            <c:numRef>
              <c:f>'Segment Reporting'!$D$152:$N$152</c:f>
              <c:numCache>
                <c:formatCode>0%</c:formatCode>
                <c:ptCount val="11"/>
                <c:pt idx="4">
                  <c:v>0.39961575408261285</c:v>
                </c:pt>
                <c:pt idx="5">
                  <c:v>0.32564841498559094</c:v>
                </c:pt>
                <c:pt idx="6">
                  <c:v>0.27911275415896486</c:v>
                </c:pt>
                <c:pt idx="7">
                  <c:v>0.28698464025869019</c:v>
                </c:pt>
                <c:pt idx="8">
                  <c:v>0.33562113932738513</c:v>
                </c:pt>
                <c:pt idx="9">
                  <c:v>0.37608695652173907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E-4C64-8183-5940B75D1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563776"/>
        <c:axId val="574560864"/>
      </c:lineChart>
      <c:catAx>
        <c:axId val="44928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9280304"/>
        <c:crosses val="autoZero"/>
        <c:auto val="1"/>
        <c:lblAlgn val="ctr"/>
        <c:lblOffset val="100"/>
        <c:noMultiLvlLbl val="0"/>
      </c:catAx>
      <c:valAx>
        <c:axId val="4492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9280720"/>
        <c:crosses val="autoZero"/>
        <c:crossBetween val="between"/>
        <c:majorUnit val="40"/>
      </c:valAx>
      <c:catAx>
        <c:axId val="57456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560864"/>
        <c:crosses val="autoZero"/>
        <c:auto val="1"/>
        <c:lblAlgn val="ctr"/>
        <c:lblOffset val="100"/>
        <c:noMultiLvlLbl val="0"/>
      </c:catAx>
      <c:valAx>
        <c:axId val="574560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456377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季度净调整</a:t>
            </a:r>
            <a:r>
              <a:rPr lang="en-US" altLang="zh-CN"/>
              <a:t>EBITDA</a:t>
            </a:r>
            <a:r>
              <a:rPr lang="zh-CN" altLang="en-US"/>
              <a:t>及利润率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19420384951881"/>
          <c:y val="0.1942825896762905"/>
          <c:w val="0.83140748031496048"/>
          <c:h val="0.64888815981335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Financial Data'!$A$20</c:f>
              <c:strCache>
                <c:ptCount val="1"/>
                <c:pt idx="0">
                  <c:v>Meituan reported Adjusted EBITDA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Data'!$F$20:$M$20,'Key Financial Data'!$Z$20:$AM$20)</c15:sqref>
                  </c15:fullRef>
                </c:ext>
              </c:extLst>
              <c:f>('Key Financial Data'!$F$20:$I$20,'Key Financial Data'!$K$20:$M$20,'Key Financial Data'!$Z$20:$AM$20)</c:f>
              <c:numCache>
                <c:formatCode>#,##0_);\(#,##0\)</c:formatCode>
                <c:ptCount val="17"/>
                <c:pt idx="0">
                  <c:v>2330809</c:v>
                </c:pt>
                <c:pt idx="1">
                  <c:v>2285301</c:v>
                </c:pt>
                <c:pt idx="2">
                  <c:v>2178650</c:v>
                </c:pt>
                <c:pt idx="3">
                  <c:v>6262060</c:v>
                </c:pt>
                <c:pt idx="4">
                  <c:v>7682351</c:v>
                </c:pt>
                <c:pt idx="5">
                  <c:v>6189201</c:v>
                </c:pt>
                <c:pt idx="6">
                  <c:v>3744406</c:v>
                </c:pt>
                <c:pt idx="7">
                  <c:v>8070343</c:v>
                </c:pt>
                <c:pt idx="8">
                  <c:v>14997268</c:v>
                </c:pt>
                <c:pt idx="9">
                  <c:v>14529197</c:v>
                </c:pt>
                <c:pt idx="10">
                  <c:v>11522592</c:v>
                </c:pt>
                <c:pt idx="11">
                  <c:v>12301686</c:v>
                </c:pt>
                <c:pt idx="12">
                  <c:v>2781961</c:v>
                </c:pt>
                <c:pt idx="13">
                  <c:v>-14841897</c:v>
                </c:pt>
                <c:pt idx="14">
                  <c:v>-14024955</c:v>
                </c:pt>
                <c:pt idx="15">
                  <c:v>-3049429</c:v>
                </c:pt>
                <c:pt idx="16">
                  <c:v>4098050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D-4DF8-8C1B-7A80DC17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99531488"/>
        <c:axId val="799535232"/>
      </c:barChart>
      <c:lineChart>
        <c:grouping val="standard"/>
        <c:varyColors val="0"/>
        <c:ser>
          <c:idx val="1"/>
          <c:order val="1"/>
          <c:tx>
            <c:strRef>
              <c:f>'Key Financial Data'!$A$66</c:f>
              <c:strCache>
                <c:ptCount val="1"/>
                <c:pt idx="0">
                  <c:v>Meituan reported adjusted EBITDA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7756526032665893E-2"/>
                  <c:y val="-5.3904446940020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6D-4DF8-8C1B-7A80DC1776CB}"/>
                </c:ext>
              </c:extLst>
            </c:dLbl>
            <c:dLbl>
              <c:idx val="4"/>
              <c:layout>
                <c:manualLayout>
                  <c:x val="-5.5006215269205613E-2"/>
                  <c:y val="-5.3904446940020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6D-4DF8-8C1B-7A80DC1776CB}"/>
                </c:ext>
              </c:extLst>
            </c:dLbl>
            <c:dLbl>
              <c:idx val="8"/>
              <c:layout>
                <c:manualLayout>
                  <c:x val="-5.5006215269205717E-2"/>
                  <c:y val="-6.2888521430024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D-4DF8-8C1B-7A80DC1776CB}"/>
                </c:ext>
              </c:extLst>
            </c:dLbl>
            <c:dLbl>
              <c:idx val="12"/>
              <c:layout>
                <c:manualLayout>
                  <c:x val="-2.7503107634602807E-2"/>
                  <c:y val="-4.9412409695019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6D-4DF8-8C1B-7A80DC1776CB}"/>
                </c:ext>
              </c:extLst>
            </c:dLbl>
            <c:dLbl>
              <c:idx val="16"/>
              <c:layout>
                <c:manualLayout>
                  <c:x val="-4.6755282978824773E-2"/>
                  <c:y val="-6.2888521430024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D-4DF8-8C1B-7A80DC1776CB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6D-4DF8-8C1B-7A80DC1776C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('Key Financial Data'!$F$3:$M$3,'Key Financial Data'!$Z$3:$AM$3)</c15:sqref>
                  </c15:fullRef>
                </c:ext>
              </c:extLst>
              <c:f>('Key Financial Data'!$F$3:$I$3,'Key Financial Data'!$K$3:$M$3,'Key Financial Data'!$Z$3:$AM$3)</c:f>
              <c:strCache>
                <c:ptCount val="17"/>
                <c:pt idx="0">
                  <c:v>19Q2</c:v>
                </c:pt>
                <c:pt idx="1">
                  <c:v>19Q3</c:v>
                </c:pt>
                <c:pt idx="2">
                  <c:v>19Q4</c:v>
                </c:pt>
                <c:pt idx="3">
                  <c:v>23Q1</c:v>
                </c:pt>
                <c:pt idx="4">
                  <c:v>23Q2</c:v>
                </c:pt>
                <c:pt idx="5">
                  <c:v>23Q3</c:v>
                </c:pt>
                <c:pt idx="6">
                  <c:v>23Q4</c:v>
                </c:pt>
                <c:pt idx="7">
                  <c:v>24Q1</c:v>
                </c:pt>
                <c:pt idx="8">
                  <c:v>24Q2</c:v>
                </c:pt>
                <c:pt idx="9">
                  <c:v>24Q3</c:v>
                </c:pt>
                <c:pt idx="10">
                  <c:v>24Q4</c:v>
                </c:pt>
                <c:pt idx="11">
                  <c:v>25Q1</c:v>
                </c:pt>
                <c:pt idx="12">
                  <c:v>25Q2</c:v>
                </c:pt>
                <c:pt idx="13">
                  <c:v>25Q3</c:v>
                </c:pt>
                <c:pt idx="14">
                  <c:v>25Q4</c:v>
                </c:pt>
                <c:pt idx="15">
                  <c:v>26Q1</c:v>
                </c:pt>
                <c:pt idx="16">
                  <c:v>26Q2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('Key Financial Data'!$F$66:$M$66,'Key Financial Data'!$Z$66:$AM$66)</c15:sqref>
                  </c15:fullRef>
                </c:ext>
              </c:extLst>
              <c:f>('Key Financial Data'!$F$66:$I$66,'Key Financial Data'!$K$66:$M$66,'Key Financial Data'!$Z$66:$AM$66)</c:f>
              <c:numCache>
                <c:formatCode>0.0%</c:formatCode>
                <c:ptCount val="17"/>
                <c:pt idx="0">
                  <c:v>0.10266462295496874</c:v>
                </c:pt>
                <c:pt idx="1">
                  <c:v>8.3121111440035797E-2</c:v>
                </c:pt>
                <c:pt idx="2">
                  <c:v>7.7371632394950068E-2</c:v>
                </c:pt>
                <c:pt idx="3">
                  <c:v>0.10682924026474563</c:v>
                </c:pt>
                <c:pt idx="4">
                  <c:v>0.11303455456473945</c:v>
                </c:pt>
                <c:pt idx="5">
                  <c:v>8.0939601754782625E-2</c:v>
                </c:pt>
                <c:pt idx="6">
                  <c:v>5.0808842944438021E-2</c:v>
                </c:pt>
                <c:pt idx="7">
                  <c:v>0.11013641268387837</c:v>
                </c:pt>
                <c:pt idx="8">
                  <c:v>0.18233521732487468</c:v>
                </c:pt>
                <c:pt idx="9">
                  <c:v>0.15526408701664129</c:v>
                </c:pt>
                <c:pt idx="10">
                  <c:v>0.13021747212164783</c:v>
                </c:pt>
                <c:pt idx="11">
                  <c:v>0.14212216334447147</c:v>
                </c:pt>
                <c:pt idx="12">
                  <c:v>3.0291228878594711E-2</c:v>
                </c:pt>
                <c:pt idx="13">
                  <c:v>-0.15543188082478915</c:v>
                </c:pt>
                <c:pt idx="14">
                  <c:v>-0.15228554627237501</c:v>
                </c:pt>
                <c:pt idx="15">
                  <c:v>-3.3495888010780794E-2</c:v>
                </c:pt>
                <c:pt idx="16">
                  <c:v>3.9162182629167402E-2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6D-4DF8-8C1B-7A80DC17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846736"/>
        <c:axId val="841843824"/>
      </c:lineChart>
      <c:catAx>
        <c:axId val="7995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535232"/>
        <c:crosses val="autoZero"/>
        <c:auto val="1"/>
        <c:lblAlgn val="ctr"/>
        <c:lblOffset val="100"/>
        <c:noMultiLvlLbl val="0"/>
      </c:catAx>
      <c:valAx>
        <c:axId val="7995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531488"/>
        <c:crosses val="autoZero"/>
        <c:crossBetween val="between"/>
        <c:minorUnit val="500000"/>
        <c:dispUnits>
          <c:builtInUnit val="millions"/>
          <c:dispUnitsLbl>
            <c:layout>
              <c:manualLayout>
                <c:xMode val="edge"/>
                <c:yMode val="edge"/>
                <c:x val="1.666666666666667E-2"/>
                <c:y val="6.4652960046660837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bn</a:t>
                  </a:r>
                  <a:endParaRPr lang="zh-CN" altLang="en-US"/>
                </a:p>
              </c:rich>
            </c:tx>
            <c:spPr>
              <a:noFill/>
              <a:ln>
                <a:noFill/>
                <a:prstDash val="solid"/>
              </a:ln>
            </c:spPr>
          </c:dispUnitsLbl>
        </c:dispUnits>
      </c:valAx>
      <c:catAx>
        <c:axId val="841846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1843824"/>
        <c:crosses val="autoZero"/>
        <c:auto val="1"/>
        <c:lblAlgn val="ctr"/>
        <c:lblOffset val="100"/>
        <c:noMultiLvlLbl val="0"/>
      </c:catAx>
      <c:valAx>
        <c:axId val="84184382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184673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年度每交易用户成交频次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Reporting'!$A$174</c:f>
              <c:strCache>
                <c:ptCount val="1"/>
                <c:pt idx="0">
                  <c:v>Average Number of Transactions per Anuual Transacting User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'Segment Reporting'!$AT$3:$AW$3</c:f>
            </c:multiLvlStrRef>
          </c:cat>
          <c:val>
            <c:numRef>
              <c:f>'Segment Reporting'!$AT$174:$AW$174</c:f>
            </c:numRef>
          </c:val>
          <c:extLst>
            <c:ext xmlns:c16="http://schemas.microsoft.com/office/drawing/2014/chart" uri="{C3380CC4-5D6E-409C-BE32-E72D297353CC}">
              <c16:uniqueId val="{00000000-8EB7-434C-BB71-283B19ADF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5283600"/>
        <c:axId val="705283184"/>
      </c:barChart>
      <c:lineChart>
        <c:grouping val="standard"/>
        <c:varyColors val="0"/>
        <c:ser>
          <c:idx val="1"/>
          <c:order val="1"/>
          <c:tx>
            <c:strRef>
              <c:f>'Segment Reporting'!$A$178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'Segment Reporting'!$AT$3:$AW$3</c:f>
            </c:multiLvlStrRef>
          </c:cat>
          <c:val>
            <c:numRef>
              <c:f>'Segment Reporting'!$AT$181:$AW$181</c:f>
            </c:numRef>
          </c:val>
          <c:smooth val="0"/>
          <c:extLst>
            <c:ext xmlns:c16="http://schemas.microsoft.com/office/drawing/2014/chart" uri="{C3380CC4-5D6E-409C-BE32-E72D297353CC}">
              <c16:uniqueId val="{00000001-8EB7-434C-BB71-283B19ADF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811936"/>
        <c:axId val="736809856"/>
      </c:lineChart>
      <c:catAx>
        <c:axId val="70528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283184"/>
        <c:crosses val="autoZero"/>
        <c:auto val="1"/>
        <c:lblAlgn val="ctr"/>
        <c:lblOffset val="100"/>
        <c:noMultiLvlLbl val="0"/>
      </c:catAx>
      <c:valAx>
        <c:axId val="7052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283600"/>
        <c:crosses val="autoZero"/>
        <c:crossBetween val="between"/>
      </c:valAx>
      <c:catAx>
        <c:axId val="73681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6809856"/>
        <c:crosses val="autoZero"/>
        <c:auto val="1"/>
        <c:lblAlgn val="ctr"/>
        <c:lblOffset val="100"/>
        <c:noMultiLvlLbl val="0"/>
      </c:catAx>
      <c:valAx>
        <c:axId val="736809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681193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季度活跃商家数及增速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Reporting'!$A$172</c:f>
              <c:strCache>
                <c:ptCount val="1"/>
                <c:pt idx="0">
                  <c:v>12-M Active Merchants (in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Reporting'!$F$3:$AA$3</c:f>
              <c:strCache>
                <c:ptCount val="22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</c:strCache>
            </c:strRef>
          </c:cat>
          <c:val>
            <c:numRef>
              <c:f>'Segment Reporting'!$F$172:$AA$172</c:f>
              <c:numCache>
                <c:formatCode>_(* #,##0.0_);_(* \(#,##0.0\);_(* "-"??_);_(@_)</c:formatCode>
                <c:ptCount val="22"/>
                <c:pt idx="0">
                  <c:v>4.5</c:v>
                </c:pt>
                <c:pt idx="1">
                  <c:v>5.0999999999999996</c:v>
                </c:pt>
                <c:pt idx="2">
                  <c:v>5.5</c:v>
                </c:pt>
                <c:pt idx="3">
                  <c:v>5.8</c:v>
                </c:pt>
                <c:pt idx="4" formatCode="General">
                  <c:v>5.8</c:v>
                </c:pt>
                <c:pt idx="5" formatCode="General">
                  <c:v>5.9</c:v>
                </c:pt>
                <c:pt idx="6" formatCode="General">
                  <c:v>5.9</c:v>
                </c:pt>
                <c:pt idx="7" formatCode="General">
                  <c:v>6.2</c:v>
                </c:pt>
                <c:pt idx="8" formatCode="General">
                  <c:v>6.1</c:v>
                </c:pt>
                <c:pt idx="9" formatCode="General">
                  <c:v>6.3</c:v>
                </c:pt>
                <c:pt idx="10" formatCode="General">
                  <c:v>6.5</c:v>
                </c:pt>
                <c:pt idx="11" formatCode="General">
                  <c:v>6.8</c:v>
                </c:pt>
                <c:pt idx="12" formatCode="General">
                  <c:v>7.1</c:v>
                </c:pt>
                <c:pt idx="13" formatCode="General">
                  <c:v>7.7</c:v>
                </c:pt>
                <c:pt idx="14" formatCode="General">
                  <c:v>8.3000000000000007</c:v>
                </c:pt>
                <c:pt idx="15" formatCode="General">
                  <c:v>8.8000000000000007</c:v>
                </c:pt>
                <c:pt idx="16" formatCode="0.0">
                  <c:v>9</c:v>
                </c:pt>
                <c:pt idx="17" formatCode="0.0">
                  <c:v>9.1999999999999993</c:v>
                </c:pt>
                <c:pt idx="18" formatCode="0.0">
                  <c:v>9.3000000000000007</c:v>
                </c:pt>
                <c:pt idx="19" formatCode="0.0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B-4DAF-BD9D-CCC6AC719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73914464"/>
        <c:axId val="473913216"/>
      </c:barChart>
      <c:lineChart>
        <c:grouping val="standard"/>
        <c:varyColors val="0"/>
        <c:ser>
          <c:idx val="1"/>
          <c:order val="1"/>
          <c:tx>
            <c:strRef>
              <c:f>'Segment Reporting'!$A$178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8B-4DAF-BD9D-CCC6AC719A5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Reporting'!$F$3:$AA$3</c:f>
              <c:strCache>
                <c:ptCount val="22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  <c:pt idx="21">
                  <c:v>23Q2</c:v>
                </c:pt>
              </c:strCache>
            </c:strRef>
          </c:cat>
          <c:val>
            <c:numRef>
              <c:f>'Segment Reporting'!$F$179:$AA$179</c:f>
              <c:numCache>
                <c:formatCode>0%</c:formatCode>
                <c:ptCount val="22"/>
                <c:pt idx="1">
                  <c:v>0.5</c:v>
                </c:pt>
                <c:pt idx="2">
                  <c:v>0.44736842105263164</c:v>
                </c:pt>
                <c:pt idx="3">
                  <c:v>0.31818181818181812</c:v>
                </c:pt>
                <c:pt idx="4">
                  <c:v>0.28888888888888875</c:v>
                </c:pt>
                <c:pt idx="5">
                  <c:v>0.15686274509803932</c:v>
                </c:pt>
                <c:pt idx="6">
                  <c:v>7.2727272727272751E-2</c:v>
                </c:pt>
                <c:pt idx="7">
                  <c:v>6.8965517241379448E-2</c:v>
                </c:pt>
                <c:pt idx="8">
                  <c:v>5.1724137931034475E-2</c:v>
                </c:pt>
                <c:pt idx="9">
                  <c:v>6.7796610169491345E-2</c:v>
                </c:pt>
                <c:pt idx="10">
                  <c:v>0.10169491525423724</c:v>
                </c:pt>
                <c:pt idx="11">
                  <c:v>9.6774193548387011E-2</c:v>
                </c:pt>
                <c:pt idx="12" formatCode="0.0%">
                  <c:v>0.16393442622950816</c:v>
                </c:pt>
                <c:pt idx="13" formatCode="0.0%">
                  <c:v>0.23499999999999999</c:v>
                </c:pt>
                <c:pt idx="14" formatCode="0.0%">
                  <c:v>0.28199999999999997</c:v>
                </c:pt>
                <c:pt idx="15" formatCode="0.0%">
                  <c:v>0.29199999999999998</c:v>
                </c:pt>
                <c:pt idx="16" formatCode="0.0%">
                  <c:v>0.26600000000000001</c:v>
                </c:pt>
                <c:pt idx="17" formatCode="0.0%">
                  <c:v>0.19480519480519476</c:v>
                </c:pt>
                <c:pt idx="18" formatCode="0.0%">
                  <c:v>0.12048192771084332</c:v>
                </c:pt>
                <c:pt idx="19" formatCode="0.0%">
                  <c:v>5.6818181818181879E-2</c:v>
                </c:pt>
                <c:pt idx="20" formatCode="0.0%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8B-4DAF-BD9D-CCC6AC719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5030464"/>
        <c:axId val="600638976"/>
      </c:lineChart>
      <c:catAx>
        <c:axId val="47391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3913216"/>
        <c:crosses val="autoZero"/>
        <c:auto val="1"/>
        <c:lblAlgn val="ctr"/>
        <c:lblOffset val="100"/>
        <c:noMultiLvlLbl val="0"/>
      </c:catAx>
      <c:valAx>
        <c:axId val="4739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3914464"/>
        <c:crosses val="autoZero"/>
        <c:crossBetween val="between"/>
      </c:valAx>
      <c:catAx>
        <c:axId val="645030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0638976"/>
        <c:crosses val="autoZero"/>
        <c:auto val="1"/>
        <c:lblAlgn val="ctr"/>
        <c:lblOffset val="100"/>
        <c:noMultiLvlLbl val="0"/>
      </c:catAx>
      <c:valAx>
        <c:axId val="6006389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03046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季度活跃用户数及增速</a:t>
            </a:r>
            <a:endParaRPr lang="en-US" altLang="zh-C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Reporting'!$A$173</c:f>
              <c:strCache>
                <c:ptCount val="1"/>
                <c:pt idx="0">
                  <c:v>12-M Transaction Users (in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Reporting'!$F$3:$Z$3</c:f>
              <c:strCache>
                <c:ptCount val="21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</c:strCache>
            </c:strRef>
          </c:cat>
          <c:val>
            <c:numRef>
              <c:f>'Segment Reporting'!$F$173:$Z$173</c:f>
              <c:numCache>
                <c:formatCode>_(* #,##0.0_);_(* \(#,##0.0\);_(* "-"??_);_(@_)</c:formatCode>
                <c:ptCount val="21"/>
                <c:pt idx="0">
                  <c:v>325.8</c:v>
                </c:pt>
                <c:pt idx="1">
                  <c:v>356.9</c:v>
                </c:pt>
                <c:pt idx="2">
                  <c:v>382.3</c:v>
                </c:pt>
                <c:pt idx="3">
                  <c:v>400.4</c:v>
                </c:pt>
                <c:pt idx="4" formatCode="General">
                  <c:v>411.8</c:v>
                </c:pt>
                <c:pt idx="5" formatCode="General">
                  <c:v>422.6</c:v>
                </c:pt>
                <c:pt idx="6" formatCode="General">
                  <c:v>435.8</c:v>
                </c:pt>
                <c:pt idx="7" formatCode="General">
                  <c:v>450.5</c:v>
                </c:pt>
                <c:pt idx="8" formatCode="General">
                  <c:v>448.6</c:v>
                </c:pt>
                <c:pt idx="9" formatCode="General">
                  <c:v>457.3</c:v>
                </c:pt>
                <c:pt idx="10" formatCode="General">
                  <c:v>476.5</c:v>
                </c:pt>
                <c:pt idx="11" formatCode="General">
                  <c:v>510.6</c:v>
                </c:pt>
                <c:pt idx="12" formatCode="General">
                  <c:v>569.29999999999995</c:v>
                </c:pt>
                <c:pt idx="13" formatCode="General">
                  <c:v>628.4</c:v>
                </c:pt>
                <c:pt idx="14" formatCode="General">
                  <c:v>667.5</c:v>
                </c:pt>
                <c:pt idx="15" formatCode="General">
                  <c:v>690.5</c:v>
                </c:pt>
                <c:pt idx="16" formatCode="General">
                  <c:v>692.9</c:v>
                </c:pt>
                <c:pt idx="17" formatCode="General">
                  <c:v>684.7</c:v>
                </c:pt>
                <c:pt idx="18" formatCode="General">
                  <c:v>687.1</c:v>
                </c:pt>
                <c:pt idx="19" formatCode="General">
                  <c:v>677.9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8-48F8-9DA6-AB7F17C25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45034624"/>
        <c:axId val="645035456"/>
      </c:barChart>
      <c:lineChart>
        <c:grouping val="standard"/>
        <c:varyColors val="0"/>
        <c:ser>
          <c:idx val="1"/>
          <c:order val="1"/>
          <c:tx>
            <c:strRef>
              <c:f>'Segment Reporting'!$A$178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A8-48F8-9DA6-AB7F17C258E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Reporting'!$F$3:$Z$3</c:f>
              <c:strCache>
                <c:ptCount val="21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</c:strCache>
            </c:strRef>
          </c:cat>
          <c:val>
            <c:numRef>
              <c:f>'Segment Reporting'!$F$180:$Z$180</c:f>
              <c:numCache>
                <c:formatCode>0%</c:formatCode>
                <c:ptCount val="21"/>
                <c:pt idx="1">
                  <c:v>0.29970866715222133</c:v>
                </c:pt>
                <c:pt idx="2">
                  <c:v>0.30299931833674187</c:v>
                </c:pt>
                <c:pt idx="3">
                  <c:v>0.29369951534733429</c:v>
                </c:pt>
                <c:pt idx="4">
                  <c:v>0.26396562308164517</c:v>
                </c:pt>
                <c:pt idx="5">
                  <c:v>0.18408517792098644</c:v>
                </c:pt>
                <c:pt idx="6">
                  <c:v>0.13994245357049429</c:v>
                </c:pt>
                <c:pt idx="7">
                  <c:v>0.12512487512487525</c:v>
                </c:pt>
                <c:pt idx="8">
                  <c:v>8.9363768819815448E-2</c:v>
                </c:pt>
                <c:pt idx="9">
                  <c:v>8.2110743019403687E-2</c:v>
                </c:pt>
                <c:pt idx="10">
                  <c:v>9.3391463974300093E-2</c:v>
                </c:pt>
                <c:pt idx="11">
                  <c:v>0.13340732519422871</c:v>
                </c:pt>
                <c:pt idx="12" formatCode="0.0%">
                  <c:v>0.26905929558626829</c:v>
                </c:pt>
                <c:pt idx="13" formatCode="0.0%">
                  <c:v>0.374</c:v>
                </c:pt>
                <c:pt idx="14" formatCode="0.0%">
                  <c:v>0.40100000000000002</c:v>
                </c:pt>
                <c:pt idx="15" formatCode="0.0%">
                  <c:v>0.35199999999999998</c:v>
                </c:pt>
                <c:pt idx="16" formatCode="0.0%">
                  <c:v>0.217</c:v>
                </c:pt>
                <c:pt idx="17" formatCode="0.0%">
                  <c:v>8.9592616168046035E-2</c:v>
                </c:pt>
                <c:pt idx="18" formatCode="0.0%">
                  <c:v>2.9363295880149742E-2</c:v>
                </c:pt>
                <c:pt idx="19" formatCode="0.0%">
                  <c:v>-1.8247646632874814E-2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8-48F8-9DA6-AB7F17C25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802368"/>
        <c:axId val="736801952"/>
      </c:lineChart>
      <c:catAx>
        <c:axId val="6450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035456"/>
        <c:crosses val="autoZero"/>
        <c:auto val="1"/>
        <c:lblAlgn val="ctr"/>
        <c:lblOffset val="100"/>
        <c:noMultiLvlLbl val="0"/>
      </c:catAx>
      <c:valAx>
        <c:axId val="6450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034624"/>
        <c:crosses val="autoZero"/>
        <c:crossBetween val="between"/>
        <c:majorUnit val="100"/>
      </c:valAx>
      <c:catAx>
        <c:axId val="73680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6801952"/>
        <c:crosses val="autoZero"/>
        <c:auto val="1"/>
        <c:lblAlgn val="ctr"/>
        <c:lblOffset val="100"/>
        <c:noMultiLvlLbl val="0"/>
      </c:catAx>
      <c:valAx>
        <c:axId val="7368019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680236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300"/>
              <a:t>Meituan</a:t>
            </a:r>
            <a:r>
              <a:rPr lang="zh-CN" altLang="en-US" sz="1300"/>
              <a:t>季度每交易用户年均交易频次及增速</a:t>
            </a:r>
          </a:p>
        </c:rich>
      </c:tx>
      <c:layout>
        <c:manualLayout>
          <c:xMode val="edge"/>
          <c:yMode val="edge"/>
          <c:x val="0.1556121514802227"/>
          <c:y val="3.211226070676592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Reporting'!$A$174</c:f>
              <c:strCache>
                <c:ptCount val="1"/>
                <c:pt idx="0">
                  <c:v>Average Number of Transactions per Anuual Transacting User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Reporting'!$F$3:$Z$3</c:f>
              <c:strCache>
                <c:ptCount val="21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</c:strCache>
            </c:strRef>
          </c:cat>
          <c:val>
            <c:numRef>
              <c:f>'Segment Reporting'!$F$174:$Z$174</c:f>
              <c:numCache>
                <c:formatCode>_(* #,##0.0_);_(* \(#,##0.0\);_(* "-"??_);_(@_)</c:formatCode>
                <c:ptCount val="21"/>
                <c:pt idx="0">
                  <c:v>20.100000000000001</c:v>
                </c:pt>
                <c:pt idx="1">
                  <c:v>21.4</c:v>
                </c:pt>
                <c:pt idx="2">
                  <c:v>22.7</c:v>
                </c:pt>
                <c:pt idx="3">
                  <c:v>23.8</c:v>
                </c:pt>
                <c:pt idx="4" formatCode="General">
                  <c:v>24.8</c:v>
                </c:pt>
                <c:pt idx="5" formatCode="General">
                  <c:v>25.5</c:v>
                </c:pt>
                <c:pt idx="6" formatCode="General">
                  <c:v>26.5</c:v>
                </c:pt>
                <c:pt idx="7" formatCode="General">
                  <c:v>27.4</c:v>
                </c:pt>
                <c:pt idx="8" formatCode="General">
                  <c:v>26.2</c:v>
                </c:pt>
                <c:pt idx="9" formatCode="General">
                  <c:v>25.7</c:v>
                </c:pt>
                <c:pt idx="10" formatCode="General">
                  <c:v>26.8</c:v>
                </c:pt>
                <c:pt idx="11" formatCode="General">
                  <c:v>28.1</c:v>
                </c:pt>
                <c:pt idx="12" formatCode="General">
                  <c:v>30.5</c:v>
                </c:pt>
                <c:pt idx="13" formatCode="General">
                  <c:v>32.799999999999997</c:v>
                </c:pt>
                <c:pt idx="14" formatCode="General">
                  <c:v>34.4</c:v>
                </c:pt>
                <c:pt idx="15" formatCode="General">
                  <c:v>35.799999999999997</c:v>
                </c:pt>
                <c:pt idx="16" formatCode="General">
                  <c:v>37.200000000000003</c:v>
                </c:pt>
                <c:pt idx="17" formatCode="General">
                  <c:v>38.1</c:v>
                </c:pt>
                <c:pt idx="18" formatCode="General">
                  <c:v>39.5</c:v>
                </c:pt>
                <c:pt idx="19" formatCode="General">
                  <c:v>40.799999999999997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F-46BD-86E0-C451F82AF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43639360"/>
        <c:axId val="543633120"/>
      </c:barChart>
      <c:lineChart>
        <c:grouping val="standard"/>
        <c:varyColors val="0"/>
        <c:ser>
          <c:idx val="1"/>
          <c:order val="1"/>
          <c:tx>
            <c:strRef>
              <c:f>'Segment Reporting'!$A$178</c:f>
              <c:strCache>
                <c:ptCount val="1"/>
                <c:pt idx="0">
                  <c:v>YoY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4F-46BD-86E0-C451F82AFB7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'Segment Reporting'!$F$3:$Z$3</c:f>
              <c:strCache>
                <c:ptCount val="21"/>
                <c:pt idx="0">
                  <c:v>18Q1</c:v>
                </c:pt>
                <c:pt idx="1">
                  <c:v>18Q2</c:v>
                </c:pt>
                <c:pt idx="2">
                  <c:v>18Q3</c:v>
                </c:pt>
                <c:pt idx="3">
                  <c:v>18Q4</c:v>
                </c:pt>
                <c:pt idx="4">
                  <c:v>19Q1</c:v>
                </c:pt>
                <c:pt idx="5">
                  <c:v>19Q2</c:v>
                </c:pt>
                <c:pt idx="6">
                  <c:v>19Q3</c:v>
                </c:pt>
                <c:pt idx="7">
                  <c:v>19Q4</c:v>
                </c:pt>
                <c:pt idx="8">
                  <c:v>20Q1</c:v>
                </c:pt>
                <c:pt idx="9">
                  <c:v>20Q2</c:v>
                </c:pt>
                <c:pt idx="10">
                  <c:v>20Q3</c:v>
                </c:pt>
                <c:pt idx="11">
                  <c:v>20Q4</c:v>
                </c:pt>
                <c:pt idx="12">
                  <c:v>21Q1</c:v>
                </c:pt>
                <c:pt idx="13">
                  <c:v>21Q2</c:v>
                </c:pt>
                <c:pt idx="14">
                  <c:v>21Q3</c:v>
                </c:pt>
                <c:pt idx="15">
                  <c:v>21Q4</c:v>
                </c:pt>
                <c:pt idx="16">
                  <c:v>22Q1</c:v>
                </c:pt>
                <c:pt idx="17">
                  <c:v>22Q2</c:v>
                </c:pt>
                <c:pt idx="18">
                  <c:v>22Q3</c:v>
                </c:pt>
                <c:pt idx="19">
                  <c:v>22Q4</c:v>
                </c:pt>
                <c:pt idx="20">
                  <c:v>23Q1</c:v>
                </c:pt>
              </c:strCache>
            </c:strRef>
          </c:cat>
          <c:val>
            <c:numRef>
              <c:f>'Segment Reporting'!$F$181:$Z$181</c:f>
              <c:numCache>
                <c:formatCode>0%</c:formatCode>
                <c:ptCount val="21"/>
                <c:pt idx="1">
                  <c:v>0.38064516129032255</c:v>
                </c:pt>
                <c:pt idx="2">
                  <c:v>0.32748538011695882</c:v>
                </c:pt>
                <c:pt idx="3">
                  <c:v>0.26595744680851063</c:v>
                </c:pt>
                <c:pt idx="4">
                  <c:v>0.23383084577114421</c:v>
                </c:pt>
                <c:pt idx="5">
                  <c:v>0.19158878504672905</c:v>
                </c:pt>
                <c:pt idx="6">
                  <c:v>0.16740088105726869</c:v>
                </c:pt>
                <c:pt idx="7">
                  <c:v>0.15126050420168058</c:v>
                </c:pt>
                <c:pt idx="8">
                  <c:v>5.6451612903225756E-2</c:v>
                </c:pt>
                <c:pt idx="9">
                  <c:v>7.8431372549019329E-3</c:v>
                </c:pt>
                <c:pt idx="10">
                  <c:v>1.132075471698113E-2</c:v>
                </c:pt>
                <c:pt idx="11">
                  <c:v>2.5547445255474477E-2</c:v>
                </c:pt>
                <c:pt idx="12" formatCode="0.0%">
                  <c:v>0.16412213740458026</c:v>
                </c:pt>
                <c:pt idx="13" formatCode="0.0%">
                  <c:v>0.27800000000000002</c:v>
                </c:pt>
                <c:pt idx="14" formatCode="0.0%">
                  <c:v>0.28499999999999998</c:v>
                </c:pt>
                <c:pt idx="15" formatCode="0.0%">
                  <c:v>0.27200000000000002</c:v>
                </c:pt>
                <c:pt idx="16" formatCode="0.0%">
                  <c:v>0.219</c:v>
                </c:pt>
                <c:pt idx="17" formatCode="0.0%">
                  <c:v>0.16158536585365879</c:v>
                </c:pt>
                <c:pt idx="18" formatCode="0.0%">
                  <c:v>0.14825581395348841</c:v>
                </c:pt>
                <c:pt idx="19" formatCode="0.0%">
                  <c:v>0.13966480446927365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F-46BD-86E0-C451F82AF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814432"/>
        <c:axId val="736811104"/>
      </c:lineChart>
      <c:catAx>
        <c:axId val="54363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633120"/>
        <c:crosses val="autoZero"/>
        <c:auto val="1"/>
        <c:lblAlgn val="ctr"/>
        <c:lblOffset val="100"/>
        <c:noMultiLvlLbl val="0"/>
      </c:catAx>
      <c:valAx>
        <c:axId val="5436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639360"/>
        <c:crosses val="autoZero"/>
        <c:crossBetween val="between"/>
      </c:valAx>
      <c:catAx>
        <c:axId val="73681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6811104"/>
        <c:crosses val="autoZero"/>
        <c:auto val="1"/>
        <c:lblAlgn val="ctr"/>
        <c:lblOffset val="100"/>
        <c:noMultiLvlLbl val="0"/>
      </c:catAx>
      <c:valAx>
        <c:axId val="7368111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681443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Meituan</a:t>
            </a:r>
            <a:r>
              <a:rPr lang="zh-CN" altLang="en-US"/>
              <a:t>季度总收入按业务部门分布</a:t>
            </a:r>
          </a:p>
        </c:rich>
      </c:tx>
      <c:layout>
        <c:manualLayout>
          <c:xMode val="edge"/>
          <c:yMode val="edge"/>
          <c:x val="0.18910481618517411"/>
          <c:y val="2.83234628667135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2681705045318641E-2"/>
          <c:y val="0.16679435503013029"/>
          <c:w val="0.86490610144904845"/>
          <c:h val="0.5128653633932920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'Segment Reporting'!$A$4</c:f>
              <c:strCache>
                <c:ptCount val="1"/>
                <c:pt idx="0">
                  <c:v>Food Delivery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Reporting'!$D$3:$AB$3</c:f>
              <c:strCache>
                <c:ptCount val="25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  <c:pt idx="20">
                  <c:v>22Q3</c:v>
                </c:pt>
                <c:pt idx="21">
                  <c:v>22Q4</c:v>
                </c:pt>
                <c:pt idx="22">
                  <c:v>23Q1</c:v>
                </c:pt>
                <c:pt idx="23">
                  <c:v>23Q2</c:v>
                </c:pt>
                <c:pt idx="24">
                  <c:v>23Q3</c:v>
                </c:pt>
              </c:strCache>
            </c:strRef>
          </c:cat>
          <c:val>
            <c:numRef>
              <c:f>'Segment Reporting'!$D$16:$AB$16</c:f>
              <c:numCache>
                <c:formatCode>_(* #,##0.0_);_(* \(#,##0.0\);_(* "-"??_);_(@_)</c:formatCode>
                <c:ptCount val="25"/>
                <c:pt idx="0" formatCode="#,##0">
                  <c:v>6044214</c:v>
                </c:pt>
                <c:pt idx="1">
                  <c:v>6624416</c:v>
                </c:pt>
                <c:pt idx="2">
                  <c:v>7056361</c:v>
                </c:pt>
                <c:pt idx="3" formatCode="#,##0">
                  <c:v>8907967</c:v>
                </c:pt>
                <c:pt idx="4" formatCode="#,##0">
                  <c:v>11172478</c:v>
                </c:pt>
                <c:pt idx="5" formatCode="#,##0">
                  <c:v>11006277</c:v>
                </c:pt>
                <c:pt idx="6" formatCode="#,##0">
                  <c:v>10705803</c:v>
                </c:pt>
                <c:pt idx="7" formatCode="#,##0">
                  <c:v>12844720</c:v>
                </c:pt>
                <c:pt idx="8" formatCode="General">
                  <c:v>15576972</c:v>
                </c:pt>
                <c:pt idx="9" formatCode="General">
                  <c:v>15715710</c:v>
                </c:pt>
                <c:pt idx="10" formatCode="_(* #,##0_);_(* \(#,##0\);_(* &quot;-&quot;??_);_(@_)">
                  <c:v>9490423</c:v>
                </c:pt>
                <c:pt idx="11" formatCode="_(* #,##0_);_(* \(#,##0\);_(* &quot;-&quot;??_);_(@_)">
                  <c:v>14544095</c:v>
                </c:pt>
                <c:pt idx="12" formatCode="_(* #,##0_);_(* \(#,##0\);_(* &quot;-&quot;??_);_(@_)">
                  <c:v>20692816</c:v>
                </c:pt>
                <c:pt idx="13" formatCode="_(* #,##0_);_(* \(#,##0\);_(* &quot;-&quot;??_);_(@_)">
                  <c:v>21537985</c:v>
                </c:pt>
                <c:pt idx="14" formatCode="_(* #,##0_);_(* \(#,##0\);_(* &quot;-&quot;??_);_(@_)">
                  <c:v>20575410</c:v>
                </c:pt>
                <c:pt idx="15" formatCode="_(* #,##0_);_(* \(#,##0\);_(* &quot;-&quot;??_);_(@_)">
                  <c:v>23125084</c:v>
                </c:pt>
                <c:pt idx="16" formatCode="_(* #,##0_);_(* \(#,##0\);_(* &quot;-&quot;??_);_(@_)">
                  <c:v>26484643</c:v>
                </c:pt>
                <c:pt idx="17" formatCode="_(* #,##0_);_(* \(#,##0\);_(* &quot;-&quot;??_);_(@_)">
                  <c:v>26126641</c:v>
                </c:pt>
                <c:pt idx="18" formatCode="_(* #,##0_);_(* \(#,##0\);_(* &quot;-&quot;??_);_(@_)">
                  <c:v>24156722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B-4808-9EA1-6E492D0D2115}"/>
            </c:ext>
          </c:extLst>
        </c:ser>
        <c:ser>
          <c:idx val="1"/>
          <c:order val="1"/>
          <c:tx>
            <c:strRef>
              <c:f>'Segment Reporting'!$A$47</c:f>
              <c:strCache>
                <c:ptCount val="1"/>
                <c:pt idx="0">
                  <c:v>Instore, Hotels and Travel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Reporting'!$D$3:$AB$3</c:f>
              <c:strCache>
                <c:ptCount val="25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  <c:pt idx="20">
                  <c:v>22Q3</c:v>
                </c:pt>
                <c:pt idx="21">
                  <c:v>22Q4</c:v>
                </c:pt>
                <c:pt idx="22">
                  <c:v>23Q1</c:v>
                </c:pt>
                <c:pt idx="23">
                  <c:v>23Q2</c:v>
                </c:pt>
                <c:pt idx="24">
                  <c:v>23Q3</c:v>
                </c:pt>
              </c:strCache>
            </c:strRef>
          </c:cat>
          <c:val>
            <c:numRef>
              <c:f>'Segment Reporting'!$D$56:$AB$56</c:f>
              <c:numCache>
                <c:formatCode>#,##0</c:formatCode>
                <c:ptCount val="25"/>
                <c:pt idx="0">
                  <c:v>3022586</c:v>
                </c:pt>
                <c:pt idx="1">
                  <c:v>3103191</c:v>
                </c:pt>
                <c:pt idx="2">
                  <c:v>3137805</c:v>
                </c:pt>
                <c:pt idx="3">
                  <c:v>3672694</c:v>
                </c:pt>
                <c:pt idx="4">
                  <c:v>4435730</c:v>
                </c:pt>
                <c:pt idx="5">
                  <c:v>4594132</c:v>
                </c:pt>
                <c:pt idx="6">
                  <c:v>4492102</c:v>
                </c:pt>
                <c:pt idx="7">
                  <c:v>5245308</c:v>
                </c:pt>
                <c:pt idx="8" formatCode="General">
                  <c:v>6181117</c:v>
                </c:pt>
                <c:pt idx="9" formatCode="General">
                  <c:v>6356945</c:v>
                </c:pt>
                <c:pt idx="10" formatCode="_(* #,##0_);_(* \(#,##0\);_(* &quot;-&quot;??_);_(@_)">
                  <c:v>3094978</c:v>
                </c:pt>
                <c:pt idx="11" formatCode="_(* #,##0_);_(* \(#,##0\);_(* &quot;-&quot;??_);_(@_)">
                  <c:v>4543982</c:v>
                </c:pt>
                <c:pt idx="12" formatCode="_(* #,##0_);_(* \(#,##0\);_(* &quot;-&quot;??_);_(@_)">
                  <c:v>6478078</c:v>
                </c:pt>
                <c:pt idx="13" formatCode="_(* #,##0_);_(* \(#,##0\);_(* &quot;-&quot;??_);_(@_)">
                  <c:v>7135360</c:v>
                </c:pt>
                <c:pt idx="14" formatCode="_(* #,##0_);_(* \(#,##0\);_(* &quot;-&quot;??_);_(@_)">
                  <c:v>6584391</c:v>
                </c:pt>
                <c:pt idx="15" formatCode="_(* #,##0_);_(* \(#,##0\);_(* &quot;-&quot;??_);_(@_)">
                  <c:v>8602179</c:v>
                </c:pt>
                <c:pt idx="16" formatCode="_(* #,##0_);_(* \(#,##0\);_(* &quot;-&quot;??_);_(@_)">
                  <c:v>8621328</c:v>
                </c:pt>
                <c:pt idx="17" formatCode="_(* #,##0_);_(* \(#,##0\);_(* &quot;-&quot;??_);_(@_)">
                  <c:v>8722427</c:v>
                </c:pt>
                <c:pt idx="18" formatCode="_(* #,##0_);_(* \(#,##0\);_(* &quot;-&quot;??_);_(@_)">
                  <c:v>7621509</c:v>
                </c:pt>
                <c:pt idx="19" formatCode="_(* #,##0_);_(* \(#,##0\);_(* &quot;-&quot;??_);_(@_)">
                  <c:v>7002173.7059999993</c:v>
                </c:pt>
                <c:pt idx="20" formatCode="_(* #,##0_);_(* \(#,##0\);_(* &quot;-&quot;??_);_(@_)">
                  <c:v>10645211.640000001</c:v>
                </c:pt>
                <c:pt idx="21" formatCode="_(* #,##0_);_(* \(#,##0\);_(* &quot;-&quot;??_);_(@_)">
                  <c:v>7152390.1400000006</c:v>
                </c:pt>
                <c:pt idx="22" formatCode="_(* #,##0_);_(* \(#,##0\);_(* &quot;-&quot;??_);_(@_)">
                  <c:v>9085708.1600000001</c:v>
                </c:pt>
                <c:pt idx="23" formatCode="_(* #,##0_);_(* \(#,##0\);_(* &quot;-&quot;??_);_(@_)">
                  <c:v>11553986.08</c:v>
                </c:pt>
                <c:pt idx="24" formatCode="_(* #,##0_);_(* \(#,##0\);_(* &quot;-&quot;??_);_(@_)">
                  <c:v>13764043.26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B-4808-9EA1-6E492D0D2115}"/>
            </c:ext>
          </c:extLst>
        </c:ser>
        <c:ser>
          <c:idx val="2"/>
          <c:order val="2"/>
          <c:tx>
            <c:strRef>
              <c:f>'Segment Reporting'!$A$107</c:f>
              <c:strCache>
                <c:ptCount val="1"/>
                <c:pt idx="0">
                  <c:v>New Initiatives and Others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'Segment Reporting'!$D$3:$AB$3</c:f>
              <c:strCache>
                <c:ptCount val="25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  <c:pt idx="20">
                  <c:v>22Q3</c:v>
                </c:pt>
                <c:pt idx="21">
                  <c:v>22Q4</c:v>
                </c:pt>
                <c:pt idx="22">
                  <c:v>23Q1</c:v>
                </c:pt>
                <c:pt idx="23">
                  <c:v>23Q2</c:v>
                </c:pt>
                <c:pt idx="24">
                  <c:v>23Q3</c:v>
                </c:pt>
              </c:strCache>
            </c:strRef>
          </c:cat>
          <c:val>
            <c:numRef>
              <c:f>'Segment Reporting'!$D$114:$AB$114</c:f>
              <c:numCache>
                <c:formatCode>#,##0</c:formatCode>
                <c:ptCount val="25"/>
                <c:pt idx="0">
                  <c:v>606996</c:v>
                </c:pt>
                <c:pt idx="1">
                  <c:v>747771</c:v>
                </c:pt>
                <c:pt idx="2">
                  <c:v>1080897</c:v>
                </c:pt>
                <c:pt idx="3">
                  <c:v>2492103</c:v>
                </c:pt>
                <c:pt idx="4">
                  <c:v>3467791</c:v>
                </c:pt>
                <c:pt idx="5">
                  <c:v>4203043</c:v>
                </c:pt>
                <c:pt idx="6">
                  <c:v>3975607</c:v>
                </c:pt>
                <c:pt idx="7">
                  <c:v>4613109</c:v>
                </c:pt>
                <c:pt idx="8" formatCode="General">
                  <c:v>5735540</c:v>
                </c:pt>
                <c:pt idx="9" formatCode="General">
                  <c:v>6085598</c:v>
                </c:pt>
                <c:pt idx="10" formatCode="_(* #,##0_);_(* \(#,##0\);_(* &quot;-&quot;??_);_(@_)">
                  <c:v>4168486</c:v>
                </c:pt>
                <c:pt idx="11" formatCode="_(* #,##0_);_(* \(#,##0\);_(* &quot;-&quot;??_);_(@_)">
                  <c:v>5633760</c:v>
                </c:pt>
                <c:pt idx="12" formatCode="_(* #,##0_);_(* \(#,##0\);_(* &quot;-&quot;??_);_(@_)">
                  <c:v>8230388</c:v>
                </c:pt>
                <c:pt idx="13" formatCode="_(* #,##0_);_(* \(#,##0\);_(* &quot;-&quot;??_);_(@_)">
                  <c:v>9244159</c:v>
                </c:pt>
                <c:pt idx="14" formatCode="_(* #,##0_);_(* \(#,##0\);_(* &quot;-&quot;??_);_(@_)">
                  <c:v>9856461</c:v>
                </c:pt>
                <c:pt idx="15" formatCode="_(* #,##0_);_(* \(#,##0\);_(* &quot;-&quot;??_);_(@_)">
                  <c:v>12031969</c:v>
                </c:pt>
                <c:pt idx="16" formatCode="_(* #,##0_);_(* \(#,##0\);_(* &quot;-&quot;??_);_(@_)">
                  <c:v>13723399</c:v>
                </c:pt>
                <c:pt idx="17" formatCode="_(* #,##0_);_(* \(#,##0\);_(* &quot;-&quot;??_);_(@_)">
                  <c:v>14674065</c:v>
                </c:pt>
                <c:pt idx="18" formatCode="_(* #,##0_);_(* \(#,##0\);_(* &quot;-&quot;??_);_(@_)">
                  <c:v>14490523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AB-4808-9EA1-6E492D0D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8459968"/>
        <c:axId val="478461632"/>
      </c:barChart>
      <c:lineChart>
        <c:grouping val="standard"/>
        <c:varyColors val="0"/>
        <c:ser>
          <c:idx val="3"/>
          <c:order val="3"/>
          <c:tx>
            <c:v>Food delivery YoY growth</c:v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</c:spPr>
          </c:marker>
          <c:cat>
            <c:strRef>
              <c:f>'Segment Reporting'!$D$3:$AB$3</c:f>
              <c:strCache>
                <c:ptCount val="25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  <c:pt idx="20">
                  <c:v>22Q3</c:v>
                </c:pt>
                <c:pt idx="21">
                  <c:v>22Q4</c:v>
                </c:pt>
                <c:pt idx="22">
                  <c:v>23Q1</c:v>
                </c:pt>
                <c:pt idx="23">
                  <c:v>23Q2</c:v>
                </c:pt>
                <c:pt idx="24">
                  <c:v>23Q3</c:v>
                </c:pt>
              </c:strCache>
            </c:strRef>
          </c:cat>
          <c:val>
            <c:numRef>
              <c:f>'Segment Reporting'!$D$37:$AB$37</c:f>
              <c:numCache>
                <c:formatCode>0%</c:formatCode>
                <c:ptCount val="25"/>
                <c:pt idx="4">
                  <c:v>0.84845837688738346</c:v>
                </c:pt>
                <c:pt idx="5">
                  <c:v>0.66147129045035813</c:v>
                </c:pt>
                <c:pt idx="6">
                  <c:v>0.51718470752842727</c:v>
                </c:pt>
                <c:pt idx="7">
                  <c:v>0.44193619037879239</c:v>
                </c:pt>
                <c:pt idx="8">
                  <c:v>0.39422713564528844</c:v>
                </c:pt>
                <c:pt idx="9">
                  <c:v>0.42788610535606186</c:v>
                </c:pt>
                <c:pt idx="10">
                  <c:v>-0.11352534695435734</c:v>
                </c:pt>
                <c:pt idx="11">
                  <c:v>0.1323014437060519</c:v>
                </c:pt>
                <c:pt idx="12">
                  <c:v>0.32842352159328536</c:v>
                </c:pt>
                <c:pt idx="13">
                  <c:v>0.37047483059944475</c:v>
                </c:pt>
                <c:pt idx="14">
                  <c:v>1.1680182221593283</c:v>
                </c:pt>
                <c:pt idx="15">
                  <c:v>0.58999814013866114</c:v>
                </c:pt>
                <c:pt idx="16">
                  <c:v>0.27989554442469311</c:v>
                </c:pt>
                <c:pt idx="17">
                  <c:v>0.21304945657636964</c:v>
                </c:pt>
                <c:pt idx="18">
                  <c:v>0.17405786810566592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AB-4808-9EA1-6E492D0D2115}"/>
            </c:ext>
          </c:extLst>
        </c:ser>
        <c:ser>
          <c:idx val="4"/>
          <c:order val="4"/>
          <c:tx>
            <c:v>Instore,Hotel and Travel YoY growth</c:v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triang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rgbClr val="002060"/>
                </a:solidFill>
                <a:prstDash val="solid"/>
              </a:ln>
            </c:spPr>
          </c:marker>
          <c:cat>
            <c:strRef>
              <c:f>'Segment Reporting'!$D$3:$AB$3</c:f>
              <c:strCache>
                <c:ptCount val="25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  <c:pt idx="20">
                  <c:v>22Q3</c:v>
                </c:pt>
                <c:pt idx="21">
                  <c:v>22Q4</c:v>
                </c:pt>
                <c:pt idx="22">
                  <c:v>23Q1</c:v>
                </c:pt>
                <c:pt idx="23">
                  <c:v>23Q2</c:v>
                </c:pt>
                <c:pt idx="24">
                  <c:v>23Q3</c:v>
                </c:pt>
              </c:strCache>
            </c:strRef>
          </c:cat>
          <c:val>
            <c:numRef>
              <c:f>'Segment Reporting'!$D$71:$AB$71</c:f>
              <c:numCache>
                <c:formatCode>0%</c:formatCode>
                <c:ptCount val="25"/>
                <c:pt idx="4">
                  <c:v>0.46752813650298131</c:v>
                </c:pt>
                <c:pt idx="5">
                  <c:v>0.48045415187141227</c:v>
                </c:pt>
                <c:pt idx="6">
                  <c:v>0.43160648924965073</c:v>
                </c:pt>
                <c:pt idx="7">
                  <c:v>0.42819085935283474</c:v>
                </c:pt>
                <c:pt idx="8">
                  <c:v>0.39348359796470933</c:v>
                </c:pt>
                <c:pt idx="9">
                  <c:v>0.3837096975010732</c:v>
                </c:pt>
                <c:pt idx="10">
                  <c:v>-0.31101787092100763</c:v>
                </c:pt>
                <c:pt idx="11">
                  <c:v>-0.13370539918723556</c:v>
                </c:pt>
                <c:pt idx="12">
                  <c:v>4.8043258200742622E-2</c:v>
                </c:pt>
                <c:pt idx="13">
                  <c:v>0.12245111448974311</c:v>
                </c:pt>
                <c:pt idx="14">
                  <c:v>1.1274435553338344</c:v>
                </c:pt>
                <c:pt idx="15">
                  <c:v>0.89309266630017459</c:v>
                </c:pt>
                <c:pt idx="16">
                  <c:v>0.33084658752179275</c:v>
                </c:pt>
                <c:pt idx="17">
                  <c:v>0.22242283500762405</c:v>
                </c:pt>
                <c:pt idx="18">
                  <c:v>0.15751160585694257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AB-4808-9EA1-6E492D0D2115}"/>
            </c:ext>
          </c:extLst>
        </c:ser>
        <c:ser>
          <c:idx val="5"/>
          <c:order val="5"/>
          <c:tx>
            <c:v>New Initiatives and Others YoY growth</c:v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  <a:prstDash val="solid"/>
              </a:ln>
            </c:spPr>
          </c:marker>
          <c:cat>
            <c:strRef>
              <c:f>'Segment Reporting'!$D$3:$AB$3</c:f>
              <c:strCache>
                <c:ptCount val="25"/>
                <c:pt idx="0">
                  <c:v>17Q3</c:v>
                </c:pt>
                <c:pt idx="1">
                  <c:v>17Q4</c:v>
                </c:pt>
                <c:pt idx="2">
                  <c:v>18Q1</c:v>
                </c:pt>
                <c:pt idx="3">
                  <c:v>18Q2</c:v>
                </c:pt>
                <c:pt idx="4">
                  <c:v>18Q3</c:v>
                </c:pt>
                <c:pt idx="5">
                  <c:v>18Q4</c:v>
                </c:pt>
                <c:pt idx="6">
                  <c:v>19Q1</c:v>
                </c:pt>
                <c:pt idx="7">
                  <c:v>19Q2</c:v>
                </c:pt>
                <c:pt idx="8">
                  <c:v>19Q3</c:v>
                </c:pt>
                <c:pt idx="9">
                  <c:v>19Q4</c:v>
                </c:pt>
                <c:pt idx="10">
                  <c:v>20Q1</c:v>
                </c:pt>
                <c:pt idx="11">
                  <c:v>20Q2</c:v>
                </c:pt>
                <c:pt idx="12">
                  <c:v>20Q3</c:v>
                </c:pt>
                <c:pt idx="13">
                  <c:v>20Q4</c:v>
                </c:pt>
                <c:pt idx="14">
                  <c:v>21Q1</c:v>
                </c:pt>
                <c:pt idx="15">
                  <c:v>21Q2</c:v>
                </c:pt>
                <c:pt idx="16">
                  <c:v>21Q3</c:v>
                </c:pt>
                <c:pt idx="17">
                  <c:v>21Q4</c:v>
                </c:pt>
                <c:pt idx="18">
                  <c:v>22Q1</c:v>
                </c:pt>
                <c:pt idx="19">
                  <c:v>22Q2</c:v>
                </c:pt>
                <c:pt idx="20">
                  <c:v>22Q3</c:v>
                </c:pt>
                <c:pt idx="21">
                  <c:v>22Q4</c:v>
                </c:pt>
                <c:pt idx="22">
                  <c:v>23Q1</c:v>
                </c:pt>
                <c:pt idx="23">
                  <c:v>23Q2</c:v>
                </c:pt>
                <c:pt idx="24">
                  <c:v>23Q3</c:v>
                </c:pt>
              </c:strCache>
            </c:strRef>
          </c:cat>
          <c:val>
            <c:numRef>
              <c:f>'Segment Reporting'!$D$127:$AB$127</c:f>
              <c:numCache>
                <c:formatCode>#,##0</c:formatCode>
                <c:ptCount val="25"/>
                <c:pt idx="4" formatCode="0%">
                  <c:v>4.7130376476945486</c:v>
                </c:pt>
                <c:pt idx="5" formatCode="0%">
                  <c:v>4.6207622387067699</c:v>
                </c:pt>
                <c:pt idx="6" formatCode="0%">
                  <c:v>2.6780627571359714</c:v>
                </c:pt>
                <c:pt idx="7" formatCode="0%">
                  <c:v>0.85109082570022188</c:v>
                </c:pt>
                <c:pt idx="8" formatCode="0%">
                  <c:v>0.65394627300203512</c:v>
                </c:pt>
                <c:pt idx="9" formatCode="0%">
                  <c:v>0.44790286466257889</c:v>
                </c:pt>
                <c:pt idx="10" formatCode="0%">
                  <c:v>4.8515610320637892E-2</c:v>
                </c:pt>
                <c:pt idx="11" formatCode="0%">
                  <c:v>0.22125013738023536</c:v>
                </c:pt>
                <c:pt idx="12" formatCode="0%">
                  <c:v>0.43498049006719497</c:v>
                </c:pt>
                <c:pt idx="13" formatCode="0%">
                  <c:v>0.51902228836015785</c:v>
                </c:pt>
                <c:pt idx="14" formatCode="0%">
                  <c:v>1.3645181967745605</c:v>
                </c:pt>
                <c:pt idx="15" formatCode="0%">
                  <c:v>1.1356907287495384</c:v>
                </c:pt>
                <c:pt idx="16" formatCode="0%">
                  <c:v>0.66740608097698439</c:v>
                </c:pt>
                <c:pt idx="17" formatCode="0%">
                  <c:v>0.58738777643266404</c:v>
                </c:pt>
                <c:pt idx="18" formatCode="0%">
                  <c:v>0.47015475432815079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AB-4808-9EA1-6E492D0D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70048"/>
        <c:axId val="752670880"/>
      </c:lineChart>
      <c:catAx>
        <c:axId val="4784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461632"/>
        <c:crosses val="autoZero"/>
        <c:auto val="1"/>
        <c:lblAlgn val="ctr"/>
        <c:lblOffset val="100"/>
        <c:noMultiLvlLbl val="0"/>
      </c:catAx>
      <c:valAx>
        <c:axId val="4784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8459968"/>
        <c:crosses val="autoZero"/>
        <c:crossBetween val="between"/>
        <c:majorUnit val="0.2"/>
      </c:valAx>
      <c:catAx>
        <c:axId val="75267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2670880"/>
        <c:crosses val="autoZero"/>
        <c:auto val="1"/>
        <c:lblAlgn val="ctr"/>
        <c:lblOffset val="100"/>
        <c:noMultiLvlLbl val="0"/>
      </c:catAx>
      <c:valAx>
        <c:axId val="75267088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67004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6600762876807399E-2"/>
          <c:y val="0.78144767199403453"/>
          <c:w val="0.90559216877214399"/>
          <c:h val="0.190726246130093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152400</xdr:colOff>
      <xdr:row>0</xdr:row>
      <xdr:rowOff>66675</xdr:rowOff>
    </xdr:from>
    <xdr:to>
      <xdr:col>29</xdr:col>
      <xdr:colOff>218088</xdr:colOff>
      <xdr:row>34</xdr:row>
      <xdr:rowOff>37289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0" y="66675"/>
          <a:ext cx="7895238" cy="648571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28</xdr:col>
      <xdr:colOff>380050</xdr:colOff>
      <xdr:row>58</xdr:row>
      <xdr:rowOff>123286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0" y="6858000"/>
          <a:ext cx="7600000" cy="431428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28</xdr:col>
      <xdr:colOff>370526</xdr:colOff>
      <xdr:row>101</xdr:row>
      <xdr:rowOff>122833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1550" y="11430000"/>
          <a:ext cx="7590476" cy="79333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149679</xdr:colOff>
      <xdr:row>0</xdr:row>
      <xdr:rowOff>131535</xdr:rowOff>
    </xdr:from>
    <xdr:to>
      <xdr:col>9</xdr:col>
      <xdr:colOff>422729</xdr:colOff>
      <xdr:row>15</xdr:row>
      <xdr:rowOff>171222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611775</xdr:colOff>
      <xdr:row>50</xdr:row>
      <xdr:rowOff>93136</xdr:rowOff>
    </xdr:from>
    <xdr:to>
      <xdr:col>7</xdr:col>
      <xdr:colOff>583044</xdr:colOff>
      <xdr:row>65</xdr:row>
      <xdr:rowOff>123079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150804</xdr:colOff>
      <xdr:row>33</xdr:row>
      <xdr:rowOff>24874</xdr:rowOff>
    </xdr:from>
    <xdr:to>
      <xdr:col>14</xdr:col>
      <xdr:colOff>505285</xdr:colOff>
      <xdr:row>48</xdr:row>
      <xdr:rowOff>58896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14286</xdr:colOff>
      <xdr:row>1</xdr:row>
      <xdr:rowOff>4761</xdr:rowOff>
    </xdr:from>
    <xdr:to>
      <xdr:col>23</xdr:col>
      <xdr:colOff>672133</xdr:colOff>
      <xdr:row>16</xdr:row>
      <xdr:rowOff>36949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683557</xdr:colOff>
      <xdr:row>17</xdr:row>
      <xdr:rowOff>14287</xdr:rowOff>
    </xdr:from>
    <xdr:to>
      <xdr:col>23</xdr:col>
      <xdr:colOff>657846</xdr:colOff>
      <xdr:row>32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336309</xdr:colOff>
      <xdr:row>17</xdr:row>
      <xdr:rowOff>3082</xdr:rowOff>
    </xdr:from>
    <xdr:to>
      <xdr:col>15</xdr:col>
      <xdr:colOff>163739</xdr:colOff>
      <xdr:row>32</xdr:row>
      <xdr:rowOff>17370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15875</xdr:colOff>
      <xdr:row>33</xdr:row>
      <xdr:rowOff>14287</xdr:rowOff>
    </xdr:from>
    <xdr:to>
      <xdr:col>23</xdr:col>
      <xdr:colOff>473075</xdr:colOff>
      <xdr:row>48</xdr:row>
      <xdr:rowOff>42862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557306</xdr:colOff>
      <xdr:row>33</xdr:row>
      <xdr:rowOff>12046</xdr:rowOff>
    </xdr:from>
    <xdr:to>
      <xdr:col>8</xdr:col>
      <xdr:colOff>34636</xdr:colOff>
      <xdr:row>48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681599</xdr:colOff>
      <xdr:row>64</xdr:row>
      <xdr:rowOff>124664</xdr:rowOff>
    </xdr:from>
    <xdr:to>
      <xdr:col>23</xdr:col>
      <xdr:colOff>455240</xdr:colOff>
      <xdr:row>79</xdr:row>
      <xdr:rowOff>153240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112</xdr:row>
      <xdr:rowOff>14287</xdr:rowOff>
    </xdr:from>
    <xdr:to>
      <xdr:col>7</xdr:col>
      <xdr:colOff>233796</xdr:colOff>
      <xdr:row>127</xdr:row>
      <xdr:rowOff>42862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112</xdr:row>
      <xdr:rowOff>4762</xdr:rowOff>
    </xdr:from>
    <xdr:to>
      <xdr:col>14</xdr:col>
      <xdr:colOff>457200</xdr:colOff>
      <xdr:row>127</xdr:row>
      <xdr:rowOff>33337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9525</xdr:colOff>
      <xdr:row>127</xdr:row>
      <xdr:rowOff>176212</xdr:rowOff>
    </xdr:from>
    <xdr:to>
      <xdr:col>14</xdr:col>
      <xdr:colOff>199159</xdr:colOff>
      <xdr:row>143</xdr:row>
      <xdr:rowOff>23812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143</xdr:row>
      <xdr:rowOff>176212</xdr:rowOff>
    </xdr:from>
    <xdr:to>
      <xdr:col>7</xdr:col>
      <xdr:colOff>152400</xdr:colOff>
      <xdr:row>159</xdr:row>
      <xdr:rowOff>23812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668711</xdr:colOff>
      <xdr:row>143</xdr:row>
      <xdr:rowOff>155481</xdr:rowOff>
    </xdr:from>
    <xdr:to>
      <xdr:col>14</xdr:col>
      <xdr:colOff>442352</xdr:colOff>
      <xdr:row>159</xdr:row>
      <xdr:rowOff>3081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66675</xdr:colOff>
      <xdr:row>159</xdr:row>
      <xdr:rowOff>47625</xdr:rowOff>
    </xdr:from>
    <xdr:to>
      <xdr:col>14</xdr:col>
      <xdr:colOff>266700</xdr:colOff>
      <xdr:row>175</xdr:row>
      <xdr:rowOff>52387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9525</xdr:colOff>
      <xdr:row>177</xdr:row>
      <xdr:rowOff>14287</xdr:rowOff>
    </xdr:from>
    <xdr:to>
      <xdr:col>7</xdr:col>
      <xdr:colOff>676275</xdr:colOff>
      <xdr:row>192</xdr:row>
      <xdr:rowOff>42862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8498</xdr:colOff>
      <xdr:row>193</xdr:row>
      <xdr:rowOff>9244</xdr:rowOff>
    </xdr:from>
    <xdr:to>
      <xdr:col>14</xdr:col>
      <xdr:colOff>442539</xdr:colOff>
      <xdr:row>208</xdr:row>
      <xdr:rowOff>36325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57150</xdr:colOff>
      <xdr:row>128</xdr:row>
      <xdr:rowOff>7937</xdr:rowOff>
    </xdr:from>
    <xdr:to>
      <xdr:col>7</xdr:col>
      <xdr:colOff>225137</xdr:colOff>
      <xdr:row>143</xdr:row>
      <xdr:rowOff>33337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159</xdr:row>
      <xdr:rowOff>176212</xdr:rowOff>
    </xdr:from>
    <xdr:to>
      <xdr:col>7</xdr:col>
      <xdr:colOff>457200</xdr:colOff>
      <xdr:row>175</xdr:row>
      <xdr:rowOff>23812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14287</xdr:colOff>
      <xdr:row>192</xdr:row>
      <xdr:rowOff>176212</xdr:rowOff>
    </xdr:from>
    <xdr:to>
      <xdr:col>7</xdr:col>
      <xdr:colOff>471487</xdr:colOff>
      <xdr:row>208</xdr:row>
      <xdr:rowOff>23812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681597</xdr:colOff>
      <xdr:row>80</xdr:row>
      <xdr:rowOff>139234</xdr:rowOff>
    </xdr:from>
    <xdr:to>
      <xdr:col>23</xdr:col>
      <xdr:colOff>452996</xdr:colOff>
      <xdr:row>95</xdr:row>
      <xdr:rowOff>167809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117101</xdr:colOff>
      <xdr:row>80</xdr:row>
      <xdr:rowOff>148757</xdr:rowOff>
    </xdr:from>
    <xdr:to>
      <xdr:col>30</xdr:col>
      <xdr:colOff>572060</xdr:colOff>
      <xdr:row>95</xdr:row>
      <xdr:rowOff>177332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95811</xdr:colOff>
      <xdr:row>64</xdr:row>
      <xdr:rowOff>145394</xdr:rowOff>
    </xdr:from>
    <xdr:to>
      <xdr:col>30</xdr:col>
      <xdr:colOff>553011</xdr:colOff>
      <xdr:row>79</xdr:row>
      <xdr:rowOff>173970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231680</xdr:colOff>
      <xdr:row>65</xdr:row>
      <xdr:rowOff>115141</xdr:rowOff>
    </xdr:from>
    <xdr:to>
      <xdr:col>14</xdr:col>
      <xdr:colOff>285750</xdr:colOff>
      <xdr:row>80</xdr:row>
      <xdr:rowOff>156883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134471</xdr:colOff>
      <xdr:row>17</xdr:row>
      <xdr:rowOff>11206</xdr:rowOff>
    </xdr:from>
    <xdr:to>
      <xdr:col>31</xdr:col>
      <xdr:colOff>108759</xdr:colOff>
      <xdr:row>32</xdr:row>
      <xdr:rowOff>35019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134471</xdr:colOff>
      <xdr:row>32</xdr:row>
      <xdr:rowOff>179292</xdr:rowOff>
    </xdr:from>
    <xdr:to>
      <xdr:col>31</xdr:col>
      <xdr:colOff>108857</xdr:colOff>
      <xdr:row>48</xdr:row>
      <xdr:rowOff>117928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31</xdr:col>
      <xdr:colOff>-1</xdr:colOff>
      <xdr:row>64</xdr:row>
      <xdr:rowOff>156882</xdr:rowOff>
    </xdr:from>
    <xdr:to>
      <xdr:col>37</xdr:col>
      <xdr:colOff>457201</xdr:colOff>
      <xdr:row>80</xdr:row>
      <xdr:rowOff>6164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</xdr:col>
      <xdr:colOff>1</xdr:colOff>
      <xdr:row>112</xdr:row>
      <xdr:rowOff>34737</xdr:rowOff>
    </xdr:from>
    <xdr:to>
      <xdr:col>23</xdr:col>
      <xdr:colOff>470648</xdr:colOff>
      <xdr:row>127</xdr:row>
      <xdr:rowOff>88525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672354</xdr:colOff>
      <xdr:row>128</xdr:row>
      <xdr:rowOff>23532</xdr:rowOff>
    </xdr:from>
    <xdr:to>
      <xdr:col>23</xdr:col>
      <xdr:colOff>459442</xdr:colOff>
      <xdr:row>143</xdr:row>
      <xdr:rowOff>77320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22413</xdr:colOff>
      <xdr:row>144</xdr:row>
      <xdr:rowOff>1121</xdr:rowOff>
    </xdr:from>
    <xdr:to>
      <xdr:col>23</xdr:col>
      <xdr:colOff>493060</xdr:colOff>
      <xdr:row>159</xdr:row>
      <xdr:rowOff>54909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</xdr:col>
      <xdr:colOff>649942</xdr:colOff>
      <xdr:row>159</xdr:row>
      <xdr:rowOff>169208</xdr:rowOff>
    </xdr:from>
    <xdr:to>
      <xdr:col>23</xdr:col>
      <xdr:colOff>437030</xdr:colOff>
      <xdr:row>175</xdr:row>
      <xdr:rowOff>43702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22412</xdr:colOff>
      <xdr:row>177</xdr:row>
      <xdr:rowOff>34738</xdr:rowOff>
    </xdr:from>
    <xdr:to>
      <xdr:col>23</xdr:col>
      <xdr:colOff>493059</xdr:colOff>
      <xdr:row>192</xdr:row>
      <xdr:rowOff>88526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1</xdr:colOff>
      <xdr:row>193</xdr:row>
      <xdr:rowOff>34738</xdr:rowOff>
    </xdr:from>
    <xdr:to>
      <xdr:col>23</xdr:col>
      <xdr:colOff>470648</xdr:colOff>
      <xdr:row>208</xdr:row>
      <xdr:rowOff>88526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627530</xdr:colOff>
      <xdr:row>65</xdr:row>
      <xdr:rowOff>90766</xdr:rowOff>
    </xdr:from>
    <xdr:to>
      <xdr:col>7</xdr:col>
      <xdr:colOff>414618</xdr:colOff>
      <xdr:row>80</xdr:row>
      <xdr:rowOff>144555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</xdr:col>
      <xdr:colOff>425821</xdr:colOff>
      <xdr:row>49</xdr:row>
      <xdr:rowOff>158005</xdr:rowOff>
    </xdr:from>
    <xdr:to>
      <xdr:col>15</xdr:col>
      <xdr:colOff>451555</xdr:colOff>
      <xdr:row>65</xdr:row>
      <xdr:rowOff>42334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31</xdr:col>
      <xdr:colOff>33617</xdr:colOff>
      <xdr:row>80</xdr:row>
      <xdr:rowOff>168089</xdr:rowOff>
    </xdr:from>
    <xdr:to>
      <xdr:col>37</xdr:col>
      <xdr:colOff>504265</xdr:colOff>
      <xdr:row>96</xdr:row>
      <xdr:rowOff>42583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661146</xdr:colOff>
      <xdr:row>81</xdr:row>
      <xdr:rowOff>51547</xdr:rowOff>
    </xdr:from>
    <xdr:to>
      <xdr:col>7</xdr:col>
      <xdr:colOff>314325</xdr:colOff>
      <xdr:row>96</xdr:row>
      <xdr:rowOff>105336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</xdr:col>
      <xdr:colOff>190500</xdr:colOff>
      <xdr:row>81</xdr:row>
      <xdr:rowOff>40340</xdr:rowOff>
    </xdr:from>
    <xdr:to>
      <xdr:col>14</xdr:col>
      <xdr:colOff>333376</xdr:colOff>
      <xdr:row>96</xdr:row>
      <xdr:rowOff>94129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672353</xdr:colOff>
      <xdr:row>96</xdr:row>
      <xdr:rowOff>107578</xdr:rowOff>
    </xdr:from>
    <xdr:to>
      <xdr:col>7</xdr:col>
      <xdr:colOff>459441</xdr:colOff>
      <xdr:row>111</xdr:row>
      <xdr:rowOff>161366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660401</xdr:colOff>
      <xdr:row>17</xdr:row>
      <xdr:rowOff>4762</xdr:rowOff>
    </xdr:from>
    <xdr:to>
      <xdr:col>7</xdr:col>
      <xdr:colOff>552450</xdr:colOff>
      <xdr:row>32</xdr:row>
      <xdr:rowOff>16565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3395;&#25253;/2023/23Q1/3.%20Data%20-%20Appendix_1Q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搭售事件"/>
      <sheetName val="Lower-tier cities"/>
      <sheetName val="OPM breakdown"/>
      <sheetName val="Ctrip Market Share"/>
      <sheetName val="TTM Comparison"/>
      <sheetName val="间夜对比"/>
      <sheetName val="Sheet3"/>
      <sheetName val="机火对比"/>
      <sheetName val="TTM酒店对比"/>
      <sheetName val="间夜"/>
      <sheetName val="用户"/>
      <sheetName val="三月业务恢复"/>
      <sheetName val="MT"/>
      <sheetName val="Tongcheng eLong Comparison"/>
      <sheetName val="Meituan Comaprison(Q3)"/>
      <sheetName val="Sheet2"/>
      <sheetName val="Sheet4"/>
      <sheetName val="TCEL对比"/>
      <sheetName val="Sheet5"/>
      <sheetName val="对比"/>
      <sheetName val="机票市场"/>
      <sheetName val="TBE Comparison"/>
      <sheetName val="全球行业数据"/>
      <sheetName val="2022"/>
      <sheetName val="Global Market (2)"/>
      <sheetName val="2021 (2)"/>
      <sheetName val="国内行业数据"/>
      <sheetName val="Sheet6"/>
      <sheetName val="TAM (2)"/>
      <sheetName val="TAM"/>
      <sheetName val="Investment Thesis"/>
      <sheetName val="Peer Comp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09">
          <cell r="F109">
            <v>129.69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opLeftCell="R1" workbookViewId="0">
      <selection activeCell="G6" sqref="G6"/>
    </sheetView>
  </sheetViews>
  <sheetFormatPr defaultRowHeight="14" outlineLevelCol="1" x14ac:dyDescent="0.3"/>
  <cols>
    <col min="1" max="1" width="20.25" style="262" customWidth="1"/>
    <col min="2" max="4" width="17.4140625" style="262" customWidth="1"/>
    <col min="5" max="5" width="1.08203125" style="262" customWidth="1"/>
    <col min="6" max="8" width="17.4140625" style="262" customWidth="1"/>
    <col min="9" max="9" width="1.08203125" style="262" customWidth="1"/>
    <col min="10" max="12" width="17.4140625" style="262" hidden="1" customWidth="1" outlineLevel="1"/>
    <col min="13" max="13" width="1.08203125" style="262" hidden="1" customWidth="1" outlineLevel="1"/>
    <col min="14" max="14" width="36.08203125" style="262" customWidth="1" collapsed="1"/>
    <col min="15" max="20" width="17.4140625" style="262" customWidth="1"/>
  </cols>
  <sheetData>
    <row r="1" spans="1:18" x14ac:dyDescent="0.3">
      <c r="A1" s="42" t="s">
        <v>0</v>
      </c>
      <c r="B1" s="42"/>
      <c r="C1" s="42"/>
      <c r="D1" s="42"/>
      <c r="E1" s="434"/>
      <c r="F1" s="473"/>
      <c r="G1" s="474"/>
      <c r="H1" s="474"/>
      <c r="I1" s="434"/>
      <c r="J1" s="473"/>
      <c r="K1" s="474"/>
      <c r="L1" s="474"/>
      <c r="M1" s="434"/>
      <c r="N1" s="434"/>
      <c r="O1" s="434"/>
      <c r="P1" s="475" t="s">
        <v>1</v>
      </c>
      <c r="Q1" s="474"/>
      <c r="R1" s="474"/>
    </row>
    <row r="2" spans="1:18" x14ac:dyDescent="0.3">
      <c r="A2" s="43" t="s">
        <v>2</v>
      </c>
      <c r="B2" s="283" t="s">
        <v>3</v>
      </c>
      <c r="C2" s="283" t="s">
        <v>4</v>
      </c>
      <c r="D2" s="24" t="s">
        <v>5</v>
      </c>
      <c r="E2" s="283"/>
      <c r="F2" s="283" t="s">
        <v>6</v>
      </c>
      <c r="G2" s="283" t="s">
        <v>7</v>
      </c>
      <c r="H2" s="24" t="s">
        <v>5</v>
      </c>
      <c r="I2" s="283"/>
      <c r="J2" s="283" t="s">
        <v>8</v>
      </c>
      <c r="K2" s="283" t="s">
        <v>9</v>
      </c>
      <c r="L2" s="24" t="s">
        <v>5</v>
      </c>
      <c r="M2" s="283"/>
      <c r="N2" s="283" t="s">
        <v>10</v>
      </c>
      <c r="O2" s="7"/>
      <c r="P2" s="433" t="s">
        <v>11</v>
      </c>
      <c r="Q2" s="433" t="s">
        <v>12</v>
      </c>
      <c r="R2" s="433" t="s">
        <v>5</v>
      </c>
    </row>
    <row r="3" spans="1:18" x14ac:dyDescent="0.3">
      <c r="A3" s="40" t="s">
        <v>13</v>
      </c>
      <c r="B3" s="12"/>
      <c r="C3" s="12"/>
      <c r="D3" s="29"/>
      <c r="E3" s="371"/>
      <c r="F3" s="12"/>
      <c r="G3" s="12"/>
      <c r="H3" s="29"/>
      <c r="I3" s="371"/>
      <c r="J3" s="21"/>
      <c r="K3" s="21"/>
      <c r="L3" s="32"/>
      <c r="M3" s="371"/>
      <c r="N3" s="371"/>
      <c r="O3" s="371"/>
      <c r="P3" s="1"/>
      <c r="Q3" s="1"/>
      <c r="R3" s="2"/>
    </row>
    <row r="4" spans="1:18" x14ac:dyDescent="0.3">
      <c r="A4" s="42" t="s">
        <v>14</v>
      </c>
      <c r="B4" s="12">
        <v>57</v>
      </c>
      <c r="C4" s="12">
        <v>87</v>
      </c>
      <c r="D4" s="29">
        <f>C4/B4-1</f>
        <v>0.52631578947368429</v>
      </c>
      <c r="E4" s="371"/>
      <c r="F4" s="12">
        <v>89.4</v>
      </c>
      <c r="G4" s="12">
        <v>133.5</v>
      </c>
      <c r="H4" s="29">
        <f>G4/F4-1</f>
        <v>0.49328859060402674</v>
      </c>
      <c r="I4" s="371"/>
      <c r="J4" s="21">
        <f>F4-B4</f>
        <v>32.400000000000006</v>
      </c>
      <c r="K4" s="21">
        <f>G4-C4</f>
        <v>46.5</v>
      </c>
      <c r="L4" s="32">
        <f>K4/J4-1</f>
        <v>0.4351851851851849</v>
      </c>
      <c r="M4" s="371"/>
      <c r="N4" s="371" t="s">
        <v>15</v>
      </c>
      <c r="O4" s="371"/>
      <c r="P4" s="1"/>
      <c r="Q4" s="1"/>
      <c r="R4" s="2"/>
    </row>
    <row r="5" spans="1:18" x14ac:dyDescent="0.3">
      <c r="A5" s="42" t="s">
        <v>16</v>
      </c>
      <c r="B5" s="12">
        <v>9964</v>
      </c>
      <c r="C5" s="12">
        <v>16255</v>
      </c>
      <c r="D5" s="29">
        <f>C5/B5-1</f>
        <v>0.6313729425933361</v>
      </c>
      <c r="E5" s="371"/>
      <c r="F5" s="12"/>
      <c r="G5" s="12">
        <v>23000</v>
      </c>
      <c r="H5" s="29"/>
      <c r="I5" s="371"/>
      <c r="J5" s="16"/>
      <c r="K5" s="21">
        <f>G5-C5</f>
        <v>6745</v>
      </c>
      <c r="L5" s="32"/>
      <c r="M5" s="371"/>
      <c r="N5" s="371"/>
      <c r="O5" s="371"/>
      <c r="P5" s="1"/>
      <c r="Q5" s="1"/>
      <c r="R5" s="2"/>
    </row>
    <row r="6" spans="1:18" x14ac:dyDescent="0.3">
      <c r="A6" s="42" t="s">
        <v>17</v>
      </c>
      <c r="B6" s="12">
        <f>B5/B4</f>
        <v>174.80701754385964</v>
      </c>
      <c r="C6" s="12">
        <f>C5/C4</f>
        <v>186.83908045977012</v>
      </c>
      <c r="D6" s="29">
        <f>C6/B6-1</f>
        <v>6.8830548595633978E-2</v>
      </c>
      <c r="E6" s="371"/>
      <c r="F6" s="12"/>
      <c r="G6" s="12">
        <f>G5/G4</f>
        <v>172.28464419475657</v>
      </c>
      <c r="H6" s="29"/>
      <c r="I6" s="371"/>
      <c r="J6" s="16"/>
      <c r="K6" s="21">
        <f>K5/K4</f>
        <v>145.05376344086022</v>
      </c>
      <c r="L6" s="32"/>
      <c r="M6" s="371"/>
      <c r="N6" s="371" t="s">
        <v>18</v>
      </c>
      <c r="O6" s="371"/>
      <c r="P6" s="1"/>
      <c r="Q6" s="1"/>
      <c r="R6" s="2"/>
    </row>
    <row r="7" spans="1:18" x14ac:dyDescent="0.3">
      <c r="A7" s="42" t="s">
        <v>19</v>
      </c>
      <c r="B7" s="8">
        <v>7.1999999999999995E-2</v>
      </c>
      <c r="C7" s="8">
        <v>7.1999999999999995E-2</v>
      </c>
      <c r="D7" s="29">
        <f>C7/B7-1</f>
        <v>0</v>
      </c>
      <c r="E7" s="371"/>
      <c r="F7" s="8"/>
      <c r="G7" s="8"/>
      <c r="H7" s="9" t="s">
        <v>20</v>
      </c>
      <c r="I7" s="371"/>
      <c r="J7" s="16"/>
      <c r="K7" s="16"/>
      <c r="L7" s="32"/>
      <c r="M7" s="371"/>
      <c r="N7" s="371"/>
      <c r="O7" s="371"/>
      <c r="P7" s="3"/>
      <c r="Q7" s="3"/>
      <c r="R7" s="2"/>
    </row>
    <row r="8" spans="1:18" x14ac:dyDescent="0.3">
      <c r="A8" s="42"/>
      <c r="D8" s="25"/>
      <c r="H8" s="25"/>
      <c r="J8" s="17"/>
      <c r="K8" s="17"/>
      <c r="L8" s="33"/>
      <c r="P8" s="4"/>
      <c r="Q8" s="4"/>
      <c r="R8" s="4"/>
    </row>
    <row r="9" spans="1:18" x14ac:dyDescent="0.3">
      <c r="A9" s="42" t="s">
        <v>21</v>
      </c>
      <c r="B9" s="10">
        <v>0.3</v>
      </c>
      <c r="C9" s="10">
        <v>0.3</v>
      </c>
      <c r="D9" s="29">
        <f>C9/B9-1</f>
        <v>0</v>
      </c>
      <c r="E9" s="371"/>
      <c r="F9" s="10"/>
      <c r="G9" s="10"/>
      <c r="H9" s="29"/>
      <c r="I9" s="371"/>
      <c r="J9" s="16"/>
      <c r="K9" s="16"/>
      <c r="L9" s="32"/>
      <c r="M9" s="371"/>
      <c r="N9" s="371"/>
      <c r="O9" s="371"/>
      <c r="P9" s="1"/>
      <c r="Q9" s="1"/>
      <c r="R9" s="2"/>
    </row>
    <row r="10" spans="1:18" x14ac:dyDescent="0.3">
      <c r="A10" s="42"/>
      <c r="B10" s="12"/>
      <c r="C10" s="12"/>
      <c r="D10" s="25"/>
      <c r="F10" s="12"/>
      <c r="G10" s="12"/>
      <c r="H10" s="25"/>
      <c r="J10" s="17"/>
      <c r="K10" s="17"/>
      <c r="L10" s="33"/>
      <c r="P10" s="1"/>
      <c r="Q10" s="1"/>
      <c r="R10" s="4"/>
    </row>
    <row r="11" spans="1:18" x14ac:dyDescent="0.3">
      <c r="A11" s="42" t="s">
        <v>22</v>
      </c>
      <c r="B11" s="12">
        <v>720</v>
      </c>
      <c r="C11" s="12">
        <v>1176</v>
      </c>
      <c r="D11" s="29">
        <f>C11/B11-1</f>
        <v>0.6333333333333333</v>
      </c>
      <c r="E11" s="371"/>
      <c r="F11" s="12"/>
      <c r="G11" s="12"/>
      <c r="H11" s="29"/>
      <c r="I11" s="371"/>
      <c r="J11" s="16"/>
      <c r="K11" s="16"/>
      <c r="L11" s="32"/>
      <c r="M11" s="371"/>
      <c r="N11" s="371"/>
      <c r="O11" s="371"/>
      <c r="P11" s="1"/>
      <c r="Q11" s="1"/>
      <c r="R11" s="2"/>
    </row>
    <row r="12" spans="1:18" x14ac:dyDescent="0.3">
      <c r="A12" s="42" t="s">
        <v>23</v>
      </c>
      <c r="B12" s="12">
        <v>91</v>
      </c>
      <c r="C12" s="12">
        <v>182</v>
      </c>
      <c r="D12" s="29">
        <f>C12/B12-1</f>
        <v>1</v>
      </c>
      <c r="E12" s="371"/>
      <c r="F12" s="12"/>
      <c r="G12" s="12"/>
      <c r="H12" s="29"/>
      <c r="I12" s="371"/>
      <c r="J12" s="16"/>
      <c r="K12" s="16"/>
      <c r="L12" s="32"/>
      <c r="M12" s="371"/>
      <c r="N12" s="371"/>
      <c r="O12" s="371"/>
      <c r="P12" s="1"/>
      <c r="Q12" s="1"/>
      <c r="R12" s="2"/>
    </row>
    <row r="13" spans="1:18" x14ac:dyDescent="0.3">
      <c r="A13" s="42"/>
      <c r="B13" s="12"/>
      <c r="C13" s="12"/>
      <c r="D13" s="25"/>
      <c r="F13" s="12"/>
      <c r="G13" s="12"/>
      <c r="H13" s="25"/>
      <c r="J13" s="17"/>
      <c r="K13" s="17"/>
      <c r="L13" s="33"/>
      <c r="P13" s="1"/>
      <c r="Q13" s="1"/>
      <c r="R13" s="4"/>
    </row>
    <row r="14" spans="1:18" x14ac:dyDescent="0.3">
      <c r="A14" s="42" t="s">
        <v>24</v>
      </c>
      <c r="B14" s="12">
        <v>629</v>
      </c>
      <c r="C14" s="12">
        <v>994</v>
      </c>
      <c r="D14" s="29">
        <f>C14/B14-1</f>
        <v>0.58028616852146264</v>
      </c>
      <c r="E14" s="371"/>
      <c r="F14" s="12"/>
      <c r="G14" s="12"/>
      <c r="H14" s="29"/>
      <c r="I14" s="371"/>
      <c r="J14" s="16"/>
      <c r="K14" s="16"/>
      <c r="L14" s="32"/>
      <c r="M14" s="371"/>
      <c r="N14" s="371"/>
      <c r="O14" s="371"/>
      <c r="P14" s="1"/>
      <c r="Q14" s="1"/>
      <c r="R14" s="2"/>
    </row>
    <row r="15" spans="1:18" x14ac:dyDescent="0.3">
      <c r="A15" s="42" t="s">
        <v>25</v>
      </c>
      <c r="B15" s="8">
        <v>0.873</v>
      </c>
      <c r="C15" s="8">
        <v>0.84499999999999997</v>
      </c>
      <c r="D15" s="29">
        <f>C15/B15-1</f>
        <v>-3.2073310423825885E-2</v>
      </c>
      <c r="E15" s="371"/>
      <c r="F15" s="8"/>
      <c r="G15" s="8"/>
      <c r="H15" s="29"/>
      <c r="I15" s="371"/>
      <c r="J15" s="16"/>
      <c r="K15" s="16"/>
      <c r="L15" s="32"/>
      <c r="M15" s="371"/>
      <c r="N15" s="371"/>
      <c r="O15" s="371"/>
      <c r="P15" s="3"/>
      <c r="Q15" s="3"/>
      <c r="R15" s="2"/>
    </row>
    <row r="16" spans="1:18" x14ac:dyDescent="0.3">
      <c r="A16" s="42"/>
      <c r="D16" s="25"/>
      <c r="H16" s="25"/>
      <c r="J16" s="17"/>
      <c r="K16" s="17"/>
      <c r="L16" s="33"/>
      <c r="P16" s="4"/>
      <c r="Q16" s="4"/>
      <c r="R16" s="4"/>
    </row>
    <row r="17" spans="1:18" x14ac:dyDescent="0.3">
      <c r="A17" s="42" t="s">
        <v>26</v>
      </c>
      <c r="C17" s="8">
        <v>0.33600000000000002</v>
      </c>
      <c r="D17" s="26" t="s">
        <v>27</v>
      </c>
      <c r="G17" s="8"/>
      <c r="H17" s="26"/>
      <c r="I17" s="57"/>
      <c r="J17" s="18"/>
      <c r="K17" s="18"/>
      <c r="L17" s="34"/>
      <c r="M17" s="57"/>
      <c r="N17" s="57"/>
      <c r="O17" s="57"/>
      <c r="P17" s="4"/>
      <c r="Q17" s="4"/>
      <c r="R17" s="4"/>
    </row>
    <row r="18" spans="1:18" x14ac:dyDescent="0.3">
      <c r="A18" s="42" t="s">
        <v>28</v>
      </c>
      <c r="C18" s="8">
        <v>0.8</v>
      </c>
      <c r="D18" s="25"/>
      <c r="G18" s="8"/>
      <c r="H18" s="25"/>
      <c r="J18" s="17"/>
      <c r="K18" s="17"/>
      <c r="L18" s="33"/>
      <c r="P18" s="4"/>
      <c r="Q18" s="4"/>
      <c r="R18" s="4"/>
    </row>
    <row r="19" spans="1:18" x14ac:dyDescent="0.3">
      <c r="A19" s="42"/>
      <c r="D19" s="25"/>
      <c r="H19" s="25"/>
      <c r="J19" s="17"/>
      <c r="K19" s="17"/>
      <c r="L19" s="33"/>
      <c r="P19" s="4"/>
      <c r="Q19" s="4"/>
      <c r="R19" s="4"/>
    </row>
    <row r="20" spans="1:18" x14ac:dyDescent="0.3">
      <c r="A20" s="42" t="s">
        <v>29</v>
      </c>
      <c r="C20" s="8">
        <v>20.170000000000002</v>
      </c>
      <c r="D20" s="27">
        <v>0.32</v>
      </c>
      <c r="G20" s="8"/>
      <c r="H20" s="27"/>
      <c r="I20" s="115"/>
      <c r="J20" s="19"/>
      <c r="K20" s="19"/>
      <c r="L20" s="35"/>
      <c r="M20" s="115"/>
      <c r="N20" s="115"/>
      <c r="O20" s="115"/>
      <c r="P20" s="4"/>
      <c r="Q20" s="4"/>
      <c r="R20" s="4"/>
    </row>
    <row r="21" spans="1:18" ht="15" customHeight="1" thickBot="1" x14ac:dyDescent="0.35">
      <c r="D21" s="25"/>
      <c r="H21" s="25"/>
      <c r="J21" s="17"/>
      <c r="K21" s="17"/>
      <c r="L21" s="33"/>
    </row>
    <row r="22" spans="1:18" x14ac:dyDescent="0.3">
      <c r="A22" s="41" t="s">
        <v>30</v>
      </c>
      <c r="B22" s="11"/>
      <c r="C22" s="11"/>
      <c r="D22" s="28"/>
      <c r="E22" s="11"/>
      <c r="F22" s="11"/>
      <c r="G22" s="11"/>
      <c r="H22" s="28"/>
      <c r="I22" s="11"/>
      <c r="J22" s="20"/>
      <c r="K22" s="20"/>
      <c r="L22" s="36"/>
    </row>
    <row r="23" spans="1:18" x14ac:dyDescent="0.3">
      <c r="A23" s="5" t="s">
        <v>31</v>
      </c>
      <c r="B23" s="12">
        <v>8120</v>
      </c>
      <c r="C23" s="12">
        <v>15824</v>
      </c>
      <c r="D23" s="29">
        <f>C23/B23-1</f>
        <v>0.94876847290640387</v>
      </c>
      <c r="F23" s="12">
        <v>13779</v>
      </c>
      <c r="G23" s="12">
        <v>26348</v>
      </c>
      <c r="H23" s="29">
        <f>G23/F23-1</f>
        <v>0.91218520937658765</v>
      </c>
      <c r="J23" s="21">
        <f t="shared" ref="J23:K25" si="0">F23-B23</f>
        <v>5659</v>
      </c>
      <c r="K23" s="21">
        <f t="shared" si="0"/>
        <v>10524</v>
      </c>
      <c r="L23" s="37">
        <f>K23/J23-1</f>
        <v>0.85969252518112738</v>
      </c>
      <c r="M23" s="371"/>
      <c r="N23" s="371"/>
      <c r="O23" s="371"/>
    </row>
    <row r="24" spans="1:18" x14ac:dyDescent="0.3">
      <c r="A24" s="5" t="s">
        <v>32</v>
      </c>
      <c r="B24" s="12">
        <v>-769</v>
      </c>
      <c r="C24" s="12">
        <v>-2526</v>
      </c>
      <c r="D24" s="29">
        <f>C24/B24-1</f>
        <v>2.2847854356306891</v>
      </c>
      <c r="F24" s="12">
        <v>-1250</v>
      </c>
      <c r="G24" s="12">
        <v>-3900</v>
      </c>
      <c r="H24" s="29">
        <f>G24/F24-1</f>
        <v>2.12</v>
      </c>
      <c r="J24" s="21">
        <f t="shared" si="0"/>
        <v>-481</v>
      </c>
      <c r="K24" s="21">
        <f t="shared" si="0"/>
        <v>-1374</v>
      </c>
      <c r="L24" s="37">
        <f>K24/J24-1</f>
        <v>1.8565488565488564</v>
      </c>
      <c r="M24" s="371"/>
      <c r="N24" s="371" t="s">
        <v>33</v>
      </c>
      <c r="O24" s="371"/>
    </row>
    <row r="25" spans="1:18" ht="15" customHeight="1" thickBot="1" x14ac:dyDescent="0.35">
      <c r="A25" s="6" t="s">
        <v>34</v>
      </c>
      <c r="B25" s="14">
        <v>-263</v>
      </c>
      <c r="C25" s="14">
        <v>-1727</v>
      </c>
      <c r="D25" s="30">
        <f>C25/B25-1</f>
        <v>5.5665399239543722</v>
      </c>
      <c r="E25" s="13"/>
      <c r="F25" s="14">
        <v>-493</v>
      </c>
      <c r="G25" s="14">
        <v>-2707</v>
      </c>
      <c r="H25" s="30">
        <f>G25/F25-1</f>
        <v>4.4908722109533468</v>
      </c>
      <c r="I25" s="13"/>
      <c r="J25" s="22">
        <f t="shared" si="0"/>
        <v>-230</v>
      </c>
      <c r="K25" s="22">
        <f t="shared" si="0"/>
        <v>-980</v>
      </c>
      <c r="L25" s="38">
        <f>K25/J25-1</f>
        <v>3.2608695652173916</v>
      </c>
      <c r="M25" s="371"/>
      <c r="N25" s="371"/>
      <c r="O25" s="371"/>
    </row>
    <row r="26" spans="1:18" ht="15" customHeight="1" thickBot="1" x14ac:dyDescent="0.35">
      <c r="D26" s="25"/>
      <c r="H26" s="25"/>
      <c r="J26" s="17"/>
      <c r="K26" s="17"/>
      <c r="L26" s="33"/>
    </row>
    <row r="27" spans="1:18" x14ac:dyDescent="0.3">
      <c r="A27" s="41" t="s">
        <v>35</v>
      </c>
      <c r="B27" s="11"/>
      <c r="C27" s="11"/>
      <c r="D27" s="28"/>
      <c r="E27" s="11"/>
      <c r="F27" s="11"/>
      <c r="G27" s="11"/>
      <c r="H27" s="28"/>
      <c r="I27" s="11"/>
      <c r="J27" s="20"/>
      <c r="K27" s="20"/>
      <c r="L27" s="36"/>
    </row>
    <row r="28" spans="1:18" x14ac:dyDescent="0.3">
      <c r="A28" s="42" t="s">
        <v>36</v>
      </c>
      <c r="B28">
        <v>50.5</v>
      </c>
      <c r="C28">
        <v>55.1</v>
      </c>
      <c r="D28" s="29">
        <f>C28/B28-1</f>
        <v>9.108910891089117E-2</v>
      </c>
      <c r="F28">
        <v>74.900000000000006</v>
      </c>
      <c r="G28">
        <v>82.8</v>
      </c>
      <c r="H28" s="29">
        <f>G28/F28-1</f>
        <v>0.10547396528704933</v>
      </c>
      <c r="J28" s="21">
        <f t="shared" ref="J28:K30" si="1">F28-B28</f>
        <v>24.400000000000006</v>
      </c>
      <c r="K28" s="21">
        <f t="shared" si="1"/>
        <v>27.699999999999996</v>
      </c>
      <c r="L28" s="37">
        <f>K28/J28-1</f>
        <v>0.13524590163934391</v>
      </c>
    </row>
    <row r="29" spans="1:18" x14ac:dyDescent="0.3">
      <c r="A29" s="5" t="s">
        <v>37</v>
      </c>
      <c r="B29">
        <v>3041</v>
      </c>
      <c r="C29">
        <v>4351</v>
      </c>
      <c r="D29" s="29">
        <f>C29/B29-1</f>
        <v>0.43077934889838865</v>
      </c>
      <c r="F29" s="12">
        <f>4727033/1000</f>
        <v>4727.0330000000004</v>
      </c>
      <c r="G29" s="12">
        <v>6811</v>
      </c>
      <c r="H29" s="29">
        <f>G29/F29-1</f>
        <v>0.44086152984334981</v>
      </c>
      <c r="J29" s="21">
        <f t="shared" si="1"/>
        <v>1686.0330000000004</v>
      </c>
      <c r="K29" s="21">
        <f t="shared" si="1"/>
        <v>2460</v>
      </c>
      <c r="L29" s="37">
        <f>K29/J29-1</f>
        <v>0.45904617525279723</v>
      </c>
    </row>
    <row r="30" spans="1:18" x14ac:dyDescent="0.3">
      <c r="A30" s="5" t="s">
        <v>38</v>
      </c>
      <c r="B30">
        <v>2670</v>
      </c>
      <c r="C30">
        <v>3829</v>
      </c>
      <c r="D30" s="29">
        <f>C30/B30-1</f>
        <v>0.43408239700374529</v>
      </c>
      <c r="F30" s="12">
        <f>4183770/1000</f>
        <v>4183.7700000000004</v>
      </c>
      <c r="G30" s="12">
        <v>6090</v>
      </c>
      <c r="H30" s="29">
        <f>G30/F30-1</f>
        <v>0.45562495070235687</v>
      </c>
      <c r="J30" s="21">
        <f t="shared" si="1"/>
        <v>1513.7700000000004</v>
      </c>
      <c r="K30" s="21">
        <f t="shared" si="1"/>
        <v>2261</v>
      </c>
      <c r="L30" s="37">
        <f>K30/J30-1</f>
        <v>0.49362188443422661</v>
      </c>
    </row>
    <row r="31" spans="1:18" ht="15" customHeight="1" thickBot="1" x14ac:dyDescent="0.35">
      <c r="A31" s="6" t="s">
        <v>39</v>
      </c>
      <c r="B31" s="15">
        <f>B30/B29</f>
        <v>0.8780006576783953</v>
      </c>
      <c r="C31" s="15">
        <f>C30/C29</f>
        <v>0.88002757986669733</v>
      </c>
      <c r="D31" s="31"/>
      <c r="E31" s="13"/>
      <c r="F31" s="15">
        <f>F30/F29</f>
        <v>0.88507315265199127</v>
      </c>
      <c r="G31" s="15">
        <f>G30/G29</f>
        <v>0.89414182939362796</v>
      </c>
      <c r="H31" s="31"/>
      <c r="I31" s="13"/>
      <c r="J31" s="23">
        <f>J30/J29</f>
        <v>0.89782940191562088</v>
      </c>
      <c r="K31" s="23">
        <f>K30/K29</f>
        <v>0.91910569105691053</v>
      </c>
      <c r="L31" s="39"/>
    </row>
    <row r="33" spans="1:1" x14ac:dyDescent="0.3">
      <c r="A33" t="s">
        <v>40</v>
      </c>
    </row>
    <row r="34" spans="1:1" x14ac:dyDescent="0.3">
      <c r="A34" t="s">
        <v>41</v>
      </c>
    </row>
    <row r="35" spans="1:1" x14ac:dyDescent="0.3">
      <c r="A35" t="s">
        <v>42</v>
      </c>
    </row>
    <row r="36" spans="1:1" x14ac:dyDescent="0.3">
      <c r="A36" t="s">
        <v>43</v>
      </c>
    </row>
  </sheetData>
  <mergeCells count="3">
    <mergeCell ref="J1:L1"/>
    <mergeCell ref="P1:R1"/>
    <mergeCell ref="F1:H1"/>
  </mergeCells>
  <phoneticPr fontId="8" type="noConversion"/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K88"/>
  <sheetViews>
    <sheetView zoomScaleNormal="100" workbookViewId="0">
      <pane xSplit="1" ySplit="3" topLeftCell="Z36" activePane="bottomRight" state="frozen"/>
      <selection pane="topRight" activeCell="B1" sqref="B1"/>
      <selection pane="bottomLeft" activeCell="A4" sqref="A4"/>
      <selection pane="bottomRight" activeCell="AM13" sqref="AM13"/>
    </sheetView>
  </sheetViews>
  <sheetFormatPr defaultRowHeight="14" outlineLevelCol="1" x14ac:dyDescent="0.3"/>
  <cols>
    <col min="1" max="1" width="53.08203125" style="344" customWidth="1"/>
    <col min="2" max="3" width="14.4140625" style="262" hidden="1" customWidth="1" outlineLevel="1"/>
    <col min="4" max="4" width="12" style="262" hidden="1" customWidth="1" outlineLevel="1"/>
    <col min="5" max="5" width="12.4140625" style="262" hidden="1" customWidth="1" outlineLevel="1"/>
    <col min="6" max="6" width="14.4140625" style="262" hidden="1" customWidth="1" outlineLevel="1"/>
    <col min="7" max="9" width="12.4140625" style="262" hidden="1" customWidth="1" outlineLevel="1"/>
    <col min="10" max="10" width="12.08203125" style="180" customWidth="1" collapsed="1"/>
    <col min="11" max="11" width="11.75" style="262" bestFit="1" customWidth="1"/>
    <col min="12" max="13" width="12" style="262" bestFit="1" customWidth="1"/>
    <col min="14" max="14" width="12" style="180" customWidth="1"/>
    <col min="15" max="15" width="12" style="262" customWidth="1"/>
    <col min="16" max="16" width="12.4140625" style="262" customWidth="1"/>
    <col min="17" max="17" width="12" style="262" customWidth="1"/>
    <col min="18" max="18" width="12" style="180" customWidth="1"/>
    <col min="19" max="20" width="12.4140625" style="262" customWidth="1"/>
    <col min="21" max="21" width="12.4140625" style="266" customWidth="1"/>
    <col min="22" max="23" width="12.4140625" style="262" bestFit="1" customWidth="1"/>
    <col min="24" max="24" width="11.4140625" style="262" customWidth="1"/>
    <col min="25" max="25" width="11.4140625" style="266" customWidth="1"/>
    <col min="26" max="28" width="11.4140625" style="262" customWidth="1"/>
    <col min="29" max="29" width="11.4140625" style="266" customWidth="1"/>
    <col min="30" max="30" width="11.4140625" style="262" customWidth="1"/>
    <col min="31" max="37" width="12.6640625" style="262" customWidth="1"/>
    <col min="38" max="39" width="13" style="262" customWidth="1"/>
    <col min="40" max="40" width="12.4140625" style="262" hidden="1" customWidth="1" outlineLevel="1"/>
    <col min="41" max="41" width="11.4140625" style="262" hidden="1" customWidth="1" outlineLevel="1"/>
    <col min="42" max="42" width="12.4140625" style="262" hidden="1" customWidth="1" outlineLevel="1"/>
    <col min="43" max="43" width="11.83203125" style="262" customWidth="1" collapsed="1"/>
    <col min="44" max="44" width="12.4140625" style="262" hidden="1" customWidth="1" outlineLevel="1"/>
    <col min="45" max="46" width="4.4140625" style="262" hidden="1" customWidth="1" outlineLevel="1"/>
    <col min="47" max="47" width="13.75" style="262" customWidth="1" collapsed="1"/>
    <col min="48" max="48" width="1" style="262" customWidth="1" collapsed="1"/>
    <col min="49" max="49" width="1" style="262" hidden="1" customWidth="1" outlineLevel="1"/>
    <col min="50" max="50" width="11.75" style="262" hidden="1" customWidth="1" outlineLevel="1"/>
    <col min="51" max="51" width="12.08203125" style="262" hidden="1" customWidth="1" outlineLevel="1"/>
    <col min="52" max="52" width="12.4140625" style="262" hidden="1" customWidth="1" outlineLevel="1"/>
    <col min="53" max="53" width="13.08203125" style="262" customWidth="1" collapsed="1"/>
    <col min="54" max="54" width="11.83203125" style="262" bestFit="1" customWidth="1"/>
    <col min="55" max="55" width="12" style="262" bestFit="1" customWidth="1"/>
    <col min="56" max="56" width="12.83203125" style="262" customWidth="1"/>
    <col min="57" max="58" width="12" style="262" customWidth="1"/>
  </cols>
  <sheetData>
    <row r="1" spans="1:63" s="52" customFormat="1" ht="13" customHeight="1" x14ac:dyDescent="0.25">
      <c r="A1" s="47"/>
      <c r="B1" s="48" t="s">
        <v>44</v>
      </c>
      <c r="C1" s="49" t="s">
        <v>45</v>
      </c>
      <c r="D1" s="50"/>
      <c r="E1" s="149"/>
      <c r="F1" s="149"/>
      <c r="G1" s="50"/>
      <c r="H1" s="50"/>
      <c r="I1" s="50"/>
      <c r="J1" s="197"/>
      <c r="K1" s="50"/>
      <c r="L1" s="149"/>
      <c r="M1" s="149"/>
      <c r="N1" s="179"/>
      <c r="O1" s="149"/>
      <c r="P1" s="149"/>
      <c r="Q1" s="149"/>
      <c r="R1" s="179"/>
      <c r="S1" s="149"/>
      <c r="T1" s="149"/>
      <c r="U1" s="265"/>
      <c r="V1" s="149"/>
      <c r="W1" s="149"/>
      <c r="X1" s="149"/>
      <c r="Y1" s="265"/>
      <c r="Z1" s="149"/>
      <c r="AA1" s="149"/>
      <c r="AB1" s="149"/>
      <c r="AC1" s="265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50"/>
      <c r="AO1" s="50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51"/>
      <c r="BK1" s="51"/>
    </row>
    <row r="2" spans="1:63" x14ac:dyDescent="0.3">
      <c r="A2" s="353" t="s">
        <v>46</v>
      </c>
      <c r="W2">
        <f>W5/K5-1</f>
        <v>1.2436706874472896</v>
      </c>
    </row>
    <row r="3" spans="1:63" x14ac:dyDescent="0.3">
      <c r="A3" s="96"/>
      <c r="B3" s="283" t="s">
        <v>47</v>
      </c>
      <c r="C3" s="283" t="s">
        <v>48</v>
      </c>
      <c r="D3" s="283" t="s">
        <v>49</v>
      </c>
      <c r="E3" s="283" t="s">
        <v>50</v>
      </c>
      <c r="F3" s="283" t="s">
        <v>51</v>
      </c>
      <c r="G3" s="283" t="s">
        <v>52</v>
      </c>
      <c r="H3" s="283" t="s">
        <v>53</v>
      </c>
      <c r="I3" s="283" t="s">
        <v>54</v>
      </c>
      <c r="J3" s="181" t="s">
        <v>55</v>
      </c>
      <c r="K3" s="283" t="s">
        <v>56</v>
      </c>
      <c r="L3" s="283" t="s">
        <v>57</v>
      </c>
      <c r="M3" s="283" t="s">
        <v>58</v>
      </c>
      <c r="N3" s="181" t="s">
        <v>59</v>
      </c>
      <c r="O3" s="283" t="s">
        <v>60</v>
      </c>
      <c r="P3" s="283" t="s">
        <v>61</v>
      </c>
      <c r="Q3" s="283" t="s">
        <v>62</v>
      </c>
      <c r="R3" s="181" t="s">
        <v>63</v>
      </c>
      <c r="S3" s="283" t="s">
        <v>64</v>
      </c>
      <c r="T3" s="283" t="s">
        <v>65</v>
      </c>
      <c r="U3" s="284" t="s">
        <v>66</v>
      </c>
      <c r="V3" s="283" t="s">
        <v>67</v>
      </c>
      <c r="W3" s="283" t="s">
        <v>68</v>
      </c>
      <c r="X3" s="400" t="s">
        <v>69</v>
      </c>
      <c r="Y3" s="284" t="s">
        <v>70</v>
      </c>
      <c r="Z3" s="153" t="s">
        <v>71</v>
      </c>
      <c r="AA3" s="153" t="s">
        <v>72</v>
      </c>
      <c r="AB3" s="153" t="s">
        <v>73</v>
      </c>
      <c r="AC3" s="267" t="s">
        <v>74</v>
      </c>
      <c r="AD3" s="153" t="s">
        <v>75</v>
      </c>
      <c r="AE3" s="153" t="s">
        <v>76</v>
      </c>
      <c r="AF3" s="153" t="s">
        <v>77</v>
      </c>
      <c r="AG3" s="153" t="s">
        <v>78</v>
      </c>
      <c r="AH3" s="153" t="s">
        <v>79</v>
      </c>
      <c r="AI3" s="153" t="s">
        <v>80</v>
      </c>
      <c r="AJ3" s="153" t="s">
        <v>81</v>
      </c>
      <c r="AK3" s="153" t="s">
        <v>82</v>
      </c>
      <c r="AL3" s="153" t="s">
        <v>83</v>
      </c>
      <c r="AM3" s="153" t="s">
        <v>84</v>
      </c>
      <c r="AN3" s="283" t="s">
        <v>85</v>
      </c>
      <c r="AO3" s="283" t="s">
        <v>86</v>
      </c>
      <c r="AP3" s="283" t="s">
        <v>87</v>
      </c>
      <c r="AQ3" s="283" t="s">
        <v>88</v>
      </c>
      <c r="AR3" s="283" t="s">
        <v>89</v>
      </c>
      <c r="AS3" s="283" t="s">
        <v>90</v>
      </c>
      <c r="AT3" s="283"/>
      <c r="AU3" s="283" t="s">
        <v>91</v>
      </c>
      <c r="AV3" s="283" t="s">
        <v>92</v>
      </c>
      <c r="AW3" s="283"/>
      <c r="AX3" s="45" t="s">
        <v>93</v>
      </c>
      <c r="AY3" s="45" t="s">
        <v>94</v>
      </c>
      <c r="AZ3" s="45" t="s">
        <v>95</v>
      </c>
      <c r="BA3" s="45" t="s">
        <v>96</v>
      </c>
      <c r="BB3" s="45" t="s">
        <v>97</v>
      </c>
      <c r="BC3" s="45" t="s">
        <v>98</v>
      </c>
      <c r="BD3" s="45" t="s">
        <v>99</v>
      </c>
      <c r="BE3" s="45" t="s">
        <v>100</v>
      </c>
      <c r="BF3" s="45" t="s">
        <v>101</v>
      </c>
      <c r="BG3" s="24"/>
    </row>
    <row r="4" spans="1:63" s="264" customFormat="1" x14ac:dyDescent="0.3">
      <c r="A4" s="76" t="s">
        <v>102</v>
      </c>
      <c r="F4" s="74" t="s">
        <v>103</v>
      </c>
      <c r="J4" s="187"/>
      <c r="N4" s="187"/>
      <c r="R4" s="182"/>
      <c r="S4" s="371"/>
      <c r="T4" s="371"/>
      <c r="U4" s="324"/>
      <c r="V4" s="371"/>
      <c r="W4" s="371"/>
      <c r="X4" s="371">
        <f>X5/L5-1</f>
        <v>1.2775782709514267</v>
      </c>
      <c r="Y4" s="324">
        <f>Y5/M5-1</f>
        <v>1.1353930941667438</v>
      </c>
      <c r="Z4" s="324">
        <f>Z5/J5-1</f>
        <v>2.0572110106901644</v>
      </c>
      <c r="AA4" s="324">
        <f>AA5/K5-1</f>
        <v>1.9936225993791079</v>
      </c>
      <c r="AB4" s="371">
        <f>AB5/L5-1</f>
        <v>1.7812591418906538</v>
      </c>
      <c r="AC4" s="324">
        <f>AC5/M5-1</f>
        <v>1.6172060816414997</v>
      </c>
      <c r="AD4" s="371">
        <f>AD5/J5-1</f>
        <v>2.8217246793388711</v>
      </c>
      <c r="AE4" s="263"/>
      <c r="AF4" s="263"/>
      <c r="AG4" s="263"/>
      <c r="AH4" s="263"/>
      <c r="AI4" s="263"/>
      <c r="AJ4" s="263"/>
      <c r="AK4" s="263"/>
      <c r="AL4" s="263"/>
      <c r="AM4" s="437"/>
      <c r="AO4" s="264" t="s">
        <v>103</v>
      </c>
      <c r="AU4" s="264" t="s">
        <v>104</v>
      </c>
      <c r="AV4" s="264" t="s">
        <v>104</v>
      </c>
    </row>
    <row r="5" spans="1:63" s="146" customFormat="1" x14ac:dyDescent="0.3">
      <c r="A5" s="145" t="s">
        <v>105</v>
      </c>
      <c r="D5" s="146">
        <v>9673796</v>
      </c>
      <c r="E5" s="146">
        <v>10475378</v>
      </c>
      <c r="F5" s="146">
        <f>AP5-G5</f>
        <v>11275063</v>
      </c>
      <c r="G5" s="146">
        <v>15072764</v>
      </c>
      <c r="H5" s="146">
        <v>19075999</v>
      </c>
      <c r="I5" s="146">
        <v>19803452</v>
      </c>
      <c r="J5" s="184">
        <v>19173512</v>
      </c>
      <c r="K5" s="146">
        <v>22703137</v>
      </c>
      <c r="L5" s="146">
        <v>27493629</v>
      </c>
      <c r="M5" s="146">
        <v>28158253</v>
      </c>
      <c r="N5" s="184">
        <v>16753887</v>
      </c>
      <c r="O5" s="146">
        <v>24721837</v>
      </c>
      <c r="P5" s="146">
        <v>35401282</v>
      </c>
      <c r="Q5" s="146">
        <v>37917504</v>
      </c>
      <c r="R5" s="184">
        <v>37016262</v>
      </c>
      <c r="S5" s="146">
        <v>43759232</v>
      </c>
      <c r="T5" s="146">
        <v>48829370</v>
      </c>
      <c r="U5" s="270">
        <v>49523133</v>
      </c>
      <c r="V5" s="146">
        <v>46268754</v>
      </c>
      <c r="W5" s="146">
        <v>50938363</v>
      </c>
      <c r="X5" s="146">
        <v>62618892</v>
      </c>
      <c r="Y5" s="270">
        <v>60128939</v>
      </c>
      <c r="Z5" s="146">
        <v>58617472</v>
      </c>
      <c r="AA5" s="146">
        <v>67964624</v>
      </c>
      <c r="AB5" s="146">
        <v>76466907</v>
      </c>
      <c r="AC5" s="270">
        <v>73695951</v>
      </c>
      <c r="AD5" s="270">
        <v>73275884</v>
      </c>
      <c r="AE5" s="340">
        <v>82251077</v>
      </c>
      <c r="AF5" s="340">
        <v>93577319</v>
      </c>
      <c r="AG5" s="340">
        <v>88487296</v>
      </c>
      <c r="AH5" s="340">
        <v>86557126</v>
      </c>
      <c r="AI5" s="340">
        <v>91840480</v>
      </c>
      <c r="AJ5" s="340">
        <v>95488113</v>
      </c>
      <c r="AK5" s="340">
        <v>92096429</v>
      </c>
      <c r="AL5" s="340">
        <v>91038906</v>
      </c>
      <c r="AM5" s="438">
        <v>104643044</v>
      </c>
      <c r="AN5" s="146">
        <v>13778813</v>
      </c>
      <c r="AO5" s="79">
        <f>AZ5-AN5</f>
        <v>20149174</v>
      </c>
      <c r="AP5" s="146">
        <v>26347827</v>
      </c>
      <c r="AQ5" s="79">
        <f>BA5-AP5</f>
        <v>38879451</v>
      </c>
      <c r="AR5" s="146">
        <v>41876649</v>
      </c>
      <c r="AU5" s="146">
        <f>D5+AN5</f>
        <v>23452609</v>
      </c>
      <c r="AV5" s="146">
        <f>H5+AP5</f>
        <v>45423826</v>
      </c>
      <c r="AX5" s="146">
        <v>4018959</v>
      </c>
      <c r="AY5" s="146">
        <v>12988077</v>
      </c>
      <c r="AZ5" s="146">
        <v>33927987</v>
      </c>
      <c r="BA5" s="146">
        <v>65227278</v>
      </c>
      <c r="BB5" s="146">
        <v>97528531</v>
      </c>
      <c r="BC5" s="146">
        <v>114794510</v>
      </c>
      <c r="BD5" s="146">
        <v>179127997</v>
      </c>
      <c r="BE5" s="146">
        <v>219954948</v>
      </c>
    </row>
    <row r="6" spans="1:63" s="146" customFormat="1" x14ac:dyDescent="0.3">
      <c r="A6" s="79" t="s">
        <v>106</v>
      </c>
      <c r="D6" s="146">
        <v>-6240679</v>
      </c>
      <c r="E6" s="146">
        <v>-7123869</v>
      </c>
      <c r="F6" s="146">
        <f>AP6-G6</f>
        <v>-8063090</v>
      </c>
      <c r="G6" s="146">
        <v>-12232014</v>
      </c>
      <c r="H6" s="146">
        <v>-14504758</v>
      </c>
      <c r="I6" s="146">
        <v>-15322458</v>
      </c>
      <c r="J6" s="184">
        <v>-14104172</v>
      </c>
      <c r="K6" s="146">
        <v>-14762502</v>
      </c>
      <c r="L6" s="146">
        <v>-17901345</v>
      </c>
      <c r="M6" s="146">
        <v>-18440124</v>
      </c>
      <c r="N6" s="184">
        <v>-11557421</v>
      </c>
      <c r="O6" s="146">
        <v>-16146879</v>
      </c>
      <c r="P6" s="146">
        <v>-24578273</v>
      </c>
      <c r="Q6" s="146">
        <v>-28461795</v>
      </c>
      <c r="R6" s="184">
        <v>-29816095</v>
      </c>
      <c r="S6" s="146">
        <v>-31245861</v>
      </c>
      <c r="T6" s="146">
        <v>-38051383</v>
      </c>
      <c r="U6" s="270">
        <v>-37540530</v>
      </c>
      <c r="V6" s="146">
        <v>-35528467</v>
      </c>
      <c r="W6" s="146">
        <v>-35363935</v>
      </c>
      <c r="X6" s="146">
        <v>-44114024</v>
      </c>
      <c r="Y6" s="270">
        <v>-43195543</v>
      </c>
      <c r="Z6" s="146">
        <v>-38800047</v>
      </c>
      <c r="AA6" s="146">
        <v>-42566619</v>
      </c>
      <c r="AB6" s="146">
        <v>-49484515</v>
      </c>
      <c r="AC6" s="270">
        <v>-48702612</v>
      </c>
      <c r="AD6" s="270">
        <v>-47579144</v>
      </c>
      <c r="AE6" s="146">
        <v>-48361233</v>
      </c>
      <c r="AF6" s="146">
        <v>-56823456</v>
      </c>
      <c r="AG6" s="146">
        <v>-55043149</v>
      </c>
      <c r="AH6" s="146">
        <v>-54143437</v>
      </c>
      <c r="AI6" s="146">
        <v>-61426477</v>
      </c>
      <c r="AJ6" s="146">
        <v>-70307050</v>
      </c>
      <c r="AK6" s="146">
        <v>-67969156</v>
      </c>
      <c r="AL6" s="146">
        <v>-65068834</v>
      </c>
      <c r="AM6" s="146">
        <v>-69548247</v>
      </c>
      <c r="AN6" s="146">
        <v>-8343935</v>
      </c>
      <c r="AO6" s="79">
        <f>AZ6-AN6</f>
        <v>-13364548</v>
      </c>
      <c r="AP6" s="146">
        <v>-20295104</v>
      </c>
      <c r="AQ6" s="79">
        <f>BA6-AP6</f>
        <v>-29827216</v>
      </c>
      <c r="AR6" s="146">
        <v>-28866674</v>
      </c>
      <c r="AU6" s="146">
        <f>D6+AN6</f>
        <v>-14584614</v>
      </c>
      <c r="AV6" s="146">
        <f>H6+AP6</f>
        <v>-34799862</v>
      </c>
      <c r="AX6" s="146">
        <v>-1239504</v>
      </c>
      <c r="AY6" s="146">
        <v>-7046841</v>
      </c>
      <c r="AZ6" s="146">
        <v>-21708483</v>
      </c>
      <c r="BA6" s="146">
        <v>-50122320</v>
      </c>
      <c r="BB6" s="146">
        <v>-65208143</v>
      </c>
      <c r="BC6" s="146">
        <v>-80744368</v>
      </c>
      <c r="BD6" s="146">
        <v>-136653869</v>
      </c>
      <c r="BE6" s="146">
        <v>-158201969</v>
      </c>
    </row>
    <row r="7" spans="1:63" s="264" customFormat="1" x14ac:dyDescent="0.3">
      <c r="A7" s="150"/>
      <c r="J7" s="187"/>
      <c r="L7" s="371"/>
      <c r="M7" s="371"/>
      <c r="N7" s="182"/>
      <c r="O7" s="371"/>
      <c r="P7" s="371"/>
      <c r="Q7" s="371"/>
      <c r="R7" s="182"/>
      <c r="S7" s="371"/>
      <c r="T7" s="371"/>
      <c r="U7" s="324"/>
      <c r="V7" s="371"/>
      <c r="W7" s="371"/>
      <c r="X7" s="371"/>
      <c r="Y7" s="324"/>
      <c r="Z7" s="371"/>
      <c r="AA7" s="371"/>
      <c r="AB7" s="371"/>
      <c r="AC7" s="324"/>
      <c r="AD7" s="371"/>
      <c r="AE7" s="263"/>
      <c r="AF7" s="263"/>
      <c r="AG7" s="263"/>
      <c r="AH7" s="263"/>
      <c r="AI7" s="263"/>
      <c r="AJ7" s="263"/>
      <c r="AK7" s="263"/>
      <c r="AL7" s="263"/>
      <c r="AM7" s="437"/>
    </row>
    <row r="8" spans="1:63" s="79" customFormat="1" x14ac:dyDescent="0.3">
      <c r="A8" s="145" t="s">
        <v>107</v>
      </c>
      <c r="D8" s="79">
        <f>D5+D6</f>
        <v>3433117</v>
      </c>
      <c r="E8" s="79">
        <f>E5+E6</f>
        <v>3351509</v>
      </c>
      <c r="F8" s="79">
        <f>AP8-G8</f>
        <v>3211973</v>
      </c>
      <c r="G8" s="79">
        <f t="shared" ref="G8:Y8" si="0">G5+G6</f>
        <v>2840750</v>
      </c>
      <c r="H8" s="79">
        <f t="shared" si="0"/>
        <v>4571241</v>
      </c>
      <c r="I8" s="79">
        <f t="shared" si="0"/>
        <v>4480994</v>
      </c>
      <c r="J8" s="185">
        <f t="shared" si="0"/>
        <v>5069340</v>
      </c>
      <c r="K8" s="79">
        <f t="shared" si="0"/>
        <v>7940635</v>
      </c>
      <c r="L8" s="79">
        <f t="shared" si="0"/>
        <v>9592284</v>
      </c>
      <c r="M8" s="79">
        <f t="shared" si="0"/>
        <v>9718129</v>
      </c>
      <c r="N8" s="185">
        <f t="shared" si="0"/>
        <v>5196466</v>
      </c>
      <c r="O8" s="79">
        <f t="shared" si="0"/>
        <v>8574958</v>
      </c>
      <c r="P8" s="79">
        <f t="shared" si="0"/>
        <v>10823009</v>
      </c>
      <c r="Q8" s="79">
        <f t="shared" si="0"/>
        <v>9455709</v>
      </c>
      <c r="R8" s="185">
        <f t="shared" si="0"/>
        <v>7200167</v>
      </c>
      <c r="S8" s="79">
        <f t="shared" si="0"/>
        <v>12513371</v>
      </c>
      <c r="T8" s="79">
        <f t="shared" si="0"/>
        <v>10777987</v>
      </c>
      <c r="U8" s="271">
        <f t="shared" si="0"/>
        <v>11982603</v>
      </c>
      <c r="V8" s="79">
        <f t="shared" si="0"/>
        <v>10740287</v>
      </c>
      <c r="W8" s="79">
        <f t="shared" si="0"/>
        <v>15574428</v>
      </c>
      <c r="X8" s="79">
        <f t="shared" si="0"/>
        <v>18504868</v>
      </c>
      <c r="Y8" s="271">
        <f t="shared" si="0"/>
        <v>16933396</v>
      </c>
      <c r="Z8" s="79">
        <v>19817425</v>
      </c>
      <c r="AA8" s="79">
        <v>25398005</v>
      </c>
      <c r="AB8" s="79">
        <f t="shared" ref="AB8:AI8" si="1">AB5+AB6</f>
        <v>26982392</v>
      </c>
      <c r="AC8" s="79">
        <f t="shared" si="1"/>
        <v>24993339</v>
      </c>
      <c r="AD8" s="79">
        <f t="shared" si="1"/>
        <v>25696740</v>
      </c>
      <c r="AE8" s="79">
        <f t="shared" si="1"/>
        <v>33889844</v>
      </c>
      <c r="AF8" s="79">
        <f t="shared" si="1"/>
        <v>36753863</v>
      </c>
      <c r="AG8" s="79">
        <f t="shared" si="1"/>
        <v>33444147</v>
      </c>
      <c r="AH8" s="79">
        <f t="shared" si="1"/>
        <v>32413689</v>
      </c>
      <c r="AI8" s="79">
        <f t="shared" si="1"/>
        <v>30414003</v>
      </c>
      <c r="AJ8" s="79">
        <v>25181063</v>
      </c>
      <c r="AK8" s="79">
        <f>AK5+AK6</f>
        <v>24127273</v>
      </c>
      <c r="AL8" s="79">
        <f>AL5+AL6</f>
        <v>25970072</v>
      </c>
      <c r="AM8" s="79">
        <f>AM5+AM6</f>
        <v>35094797</v>
      </c>
      <c r="AN8" s="79">
        <f>AN5+AN6</f>
        <v>5434878</v>
      </c>
      <c r="AO8" s="79">
        <f>AZ8-AN8</f>
        <v>6784626</v>
      </c>
      <c r="AP8" s="79">
        <f>AP5+AP6</f>
        <v>6052723</v>
      </c>
      <c r="AQ8" s="79">
        <f>BA8-AP8</f>
        <v>9052235</v>
      </c>
      <c r="AR8" s="79">
        <f>AR5+AR6</f>
        <v>13009975</v>
      </c>
      <c r="AT8" s="79">
        <f>AT5+AT6</f>
        <v>0</v>
      </c>
      <c r="AU8" s="79">
        <f>D8+AN8</f>
        <v>8867995</v>
      </c>
      <c r="AV8" s="79">
        <f>H8+AP8</f>
        <v>10623964</v>
      </c>
      <c r="AW8" s="79">
        <f t="shared" ref="AW8:BE8" si="2">AW5+AW6</f>
        <v>0</v>
      </c>
      <c r="AX8" s="79">
        <f t="shared" si="2"/>
        <v>2779455</v>
      </c>
      <c r="AY8" s="79">
        <f t="shared" si="2"/>
        <v>5941236</v>
      </c>
      <c r="AZ8" s="79">
        <f t="shared" si="2"/>
        <v>12219504</v>
      </c>
      <c r="BA8" s="79">
        <f t="shared" si="2"/>
        <v>15104958</v>
      </c>
      <c r="BB8" s="79">
        <f t="shared" si="2"/>
        <v>32320388</v>
      </c>
      <c r="BC8" s="79">
        <f t="shared" si="2"/>
        <v>34050142</v>
      </c>
      <c r="BD8" s="79">
        <f t="shared" si="2"/>
        <v>42474128</v>
      </c>
      <c r="BE8" s="79">
        <f t="shared" si="2"/>
        <v>61752979</v>
      </c>
    </row>
    <row r="9" spans="1:63" s="144" customFormat="1" x14ac:dyDescent="0.3">
      <c r="A9" s="150" t="s">
        <v>108</v>
      </c>
      <c r="D9" s="144">
        <v>-3183558</v>
      </c>
      <c r="E9" s="144">
        <v>-3362229</v>
      </c>
      <c r="F9" s="144">
        <f>AP9-G9</f>
        <v>-2846353</v>
      </c>
      <c r="G9" s="144">
        <v>-3868230</v>
      </c>
      <c r="H9" s="144">
        <v>-4622267</v>
      </c>
      <c r="I9" s="144">
        <v>-4535051</v>
      </c>
      <c r="J9" s="183">
        <v>-3706112</v>
      </c>
      <c r="K9" s="144">
        <v>-4149110</v>
      </c>
      <c r="L9" s="144">
        <v>-5614750</v>
      </c>
      <c r="M9" s="144">
        <v>-5349095</v>
      </c>
      <c r="N9" s="183">
        <v>-3199439</v>
      </c>
      <c r="O9" s="144">
        <v>-4172332</v>
      </c>
      <c r="P9" s="144">
        <v>-5835574</v>
      </c>
      <c r="Q9" s="144">
        <v>-7675340</v>
      </c>
      <c r="R9" s="183">
        <v>-7206408</v>
      </c>
      <c r="S9" s="144">
        <v>-10848627</v>
      </c>
      <c r="T9" s="144">
        <v>-11388227</v>
      </c>
      <c r="U9" s="268">
        <v>-11239904</v>
      </c>
      <c r="V9" s="144">
        <v>-9105728</v>
      </c>
      <c r="W9" s="144">
        <v>-8986036</v>
      </c>
      <c r="X9" s="144">
        <v>-10886422</v>
      </c>
      <c r="Y9" s="268">
        <v>-10766926</v>
      </c>
      <c r="Z9" s="144">
        <v>-10433070</v>
      </c>
      <c r="AA9" s="144">
        <v>-14553195</v>
      </c>
      <c r="AB9" s="144">
        <v>-16905422</v>
      </c>
      <c r="AC9" s="268">
        <v>-16725310</v>
      </c>
      <c r="AD9" s="144">
        <v>-13888302</v>
      </c>
      <c r="AE9" s="144">
        <v>-14832448</v>
      </c>
      <c r="AF9" s="144">
        <v>-17953163</v>
      </c>
      <c r="AG9" s="144">
        <v>-17301322</v>
      </c>
      <c r="AH9" s="144">
        <v>-15550016</v>
      </c>
      <c r="AI9" s="144">
        <v>-22518913</v>
      </c>
      <c r="AJ9" s="144">
        <v>-34266826</v>
      </c>
      <c r="AK9" s="144">
        <v>-31725691</v>
      </c>
      <c r="AL9" s="144">
        <v>-22968519</v>
      </c>
      <c r="AM9" s="144">
        <v>-24723345</v>
      </c>
      <c r="AN9" s="144">
        <v>-4362901</v>
      </c>
      <c r="AO9" s="150">
        <f>AZ9-AN9</f>
        <v>-6545787</v>
      </c>
      <c r="AP9" s="144">
        <v>-6714583</v>
      </c>
      <c r="AQ9" s="150">
        <f>BA9-AP9</f>
        <v>-9157318</v>
      </c>
      <c r="AR9" s="144">
        <v>-7855222</v>
      </c>
      <c r="AU9" s="144">
        <f>D9+AN9</f>
        <v>-7546459</v>
      </c>
      <c r="AV9" s="144">
        <f>H9+AP9</f>
        <v>-11336850</v>
      </c>
      <c r="AX9" s="144">
        <v>-7140962</v>
      </c>
      <c r="AY9" s="144">
        <v>-8337132</v>
      </c>
      <c r="AZ9" s="144">
        <v>-10908688</v>
      </c>
      <c r="BA9" s="144">
        <v>-15871901</v>
      </c>
      <c r="BB9" s="144">
        <v>-18819067</v>
      </c>
      <c r="BC9" s="144">
        <v>-20882685</v>
      </c>
      <c r="BD9" s="144">
        <v>-40683166</v>
      </c>
      <c r="BE9" s="144">
        <v>-39745979</v>
      </c>
    </row>
    <row r="10" spans="1:63" s="144" customFormat="1" x14ac:dyDescent="0.3">
      <c r="A10" s="150" t="s">
        <v>109</v>
      </c>
      <c r="D10" s="144">
        <v>-1026987</v>
      </c>
      <c r="E10" s="144">
        <v>-1149301</v>
      </c>
      <c r="F10" s="144">
        <f>AP10-G10</f>
        <v>-1382740</v>
      </c>
      <c r="G10" s="144">
        <v>-1703837</v>
      </c>
      <c r="H10" s="144">
        <v>-2003497</v>
      </c>
      <c r="I10" s="144">
        <v>-1981826</v>
      </c>
      <c r="J10" s="183">
        <v>-2036100</v>
      </c>
      <c r="K10" s="144">
        <v>-2032330</v>
      </c>
      <c r="L10" s="144">
        <v>-2137349</v>
      </c>
      <c r="M10" s="144">
        <v>-2239885</v>
      </c>
      <c r="N10" s="183">
        <v>-2296458</v>
      </c>
      <c r="O10" s="144">
        <v>-2376737</v>
      </c>
      <c r="P10" s="144">
        <v>-2970120</v>
      </c>
      <c r="Q10" s="144">
        <v>-3249199</v>
      </c>
      <c r="R10" s="183">
        <v>-3477290</v>
      </c>
      <c r="S10" s="144">
        <v>-3900794</v>
      </c>
      <c r="T10" s="144">
        <v>-4715550</v>
      </c>
      <c r="U10" s="268">
        <v>-4581961</v>
      </c>
      <c r="V10" s="144">
        <v>-4879033</v>
      </c>
      <c r="W10" s="144">
        <v>-5203533</v>
      </c>
      <c r="X10" s="144">
        <v>-5414371</v>
      </c>
      <c r="Y10" s="268">
        <v>-5242928</v>
      </c>
      <c r="Z10" s="144">
        <v>-5047387</v>
      </c>
      <c r="AA10" s="144">
        <v>-5407176</v>
      </c>
      <c r="AB10" s="144">
        <v>-5321157</v>
      </c>
      <c r="AC10" s="268">
        <v>-5425285</v>
      </c>
      <c r="AD10" s="144">
        <v>-5000153</v>
      </c>
      <c r="AE10" s="144">
        <v>-5339680</v>
      </c>
      <c r="AF10" s="144">
        <v>-5293483</v>
      </c>
      <c r="AG10" s="144">
        <v>-5420285</v>
      </c>
      <c r="AH10" s="144">
        <v>-5772030</v>
      </c>
      <c r="AI10" s="144">
        <v>-6260087</v>
      </c>
      <c r="AJ10" s="144">
        <v>-6936845</v>
      </c>
      <c r="AK10" s="144">
        <v>-7029303</v>
      </c>
      <c r="AL10" s="144">
        <v>-7043098</v>
      </c>
      <c r="AM10" s="144">
        <v>-7670045</v>
      </c>
      <c r="AN10" s="144">
        <v>-1470346</v>
      </c>
      <c r="AO10" s="150">
        <f>AZ10-AN10</f>
        <v>-2176288</v>
      </c>
      <c r="AP10" s="144">
        <v>-3086577</v>
      </c>
      <c r="AQ10" s="150">
        <f>BA10-AP10</f>
        <v>-3985323</v>
      </c>
      <c r="AR10" s="144">
        <v>-4068430</v>
      </c>
      <c r="AU10" s="144">
        <f>D10+AN10</f>
        <v>-2497333</v>
      </c>
      <c r="AV10" s="144">
        <f>H10+AP10</f>
        <v>-5090074</v>
      </c>
      <c r="AX10" s="144">
        <v>-1204033</v>
      </c>
      <c r="AY10" s="144">
        <v>-2366674</v>
      </c>
      <c r="AZ10" s="144">
        <v>-3646634</v>
      </c>
      <c r="BA10" s="144">
        <v>-7071900</v>
      </c>
      <c r="BB10" s="144">
        <v>-8445664</v>
      </c>
      <c r="BC10" s="144">
        <v>-10892514</v>
      </c>
      <c r="BD10" s="144">
        <v>-16675595</v>
      </c>
      <c r="BE10" s="144">
        <v>-20739865</v>
      </c>
    </row>
    <row r="11" spans="1:63" s="144" customFormat="1" x14ac:dyDescent="0.3">
      <c r="A11" s="150" t="s">
        <v>110</v>
      </c>
      <c r="D11" s="144">
        <v>-524435</v>
      </c>
      <c r="E11" s="144">
        <v>-914441</v>
      </c>
      <c r="F11" s="144">
        <f>AP11-G11</f>
        <v>-667281</v>
      </c>
      <c r="G11" s="144">
        <v>-996210</v>
      </c>
      <c r="H11" s="144">
        <v>-1238040</v>
      </c>
      <c r="I11" s="144">
        <v>-2846080</v>
      </c>
      <c r="J11" s="183">
        <v>-1075193</v>
      </c>
      <c r="K11" s="144">
        <v>-1038298</v>
      </c>
      <c r="L11" s="144">
        <v>-1055969</v>
      </c>
      <c r="M11" s="144">
        <v>-1564478</v>
      </c>
      <c r="N11" s="183">
        <f>-(1069741+237542)</f>
        <v>-1307283</v>
      </c>
      <c r="O11" s="144">
        <f>-1158092-45676</f>
        <v>-1203768</v>
      </c>
      <c r="P11" s="144">
        <f>-1415119-130285</f>
        <v>-1545404</v>
      </c>
      <c r="Q11" s="144">
        <f>-1950943-54187</f>
        <v>-2005130</v>
      </c>
      <c r="R11" s="183">
        <f>-1737403+33775</f>
        <v>-1703628</v>
      </c>
      <c r="S11" s="144">
        <f>-2053024-104355</f>
        <v>-2157379</v>
      </c>
      <c r="T11" s="144">
        <v>-2387116</v>
      </c>
      <c r="U11" s="268">
        <f>-2435083-52489</f>
        <v>-2487572</v>
      </c>
      <c r="V11" s="144">
        <f>-2312289-153316</f>
        <v>-2465605</v>
      </c>
      <c r="W11" s="144">
        <f>-2503552-50437</f>
        <v>-2553989</v>
      </c>
      <c r="X11" s="144">
        <v>-2505272</v>
      </c>
      <c r="Y11" s="268">
        <v>-2450697</v>
      </c>
      <c r="Z11" s="144">
        <v>-1994953</v>
      </c>
      <c r="AA11" s="144">
        <v>-2139084</v>
      </c>
      <c r="AB11" s="144">
        <v>-2537785</v>
      </c>
      <c r="AC11" s="268">
        <v>-2700281</v>
      </c>
      <c r="AD11" s="144">
        <v>-2298323</v>
      </c>
      <c r="AE11" s="144">
        <v>-2694931</v>
      </c>
      <c r="AF11" s="144">
        <v>-2797760</v>
      </c>
      <c r="AG11" s="144">
        <v>-2938189</v>
      </c>
      <c r="AH11" s="144">
        <v>-2627017</v>
      </c>
      <c r="AI11" s="144">
        <v>-2678950</v>
      </c>
      <c r="AJ11" s="144">
        <v>-2957804</v>
      </c>
      <c r="AK11" s="144">
        <v>-3652661</v>
      </c>
      <c r="AL11" s="144">
        <v>-2938393</v>
      </c>
      <c r="AM11" s="144">
        <v>-3238070</v>
      </c>
      <c r="AN11" s="144">
        <v>-732532</v>
      </c>
      <c r="AO11" s="150">
        <f>AZ11-AN11</f>
        <v>-1438876</v>
      </c>
      <c r="AP11" s="144">
        <v>-1663491</v>
      </c>
      <c r="AQ11" s="150">
        <f>BA11-AP11</f>
        <v>-4168201</v>
      </c>
      <c r="AR11" s="144">
        <v>-2050511</v>
      </c>
      <c r="AU11" s="144">
        <f>D11+AN11</f>
        <v>-1256967</v>
      </c>
      <c r="AV11" s="144">
        <f>H11+AP11</f>
        <v>-2901531</v>
      </c>
      <c r="AX11" s="144">
        <v>-2905420</v>
      </c>
      <c r="AY11" s="144">
        <v>-1722605</v>
      </c>
      <c r="AZ11" s="144">
        <v>-2171408</v>
      </c>
      <c r="BA11" s="144">
        <v>-5831692</v>
      </c>
      <c r="BB11" s="144">
        <v>-4984639</v>
      </c>
      <c r="BC11" s="144">
        <f>-5593895-467690</f>
        <v>-6061585</v>
      </c>
      <c r="BD11" s="144">
        <f>-8612626-259953</f>
        <v>-8872579</v>
      </c>
      <c r="BE11" s="144">
        <v>-9771810</v>
      </c>
    </row>
    <row r="12" spans="1:63" s="144" customFormat="1" x14ac:dyDescent="0.3">
      <c r="A12" s="150" t="s">
        <v>111</v>
      </c>
      <c r="D12" s="144">
        <v>-231222</v>
      </c>
      <c r="F12" s="144">
        <f>AP12-G12</f>
        <v>-294678</v>
      </c>
      <c r="G12" s="144">
        <v>-387580</v>
      </c>
      <c r="H12" s="144">
        <v>-539632</v>
      </c>
      <c r="I12" s="144">
        <v>-643223</v>
      </c>
      <c r="J12" s="183">
        <v>-438068</v>
      </c>
      <c r="K12" s="144">
        <v>-515501</v>
      </c>
      <c r="L12" s="144">
        <v>-537169</v>
      </c>
      <c r="M12" s="144">
        <v>-700133</v>
      </c>
      <c r="N12" s="183">
        <v>-691676</v>
      </c>
      <c r="O12" s="144">
        <v>-705420</v>
      </c>
      <c r="P12" s="144">
        <v>-838709</v>
      </c>
      <c r="Q12" s="144">
        <v>-1041671</v>
      </c>
      <c r="R12" s="183">
        <v>-937902</v>
      </c>
      <c r="S12" s="144">
        <v>-1140658</v>
      </c>
      <c r="T12" s="144">
        <v>-1481159</v>
      </c>
      <c r="U12" s="268">
        <v>-1634141</v>
      </c>
      <c r="V12" s="144">
        <v>-1618334</v>
      </c>
      <c r="W12" s="144">
        <v>-2357747</v>
      </c>
      <c r="X12" s="144">
        <v>-2445766</v>
      </c>
      <c r="Y12" s="268">
        <v>-2321115</v>
      </c>
      <c r="Z12" s="144">
        <v>-1936848</v>
      </c>
      <c r="AA12" s="144">
        <v>-2450640</v>
      </c>
      <c r="AB12" s="144">
        <v>-2138443</v>
      </c>
      <c r="AC12" s="268">
        <v>-1857422</v>
      </c>
      <c r="AD12" s="144">
        <v>-1851012</v>
      </c>
      <c r="AE12" s="144">
        <v>-2069327</v>
      </c>
      <c r="AF12" s="144">
        <v>-1890022</v>
      </c>
      <c r="AG12" s="144">
        <v>-1772332</v>
      </c>
      <c r="AH12" s="144">
        <v>-1707846</v>
      </c>
      <c r="AI12" s="144">
        <v>-1387416</v>
      </c>
      <c r="AJ12" s="144">
        <v>-1558306</v>
      </c>
      <c r="AK12" s="144">
        <v>-1348299</v>
      </c>
      <c r="AL12" s="144">
        <v>-1383006</v>
      </c>
      <c r="AM12" s="144">
        <v>-1918583</v>
      </c>
      <c r="AN12" s="144">
        <v>-279881</v>
      </c>
      <c r="AO12" s="150">
        <f>AZ12-AN12</f>
        <v>-691219</v>
      </c>
      <c r="AP12" s="144">
        <v>-682258</v>
      </c>
      <c r="AQ12" s="150">
        <f>BA12-AP12</f>
        <v>-1182855</v>
      </c>
      <c r="AR12" s="144">
        <v>-953569</v>
      </c>
      <c r="AU12" s="144">
        <f>D12+AN12</f>
        <v>-511103</v>
      </c>
      <c r="AV12" s="144">
        <f>H12+AP12</f>
        <v>-1221890</v>
      </c>
      <c r="AX12" s="144">
        <v>-2599378</v>
      </c>
      <c r="AY12" s="144">
        <v>-913075</v>
      </c>
      <c r="AZ12" s="144">
        <v>-971100</v>
      </c>
      <c r="BA12" s="144">
        <v>-1865113</v>
      </c>
      <c r="BB12" s="144">
        <v>-2190871</v>
      </c>
      <c r="BC12" s="144">
        <v>-3277476</v>
      </c>
      <c r="BD12" s="144">
        <v>-5193860</v>
      </c>
      <c r="BE12" s="144">
        <v>-468620</v>
      </c>
    </row>
    <row r="13" spans="1:63" s="144" customFormat="1" x14ac:dyDescent="0.3">
      <c r="A13" s="150"/>
      <c r="J13" s="183"/>
      <c r="N13" s="183"/>
      <c r="R13" s="183"/>
      <c r="T13" s="259">
        <f>T8/T5</f>
        <v>0.22072754573732981</v>
      </c>
      <c r="U13" s="268"/>
      <c r="X13" s="154">
        <f t="shared" ref="X13:AM13" si="3">X8/X5</f>
        <v>0.29551573668853803</v>
      </c>
      <c r="Y13" s="269">
        <f t="shared" si="3"/>
        <v>0.28161807411901946</v>
      </c>
      <c r="Z13" s="154">
        <f t="shared" si="3"/>
        <v>0.33808051292283636</v>
      </c>
      <c r="AA13" s="154">
        <f t="shared" si="3"/>
        <v>0.37369448258847132</v>
      </c>
      <c r="AB13" s="154">
        <f t="shared" si="3"/>
        <v>0.35286365120011981</v>
      </c>
      <c r="AC13" s="154">
        <f t="shared" si="3"/>
        <v>0.3391412779244819</v>
      </c>
      <c r="AD13" s="154">
        <f t="shared" si="3"/>
        <v>0.35068481739503821</v>
      </c>
      <c r="AE13" s="259">
        <f t="shared" si="3"/>
        <v>0.41202918230481045</v>
      </c>
      <c r="AF13" s="154">
        <f t="shared" si="3"/>
        <v>0.39276465058803406</v>
      </c>
      <c r="AG13" s="154">
        <f t="shared" si="3"/>
        <v>0.37795422068270679</v>
      </c>
      <c r="AH13" s="154">
        <f t="shared" si="3"/>
        <v>0.37447741737635792</v>
      </c>
      <c r="AI13" s="259">
        <f t="shared" si="3"/>
        <v>0.33116119384393461</v>
      </c>
      <c r="AJ13" s="259">
        <f t="shared" si="3"/>
        <v>0.26370887651743624</v>
      </c>
      <c r="AK13" s="259">
        <f t="shared" si="3"/>
        <v>0.26197837703348953</v>
      </c>
      <c r="AL13" s="259">
        <f t="shared" si="3"/>
        <v>0.28526344549878491</v>
      </c>
      <c r="AM13" s="439">
        <f t="shared" si="3"/>
        <v>0.33537630078880348</v>
      </c>
      <c r="AO13" s="150"/>
      <c r="AQ13" s="150"/>
    </row>
    <row r="14" spans="1:63" s="264" customFormat="1" x14ac:dyDescent="0.3">
      <c r="A14" s="150"/>
      <c r="J14" s="187"/>
      <c r="N14" s="187"/>
      <c r="R14" s="187"/>
      <c r="U14" s="273"/>
      <c r="Y14" s="273"/>
      <c r="AC14" s="273"/>
      <c r="AM14" s="440"/>
    </row>
    <row r="15" spans="1:63" s="145" customFormat="1" x14ac:dyDescent="0.3">
      <c r="A15" s="145" t="s">
        <v>112</v>
      </c>
      <c r="D15" s="145">
        <f>SUM(D8,D9,D10,D11)</f>
        <v>-1301863</v>
      </c>
      <c r="E15" s="145">
        <f>SUM(E8,E9,E10,E11)</f>
        <v>-2074462</v>
      </c>
      <c r="F15" s="79">
        <f>AP15-G15</f>
        <v>-1684401</v>
      </c>
      <c r="G15" s="145">
        <f t="shared" ref="G15:AN15" si="4">SUM(G8,G9,G10,G11)</f>
        <v>-3727527</v>
      </c>
      <c r="H15" s="145">
        <f t="shared" si="4"/>
        <v>-3292563</v>
      </c>
      <c r="I15" s="145">
        <f t="shared" si="4"/>
        <v>-4881963</v>
      </c>
      <c r="J15" s="195">
        <f t="shared" si="4"/>
        <v>-1748065</v>
      </c>
      <c r="K15" s="145">
        <f t="shared" si="4"/>
        <v>720897</v>
      </c>
      <c r="L15" s="145">
        <f t="shared" si="4"/>
        <v>784216</v>
      </c>
      <c r="M15" s="145">
        <f t="shared" si="4"/>
        <v>564671</v>
      </c>
      <c r="N15" s="195">
        <f t="shared" si="4"/>
        <v>-1606714</v>
      </c>
      <c r="O15" s="145">
        <f t="shared" si="4"/>
        <v>822121</v>
      </c>
      <c r="P15" s="145">
        <f t="shared" si="4"/>
        <v>471911</v>
      </c>
      <c r="Q15" s="145">
        <f t="shared" si="4"/>
        <v>-3473960</v>
      </c>
      <c r="R15" s="195">
        <f t="shared" si="4"/>
        <v>-5187159</v>
      </c>
      <c r="S15" s="145">
        <f t="shared" si="4"/>
        <v>-4393429</v>
      </c>
      <c r="T15" s="145">
        <f t="shared" si="4"/>
        <v>-7712906</v>
      </c>
      <c r="U15" s="281">
        <f t="shared" si="4"/>
        <v>-6326834</v>
      </c>
      <c r="V15" s="145">
        <f t="shared" si="4"/>
        <v>-5710079</v>
      </c>
      <c r="W15" s="145">
        <f t="shared" si="4"/>
        <v>-1169130</v>
      </c>
      <c r="X15" s="145">
        <f t="shared" si="4"/>
        <v>-301197</v>
      </c>
      <c r="Y15" s="281">
        <f t="shared" si="4"/>
        <v>-1527155</v>
      </c>
      <c r="Z15" s="145">
        <f t="shared" si="4"/>
        <v>2342015</v>
      </c>
      <c r="AA15" s="145">
        <f t="shared" si="4"/>
        <v>3298550</v>
      </c>
      <c r="AB15" s="145">
        <f t="shared" si="4"/>
        <v>2218028</v>
      </c>
      <c r="AC15" s="281">
        <f t="shared" si="4"/>
        <v>142463</v>
      </c>
      <c r="AD15" s="281">
        <f t="shared" si="4"/>
        <v>4509962</v>
      </c>
      <c r="AE15" s="281">
        <f t="shared" si="4"/>
        <v>11022785</v>
      </c>
      <c r="AF15" s="281">
        <f t="shared" si="4"/>
        <v>10709457</v>
      </c>
      <c r="AG15" s="281">
        <f t="shared" si="4"/>
        <v>7784351</v>
      </c>
      <c r="AH15" s="281">
        <f t="shared" si="4"/>
        <v>8464626</v>
      </c>
      <c r="AI15" s="281">
        <f t="shared" si="4"/>
        <v>-1043947</v>
      </c>
      <c r="AJ15" s="281">
        <f t="shared" si="4"/>
        <v>-18980412</v>
      </c>
      <c r="AK15" s="281">
        <f t="shared" si="4"/>
        <v>-18280382</v>
      </c>
      <c r="AL15" s="281">
        <f t="shared" si="4"/>
        <v>-6979938</v>
      </c>
      <c r="AM15" s="281">
        <f t="shared" si="4"/>
        <v>-536663</v>
      </c>
      <c r="AN15" s="145">
        <f t="shared" si="4"/>
        <v>-1130901</v>
      </c>
      <c r="AO15" s="145">
        <f>AZ15-AN15</f>
        <v>-3376325</v>
      </c>
      <c r="AP15" s="145">
        <f>SUM(AP8,AP9,AP10,AP11)</f>
        <v>-5411928</v>
      </c>
      <c r="AQ15" s="145">
        <f>SUM(AQ8,AQ9,AQ10,AQ11)</f>
        <v>-8258607</v>
      </c>
      <c r="AR15" s="145">
        <f>SUM(AR8,AR9,AR10,AR11)</f>
        <v>-964188</v>
      </c>
      <c r="AT15" s="145">
        <f>SUM(AT8,AT9,AT10,AT11)</f>
        <v>0</v>
      </c>
      <c r="AU15" s="79">
        <f>D15+AN15</f>
        <v>-2432764</v>
      </c>
      <c r="AV15" s="79">
        <f>H15+AP15</f>
        <v>-8704491</v>
      </c>
      <c r="AW15" s="145">
        <f t="shared" ref="AW15:BE15" si="5">SUM(AW8,AW9,AW10,AW11)</f>
        <v>0</v>
      </c>
      <c r="AX15" s="145">
        <f t="shared" si="5"/>
        <v>-8470960</v>
      </c>
      <c r="AY15" s="145">
        <f t="shared" si="5"/>
        <v>-6485175</v>
      </c>
      <c r="AZ15" s="145">
        <f t="shared" si="5"/>
        <v>-4507226</v>
      </c>
      <c r="BA15" s="145">
        <f t="shared" si="5"/>
        <v>-13670535</v>
      </c>
      <c r="BB15" s="145">
        <f t="shared" si="5"/>
        <v>71018</v>
      </c>
      <c r="BC15" s="145">
        <f t="shared" si="5"/>
        <v>-3786642</v>
      </c>
      <c r="BD15" s="145">
        <f t="shared" si="5"/>
        <v>-23757212</v>
      </c>
      <c r="BE15" s="145">
        <f t="shared" si="5"/>
        <v>-8504675</v>
      </c>
    </row>
    <row r="16" spans="1:63" s="145" customFormat="1" x14ac:dyDescent="0.3">
      <c r="A16" s="76" t="s">
        <v>113</v>
      </c>
      <c r="D16" s="145">
        <f t="shared" ref="D16:AN16" si="6">D15-D12</f>
        <v>-1070641</v>
      </c>
      <c r="E16" s="145">
        <f t="shared" si="6"/>
        <v>-2074462</v>
      </c>
      <c r="F16" s="145">
        <f t="shared" si="6"/>
        <v>-1389723</v>
      </c>
      <c r="G16" s="145">
        <f t="shared" si="6"/>
        <v>-3339947</v>
      </c>
      <c r="H16" s="145">
        <f t="shared" si="6"/>
        <v>-2752931</v>
      </c>
      <c r="I16" s="145">
        <f t="shared" si="6"/>
        <v>-4238740</v>
      </c>
      <c r="J16" s="195">
        <f t="shared" si="6"/>
        <v>-1309997</v>
      </c>
      <c r="K16" s="145">
        <f t="shared" si="6"/>
        <v>1236398</v>
      </c>
      <c r="L16" s="145">
        <f t="shared" si="6"/>
        <v>1321385</v>
      </c>
      <c r="M16" s="145">
        <f t="shared" si="6"/>
        <v>1264804</v>
      </c>
      <c r="N16" s="195">
        <f t="shared" si="6"/>
        <v>-915038</v>
      </c>
      <c r="O16" s="145">
        <f t="shared" si="6"/>
        <v>1527541</v>
      </c>
      <c r="P16" s="145">
        <f t="shared" si="6"/>
        <v>1310620</v>
      </c>
      <c r="Q16" s="145">
        <f t="shared" si="6"/>
        <v>-2432289</v>
      </c>
      <c r="R16" s="195">
        <f t="shared" si="6"/>
        <v>-4249257</v>
      </c>
      <c r="S16" s="145">
        <f t="shared" si="6"/>
        <v>-3252771</v>
      </c>
      <c r="T16" s="145">
        <f t="shared" si="6"/>
        <v>-6231747</v>
      </c>
      <c r="U16" s="281">
        <f t="shared" si="6"/>
        <v>-4692693</v>
      </c>
      <c r="V16" s="145">
        <f t="shared" si="6"/>
        <v>-4091745</v>
      </c>
      <c r="W16" s="145">
        <f t="shared" si="6"/>
        <v>1188617</v>
      </c>
      <c r="X16" s="145">
        <f t="shared" si="6"/>
        <v>2144569</v>
      </c>
      <c r="Y16" s="281">
        <f t="shared" si="6"/>
        <v>793960</v>
      </c>
      <c r="Z16" s="145">
        <f t="shared" si="6"/>
        <v>4278863</v>
      </c>
      <c r="AA16" s="145">
        <f t="shared" si="6"/>
        <v>5749190</v>
      </c>
      <c r="AB16" s="145">
        <f t="shared" si="6"/>
        <v>4356471</v>
      </c>
      <c r="AC16" s="281">
        <f t="shared" si="6"/>
        <v>1999885</v>
      </c>
      <c r="AD16" s="281">
        <f t="shared" si="6"/>
        <v>6360974</v>
      </c>
      <c r="AE16" s="281">
        <f t="shared" si="6"/>
        <v>13092112</v>
      </c>
      <c r="AF16" s="281">
        <f t="shared" si="6"/>
        <v>12599479</v>
      </c>
      <c r="AG16" s="281">
        <f t="shared" si="6"/>
        <v>9556683</v>
      </c>
      <c r="AH16" s="281">
        <f t="shared" si="6"/>
        <v>10172472</v>
      </c>
      <c r="AI16" s="281">
        <f t="shared" si="6"/>
        <v>343469</v>
      </c>
      <c r="AJ16" s="281">
        <f t="shared" si="6"/>
        <v>-17422106</v>
      </c>
      <c r="AK16" s="281">
        <f t="shared" si="6"/>
        <v>-16932083</v>
      </c>
      <c r="AL16" s="281">
        <f t="shared" si="6"/>
        <v>-5596932</v>
      </c>
      <c r="AM16" s="281">
        <f t="shared" si="6"/>
        <v>1381920</v>
      </c>
      <c r="AN16" s="145">
        <f t="shared" si="6"/>
        <v>-851020</v>
      </c>
      <c r="AO16" s="145">
        <f>AZ16-AN16</f>
        <v>-2685106</v>
      </c>
      <c r="AP16" s="145">
        <f>AP15-AP12</f>
        <v>-4729670</v>
      </c>
      <c r="AQ16" s="145">
        <f>AQ15-AQ12</f>
        <v>-7075752</v>
      </c>
      <c r="AR16" s="145">
        <f>AR15-AR12</f>
        <v>-10619</v>
      </c>
      <c r="AU16" s="79">
        <f>D16+AN16</f>
        <v>-1921661</v>
      </c>
      <c r="AV16" s="79">
        <f>H16+AP16</f>
        <v>-7482601</v>
      </c>
      <c r="AX16" s="145">
        <f t="shared" ref="AX16:BE16" si="7">AX15-AX12</f>
        <v>-5871582</v>
      </c>
      <c r="AY16" s="145">
        <f t="shared" si="7"/>
        <v>-5572100</v>
      </c>
      <c r="AZ16" s="145">
        <f t="shared" si="7"/>
        <v>-3536126</v>
      </c>
      <c r="BA16" s="145">
        <f t="shared" si="7"/>
        <v>-11805422</v>
      </c>
      <c r="BB16" s="145">
        <f t="shared" si="7"/>
        <v>2261889</v>
      </c>
      <c r="BC16" s="145">
        <f t="shared" si="7"/>
        <v>-509166</v>
      </c>
      <c r="BD16" s="145">
        <f t="shared" si="7"/>
        <v>-18563352</v>
      </c>
      <c r="BE16" s="145">
        <f t="shared" si="7"/>
        <v>-8036055</v>
      </c>
    </row>
    <row r="17" spans="1:57" s="146" customFormat="1" ht="29" customHeight="1" x14ac:dyDescent="0.3">
      <c r="A17" s="97" t="s">
        <v>114</v>
      </c>
      <c r="D17" s="146">
        <v>484045</v>
      </c>
      <c r="E17" s="146">
        <v>241006</v>
      </c>
      <c r="F17" s="146">
        <f>AP17-G17</f>
        <v>471066</v>
      </c>
      <c r="G17" s="146">
        <v>715216</v>
      </c>
      <c r="H17" s="146">
        <v>-340553</v>
      </c>
      <c r="I17" s="146">
        <v>990653</v>
      </c>
      <c r="J17" s="184">
        <v>165292</v>
      </c>
      <c r="K17" s="146">
        <v>-323651</v>
      </c>
      <c r="L17" s="146">
        <v>163615</v>
      </c>
      <c r="M17" s="146">
        <v>72443</v>
      </c>
      <c r="N17" s="184">
        <v>-508261</v>
      </c>
      <c r="O17" s="146">
        <v>346689</v>
      </c>
      <c r="P17" s="146">
        <v>5779364</v>
      </c>
      <c r="Q17" s="146">
        <v>-661883</v>
      </c>
      <c r="R17" s="184">
        <v>42034</v>
      </c>
      <c r="S17" s="146">
        <v>164748</v>
      </c>
      <c r="T17" s="146">
        <v>-117990</v>
      </c>
      <c r="U17" s="270">
        <v>726955</v>
      </c>
      <c r="V17" s="146">
        <v>-802894</v>
      </c>
      <c r="W17" s="146">
        <v>-292183</v>
      </c>
      <c r="X17" s="146">
        <v>-105922</v>
      </c>
      <c r="Y17" s="270">
        <v>187942</v>
      </c>
      <c r="Z17" s="146">
        <v>164029</v>
      </c>
      <c r="AA17" s="146">
        <v>103761</v>
      </c>
      <c r="AB17" s="146">
        <v>28089</v>
      </c>
      <c r="AC17" s="270">
        <v>-61652</v>
      </c>
      <c r="AD17" s="146">
        <v>-517116</v>
      </c>
      <c r="AE17" s="146">
        <v>-120037</v>
      </c>
      <c r="AF17" s="146">
        <v>765239</v>
      </c>
      <c r="AG17" s="146">
        <v>12835</v>
      </c>
      <c r="AH17" s="146">
        <v>804820</v>
      </c>
      <c r="AI17" s="146">
        <v>481537</v>
      </c>
      <c r="AJ17" s="146">
        <v>-389928</v>
      </c>
      <c r="AK17" s="146">
        <v>1496964</v>
      </c>
      <c r="AL17" s="146">
        <v>392441</v>
      </c>
      <c r="AM17" s="146">
        <v>54814</v>
      </c>
      <c r="AN17" s="146">
        <v>-252177</v>
      </c>
      <c r="AO17" s="79">
        <f>AZ17-AN17</f>
        <v>725051</v>
      </c>
      <c r="AP17" s="146">
        <v>1186282</v>
      </c>
      <c r="AQ17" s="79">
        <f>BA17-AP17</f>
        <v>650100</v>
      </c>
      <c r="AR17" s="146">
        <v>1186282</v>
      </c>
      <c r="AU17" s="146">
        <f>D17+AN17</f>
        <v>231868</v>
      </c>
      <c r="AV17" s="146">
        <f>H17+AP17</f>
        <v>845729</v>
      </c>
      <c r="AX17" s="146">
        <v>46953</v>
      </c>
      <c r="AY17" s="146">
        <v>23550</v>
      </c>
      <c r="AZ17" s="146">
        <v>472874</v>
      </c>
      <c r="BA17" s="146">
        <v>1836382</v>
      </c>
      <c r="BB17" s="146">
        <v>77699</v>
      </c>
      <c r="BC17" s="146">
        <v>4955909</v>
      </c>
      <c r="BD17" s="146">
        <v>815747</v>
      </c>
      <c r="BE17" s="146">
        <v>-1013057</v>
      </c>
    </row>
    <row r="18" spans="1:57" s="146" customFormat="1" x14ac:dyDescent="0.3">
      <c r="A18" s="79" t="s">
        <v>115</v>
      </c>
      <c r="D18" s="146">
        <v>-227558</v>
      </c>
      <c r="E18" s="146">
        <v>302857</v>
      </c>
      <c r="F18" s="146">
        <f>AP18-G18</f>
        <v>164911</v>
      </c>
      <c r="G18" s="146">
        <v>160894</v>
      </c>
      <c r="H18" s="146">
        <v>265759</v>
      </c>
      <c r="I18" s="146">
        <v>156792</v>
      </c>
      <c r="J18" s="184">
        <v>279131</v>
      </c>
      <c r="K18" s="146">
        <v>854043</v>
      </c>
      <c r="L18" s="146">
        <v>611223</v>
      </c>
      <c r="M18" s="146">
        <v>786746</v>
      </c>
      <c r="N18" s="184">
        <v>399445</v>
      </c>
      <c r="O18" s="146">
        <v>1005835</v>
      </c>
      <c r="P18" s="146">
        <v>472408</v>
      </c>
      <c r="Q18" s="146">
        <v>1283147</v>
      </c>
      <c r="R18" s="184">
        <v>378118</v>
      </c>
      <c r="S18" s="146">
        <v>976976</v>
      </c>
      <c r="T18" s="146">
        <v>-2134851</v>
      </c>
      <c r="U18" s="270">
        <v>594023</v>
      </c>
      <c r="V18" s="146">
        <v>928731</v>
      </c>
      <c r="W18" s="146">
        <v>968475</v>
      </c>
      <c r="X18" s="146">
        <v>1679376</v>
      </c>
      <c r="Y18" s="270">
        <v>588455</v>
      </c>
      <c r="Z18" s="146">
        <v>1335024</v>
      </c>
      <c r="AA18" s="146">
        <v>1505916</v>
      </c>
      <c r="AB18" s="146">
        <v>1388793</v>
      </c>
      <c r="AC18" s="270">
        <v>2085740</v>
      </c>
      <c r="AD18" s="146">
        <v>1391932</v>
      </c>
      <c r="AE18" s="146">
        <v>630572</v>
      </c>
      <c r="AF18" s="146">
        <v>2485778</v>
      </c>
      <c r="AG18" s="146">
        <v>-933297</v>
      </c>
      <c r="AH18" s="146">
        <v>1418138</v>
      </c>
      <c r="AI18" s="146">
        <v>807979</v>
      </c>
      <c r="AJ18" s="146">
        <v>-96233</v>
      </c>
      <c r="AK18" s="146">
        <v>1147736</v>
      </c>
      <c r="AL18" s="146">
        <v>598697</v>
      </c>
      <c r="AM18" s="146">
        <v>3493946</v>
      </c>
      <c r="AN18" s="146">
        <v>132961</v>
      </c>
      <c r="AO18" s="79">
        <f>AZ18-AN18</f>
        <v>75299</v>
      </c>
      <c r="AP18" s="146">
        <v>325805</v>
      </c>
      <c r="AQ18" s="79">
        <f>BA18-AP18</f>
        <v>422551</v>
      </c>
      <c r="AR18" s="146">
        <v>1133174</v>
      </c>
      <c r="AU18" s="146">
        <f>D18+AN18</f>
        <v>-94597</v>
      </c>
      <c r="AV18" s="146">
        <f>H18+AP18</f>
        <v>591564</v>
      </c>
      <c r="AX18" s="146">
        <v>-49928</v>
      </c>
      <c r="AY18" s="146">
        <v>206212</v>
      </c>
      <c r="AZ18" s="146">
        <v>208260</v>
      </c>
      <c r="BA18" s="146">
        <v>748356</v>
      </c>
      <c r="BB18" s="146">
        <v>2531143</v>
      </c>
      <c r="BC18" s="146">
        <v>3160835</v>
      </c>
      <c r="BD18" s="146">
        <v>-185734</v>
      </c>
      <c r="BE18" s="146">
        <v>4165037</v>
      </c>
    </row>
    <row r="19" spans="1:57" s="79" customFormat="1" x14ac:dyDescent="0.3">
      <c r="A19" s="78" t="s">
        <v>116</v>
      </c>
      <c r="D19" s="79">
        <f>SUM(D15,D17,D18)</f>
        <v>-1045376</v>
      </c>
      <c r="E19" s="79">
        <f>SUM(E15,E17,E18)</f>
        <v>-1530599</v>
      </c>
      <c r="F19" s="79">
        <f>AP19-G19</f>
        <v>-1048424</v>
      </c>
      <c r="G19" s="79">
        <f t="shared" ref="G19:AC19" si="8">SUM(G15,G17,G18)</f>
        <v>-2851417</v>
      </c>
      <c r="H19" s="79">
        <f t="shared" si="8"/>
        <v>-3367357</v>
      </c>
      <c r="I19" s="79">
        <f t="shared" si="8"/>
        <v>-3734518</v>
      </c>
      <c r="J19" s="185">
        <f t="shared" si="8"/>
        <v>-1303642</v>
      </c>
      <c r="K19" s="79">
        <f t="shared" si="8"/>
        <v>1251289</v>
      </c>
      <c r="L19" s="79">
        <f t="shared" si="8"/>
        <v>1559054</v>
      </c>
      <c r="M19" s="79">
        <f t="shared" si="8"/>
        <v>1423860</v>
      </c>
      <c r="N19" s="185">
        <f t="shared" si="8"/>
        <v>-1715530</v>
      </c>
      <c r="O19" s="79">
        <f t="shared" si="8"/>
        <v>2174645</v>
      </c>
      <c r="P19" s="79">
        <f t="shared" si="8"/>
        <v>6723683</v>
      </c>
      <c r="Q19" s="79">
        <f t="shared" si="8"/>
        <v>-2852696</v>
      </c>
      <c r="R19" s="185">
        <f t="shared" si="8"/>
        <v>-4767007</v>
      </c>
      <c r="S19" s="79">
        <f t="shared" si="8"/>
        <v>-3251705</v>
      </c>
      <c r="T19" s="79">
        <f t="shared" si="8"/>
        <v>-9965747</v>
      </c>
      <c r="U19" s="271">
        <f t="shared" si="8"/>
        <v>-5005856</v>
      </c>
      <c r="V19" s="79">
        <f t="shared" si="8"/>
        <v>-5584242</v>
      </c>
      <c r="W19" s="79">
        <f t="shared" si="8"/>
        <v>-492838</v>
      </c>
      <c r="X19" s="79">
        <f t="shared" si="8"/>
        <v>1272257</v>
      </c>
      <c r="Y19" s="79">
        <f t="shared" si="8"/>
        <v>-750758</v>
      </c>
      <c r="Z19" s="79">
        <f t="shared" si="8"/>
        <v>3841068</v>
      </c>
      <c r="AA19" s="79">
        <f t="shared" si="8"/>
        <v>4908227</v>
      </c>
      <c r="AB19" s="79">
        <f t="shared" si="8"/>
        <v>3634910</v>
      </c>
      <c r="AC19" s="79">
        <f t="shared" si="8"/>
        <v>2166551</v>
      </c>
      <c r="AD19" s="79" t="s">
        <v>117</v>
      </c>
      <c r="AE19" s="79">
        <f t="shared" ref="AE19:AJ19" si="9">SUM(AE15,AE17,AE18)</f>
        <v>11533320</v>
      </c>
      <c r="AF19" s="79">
        <f t="shared" si="9"/>
        <v>13960474</v>
      </c>
      <c r="AG19" s="79">
        <f t="shared" si="9"/>
        <v>6863889</v>
      </c>
      <c r="AH19" s="79">
        <f t="shared" si="9"/>
        <v>10687584</v>
      </c>
      <c r="AI19" s="402">
        <f t="shared" si="9"/>
        <v>245569</v>
      </c>
      <c r="AJ19" s="402">
        <f t="shared" si="9"/>
        <v>-19466573</v>
      </c>
      <c r="AK19" s="79">
        <v>-16074247</v>
      </c>
      <c r="AL19" s="79">
        <v>-6469811</v>
      </c>
      <c r="AM19" s="79">
        <v>2691166</v>
      </c>
      <c r="AN19" s="79">
        <f>SUM(AN15,AN17,AN18)</f>
        <v>-1250117</v>
      </c>
      <c r="AO19" s="79">
        <f>SUM(AO15,AO17,AO18)</f>
        <v>-2575975</v>
      </c>
      <c r="AP19" s="79">
        <f>SUM(AP15,AP17,AP18)</f>
        <v>-3899841</v>
      </c>
      <c r="AQ19" s="79">
        <f>SUM(AQ15,AQ17,AQ18)</f>
        <v>-7185956</v>
      </c>
      <c r="AR19" s="79">
        <f>SUM(AR15,AR17,AR18)</f>
        <v>1355268</v>
      </c>
      <c r="AT19" s="79">
        <f>SUM(AT15,AT17,AT18)</f>
        <v>0</v>
      </c>
      <c r="AU19" s="79">
        <f>D19+AN19</f>
        <v>-2295493</v>
      </c>
      <c r="AV19" s="79">
        <f>H19+AP19</f>
        <v>-7267198</v>
      </c>
      <c r="AW19" s="79">
        <f t="shared" ref="AW19:BD19" si="10">SUM(AW15,AW17,AW18)</f>
        <v>0</v>
      </c>
      <c r="AX19" s="79">
        <f t="shared" si="10"/>
        <v>-8473935</v>
      </c>
      <c r="AY19" s="79">
        <f t="shared" si="10"/>
        <v>-6255413</v>
      </c>
      <c r="AZ19" s="79">
        <f t="shared" si="10"/>
        <v>-3826092</v>
      </c>
      <c r="BA19" s="79">
        <f t="shared" si="10"/>
        <v>-11085797</v>
      </c>
      <c r="BB19" s="79">
        <f t="shared" si="10"/>
        <v>2679860</v>
      </c>
      <c r="BC19" s="79">
        <f t="shared" si="10"/>
        <v>4330102</v>
      </c>
      <c r="BD19" s="79">
        <f t="shared" si="10"/>
        <v>-23127199</v>
      </c>
      <c r="BE19" s="79">
        <v>-5820448</v>
      </c>
    </row>
    <row r="20" spans="1:57" s="146" customFormat="1" x14ac:dyDescent="0.3">
      <c r="A20" s="77" t="s">
        <v>118</v>
      </c>
      <c r="D20" s="146">
        <v>-839675</v>
      </c>
      <c r="E20" s="146">
        <v>-1358685</v>
      </c>
      <c r="F20" s="146">
        <f>AP20-G20</f>
        <v>-1116486</v>
      </c>
      <c r="G20" s="146">
        <v>-1590839</v>
      </c>
      <c r="H20" s="146">
        <v>-1171905</v>
      </c>
      <c r="I20" s="146">
        <v>-854601</v>
      </c>
      <c r="J20" s="184">
        <v>458874</v>
      </c>
      <c r="K20" s="146">
        <v>2330809</v>
      </c>
      <c r="L20" s="146">
        <v>2285301</v>
      </c>
      <c r="M20" s="146">
        <v>2178650</v>
      </c>
      <c r="N20" s="184">
        <v>41311</v>
      </c>
      <c r="O20" s="146">
        <v>2610255</v>
      </c>
      <c r="P20" s="146">
        <v>2675399</v>
      </c>
      <c r="Q20" s="146">
        <v>-589128</v>
      </c>
      <c r="R20" s="184">
        <v>-2382683</v>
      </c>
      <c r="S20" s="146">
        <v>-1239986</v>
      </c>
      <c r="T20" s="146">
        <v>-4061659</v>
      </c>
      <c r="U20" s="270">
        <v>-2009748</v>
      </c>
      <c r="V20" s="146">
        <v>-1840771</v>
      </c>
      <c r="W20" s="146">
        <v>3802741</v>
      </c>
      <c r="X20" s="146">
        <v>4801736</v>
      </c>
      <c r="Y20" s="270">
        <v>2960883</v>
      </c>
      <c r="Z20" s="146">
        <v>6262060</v>
      </c>
      <c r="AA20" s="146">
        <v>7682351</v>
      </c>
      <c r="AB20" s="146">
        <v>6189201</v>
      </c>
      <c r="AC20" s="270">
        <v>3744406</v>
      </c>
      <c r="AD20" s="146">
        <v>8070343</v>
      </c>
      <c r="AE20" s="146">
        <v>14997268</v>
      </c>
      <c r="AF20" s="146">
        <v>14529197</v>
      </c>
      <c r="AG20" s="146">
        <v>11522592</v>
      </c>
      <c r="AH20" s="146">
        <v>12301686</v>
      </c>
      <c r="AI20" s="146">
        <v>2781961</v>
      </c>
      <c r="AJ20" s="146">
        <v>-14841897</v>
      </c>
      <c r="AK20" s="146">
        <v>-14024955</v>
      </c>
      <c r="AL20" s="146">
        <v>-3049429</v>
      </c>
      <c r="AM20" s="146">
        <v>4098050</v>
      </c>
      <c r="AN20" s="146">
        <v>-493451</v>
      </c>
      <c r="AO20" s="79">
        <f>AZ20-AN20</f>
        <v>-2198360</v>
      </c>
      <c r="AP20" s="146">
        <v>-2707325</v>
      </c>
      <c r="AQ20" s="79">
        <f>BA20-AP20</f>
        <v>-2026506</v>
      </c>
      <c r="AR20" s="146">
        <v>2789683</v>
      </c>
      <c r="AX20" s="146">
        <v>-5693387</v>
      </c>
      <c r="AY20" s="146">
        <v>-4998311</v>
      </c>
      <c r="AZ20" s="146">
        <v>-2691811</v>
      </c>
      <c r="BA20" s="146">
        <v>-4733831</v>
      </c>
      <c r="BB20" s="146">
        <v>7253634</v>
      </c>
      <c r="BC20" s="146">
        <v>4737837</v>
      </c>
      <c r="BD20" s="146">
        <v>-9694076</v>
      </c>
      <c r="BE20" s="146">
        <v>9724589</v>
      </c>
    </row>
    <row r="21" spans="1:57" s="264" customFormat="1" x14ac:dyDescent="0.3">
      <c r="A21" s="78"/>
      <c r="D21" s="75"/>
      <c r="E21" s="75"/>
      <c r="G21" s="75"/>
      <c r="H21" s="75"/>
      <c r="I21" s="75"/>
      <c r="J21" s="186"/>
      <c r="K21" s="75"/>
      <c r="L21" s="75"/>
      <c r="M21" s="75"/>
      <c r="N21" s="186"/>
      <c r="O21" s="75"/>
      <c r="P21" s="75"/>
      <c r="Q21" s="75"/>
      <c r="R21" s="186"/>
      <c r="S21" s="75"/>
      <c r="T21" s="390">
        <f>T20/T5</f>
        <v>-8.3180655412920537E-2</v>
      </c>
      <c r="U21" s="285"/>
      <c r="V21" s="75"/>
      <c r="W21" s="390">
        <f t="shared" ref="W21:AM21" si="11">W20/W5</f>
        <v>7.4653773227851869E-2</v>
      </c>
      <c r="X21" s="390">
        <f t="shared" si="11"/>
        <v>7.6681906157010885E-2</v>
      </c>
      <c r="Y21" s="272">
        <f t="shared" si="11"/>
        <v>4.9242229270002588E-2</v>
      </c>
      <c r="Z21" s="390">
        <f t="shared" si="11"/>
        <v>0.10682924026474563</v>
      </c>
      <c r="AA21" s="390">
        <f t="shared" si="11"/>
        <v>0.11303455456473945</v>
      </c>
      <c r="AB21" s="390">
        <f t="shared" si="11"/>
        <v>8.0939601754782625E-2</v>
      </c>
      <c r="AC21" s="390">
        <f t="shared" si="11"/>
        <v>5.0808842944438021E-2</v>
      </c>
      <c r="AD21" s="390">
        <f t="shared" si="11"/>
        <v>0.11013641268387837</v>
      </c>
      <c r="AE21" s="390">
        <f t="shared" si="11"/>
        <v>0.18233521732487468</v>
      </c>
      <c r="AF21" s="390">
        <f t="shared" si="11"/>
        <v>0.15526408701664129</v>
      </c>
      <c r="AG21" s="390">
        <f t="shared" si="11"/>
        <v>0.13021747212164783</v>
      </c>
      <c r="AH21" s="390">
        <f t="shared" si="11"/>
        <v>0.14212216334447147</v>
      </c>
      <c r="AI21" s="390">
        <f t="shared" si="11"/>
        <v>3.0291228878594711E-2</v>
      </c>
      <c r="AJ21" s="390">
        <f t="shared" si="11"/>
        <v>-0.15543188082478915</v>
      </c>
      <c r="AK21" s="390">
        <f t="shared" si="11"/>
        <v>-0.15228554627237501</v>
      </c>
      <c r="AL21" s="390">
        <f t="shared" si="11"/>
        <v>-3.3495888010780794E-2</v>
      </c>
      <c r="AM21" s="441">
        <f t="shared" si="11"/>
        <v>3.9162182629167402E-2</v>
      </c>
      <c r="AN21" s="75"/>
      <c r="AP21" s="75"/>
      <c r="AT21" s="75"/>
      <c r="AW21" s="75"/>
      <c r="AX21" s="75"/>
      <c r="AY21" s="75"/>
      <c r="AZ21" s="75"/>
      <c r="BA21" s="75"/>
    </row>
    <row r="22" spans="1:57" s="144" customFormat="1" x14ac:dyDescent="0.3">
      <c r="A22" s="150" t="s">
        <v>119</v>
      </c>
      <c r="D22" s="144">
        <v>11892</v>
      </c>
      <c r="E22" s="144">
        <v>36179</v>
      </c>
      <c r="F22" s="144">
        <f>AP22-G22</f>
        <v>47178</v>
      </c>
      <c r="G22" s="144">
        <v>61991</v>
      </c>
      <c r="H22" s="144">
        <v>68451</v>
      </c>
      <c r="I22" s="144">
        <v>116427</v>
      </c>
      <c r="J22" s="183">
        <v>52922</v>
      </c>
      <c r="K22" s="144">
        <v>21541</v>
      </c>
      <c r="L22" s="144">
        <v>38235</v>
      </c>
      <c r="M22" s="144">
        <v>53519</v>
      </c>
      <c r="N22" s="183">
        <v>57930</v>
      </c>
      <c r="O22" s="144">
        <v>40352</v>
      </c>
      <c r="P22" s="144">
        <v>45678</v>
      </c>
      <c r="Q22" s="144">
        <v>69724</v>
      </c>
      <c r="R22" s="183">
        <v>77855</v>
      </c>
      <c r="S22" s="144">
        <v>112118</v>
      </c>
      <c r="T22" s="144">
        <v>198890</v>
      </c>
      <c r="U22" s="268">
        <v>157174</v>
      </c>
      <c r="V22" s="144">
        <v>110359</v>
      </c>
      <c r="W22" s="144">
        <v>190412</v>
      </c>
      <c r="X22" s="144">
        <v>209746</v>
      </c>
      <c r="Y22" s="268">
        <v>147391</v>
      </c>
      <c r="Z22" s="144">
        <v>184419</v>
      </c>
      <c r="AA22" s="144">
        <v>217189</v>
      </c>
      <c r="AB22" s="144">
        <v>201225</v>
      </c>
      <c r="AC22" s="268">
        <v>216153</v>
      </c>
      <c r="AD22" s="144">
        <v>279755</v>
      </c>
      <c r="AE22" s="144">
        <v>344494</v>
      </c>
      <c r="AF22" s="144">
        <v>313088</v>
      </c>
      <c r="AG22" s="144">
        <v>354470</v>
      </c>
      <c r="AH22" s="144">
        <v>491358</v>
      </c>
      <c r="AI22" s="144">
        <v>508307</v>
      </c>
      <c r="AJ22" s="144">
        <v>513372</v>
      </c>
      <c r="AK22" s="144">
        <v>498498</v>
      </c>
      <c r="AL22" s="144">
        <v>481926</v>
      </c>
      <c r="AM22" s="144">
        <v>505919</v>
      </c>
      <c r="AN22" s="144">
        <v>12814</v>
      </c>
      <c r="AO22" s="150">
        <f>AZ22-AN22</f>
        <v>48071</v>
      </c>
      <c r="AP22" s="144">
        <v>109169</v>
      </c>
      <c r="AQ22" s="150">
        <f>BA22-AP22</f>
        <v>184878</v>
      </c>
      <c r="AR22" s="144">
        <v>-74463</v>
      </c>
      <c r="AU22" s="144">
        <f>D22+AN22</f>
        <v>24706</v>
      </c>
      <c r="AV22" s="144">
        <f>H22+AP22</f>
        <v>177620</v>
      </c>
      <c r="AX22" s="144">
        <v>13541</v>
      </c>
      <c r="AY22" s="144">
        <v>21681</v>
      </c>
      <c r="AZ22" s="144">
        <v>60885</v>
      </c>
      <c r="BA22" s="144">
        <v>294047</v>
      </c>
      <c r="BB22" s="144">
        <v>166217</v>
      </c>
      <c r="BC22" s="144">
        <v>213684</v>
      </c>
      <c r="BD22" s="144">
        <v>546037</v>
      </c>
      <c r="BE22" s="144">
        <v>657908</v>
      </c>
    </row>
    <row r="23" spans="1:57" s="144" customFormat="1" x14ac:dyDescent="0.3">
      <c r="A23" s="150" t="s">
        <v>120</v>
      </c>
      <c r="D23" s="144">
        <v>-2768</v>
      </c>
      <c r="E23" s="144">
        <v>-13200</v>
      </c>
      <c r="F23" s="144">
        <f>AP23-G23</f>
        <v>-8412</v>
      </c>
      <c r="G23" s="144">
        <v>-5427</v>
      </c>
      <c r="H23" s="144">
        <v>-15486</v>
      </c>
      <c r="I23" s="144">
        <v>-15407</v>
      </c>
      <c r="J23" s="183">
        <v>-46821</v>
      </c>
      <c r="K23" s="144">
        <v>-50115</v>
      </c>
      <c r="L23" s="144">
        <v>-49011</v>
      </c>
      <c r="M23" s="144">
        <v>-45095</v>
      </c>
      <c r="N23" s="183">
        <v>-48044</v>
      </c>
      <c r="O23" s="144">
        <v>-60731</v>
      </c>
      <c r="P23" s="144">
        <v>-111506</v>
      </c>
      <c r="Q23" s="144">
        <v>-149735</v>
      </c>
      <c r="R23" s="183">
        <v>-166052</v>
      </c>
      <c r="S23" s="144">
        <v>-263269</v>
      </c>
      <c r="T23" s="144">
        <v>-369942</v>
      </c>
      <c r="U23" s="268">
        <v>-331672</v>
      </c>
      <c r="V23" s="144">
        <v>-330317</v>
      </c>
      <c r="W23" s="144">
        <v>-418612</v>
      </c>
      <c r="X23" s="144">
        <v>-474728</v>
      </c>
      <c r="Y23" s="268">
        <v>-405168</v>
      </c>
      <c r="Z23" s="144">
        <v>-353479</v>
      </c>
      <c r="AA23" s="144">
        <v>-354003</v>
      </c>
      <c r="AB23" s="144">
        <v>-350950</v>
      </c>
      <c r="AC23" s="268">
        <v>-366725</v>
      </c>
      <c r="AD23" s="144">
        <v>-321863</v>
      </c>
      <c r="AE23" s="144">
        <v>-285373</v>
      </c>
      <c r="AF23" s="144">
        <v>-261651</v>
      </c>
      <c r="AG23" s="144">
        <v>-468151</v>
      </c>
      <c r="AH23" s="144">
        <v>-475120</v>
      </c>
      <c r="AI23" s="144">
        <v>-430214</v>
      </c>
      <c r="AJ23" s="144">
        <v>-413987</v>
      </c>
      <c r="AK23" s="144">
        <v>-567481</v>
      </c>
      <c r="AL23" s="144">
        <v>-786977</v>
      </c>
      <c r="AM23" s="144">
        <v>-806365</v>
      </c>
      <c r="AN23" s="144">
        <v>-3246</v>
      </c>
      <c r="AO23" s="150">
        <f>AZ23-AN23</f>
        <v>-15968</v>
      </c>
      <c r="AP23" s="144">
        <v>-13839</v>
      </c>
      <c r="AQ23" s="150">
        <f>BA23-AP23</f>
        <v>-30893</v>
      </c>
      <c r="AR23" s="144">
        <v>-96936</v>
      </c>
      <c r="AU23" s="144">
        <f>D23+AN23</f>
        <v>-6014</v>
      </c>
      <c r="AV23" s="144">
        <f>H23+AP23</f>
        <v>-29325</v>
      </c>
      <c r="AX23" s="144">
        <v>-56561</v>
      </c>
      <c r="AY23" s="144">
        <v>-55981</v>
      </c>
      <c r="AZ23" s="144">
        <v>-19214</v>
      </c>
      <c r="BA23" s="144">
        <v>-44732</v>
      </c>
      <c r="BB23" s="144">
        <v>-191042</v>
      </c>
      <c r="BC23" s="144">
        <v>-370016</v>
      </c>
      <c r="BD23" s="144">
        <v>-1130935</v>
      </c>
      <c r="BE23" s="144">
        <v>-1628825</v>
      </c>
    </row>
    <row r="24" spans="1:57" s="144" customFormat="1" x14ac:dyDescent="0.3">
      <c r="A24" s="150" t="s">
        <v>121</v>
      </c>
      <c r="D24" s="144">
        <v>-3283180</v>
      </c>
      <c r="E24" s="144">
        <v>-663781</v>
      </c>
      <c r="F24" s="144">
        <f>AP24-G24</f>
        <v>-20213076</v>
      </c>
      <c r="G24" s="144">
        <v>-4637019</v>
      </c>
      <c r="H24" s="144">
        <v>-79755963</v>
      </c>
      <c r="I24" s="144">
        <v>0</v>
      </c>
      <c r="J24" s="183">
        <v>0</v>
      </c>
      <c r="K24" s="144">
        <v>0</v>
      </c>
      <c r="L24" s="144">
        <v>0</v>
      </c>
      <c r="M24" s="144">
        <v>0</v>
      </c>
      <c r="N24" s="183">
        <v>0</v>
      </c>
      <c r="O24" s="144">
        <v>0</v>
      </c>
      <c r="P24" s="144">
        <v>0</v>
      </c>
      <c r="Q24" s="144">
        <v>0</v>
      </c>
      <c r="R24" s="183"/>
      <c r="U24" s="268"/>
      <c r="Y24" s="268"/>
      <c r="AC24" s="268"/>
      <c r="AN24" s="144">
        <v>-11191863</v>
      </c>
      <c r="AO24" s="150">
        <f>AZ24-AN24</f>
        <v>-3946961</v>
      </c>
      <c r="AP24" s="144">
        <v>-24850095</v>
      </c>
      <c r="AQ24" s="150">
        <f>BA24-AP24</f>
        <v>-79755963</v>
      </c>
      <c r="AR24" s="144">
        <v>0</v>
      </c>
      <c r="AU24" s="144">
        <f>D24+AN24</f>
        <v>-14475043</v>
      </c>
      <c r="AV24" s="144">
        <f>H24+AP24</f>
        <v>-104606058</v>
      </c>
      <c r="AX24" s="144">
        <v>-725113</v>
      </c>
      <c r="AY24" s="144">
        <v>-4313365</v>
      </c>
      <c r="AZ24" s="144">
        <v>-15138824</v>
      </c>
      <c r="BA24" s="144">
        <v>-104606058</v>
      </c>
      <c r="BB24" s="144">
        <v>0</v>
      </c>
    </row>
    <row r="25" spans="1:57" s="144" customFormat="1" x14ac:dyDescent="0.3">
      <c r="A25" s="150" t="s">
        <v>122</v>
      </c>
      <c r="D25" s="144">
        <v>-19727</v>
      </c>
      <c r="E25" s="144">
        <v>-31263</v>
      </c>
      <c r="F25" s="144">
        <f>AP25-G25</f>
        <v>-575</v>
      </c>
      <c r="G25" s="144">
        <v>7425</v>
      </c>
      <c r="H25" s="144">
        <v>1758</v>
      </c>
      <c r="I25" s="144">
        <v>-56875</v>
      </c>
      <c r="J25" s="183">
        <v>7530</v>
      </c>
      <c r="K25" s="144">
        <v>17848</v>
      </c>
      <c r="L25" s="144">
        <v>24329</v>
      </c>
      <c r="M25" s="144">
        <v>57646</v>
      </c>
      <c r="N25" s="183">
        <v>11128</v>
      </c>
      <c r="O25" s="144">
        <v>42881</v>
      </c>
      <c r="P25" s="144">
        <v>92698</v>
      </c>
      <c r="Q25" s="144">
        <v>117398</v>
      </c>
      <c r="R25" s="183">
        <v>2013</v>
      </c>
      <c r="S25" s="144">
        <v>38251</v>
      </c>
      <c r="T25" s="144">
        <v>273237</v>
      </c>
      <c r="U25" s="268">
        <v>-163855</v>
      </c>
      <c r="V25" s="144">
        <v>46411</v>
      </c>
      <c r="W25" s="144">
        <v>-400052</v>
      </c>
      <c r="X25" s="144">
        <v>485362</v>
      </c>
      <c r="Y25" s="268">
        <v>-95873</v>
      </c>
      <c r="Z25" s="144">
        <v>-49759</v>
      </c>
      <c r="AA25" s="144">
        <v>122406</v>
      </c>
      <c r="AB25" s="144">
        <v>434521</v>
      </c>
      <c r="AC25" s="268">
        <v>705484</v>
      </c>
      <c r="AD25" s="144">
        <v>314197</v>
      </c>
      <c r="AE25" s="144">
        <v>341204</v>
      </c>
      <c r="AF25" s="144">
        <v>213821</v>
      </c>
      <c r="AG25" s="144">
        <v>316482</v>
      </c>
      <c r="AH25" s="144">
        <v>18453</v>
      </c>
      <c r="AI25" s="144">
        <v>89223</v>
      </c>
      <c r="AJ25" s="144">
        <v>9541</v>
      </c>
      <c r="AK25" s="144">
        <v>-38325</v>
      </c>
      <c r="AL25" s="144">
        <v>-502001</v>
      </c>
      <c r="AM25" s="144">
        <v>-86573</v>
      </c>
      <c r="AN25" s="144">
        <v>40572</v>
      </c>
      <c r="AO25" s="150">
        <f>AZ25-AN25</f>
        <v>-50990</v>
      </c>
      <c r="AP25" s="144">
        <v>6850</v>
      </c>
      <c r="AQ25" s="150">
        <f>BA25-AP25</f>
        <v>-55117</v>
      </c>
      <c r="AR25" s="144">
        <v>25378</v>
      </c>
      <c r="AU25" s="144">
        <f>D25+AN25</f>
        <v>20845</v>
      </c>
      <c r="AV25" s="144">
        <f>H25+AP25</f>
        <v>8608</v>
      </c>
      <c r="AX25" s="144">
        <v>-661</v>
      </c>
      <c r="AY25" s="144">
        <v>-28018</v>
      </c>
      <c r="AZ25" s="144">
        <v>-10418</v>
      </c>
      <c r="BA25" s="144">
        <v>-48267</v>
      </c>
      <c r="BB25" s="144">
        <v>107353</v>
      </c>
      <c r="BC25" s="144">
        <v>264105</v>
      </c>
      <c r="BD25" s="144">
        <v>145620</v>
      </c>
      <c r="BE25" s="144">
        <v>35858</v>
      </c>
    </row>
    <row r="26" spans="1:57" s="264" customFormat="1" x14ac:dyDescent="0.3">
      <c r="A26" s="150"/>
      <c r="J26" s="187"/>
      <c r="N26" s="187"/>
      <c r="R26" s="187"/>
      <c r="U26" s="273"/>
      <c r="Y26" s="273"/>
      <c r="AC26" s="273"/>
      <c r="AM26" s="440"/>
    </row>
    <row r="27" spans="1:57" s="79" customFormat="1" x14ac:dyDescent="0.3">
      <c r="A27" s="145" t="s">
        <v>123</v>
      </c>
      <c r="D27" s="79">
        <f>SUM(D19,D22,D23,D24,D25)</f>
        <v>-4339159</v>
      </c>
      <c r="E27" s="79">
        <f>SUM(E19,E22,E23,E24,E25)</f>
        <v>-2202664</v>
      </c>
      <c r="F27" s="79">
        <f>AP27-G27</f>
        <v>14320747</v>
      </c>
      <c r="G27" s="79">
        <f t="shared" ref="G27:Y27" si="12">SUM(G19,G22,G23,G24,G25)</f>
        <v>-7424447</v>
      </c>
      <c r="H27" s="79">
        <f t="shared" si="12"/>
        <v>-83068597</v>
      </c>
      <c r="I27" s="79">
        <f t="shared" si="12"/>
        <v>-3690373</v>
      </c>
      <c r="J27" s="185">
        <f t="shared" si="12"/>
        <v>-1290011</v>
      </c>
      <c r="K27" s="79">
        <f t="shared" si="12"/>
        <v>1240563</v>
      </c>
      <c r="L27" s="79">
        <f t="shared" si="12"/>
        <v>1572607</v>
      </c>
      <c r="M27" s="79">
        <f t="shared" si="12"/>
        <v>1489930</v>
      </c>
      <c r="N27" s="185">
        <f t="shared" si="12"/>
        <v>-1694516</v>
      </c>
      <c r="O27" s="79">
        <f t="shared" si="12"/>
        <v>2197147</v>
      </c>
      <c r="P27" s="79">
        <f t="shared" si="12"/>
        <v>6750553</v>
      </c>
      <c r="Q27" s="79">
        <f t="shared" si="12"/>
        <v>-2815309</v>
      </c>
      <c r="R27" s="185">
        <f t="shared" si="12"/>
        <v>-4853191</v>
      </c>
      <c r="S27" s="79">
        <f t="shared" si="12"/>
        <v>-3364605</v>
      </c>
      <c r="T27" s="79">
        <f t="shared" si="12"/>
        <v>-9863562</v>
      </c>
      <c r="U27" s="271">
        <f t="shared" si="12"/>
        <v>-5344209</v>
      </c>
      <c r="V27" s="79">
        <f t="shared" si="12"/>
        <v>-5757789</v>
      </c>
      <c r="W27" s="79">
        <f t="shared" si="12"/>
        <v>-1121090</v>
      </c>
      <c r="X27" s="79">
        <f t="shared" si="12"/>
        <v>1492637</v>
      </c>
      <c r="Y27" s="271">
        <f t="shared" si="12"/>
        <v>-1104408</v>
      </c>
      <c r="Z27" s="79">
        <v>3366902</v>
      </c>
      <c r="AA27" s="79">
        <v>4688619</v>
      </c>
      <c r="AB27" s="79">
        <v>3643329</v>
      </c>
      <c r="AC27" s="79">
        <v>3643329</v>
      </c>
      <c r="AD27" s="79">
        <v>5481481</v>
      </c>
      <c r="AE27" s="79">
        <v>11657214</v>
      </c>
      <c r="AF27" s="79">
        <v>13950434</v>
      </c>
      <c r="AG27" s="79">
        <v>6896300</v>
      </c>
      <c r="AH27" s="144">
        <v>10600801</v>
      </c>
      <c r="AI27" s="79">
        <v>393666</v>
      </c>
      <c r="AJ27" s="79">
        <v>-19650424</v>
      </c>
      <c r="AK27" s="79">
        <v>-16181555</v>
      </c>
      <c r="AL27" s="79">
        <v>-7276863</v>
      </c>
      <c r="AM27" s="79">
        <v>2304147</v>
      </c>
      <c r="AN27" s="79">
        <v>6896300</v>
      </c>
      <c r="AO27" s="79">
        <v>6896300</v>
      </c>
      <c r="AP27" s="79">
        <v>6896300</v>
      </c>
      <c r="AQ27" s="79">
        <v>6896300</v>
      </c>
      <c r="AR27" s="79">
        <v>6896300</v>
      </c>
      <c r="AS27" s="79">
        <v>6896300</v>
      </c>
      <c r="AT27" s="79">
        <v>6896300</v>
      </c>
      <c r="AU27" s="79">
        <v>6896300</v>
      </c>
      <c r="AV27" s="79">
        <v>6896300</v>
      </c>
      <c r="AW27" s="79">
        <v>6896300</v>
      </c>
      <c r="AX27" s="79">
        <f t="shared" ref="AX27:BD27" si="13">SUM(AX19,AX22,AX23,AX24,AX25)</f>
        <v>-9242729</v>
      </c>
      <c r="AY27" s="79">
        <f t="shared" si="13"/>
        <v>-10631096</v>
      </c>
      <c r="AZ27" s="79">
        <f t="shared" si="13"/>
        <v>-18933663</v>
      </c>
      <c r="BA27" s="79">
        <f t="shared" si="13"/>
        <v>-115490807</v>
      </c>
      <c r="BB27" s="79">
        <f t="shared" si="13"/>
        <v>2762388</v>
      </c>
      <c r="BC27" s="79">
        <f t="shared" si="13"/>
        <v>4437875</v>
      </c>
      <c r="BD27" s="79">
        <f t="shared" si="13"/>
        <v>-23566477</v>
      </c>
      <c r="BE27" s="79">
        <v>-6755517</v>
      </c>
    </row>
    <row r="28" spans="1:57" s="144" customFormat="1" x14ac:dyDescent="0.3">
      <c r="A28" s="150" t="s">
        <v>124</v>
      </c>
      <c r="D28" s="144">
        <v>-30746</v>
      </c>
      <c r="E28" s="144">
        <v>21846</v>
      </c>
      <c r="F28" s="144">
        <f>AP28-G28</f>
        <v>158503</v>
      </c>
      <c r="G28" s="144">
        <v>-292034</v>
      </c>
      <c r="H28" s="144">
        <v>-144478</v>
      </c>
      <c r="I28" s="144">
        <v>276121</v>
      </c>
      <c r="J28" s="183">
        <v>-143319</v>
      </c>
      <c r="K28" s="144">
        <v>-226024</v>
      </c>
      <c r="L28" s="144">
        <v>-127235</v>
      </c>
      <c r="M28" s="144">
        <v>-29645</v>
      </c>
      <c r="N28" s="183">
        <v>115238</v>
      </c>
      <c r="O28" s="144">
        <v>13034</v>
      </c>
      <c r="P28" s="144">
        <v>-429552</v>
      </c>
      <c r="Q28" s="144">
        <v>571017</v>
      </c>
      <c r="R28" s="183">
        <v>10955</v>
      </c>
      <c r="S28" s="144">
        <v>8230</v>
      </c>
      <c r="T28" s="144">
        <v>6036</v>
      </c>
      <c r="U28" s="268">
        <v>5058</v>
      </c>
      <c r="V28" s="144">
        <v>55223</v>
      </c>
      <c r="W28" s="144">
        <v>5063</v>
      </c>
      <c r="X28" s="144">
        <v>8209</v>
      </c>
      <c r="Y28" s="268">
        <v>1699</v>
      </c>
      <c r="Z28" s="144">
        <v>-8411</v>
      </c>
      <c r="AA28" s="144">
        <v>-9972</v>
      </c>
      <c r="AB28" s="144">
        <v>-50095</v>
      </c>
      <c r="AC28" s="268">
        <v>-96059</v>
      </c>
      <c r="AD28" s="144">
        <v>-112502</v>
      </c>
      <c r="AE28" s="144">
        <v>-304876</v>
      </c>
      <c r="AF28" s="144">
        <v>-1085480</v>
      </c>
      <c r="AG28" s="144">
        <v>-674249</v>
      </c>
      <c r="AH28" s="144">
        <v>-543921</v>
      </c>
      <c r="AI28" s="144">
        <v>-28370</v>
      </c>
      <c r="AJ28" s="144">
        <v>1018336</v>
      </c>
      <c r="AK28" s="144">
        <v>1037273</v>
      </c>
      <c r="AL28" s="144">
        <v>449605</v>
      </c>
      <c r="AM28" s="144">
        <v>-148925</v>
      </c>
      <c r="AN28" s="144">
        <v>-45318</v>
      </c>
      <c r="AO28" s="150">
        <f>AZ28-AN28</f>
        <v>-8900</v>
      </c>
      <c r="AP28" s="144">
        <v>-133531</v>
      </c>
      <c r="AQ28" s="150">
        <f>BA28-AP28</f>
        <v>131643</v>
      </c>
      <c r="AR28" s="144">
        <v>-369343</v>
      </c>
      <c r="AU28" s="144">
        <f>D28+AN28</f>
        <v>-76064</v>
      </c>
      <c r="AV28" s="144">
        <f>H28+AP28</f>
        <v>-278009</v>
      </c>
      <c r="AX28" s="144">
        <v>11648</v>
      </c>
      <c r="AY28" s="144">
        <v>-267903</v>
      </c>
      <c r="AZ28" s="144">
        <v>-54218</v>
      </c>
      <c r="BA28" s="144">
        <v>-1888</v>
      </c>
      <c r="BB28" s="144">
        <v>-526223</v>
      </c>
      <c r="BC28" s="144">
        <v>269737</v>
      </c>
      <c r="BD28" s="144">
        <v>30279</v>
      </c>
      <c r="BE28" s="144">
        <v>70194</v>
      </c>
    </row>
    <row r="29" spans="1:57" s="144" customFormat="1" x14ac:dyDescent="0.3">
      <c r="A29" s="150"/>
      <c r="J29" s="183"/>
      <c r="N29" s="183"/>
      <c r="R29" s="183"/>
      <c r="U29" s="268"/>
      <c r="Y29" s="268"/>
      <c r="AC29" s="268"/>
    </row>
    <row r="30" spans="1:57" s="150" customFormat="1" x14ac:dyDescent="0.3">
      <c r="A30" s="150" t="s">
        <v>125</v>
      </c>
      <c r="D30" s="150">
        <f>SUM(D27,D28)</f>
        <v>-4369905</v>
      </c>
      <c r="E30" s="150">
        <f>SUM(E27,E28)</f>
        <v>-2180818</v>
      </c>
      <c r="F30" s="150">
        <f>AP30-G30</f>
        <v>14479250</v>
      </c>
      <c r="G30" s="150">
        <f t="shared" ref="G30:AC30" si="14">SUM(G27,G28)</f>
        <v>-7716481</v>
      </c>
      <c r="H30" s="150">
        <f t="shared" si="14"/>
        <v>-83213075</v>
      </c>
      <c r="I30" s="150">
        <f t="shared" si="14"/>
        <v>-3414252</v>
      </c>
      <c r="J30" s="188">
        <f t="shared" si="14"/>
        <v>-1433330</v>
      </c>
      <c r="K30" s="150">
        <f t="shared" si="14"/>
        <v>1014539</v>
      </c>
      <c r="L30" s="150">
        <f t="shared" si="14"/>
        <v>1445372</v>
      </c>
      <c r="M30" s="150">
        <f t="shared" si="14"/>
        <v>1460285</v>
      </c>
      <c r="N30" s="188">
        <f t="shared" si="14"/>
        <v>-1579278</v>
      </c>
      <c r="O30" s="150">
        <f t="shared" si="14"/>
        <v>2210181</v>
      </c>
      <c r="P30" s="150">
        <f t="shared" si="14"/>
        <v>6321001</v>
      </c>
      <c r="Q30" s="150">
        <f t="shared" si="14"/>
        <v>-2244292</v>
      </c>
      <c r="R30" s="188">
        <f t="shared" si="14"/>
        <v>-4842236</v>
      </c>
      <c r="S30" s="150">
        <f t="shared" si="14"/>
        <v>-3356375</v>
      </c>
      <c r="T30" s="150">
        <f t="shared" si="14"/>
        <v>-9857526</v>
      </c>
      <c r="U30" s="274">
        <f t="shared" si="14"/>
        <v>-5339151</v>
      </c>
      <c r="V30" s="150">
        <f t="shared" si="14"/>
        <v>-5702566</v>
      </c>
      <c r="W30" s="150">
        <f t="shared" si="14"/>
        <v>-1116027</v>
      </c>
      <c r="X30" s="150">
        <f t="shared" si="14"/>
        <v>1500846</v>
      </c>
      <c r="Y30" s="274">
        <f t="shared" si="14"/>
        <v>-1102709</v>
      </c>
      <c r="Z30" s="150">
        <f t="shared" si="14"/>
        <v>3358491</v>
      </c>
      <c r="AA30" s="150">
        <f t="shared" si="14"/>
        <v>4678647</v>
      </c>
      <c r="AB30" s="150">
        <f t="shared" si="14"/>
        <v>3593234</v>
      </c>
      <c r="AC30" s="150">
        <f t="shared" si="14"/>
        <v>3547270</v>
      </c>
      <c r="AD30" s="150">
        <v>5368979</v>
      </c>
      <c r="AE30" s="150">
        <v>11352338</v>
      </c>
      <c r="AF30" s="150">
        <v>12864954</v>
      </c>
      <c r="AG30" s="150">
        <v>6222051</v>
      </c>
      <c r="AH30" s="150">
        <f>AH27+AH28</f>
        <v>10056880</v>
      </c>
      <c r="AI30" s="150">
        <f>AI27+AI28</f>
        <v>365296</v>
      </c>
      <c r="AJ30" s="150">
        <v>-18632088</v>
      </c>
      <c r="AK30" s="150">
        <v>-15144282</v>
      </c>
      <c r="AL30" s="150">
        <v>-6827258</v>
      </c>
      <c r="AM30" s="150">
        <v>2155222</v>
      </c>
      <c r="AN30" s="150">
        <f>SUM(AN27,AN28)</f>
        <v>6850982</v>
      </c>
      <c r="AO30" s="150">
        <f>AZ30-AN30</f>
        <v>-25838863</v>
      </c>
      <c r="AP30" s="150">
        <f>SUM(AP27,AP28)</f>
        <v>6762769</v>
      </c>
      <c r="AQ30" s="150">
        <f>SUM(AQ27,AQ28)</f>
        <v>7027943</v>
      </c>
      <c r="AR30" s="150">
        <f>SUM(AR27,AR28)</f>
        <v>6526957</v>
      </c>
      <c r="AT30" s="150">
        <f>SUM(AT27,AT28)</f>
        <v>6896300</v>
      </c>
      <c r="AU30" s="150">
        <f>D30+AN30</f>
        <v>2481077</v>
      </c>
      <c r="AV30" s="150">
        <f>H30+AP30</f>
        <v>-76450306</v>
      </c>
      <c r="AW30" s="150">
        <f t="shared" ref="AW30:BD30" si="15">SUM(AW27,AW28)</f>
        <v>6896300</v>
      </c>
      <c r="AX30" s="150">
        <f t="shared" si="15"/>
        <v>-9231081</v>
      </c>
      <c r="AY30" s="150">
        <f t="shared" si="15"/>
        <v>-10898999</v>
      </c>
      <c r="AZ30" s="150">
        <f t="shared" si="15"/>
        <v>-18987881</v>
      </c>
      <c r="BA30" s="150">
        <f t="shared" si="15"/>
        <v>-115492695</v>
      </c>
      <c r="BB30" s="150">
        <f t="shared" si="15"/>
        <v>2236165</v>
      </c>
      <c r="BC30" s="150">
        <f t="shared" si="15"/>
        <v>4707612</v>
      </c>
      <c r="BD30" s="150">
        <f t="shared" si="15"/>
        <v>-23536198</v>
      </c>
      <c r="BE30" s="150">
        <v>-6685323</v>
      </c>
    </row>
    <row r="31" spans="1:57" s="144" customFormat="1" x14ac:dyDescent="0.3">
      <c r="A31" s="150" t="s">
        <v>126</v>
      </c>
      <c r="J31" s="183"/>
      <c r="N31" s="183"/>
      <c r="R31" s="183"/>
      <c r="U31" s="268"/>
      <c r="Y31" s="268"/>
      <c r="AC31" s="268"/>
      <c r="AX31" s="144">
        <v>-1288257</v>
      </c>
      <c r="AY31" s="144">
        <v>5104001</v>
      </c>
    </row>
    <row r="32" spans="1:57" s="264" customFormat="1" x14ac:dyDescent="0.3">
      <c r="A32" s="150"/>
      <c r="J32" s="187"/>
      <c r="N32" s="187"/>
      <c r="R32" s="187"/>
      <c r="U32" s="273"/>
      <c r="Y32" s="273"/>
      <c r="AC32" s="273"/>
      <c r="AM32" s="440"/>
    </row>
    <row r="33" spans="1:58" s="79" customFormat="1" x14ac:dyDescent="0.3">
      <c r="A33" s="145" t="s">
        <v>127</v>
      </c>
      <c r="D33" s="79">
        <f>SUM(D30,D31)</f>
        <v>-4369905</v>
      </c>
      <c r="E33" s="79">
        <f>SUM(E30,E31)</f>
        <v>-2180818</v>
      </c>
      <c r="F33" s="79">
        <f>AP33-G33</f>
        <v>14479250</v>
      </c>
      <c r="G33" s="79">
        <f t="shared" ref="G33:AC33" si="16">SUM(G30,G31)</f>
        <v>-7716481</v>
      </c>
      <c r="H33" s="79">
        <f t="shared" si="16"/>
        <v>-83213075</v>
      </c>
      <c r="I33" s="79">
        <f t="shared" si="16"/>
        <v>-3414252</v>
      </c>
      <c r="J33" s="185">
        <f t="shared" si="16"/>
        <v>-1433330</v>
      </c>
      <c r="K33" s="79">
        <f t="shared" si="16"/>
        <v>1014539</v>
      </c>
      <c r="L33" s="79">
        <f t="shared" si="16"/>
        <v>1445372</v>
      </c>
      <c r="M33" s="79">
        <f t="shared" si="16"/>
        <v>1460285</v>
      </c>
      <c r="N33" s="185">
        <f t="shared" si="16"/>
        <v>-1579278</v>
      </c>
      <c r="O33" s="79">
        <f t="shared" si="16"/>
        <v>2210181</v>
      </c>
      <c r="P33" s="79">
        <f t="shared" si="16"/>
        <v>6321001</v>
      </c>
      <c r="Q33" s="79">
        <f t="shared" si="16"/>
        <v>-2244292</v>
      </c>
      <c r="R33" s="185">
        <f t="shared" si="16"/>
        <v>-4842236</v>
      </c>
      <c r="S33" s="79">
        <f t="shared" si="16"/>
        <v>-3356375</v>
      </c>
      <c r="T33" s="79">
        <f t="shared" si="16"/>
        <v>-9857526</v>
      </c>
      <c r="U33" s="271">
        <f t="shared" si="16"/>
        <v>-5339151</v>
      </c>
      <c r="V33" s="79">
        <f t="shared" si="16"/>
        <v>-5702566</v>
      </c>
      <c r="W33" s="79">
        <f t="shared" si="16"/>
        <v>-1116027</v>
      </c>
      <c r="X33" s="79">
        <f t="shared" si="16"/>
        <v>1500846</v>
      </c>
      <c r="Y33" s="271">
        <f t="shared" si="16"/>
        <v>-1102709</v>
      </c>
      <c r="Z33" s="79">
        <f t="shared" si="16"/>
        <v>3358491</v>
      </c>
      <c r="AA33" s="79">
        <f t="shared" si="16"/>
        <v>4678647</v>
      </c>
      <c r="AB33" s="79">
        <f t="shared" si="16"/>
        <v>3593234</v>
      </c>
      <c r="AC33" s="79">
        <f t="shared" si="16"/>
        <v>3547270</v>
      </c>
      <c r="AD33" s="150">
        <v>5368979</v>
      </c>
      <c r="AE33" s="79">
        <v>11352338</v>
      </c>
      <c r="AF33" s="150">
        <v>12864954</v>
      </c>
      <c r="AG33" s="150">
        <v>6222051</v>
      </c>
      <c r="AH33" s="150">
        <f>AH30</f>
        <v>10056880</v>
      </c>
      <c r="AI33" s="150">
        <f>AI30</f>
        <v>365296</v>
      </c>
      <c r="AJ33" s="150">
        <f>AJ30</f>
        <v>-18632088</v>
      </c>
      <c r="AK33" s="150">
        <v>-15144282</v>
      </c>
      <c r="AL33" s="150">
        <v>-6827258</v>
      </c>
      <c r="AM33" s="150">
        <v>2155222</v>
      </c>
      <c r="AN33" s="79">
        <f t="shared" ref="AN33:BC33" si="17">SUM(AN30,AN31)</f>
        <v>6850982</v>
      </c>
      <c r="AO33" s="79">
        <f t="shared" si="17"/>
        <v>-25838863</v>
      </c>
      <c r="AP33" s="79">
        <f t="shared" si="17"/>
        <v>6762769</v>
      </c>
      <c r="AQ33" s="79">
        <f t="shared" si="17"/>
        <v>7027943</v>
      </c>
      <c r="AR33" s="79">
        <f t="shared" si="17"/>
        <v>6526957</v>
      </c>
      <c r="AS33" s="79">
        <f t="shared" si="17"/>
        <v>0</v>
      </c>
      <c r="AT33" s="79">
        <f t="shared" si="17"/>
        <v>6896300</v>
      </c>
      <c r="AU33" s="79">
        <f t="shared" si="17"/>
        <v>2481077</v>
      </c>
      <c r="AV33" s="79">
        <f t="shared" si="17"/>
        <v>-76450306</v>
      </c>
      <c r="AW33" s="79">
        <f t="shared" si="17"/>
        <v>6896300</v>
      </c>
      <c r="AX33" s="79">
        <f t="shared" si="17"/>
        <v>-10519338</v>
      </c>
      <c r="AY33" s="79">
        <f t="shared" si="17"/>
        <v>-5794998</v>
      </c>
      <c r="AZ33" s="79">
        <f t="shared" si="17"/>
        <v>-18987881</v>
      </c>
      <c r="BA33" s="79">
        <f t="shared" si="17"/>
        <v>-115492695</v>
      </c>
      <c r="BB33" s="79">
        <f t="shared" si="17"/>
        <v>2236165</v>
      </c>
      <c r="BC33" s="79">
        <f t="shared" si="17"/>
        <v>4707612</v>
      </c>
      <c r="BD33" s="79">
        <v>-23536198</v>
      </c>
      <c r="BE33" s="79">
        <v>-6685323</v>
      </c>
    </row>
    <row r="34" spans="1:58" s="144" customFormat="1" x14ac:dyDescent="0.3">
      <c r="A34" s="150" t="s">
        <v>128</v>
      </c>
      <c r="J34" s="183"/>
      <c r="N34" s="183"/>
      <c r="R34" s="183"/>
      <c r="U34" s="268"/>
      <c r="Y34" s="268"/>
      <c r="AC34" s="268"/>
    </row>
    <row r="35" spans="1:58" s="144" customFormat="1" x14ac:dyDescent="0.3">
      <c r="A35" s="98" t="s">
        <v>129</v>
      </c>
      <c r="D35" s="144">
        <v>-4351661</v>
      </c>
      <c r="F35" s="144">
        <f>AP35-G35</f>
        <v>-21051147</v>
      </c>
      <c r="G35" s="144">
        <v>-7705707</v>
      </c>
      <c r="H35" s="144">
        <v>-83295010</v>
      </c>
      <c r="J35" s="183">
        <v>-1431777</v>
      </c>
      <c r="K35" s="144">
        <v>877415</v>
      </c>
      <c r="L35" s="144">
        <v>1335202</v>
      </c>
      <c r="M35" s="150">
        <f>BB35-SUM(J35:L35)</f>
        <v>1457929</v>
      </c>
      <c r="N35" s="188">
        <v>-1578336</v>
      </c>
      <c r="O35" s="144">
        <v>2209747</v>
      </c>
      <c r="P35" s="144">
        <v>6321603</v>
      </c>
      <c r="Q35" s="144">
        <f>BC35-SUM(N35:P35)</f>
        <v>-2244701</v>
      </c>
      <c r="R35" s="183">
        <v>-4847283</v>
      </c>
      <c r="S35" s="144">
        <v>-3357323</v>
      </c>
      <c r="T35" s="144">
        <v>-9994660</v>
      </c>
      <c r="U35" s="268">
        <f>U33-U36</f>
        <v>-5339113</v>
      </c>
      <c r="V35" s="144">
        <f>V33-V36</f>
        <v>-5702489</v>
      </c>
      <c r="W35" s="144">
        <f>W33-W36</f>
        <v>-1116519</v>
      </c>
      <c r="X35" s="144">
        <v>1216442</v>
      </c>
      <c r="Y35" s="268">
        <v>-1083544</v>
      </c>
      <c r="Z35" s="144">
        <v>3358233</v>
      </c>
      <c r="AA35" s="393"/>
      <c r="AC35" s="268"/>
      <c r="AK35" s="144">
        <v>-23355015</v>
      </c>
      <c r="AN35" s="144">
        <v>-12403508</v>
      </c>
      <c r="AP35" s="144">
        <v>-28756854</v>
      </c>
      <c r="AR35" s="144">
        <v>-554362</v>
      </c>
      <c r="AU35" s="144">
        <f>D35+AN35</f>
        <v>-16755169</v>
      </c>
      <c r="AV35" s="144">
        <f>H35+AP35</f>
        <v>-112051864</v>
      </c>
      <c r="AX35" s="144">
        <v>-10519338</v>
      </c>
      <c r="AY35" s="144">
        <v>-5789900</v>
      </c>
      <c r="AZ35" s="144">
        <v>-18916617</v>
      </c>
      <c r="BA35" s="144">
        <v>-115477171</v>
      </c>
      <c r="BB35" s="144">
        <v>2238769</v>
      </c>
      <c r="BC35" s="144">
        <v>4708313</v>
      </c>
      <c r="BD35" s="144">
        <v>-23538379</v>
      </c>
      <c r="BE35" s="144">
        <v>-6686110</v>
      </c>
    </row>
    <row r="36" spans="1:58" s="144" customFormat="1" x14ac:dyDescent="0.3">
      <c r="A36" s="98" t="s">
        <v>130</v>
      </c>
      <c r="D36" s="144">
        <v>-18244</v>
      </c>
      <c r="F36" s="144">
        <f>AP36-G36</f>
        <v>-122757</v>
      </c>
      <c r="G36" s="144">
        <v>-10774</v>
      </c>
      <c r="H36" s="144">
        <v>-2146</v>
      </c>
      <c r="J36" s="183">
        <v>-1553</v>
      </c>
      <c r="K36" s="144">
        <v>-1587</v>
      </c>
      <c r="L36" s="144">
        <v>-1820</v>
      </c>
      <c r="M36" s="150">
        <f>BB36-SUM(J36:L36)</f>
        <v>2320</v>
      </c>
      <c r="N36" s="188">
        <v>-942</v>
      </c>
      <c r="O36" s="150">
        <v>434</v>
      </c>
      <c r="P36" s="150">
        <v>-602</v>
      </c>
      <c r="Q36" s="150">
        <f>BC36-SUM(N36:P36)</f>
        <v>409</v>
      </c>
      <c r="R36" s="188">
        <v>1021</v>
      </c>
      <c r="S36" s="150">
        <v>948</v>
      </c>
      <c r="T36" s="150">
        <v>250</v>
      </c>
      <c r="U36" s="274">
        <f>BD36-R36-S36-T36</f>
        <v>-38</v>
      </c>
      <c r="V36" s="150">
        <v>-77</v>
      </c>
      <c r="W36" s="150">
        <v>492</v>
      </c>
      <c r="X36" s="150">
        <v>369</v>
      </c>
      <c r="Y36" s="274">
        <v>3</v>
      </c>
      <c r="Z36" s="150">
        <v>258</v>
      </c>
      <c r="AA36" s="392"/>
      <c r="AB36" s="150"/>
      <c r="AC36" s="274"/>
      <c r="AD36" s="150"/>
      <c r="AE36" s="150"/>
      <c r="AF36" s="150"/>
      <c r="AG36" s="150"/>
      <c r="AH36" s="150"/>
      <c r="AI36" s="150"/>
      <c r="AJ36" s="150"/>
      <c r="AK36" s="150">
        <v>821</v>
      </c>
      <c r="AL36" s="150"/>
      <c r="AM36" s="150"/>
      <c r="AN36" s="144">
        <v>-33650</v>
      </c>
      <c r="AP36" s="144">
        <v>-133531</v>
      </c>
      <c r="AR36" s="144">
        <v>-369343</v>
      </c>
      <c r="AU36" s="144">
        <f>D36+AN36</f>
        <v>-51894</v>
      </c>
      <c r="AV36" s="144">
        <f>H36+AP36</f>
        <v>-135677</v>
      </c>
      <c r="AX36" s="144">
        <v>0</v>
      </c>
      <c r="AY36" s="144">
        <v>-5098</v>
      </c>
      <c r="AZ36" s="144">
        <v>-71264</v>
      </c>
      <c r="BA36" s="144">
        <v>-15524</v>
      </c>
      <c r="BB36" s="144">
        <v>-2640</v>
      </c>
      <c r="BC36" s="144">
        <v>-701</v>
      </c>
      <c r="BD36" s="144">
        <v>2181</v>
      </c>
      <c r="BE36" s="144">
        <v>787</v>
      </c>
    </row>
    <row r="37" spans="1:58" s="144" customFormat="1" x14ac:dyDescent="0.3">
      <c r="A37" s="99" t="s">
        <v>131</v>
      </c>
      <c r="D37" s="144">
        <v>-547092</v>
      </c>
      <c r="F37" s="144">
        <f>AP37-G37</f>
        <v>-475274</v>
      </c>
      <c r="G37" s="144">
        <v>-715216</v>
      </c>
      <c r="H37" s="144">
        <v>-340553</v>
      </c>
      <c r="I37" s="144">
        <v>984359</v>
      </c>
      <c r="J37" s="183">
        <v>-211158</v>
      </c>
      <c r="K37" s="144">
        <v>278157</v>
      </c>
      <c r="L37" s="144">
        <v>163615</v>
      </c>
      <c r="M37" s="144">
        <v>72443</v>
      </c>
      <c r="N37" s="183">
        <v>508261</v>
      </c>
      <c r="O37" s="144">
        <v>-347393</v>
      </c>
      <c r="P37" s="144">
        <v>-5779364</v>
      </c>
      <c r="Q37" s="144">
        <v>-191031</v>
      </c>
      <c r="R37" s="183">
        <v>42034</v>
      </c>
      <c r="S37" s="144">
        <v>164748</v>
      </c>
      <c r="T37" s="144">
        <v>-580615</v>
      </c>
      <c r="U37" s="268">
        <v>-471908</v>
      </c>
      <c r="V37" s="144">
        <v>-575657</v>
      </c>
      <c r="W37" s="144">
        <v>-292183</v>
      </c>
      <c r="X37" s="144">
        <v>-533376</v>
      </c>
      <c r="Y37" s="268">
        <v>390604</v>
      </c>
      <c r="Z37" s="144">
        <v>113490</v>
      </c>
      <c r="AA37" s="144">
        <v>103761</v>
      </c>
      <c r="AB37" s="144">
        <v>-95835</v>
      </c>
      <c r="AC37" s="268">
        <v>-98933</v>
      </c>
      <c r="AD37" s="144">
        <v>359322</v>
      </c>
      <c r="AE37" s="404">
        <v>-62507</v>
      </c>
      <c r="AF37" s="144">
        <v>-567679</v>
      </c>
      <c r="AG37" s="144">
        <v>78069</v>
      </c>
      <c r="AH37" s="144">
        <v>-777438</v>
      </c>
      <c r="AI37" s="144">
        <v>-355455</v>
      </c>
      <c r="AJ37" s="144">
        <v>335243</v>
      </c>
      <c r="AK37" s="144">
        <v>-1537272</v>
      </c>
      <c r="AL37" s="144">
        <v>389746</v>
      </c>
      <c r="AM37" s="144">
        <v>-1604473</v>
      </c>
      <c r="AN37" s="144">
        <v>291045</v>
      </c>
      <c r="AP37" s="144">
        <v>-1190490</v>
      </c>
      <c r="AR37" s="144">
        <v>66999</v>
      </c>
      <c r="AU37" s="144">
        <f>D37+AN37</f>
        <v>-256047</v>
      </c>
      <c r="AV37" s="144">
        <f>H37+AP37</f>
        <v>-1531043</v>
      </c>
      <c r="AX37" s="144">
        <v>-46953</v>
      </c>
      <c r="AY37" s="144">
        <v>25789</v>
      </c>
      <c r="AZ37" s="144">
        <v>-541731</v>
      </c>
      <c r="BA37" s="144">
        <v>-1834296</v>
      </c>
      <c r="BB37" s="144">
        <v>-169059</v>
      </c>
      <c r="BC37" s="144">
        <v>-5809527</v>
      </c>
      <c r="BD37" s="144">
        <v>-1247255</v>
      </c>
      <c r="BE37" s="144">
        <v>193472</v>
      </c>
    </row>
    <row r="38" spans="1:58" s="79" customFormat="1" x14ac:dyDescent="0.3">
      <c r="A38" s="100" t="s">
        <v>132</v>
      </c>
      <c r="D38" s="79">
        <f>D35+D37-D12</f>
        <v>-4667531</v>
      </c>
      <c r="F38" s="79">
        <f>AP38-G38</f>
        <v>-21231743</v>
      </c>
      <c r="G38" s="79">
        <f>G35+G37-G12</f>
        <v>-8033343</v>
      </c>
      <c r="H38" s="79">
        <f>H35+H37-H12</f>
        <v>-83095931</v>
      </c>
      <c r="J38" s="185">
        <f t="shared" ref="J38:AV38" si="18">J35+J37-J12</f>
        <v>-1204867</v>
      </c>
      <c r="K38" s="79">
        <f t="shared" si="18"/>
        <v>1671073</v>
      </c>
      <c r="L38" s="79">
        <f t="shared" si="18"/>
        <v>2035986</v>
      </c>
      <c r="M38" s="79">
        <f t="shared" si="18"/>
        <v>2230505</v>
      </c>
      <c r="N38" s="185">
        <f t="shared" si="18"/>
        <v>-378399</v>
      </c>
      <c r="O38" s="79">
        <f t="shared" si="18"/>
        <v>2567774</v>
      </c>
      <c r="P38" s="79">
        <f t="shared" si="18"/>
        <v>1380948</v>
      </c>
      <c r="Q38" s="79">
        <f t="shared" si="18"/>
        <v>-1394061</v>
      </c>
      <c r="R38" s="185">
        <f t="shared" si="18"/>
        <v>-3867347</v>
      </c>
      <c r="S38" s="79">
        <f t="shared" si="18"/>
        <v>-2051917</v>
      </c>
      <c r="T38" s="79">
        <f t="shared" si="18"/>
        <v>-9094116</v>
      </c>
      <c r="U38" s="271">
        <f t="shared" si="18"/>
        <v>-4176880</v>
      </c>
      <c r="V38" s="79">
        <f t="shared" si="18"/>
        <v>-4659812</v>
      </c>
      <c r="W38" s="79">
        <f t="shared" si="18"/>
        <v>949045</v>
      </c>
      <c r="X38" s="79">
        <f t="shared" si="18"/>
        <v>3128832</v>
      </c>
      <c r="Y38" s="271">
        <f t="shared" si="18"/>
        <v>1628175</v>
      </c>
      <c r="Z38" s="79">
        <f t="shared" si="18"/>
        <v>5408571</v>
      </c>
      <c r="AA38" s="79">
        <f t="shared" si="18"/>
        <v>2554401</v>
      </c>
      <c r="AB38" s="79">
        <f t="shared" si="18"/>
        <v>2042608</v>
      </c>
      <c r="AC38" s="271">
        <f t="shared" si="18"/>
        <v>1758489</v>
      </c>
      <c r="AD38" s="271">
        <f t="shared" si="18"/>
        <v>2210334</v>
      </c>
      <c r="AE38" s="271">
        <f t="shared" si="18"/>
        <v>2006820</v>
      </c>
      <c r="AF38" s="271">
        <f t="shared" si="18"/>
        <v>1322343</v>
      </c>
      <c r="AG38" s="271">
        <f t="shared" si="18"/>
        <v>1850401</v>
      </c>
      <c r="AH38" s="271">
        <f t="shared" si="18"/>
        <v>930408</v>
      </c>
      <c r="AI38" s="271">
        <f t="shared" si="18"/>
        <v>1031961</v>
      </c>
      <c r="AJ38" s="271">
        <f t="shared" si="18"/>
        <v>1893549</v>
      </c>
      <c r="AK38" s="271">
        <f t="shared" si="18"/>
        <v>-23543988</v>
      </c>
      <c r="AL38" s="271">
        <f t="shared" si="18"/>
        <v>1772752</v>
      </c>
      <c r="AM38" s="271">
        <f t="shared" si="18"/>
        <v>314110</v>
      </c>
      <c r="AN38" s="271">
        <f t="shared" si="18"/>
        <v>-11832582</v>
      </c>
      <c r="AO38" s="271">
        <f t="shared" si="18"/>
        <v>691219</v>
      </c>
      <c r="AP38" s="271">
        <f t="shared" si="18"/>
        <v>-29265086</v>
      </c>
      <c r="AQ38" s="271">
        <f t="shared" si="18"/>
        <v>1182855</v>
      </c>
      <c r="AR38" s="271">
        <f t="shared" si="18"/>
        <v>466206</v>
      </c>
      <c r="AS38" s="271">
        <f t="shared" si="18"/>
        <v>0</v>
      </c>
      <c r="AT38" s="271">
        <f t="shared" si="18"/>
        <v>0</v>
      </c>
      <c r="AU38" s="271">
        <f t="shared" si="18"/>
        <v>-16500113</v>
      </c>
      <c r="AV38" s="271">
        <f t="shared" si="18"/>
        <v>-112361017</v>
      </c>
      <c r="AX38" s="79">
        <f t="shared" ref="AX38:BE38" si="19">AX35+AX37-AX12</f>
        <v>-7966913</v>
      </c>
      <c r="AY38" s="79">
        <f t="shared" si="19"/>
        <v>-4851036</v>
      </c>
      <c r="AZ38" s="79">
        <f t="shared" si="19"/>
        <v>-18487248</v>
      </c>
      <c r="BA38" s="79">
        <f t="shared" si="19"/>
        <v>-115446354</v>
      </c>
      <c r="BB38" s="79">
        <f t="shared" si="19"/>
        <v>4260581</v>
      </c>
      <c r="BC38" s="79">
        <f t="shared" si="19"/>
        <v>2176262</v>
      </c>
      <c r="BD38" s="79">
        <f t="shared" si="19"/>
        <v>-19591774</v>
      </c>
      <c r="BE38" s="79">
        <f t="shared" si="19"/>
        <v>-6024018</v>
      </c>
    </row>
    <row r="39" spans="1:58" s="144" customFormat="1" x14ac:dyDescent="0.3">
      <c r="A39" s="101" t="s">
        <v>133</v>
      </c>
      <c r="J39" s="183"/>
      <c r="N39" s="183"/>
      <c r="R39" s="183"/>
      <c r="U39" s="268"/>
      <c r="Y39" s="268"/>
      <c r="AC39" s="268"/>
    </row>
    <row r="40" spans="1:58" s="144" customFormat="1" x14ac:dyDescent="0.3">
      <c r="A40" s="98" t="s">
        <v>134</v>
      </c>
      <c r="J40" s="183"/>
      <c r="N40" s="183"/>
      <c r="R40" s="183"/>
      <c r="U40" s="268"/>
      <c r="Y40" s="268"/>
      <c r="AC40" s="268"/>
      <c r="AN40" s="144">
        <v>-8.2100000000000009</v>
      </c>
      <c r="AP40" s="144">
        <v>-18.53</v>
      </c>
      <c r="AR40" s="144">
        <v>-0.1</v>
      </c>
      <c r="AX40" s="144">
        <v>-9.89</v>
      </c>
      <c r="AY40" s="144">
        <v>-3.98</v>
      </c>
      <c r="AZ40" s="144">
        <v>-12.37</v>
      </c>
      <c r="BA40" s="144">
        <v>-42.4</v>
      </c>
      <c r="BB40" s="113">
        <v>0.39</v>
      </c>
      <c r="BC40" s="113">
        <v>0.81</v>
      </c>
      <c r="BD40" s="113">
        <v>-3.9</v>
      </c>
      <c r="BE40" s="113">
        <v>-1.0900000000000001</v>
      </c>
      <c r="BF40" s="113"/>
    </row>
    <row r="41" spans="1:58" s="144" customFormat="1" x14ac:dyDescent="0.3">
      <c r="A41" s="98" t="s">
        <v>135</v>
      </c>
      <c r="J41" s="183"/>
      <c r="N41" s="183"/>
      <c r="R41" s="183"/>
      <c r="U41" s="268"/>
      <c r="Y41" s="268"/>
      <c r="AC41" s="268"/>
      <c r="AN41" s="144">
        <v>-8.2100000000000009</v>
      </c>
      <c r="AP41" s="144">
        <v>-18.53</v>
      </c>
      <c r="AR41" s="144">
        <v>-0.1</v>
      </c>
      <c r="AX41" s="144">
        <v>-9.89</v>
      </c>
      <c r="AY41" s="144">
        <v>-3.98</v>
      </c>
      <c r="AZ41" s="144">
        <v>-12.37</v>
      </c>
      <c r="BA41" s="144">
        <v>-42.4</v>
      </c>
      <c r="BB41" s="113">
        <v>0.38</v>
      </c>
      <c r="BC41" s="113">
        <v>0.78</v>
      </c>
      <c r="BD41" s="113">
        <v>-3.9</v>
      </c>
      <c r="BE41" s="113">
        <v>-1.0900000000000001</v>
      </c>
      <c r="BF41" s="113"/>
    </row>
    <row r="42" spans="1:58" x14ac:dyDescent="0.3">
      <c r="E42" s="56"/>
      <c r="AP42" s="56"/>
      <c r="AU42" s="56"/>
    </row>
    <row r="43" spans="1:58" x14ac:dyDescent="0.3">
      <c r="A43" s="102" t="s">
        <v>136</v>
      </c>
      <c r="E43" s="54"/>
      <c r="AP43" s="54" t="str">
        <f>IFERROR(AN5/#REF!-1,"")</f>
        <v/>
      </c>
      <c r="AU43" s="54"/>
    </row>
    <row r="44" spans="1:58" s="353" customFormat="1" ht="23.5" customHeight="1" x14ac:dyDescent="0.3">
      <c r="A44" s="103" t="s">
        <v>105</v>
      </c>
      <c r="E44" s="352"/>
      <c r="H44" s="352">
        <f t="shared" ref="H44:AM44" si="20">H5/D5-1</f>
        <v>0.97192487830010066</v>
      </c>
      <c r="I44" s="352">
        <f t="shared" si="20"/>
        <v>0.89047612410740684</v>
      </c>
      <c r="J44" s="189">
        <f t="shared" si="20"/>
        <v>0.70052371325996132</v>
      </c>
      <c r="K44" s="352">
        <f t="shared" si="20"/>
        <v>0.50623581713347332</v>
      </c>
      <c r="L44" s="352">
        <f t="shared" si="20"/>
        <v>0.44126810868463551</v>
      </c>
      <c r="M44" s="352">
        <f t="shared" si="20"/>
        <v>0.42188609339422234</v>
      </c>
      <c r="N44" s="189">
        <f t="shared" si="20"/>
        <v>-0.12619623363732213</v>
      </c>
      <c r="O44" s="352">
        <f t="shared" si="20"/>
        <v>8.8917227606035265E-2</v>
      </c>
      <c r="P44" s="352">
        <f t="shared" si="20"/>
        <v>0.28761765134751771</v>
      </c>
      <c r="Q44" s="352">
        <f t="shared" si="20"/>
        <v>0.34658581269228605</v>
      </c>
      <c r="R44" s="189">
        <f t="shared" si="20"/>
        <v>1.2094133737442543</v>
      </c>
      <c r="S44" s="352">
        <f t="shared" si="20"/>
        <v>0.77006393173775889</v>
      </c>
      <c r="T44" s="352">
        <f t="shared" si="20"/>
        <v>0.37931078315186428</v>
      </c>
      <c r="U44" s="275">
        <f t="shared" si="20"/>
        <v>0.30607576384774693</v>
      </c>
      <c r="V44" s="352">
        <f t="shared" si="20"/>
        <v>0.24995749165596459</v>
      </c>
      <c r="W44" s="352">
        <f t="shared" si="20"/>
        <v>0.16405980342616622</v>
      </c>
      <c r="X44" s="352">
        <f t="shared" si="20"/>
        <v>0.28240220998141075</v>
      </c>
      <c r="Y44" s="275">
        <f t="shared" si="20"/>
        <v>0.21415862360727456</v>
      </c>
      <c r="Z44" s="352">
        <f t="shared" si="20"/>
        <v>0.2668910859367426</v>
      </c>
      <c r="AA44" s="352">
        <f t="shared" si="20"/>
        <v>0.33425222165070356</v>
      </c>
      <c r="AB44" s="352">
        <f t="shared" si="20"/>
        <v>0.2211475571940813</v>
      </c>
      <c r="AC44" s="275">
        <f t="shared" si="20"/>
        <v>0.22563198728652112</v>
      </c>
      <c r="AD44" s="275">
        <f t="shared" si="20"/>
        <v>0.25006898966915525</v>
      </c>
      <c r="AE44" s="275">
        <f t="shared" si="20"/>
        <v>0.21020425273006738</v>
      </c>
      <c r="AF44" s="275">
        <f t="shared" si="20"/>
        <v>0.22376231328409824</v>
      </c>
      <c r="AG44" s="275">
        <f t="shared" si="20"/>
        <v>0.20070770238109814</v>
      </c>
      <c r="AH44" s="275">
        <f t="shared" si="20"/>
        <v>0.18124983657651961</v>
      </c>
      <c r="AI44" s="275">
        <f t="shared" si="20"/>
        <v>0.11658695970631494</v>
      </c>
      <c r="AJ44" s="275">
        <f t="shared" si="20"/>
        <v>2.0419413811160858E-2</v>
      </c>
      <c r="AK44" s="275">
        <f t="shared" si="20"/>
        <v>4.0787018737695302E-2</v>
      </c>
      <c r="AL44" s="275">
        <f t="shared" si="20"/>
        <v>5.1778290328170051E-2</v>
      </c>
      <c r="AM44" s="442">
        <f t="shared" si="20"/>
        <v>0.13940001184662787</v>
      </c>
      <c r="AN44" s="352">
        <f>AN5/N5-1</f>
        <v>-0.17757515017261372</v>
      </c>
      <c r="AO44" s="352">
        <f>AO5/O5-1</f>
        <v>-0.1849645315596895</v>
      </c>
      <c r="AP44" s="352">
        <f>AP5/P5-1</f>
        <v>-0.2557380549099888</v>
      </c>
      <c r="AQ44" s="352">
        <f>AQ5/Q5-1</f>
        <v>2.536947052211036E-2</v>
      </c>
      <c r="AR44" s="352">
        <f t="shared" ref="AR44:AW44" si="21">AR5/AN5-1</f>
        <v>2.0392058445092478</v>
      </c>
      <c r="AS44" s="352">
        <f t="shared" si="21"/>
        <v>-1</v>
      </c>
      <c r="AT44" s="352">
        <f t="shared" si="21"/>
        <v>-1</v>
      </c>
      <c r="AU44" s="352">
        <f t="shared" si="21"/>
        <v>-0.39678651841045798</v>
      </c>
      <c r="AV44" s="352">
        <f t="shared" si="21"/>
        <v>8.4705368856041963E-2</v>
      </c>
      <c r="AW44" s="352" t="e">
        <f t="shared" si="21"/>
        <v>#DIV/0!</v>
      </c>
      <c r="AY44" s="352">
        <f t="shared" ref="AY44:BE44" si="22">AY5/AX5-1</f>
        <v>2.2317017914340505</v>
      </c>
      <c r="AZ44" s="352">
        <f t="shared" si="22"/>
        <v>1.6122409807086915</v>
      </c>
      <c r="BA44" s="352">
        <f t="shared" si="22"/>
        <v>0.92252130961969536</v>
      </c>
      <c r="BB44" s="352">
        <f t="shared" si="22"/>
        <v>0.49521080735578149</v>
      </c>
      <c r="BC44" s="352">
        <f t="shared" si="22"/>
        <v>0.17703515907565559</v>
      </c>
      <c r="BD44" s="352">
        <f t="shared" si="22"/>
        <v>0.56042302894101814</v>
      </c>
      <c r="BE44" s="352">
        <f t="shared" si="22"/>
        <v>0.22792054666920669</v>
      </c>
      <c r="BF44" s="352"/>
    </row>
    <row r="45" spans="1:58" s="353" customFormat="1" x14ac:dyDescent="0.3">
      <c r="A45" s="361" t="s">
        <v>137</v>
      </c>
      <c r="E45" s="352"/>
      <c r="H45" s="352"/>
      <c r="I45" s="352"/>
      <c r="J45" s="189"/>
      <c r="K45" s="352"/>
      <c r="L45" s="352"/>
      <c r="M45" s="352"/>
      <c r="N45" s="189"/>
      <c r="O45" s="352"/>
      <c r="P45" s="352"/>
      <c r="Q45" s="352"/>
      <c r="R45" s="211">
        <f>R5/J5-1</f>
        <v>0.93059372742979996</v>
      </c>
      <c r="S45" s="354">
        <f>S5/K5-1</f>
        <v>0.9274531092333187</v>
      </c>
      <c r="T45" s="354">
        <f>T5/L5-1</f>
        <v>0.7760249110803088</v>
      </c>
      <c r="U45" s="304">
        <f>U5/M5-1</f>
        <v>0.75874309389861661</v>
      </c>
      <c r="V45" s="354">
        <f>V5/J5-1</f>
        <v>1.4131600929448918</v>
      </c>
      <c r="W45" s="352">
        <f>W5/K5-1</f>
        <v>1.2436706874472896</v>
      </c>
      <c r="X45" s="354">
        <f>X5/L5-1</f>
        <v>1.2775782709514267</v>
      </c>
      <c r="Y45" s="354">
        <f>Y5/M5-1</f>
        <v>1.1353930941667438</v>
      </c>
      <c r="Z45" s="354">
        <f>Z5/J5-1</f>
        <v>2.0572110106901644</v>
      </c>
      <c r="AA45" s="354">
        <f>AA5/K5-1</f>
        <v>1.9936225993791079</v>
      </c>
      <c r="AB45" s="354">
        <f>AB5/L5-1</f>
        <v>1.7812591418906538</v>
      </c>
      <c r="AC45" s="304">
        <f>AC5/M5-1</f>
        <v>1.6172060816414997</v>
      </c>
      <c r="AD45" s="304">
        <f>AD5/J5-1</f>
        <v>2.8217246793388711</v>
      </c>
      <c r="AE45" s="304">
        <f>AE5/K5-1</f>
        <v>2.6228948008374351</v>
      </c>
      <c r="AF45" s="304">
        <f>AF5/L5-1</f>
        <v>2.4036001213226528</v>
      </c>
      <c r="AG45" s="304">
        <f>AG5/M5-1</f>
        <v>2.1424995009456018</v>
      </c>
      <c r="AH45" s="304">
        <f t="shared" ref="AH45:AM45" si="23">AH5/J5-1</f>
        <v>3.5144116529094926</v>
      </c>
      <c r="AI45" s="304">
        <f t="shared" si="23"/>
        <v>3.0452770910028866</v>
      </c>
      <c r="AJ45" s="304">
        <f t="shared" si="23"/>
        <v>2.4730996406476571</v>
      </c>
      <c r="AK45" s="304">
        <f t="shared" si="23"/>
        <v>2.2706726869738687</v>
      </c>
      <c r="AL45" s="304">
        <f t="shared" si="23"/>
        <v>4.4338975785141681</v>
      </c>
      <c r="AM45" s="443">
        <f t="shared" si="23"/>
        <v>3.2328182974428641</v>
      </c>
      <c r="AN45" s="352"/>
      <c r="AO45" s="352"/>
      <c r="AP45" s="352"/>
      <c r="AQ45" s="352"/>
      <c r="AR45" s="352"/>
      <c r="AS45" s="352"/>
      <c r="AT45" s="352"/>
      <c r="AU45" s="352"/>
      <c r="AV45" s="352"/>
      <c r="AW45" s="352"/>
      <c r="AY45" s="352"/>
      <c r="AZ45" s="352"/>
      <c r="BA45" s="352"/>
      <c r="BB45" s="352"/>
      <c r="BC45" s="352"/>
      <c r="BD45" s="354">
        <f>BD5/BB5-1</f>
        <v>0.83667276809490754</v>
      </c>
      <c r="BE45" s="354">
        <f>BE5/BC5-1</f>
        <v>0.91607549873247418</v>
      </c>
      <c r="BF45" s="354"/>
    </row>
    <row r="46" spans="1:58" s="353" customFormat="1" x14ac:dyDescent="0.3">
      <c r="A46" s="103" t="s">
        <v>138</v>
      </c>
      <c r="E46" s="352">
        <f t="shared" ref="E46:AM46" si="24">E5/D5-1</f>
        <v>8.2861164324738779E-2</v>
      </c>
      <c r="F46" s="352">
        <f t="shared" si="24"/>
        <v>7.6339488656161247E-2</v>
      </c>
      <c r="G46" s="352">
        <f t="shared" si="24"/>
        <v>0.33682304036793398</v>
      </c>
      <c r="H46" s="352">
        <f t="shared" si="24"/>
        <v>0.26559395476503189</v>
      </c>
      <c r="I46" s="352">
        <f t="shared" si="24"/>
        <v>3.8134464150475056E-2</v>
      </c>
      <c r="J46" s="189">
        <f t="shared" si="24"/>
        <v>-3.1809605719245293E-2</v>
      </c>
      <c r="K46" s="352">
        <f t="shared" si="24"/>
        <v>0.18408860098243873</v>
      </c>
      <c r="L46" s="352">
        <f t="shared" si="24"/>
        <v>0.21100573017728785</v>
      </c>
      <c r="M46" s="352">
        <f t="shared" si="24"/>
        <v>2.4173745852175355E-2</v>
      </c>
      <c r="N46" s="189">
        <f t="shared" si="24"/>
        <v>-0.4050097142035054</v>
      </c>
      <c r="O46" s="352">
        <f t="shared" si="24"/>
        <v>0.47558814262027682</v>
      </c>
      <c r="P46" s="352">
        <f t="shared" si="24"/>
        <v>0.43198428175058345</v>
      </c>
      <c r="Q46" s="352">
        <f t="shared" si="24"/>
        <v>7.1077143477459304E-2</v>
      </c>
      <c r="R46" s="189">
        <f t="shared" si="24"/>
        <v>-2.3768494888271152E-2</v>
      </c>
      <c r="S46" s="352">
        <f t="shared" si="24"/>
        <v>0.18216236960933552</v>
      </c>
      <c r="T46" s="352">
        <f t="shared" si="24"/>
        <v>0.11586441919273183</v>
      </c>
      <c r="U46" s="275">
        <f t="shared" si="24"/>
        <v>1.4207903972547564E-2</v>
      </c>
      <c r="V46" s="352">
        <f t="shared" si="24"/>
        <v>-6.5714319810905364E-2</v>
      </c>
      <c r="W46" s="352">
        <f t="shared" si="24"/>
        <v>0.10092359521935679</v>
      </c>
      <c r="X46" s="352">
        <f t="shared" si="24"/>
        <v>0.22930711377591773</v>
      </c>
      <c r="Y46" s="275">
        <f t="shared" si="24"/>
        <v>-3.976360680415747E-2</v>
      </c>
      <c r="Z46" s="352">
        <f t="shared" si="24"/>
        <v>-2.5137097463169944E-2</v>
      </c>
      <c r="AA46" s="352">
        <f t="shared" si="24"/>
        <v>0.15946016914547245</v>
      </c>
      <c r="AB46" s="352">
        <f t="shared" si="24"/>
        <v>0.12509865426460687</v>
      </c>
      <c r="AC46" s="275">
        <f t="shared" si="24"/>
        <v>-3.623732289838788E-2</v>
      </c>
      <c r="AD46" s="275">
        <f t="shared" si="24"/>
        <v>-5.7000010760428488E-3</v>
      </c>
      <c r="AE46" s="275">
        <f t="shared" si="24"/>
        <v>0.12248495016450422</v>
      </c>
      <c r="AF46" s="275">
        <f t="shared" si="24"/>
        <v>0.13770326679126654</v>
      </c>
      <c r="AG46" s="275">
        <f t="shared" si="24"/>
        <v>-5.4393768216420058E-2</v>
      </c>
      <c r="AH46" s="275">
        <f t="shared" si="24"/>
        <v>-2.1812961715995893E-2</v>
      </c>
      <c r="AI46" s="275">
        <f t="shared" si="24"/>
        <v>6.1038925899642216E-2</v>
      </c>
      <c r="AJ46" s="275">
        <f t="shared" si="24"/>
        <v>3.9717050694856981E-2</v>
      </c>
      <c r="AK46" s="275">
        <f t="shared" si="24"/>
        <v>-3.551943685388359E-2</v>
      </c>
      <c r="AL46" s="275">
        <f t="shared" si="24"/>
        <v>-1.1482779641760033E-2</v>
      </c>
      <c r="AM46" s="442">
        <f t="shared" si="24"/>
        <v>0.14943213399334998</v>
      </c>
      <c r="AN46" s="352">
        <f>AN5/Q5-1</f>
        <v>-0.63661075897822816</v>
      </c>
      <c r="AO46" s="352">
        <f t="shared" ref="AO46:AW46" si="25">AO5/AN5-1</f>
        <v>0.46233017314336156</v>
      </c>
      <c r="AP46" s="352">
        <f t="shared" si="25"/>
        <v>0.30763806992782938</v>
      </c>
      <c r="AQ46" s="352">
        <f t="shared" si="25"/>
        <v>0.47562267658733304</v>
      </c>
      <c r="AR46" s="352">
        <f t="shared" si="25"/>
        <v>7.7089514458421826E-2</v>
      </c>
      <c r="AS46" s="352">
        <f t="shared" si="25"/>
        <v>-1</v>
      </c>
      <c r="AT46" s="352" t="e">
        <f t="shared" si="25"/>
        <v>#DIV/0!</v>
      </c>
      <c r="AU46" s="352" t="e">
        <f t="shared" si="25"/>
        <v>#DIV/0!</v>
      </c>
      <c r="AV46" s="352">
        <f t="shared" si="25"/>
        <v>0.9368346609112872</v>
      </c>
      <c r="AW46" s="352">
        <f t="shared" si="25"/>
        <v>-1</v>
      </c>
      <c r="AY46" s="352"/>
      <c r="AZ46" s="352"/>
      <c r="BA46" s="352"/>
      <c r="BB46" s="352"/>
    </row>
    <row r="47" spans="1:58" s="353" customFormat="1" x14ac:dyDescent="0.3">
      <c r="A47" s="103" t="s">
        <v>24</v>
      </c>
      <c r="E47" s="352"/>
      <c r="H47" s="352">
        <f t="shared" ref="H47:Q50" si="26">H8/D8-1</f>
        <v>0.33151331574193366</v>
      </c>
      <c r="I47" s="352">
        <f t="shared" si="26"/>
        <v>0.33700789703981093</v>
      </c>
      <c r="J47" s="189">
        <f t="shared" si="26"/>
        <v>0.57826357818076302</v>
      </c>
      <c r="K47" s="352">
        <f t="shared" si="26"/>
        <v>1.7952600545630557</v>
      </c>
      <c r="L47" s="352">
        <f t="shared" si="26"/>
        <v>1.0983982249021653</v>
      </c>
      <c r="M47" s="352">
        <f t="shared" si="26"/>
        <v>1.1687440331319348</v>
      </c>
      <c r="N47" s="189">
        <f t="shared" si="26"/>
        <v>2.5077426252727131E-2</v>
      </c>
      <c r="O47" s="352">
        <f t="shared" si="26"/>
        <v>7.9883157959029782E-2</v>
      </c>
      <c r="P47" s="352">
        <f t="shared" si="26"/>
        <v>0.12830364488791202</v>
      </c>
      <c r="Q47" s="352">
        <f t="shared" si="26"/>
        <v>-2.7003140213512244E-2</v>
      </c>
      <c r="R47" s="189">
        <f t="shared" ref="R47:AA50" si="27">R8/N8-1</f>
        <v>0.38558916771513574</v>
      </c>
      <c r="S47" s="352">
        <f t="shared" si="27"/>
        <v>0.45929239536800059</v>
      </c>
      <c r="T47" s="352">
        <f t="shared" si="27"/>
        <v>-4.159841315848456E-3</v>
      </c>
      <c r="U47" s="275">
        <f t="shared" si="27"/>
        <v>0.2672347467545797</v>
      </c>
      <c r="V47" s="352">
        <f t="shared" si="27"/>
        <v>0.49167192927608494</v>
      </c>
      <c r="W47" s="352">
        <f t="shared" si="27"/>
        <v>0.2446228917851152</v>
      </c>
      <c r="X47" s="352">
        <f t="shared" si="27"/>
        <v>0.71691318610794386</v>
      </c>
      <c r="Y47" s="275">
        <f t="shared" si="27"/>
        <v>0.41316506939268538</v>
      </c>
      <c r="Z47" s="352">
        <f t="shared" si="27"/>
        <v>0.845148551430702</v>
      </c>
      <c r="AA47" s="352">
        <f t="shared" si="27"/>
        <v>0.63075041985490565</v>
      </c>
      <c r="AB47" s="352">
        <f t="shared" ref="AB47:AK50" si="28">AB8/X8-1</f>
        <v>0.45812399202199128</v>
      </c>
      <c r="AC47" s="275">
        <f t="shared" si="28"/>
        <v>0.47597912432922485</v>
      </c>
      <c r="AD47" s="275">
        <f t="shared" si="28"/>
        <v>0.29667401289521722</v>
      </c>
      <c r="AE47" s="275">
        <f t="shared" si="28"/>
        <v>0.33435063108303198</v>
      </c>
      <c r="AF47" s="275">
        <f t="shared" si="28"/>
        <v>0.36214250389661529</v>
      </c>
      <c r="AG47" s="275">
        <f t="shared" si="28"/>
        <v>0.33812240933474325</v>
      </c>
      <c r="AH47" s="275">
        <f t="shared" si="28"/>
        <v>0.26139304051798007</v>
      </c>
      <c r="AI47" s="275">
        <f t="shared" si="28"/>
        <v>-0.10256290940731383</v>
      </c>
      <c r="AJ47" s="275">
        <f t="shared" si="28"/>
        <v>-0.31487302436753384</v>
      </c>
      <c r="AK47" s="275">
        <f t="shared" si="28"/>
        <v>-0.27858010551143675</v>
      </c>
      <c r="AL47" s="275">
        <f t="shared" ref="AL47:AU50" si="29">AL8/AH8-1</f>
        <v>-0.19879307782585309</v>
      </c>
      <c r="AM47" s="442">
        <f t="shared" si="29"/>
        <v>0.15390259545907203</v>
      </c>
      <c r="AN47" s="352">
        <f t="shared" ref="AN47:AQ50" si="30">AN8/N8-1</f>
        <v>4.5879642049038605E-2</v>
      </c>
      <c r="AO47" s="352">
        <f t="shared" si="30"/>
        <v>-0.20878609551207128</v>
      </c>
      <c r="AP47" s="352">
        <f t="shared" si="30"/>
        <v>-0.44075413778183126</v>
      </c>
      <c r="AQ47" s="352">
        <f t="shared" si="30"/>
        <v>-4.2669883347721482E-2</v>
      </c>
      <c r="AR47" s="352">
        <f t="shared" ref="AR47:AW50" si="31">AR8/AN8-1</f>
        <v>1.3937933841385215</v>
      </c>
      <c r="AS47" s="352">
        <f t="shared" si="31"/>
        <v>-1</v>
      </c>
      <c r="AT47" s="352">
        <f t="shared" si="31"/>
        <v>-1</v>
      </c>
      <c r="AU47" s="352">
        <f t="shared" si="31"/>
        <v>-2.0352984649647299E-2</v>
      </c>
      <c r="AV47" s="352">
        <f t="shared" si="31"/>
        <v>-0.18339858454762592</v>
      </c>
      <c r="AW47" s="352" t="e">
        <f t="shared" si="31"/>
        <v>#DIV/0!</v>
      </c>
      <c r="AY47" s="352">
        <f t="shared" ref="AY47:BE50" si="32">AY8/AX8-1</f>
        <v>1.1375543047108154</v>
      </c>
      <c r="AZ47" s="352">
        <f t="shared" si="32"/>
        <v>1.0567275900166226</v>
      </c>
      <c r="BA47" s="352">
        <f t="shared" si="32"/>
        <v>0.23613511644989837</v>
      </c>
      <c r="BB47" s="352">
        <f t="shared" si="32"/>
        <v>1.1397204811824038</v>
      </c>
      <c r="BC47" s="352">
        <f t="shared" si="32"/>
        <v>5.351897384400206E-2</v>
      </c>
      <c r="BD47" s="352">
        <f t="shared" si="32"/>
        <v>0.24739943815799648</v>
      </c>
      <c r="BE47" s="352">
        <f t="shared" si="32"/>
        <v>0.45389633425788056</v>
      </c>
      <c r="BF47" s="352"/>
    </row>
    <row r="48" spans="1:58" s="353" customFormat="1" x14ac:dyDescent="0.3">
      <c r="A48" s="93" t="s">
        <v>108</v>
      </c>
      <c r="E48" s="352"/>
      <c r="H48" s="352">
        <f t="shared" si="26"/>
        <v>0.45191857663658075</v>
      </c>
      <c r="I48" s="352">
        <f t="shared" si="26"/>
        <v>0.34882276013918156</v>
      </c>
      <c r="J48" s="189">
        <f t="shared" si="26"/>
        <v>0.3020563507056222</v>
      </c>
      <c r="K48" s="352">
        <f t="shared" si="26"/>
        <v>7.2612021518885905E-2</v>
      </c>
      <c r="L48" s="352">
        <f t="shared" si="26"/>
        <v>0.21471779972900751</v>
      </c>
      <c r="M48" s="352">
        <f t="shared" si="26"/>
        <v>0.17950051719374271</v>
      </c>
      <c r="N48" s="189">
        <f t="shared" si="26"/>
        <v>-0.13671281385991574</v>
      </c>
      <c r="O48" s="352">
        <f t="shared" si="26"/>
        <v>5.5968629416911497E-3</v>
      </c>
      <c r="P48" s="352">
        <f t="shared" si="26"/>
        <v>3.9329266663698403E-2</v>
      </c>
      <c r="Q48" s="352">
        <f t="shared" si="26"/>
        <v>0.43488571431242118</v>
      </c>
      <c r="R48" s="189">
        <f t="shared" si="27"/>
        <v>1.2523973734145266</v>
      </c>
      <c r="S48" s="352">
        <f t="shared" si="27"/>
        <v>1.6001351282687954</v>
      </c>
      <c r="T48" s="352">
        <f t="shared" si="27"/>
        <v>0.95151787981782077</v>
      </c>
      <c r="U48" s="275">
        <f t="shared" si="27"/>
        <v>0.46441773263464547</v>
      </c>
      <c r="V48" s="352">
        <f t="shared" si="27"/>
        <v>0.26355987615466669</v>
      </c>
      <c r="W48" s="352">
        <f t="shared" si="27"/>
        <v>-0.1716890994593141</v>
      </c>
      <c r="X48" s="352">
        <f t="shared" si="27"/>
        <v>-4.4063487670205403E-2</v>
      </c>
      <c r="Y48" s="275">
        <f t="shared" si="27"/>
        <v>-4.2080252642727189E-2</v>
      </c>
      <c r="Z48" s="352">
        <f t="shared" si="27"/>
        <v>0.14577000323312972</v>
      </c>
      <c r="AA48" s="352">
        <f t="shared" si="27"/>
        <v>0.61953446436226156</v>
      </c>
      <c r="AB48" s="352">
        <f t="shared" si="28"/>
        <v>0.55289056404390724</v>
      </c>
      <c r="AC48" s="275">
        <f t="shared" si="28"/>
        <v>0.55339694913850068</v>
      </c>
      <c r="AD48" s="275">
        <f t="shared" si="28"/>
        <v>0.33118075504142119</v>
      </c>
      <c r="AE48" s="275">
        <f t="shared" si="28"/>
        <v>1.9188432505714337E-2</v>
      </c>
      <c r="AF48" s="275">
        <f t="shared" si="28"/>
        <v>6.1976625014152242E-2</v>
      </c>
      <c r="AG48" s="275">
        <f t="shared" si="28"/>
        <v>3.4439541030928611E-2</v>
      </c>
      <c r="AH48" s="275">
        <f t="shared" si="28"/>
        <v>0.11964846386548911</v>
      </c>
      <c r="AI48" s="275">
        <f t="shared" si="28"/>
        <v>0.51821958182492867</v>
      </c>
      <c r="AJ48" s="275">
        <f t="shared" si="28"/>
        <v>0.90867904446698344</v>
      </c>
      <c r="AK48" s="275">
        <f t="shared" si="28"/>
        <v>0.83371484560543996</v>
      </c>
      <c r="AL48" s="275">
        <f t="shared" si="29"/>
        <v>0.47707365703032067</v>
      </c>
      <c r="AM48" s="442">
        <f t="shared" si="29"/>
        <v>9.7892469321232412E-2</v>
      </c>
      <c r="AN48" s="352">
        <f t="shared" si="30"/>
        <v>0.36364562662391742</v>
      </c>
      <c r="AO48" s="352">
        <f t="shared" si="30"/>
        <v>0.56885573822984359</v>
      </c>
      <c r="AP48" s="352">
        <f t="shared" si="30"/>
        <v>0.1506293982391449</v>
      </c>
      <c r="AQ48" s="352">
        <f t="shared" si="30"/>
        <v>0.19308304257531272</v>
      </c>
      <c r="AR48" s="352">
        <f t="shared" si="31"/>
        <v>0.80045845642612568</v>
      </c>
      <c r="AS48" s="352">
        <f t="shared" si="31"/>
        <v>-1</v>
      </c>
      <c r="AT48" s="352">
        <f t="shared" si="31"/>
        <v>-1</v>
      </c>
      <c r="AU48" s="352">
        <f t="shared" si="31"/>
        <v>-0.17590947480474084</v>
      </c>
      <c r="AV48" s="352">
        <f t="shared" si="31"/>
        <v>0.44322464724739796</v>
      </c>
      <c r="AW48" s="352" t="e">
        <f t="shared" si="31"/>
        <v>#DIV/0!</v>
      </c>
      <c r="AY48" s="352">
        <f t="shared" si="32"/>
        <v>0.16750824328710889</v>
      </c>
      <c r="AZ48" s="352">
        <f t="shared" si="32"/>
        <v>0.3084461179216067</v>
      </c>
      <c r="BA48" s="352">
        <f t="shared" si="32"/>
        <v>0.45497799552063456</v>
      </c>
      <c r="BB48" s="352">
        <f t="shared" si="32"/>
        <v>0.18568449992222114</v>
      </c>
      <c r="BC48" s="352">
        <f t="shared" si="32"/>
        <v>0.10965570184749329</v>
      </c>
      <c r="BD48" s="352">
        <f t="shared" si="32"/>
        <v>0.94817697053803185</v>
      </c>
      <c r="BE48" s="352">
        <f t="shared" si="32"/>
        <v>-2.3036235675463423E-2</v>
      </c>
      <c r="BF48" s="352"/>
    </row>
    <row r="49" spans="1:58" s="353" customFormat="1" x14ac:dyDescent="0.3">
      <c r="A49" s="93" t="s">
        <v>109</v>
      </c>
      <c r="E49" s="352"/>
      <c r="H49" s="352">
        <f t="shared" si="26"/>
        <v>0.95084942652633386</v>
      </c>
      <c r="I49" s="352">
        <f t="shared" si="26"/>
        <v>0.72437507667704115</v>
      </c>
      <c r="J49" s="189">
        <f t="shared" si="26"/>
        <v>0.47251110114699801</v>
      </c>
      <c r="K49" s="352">
        <f t="shared" si="26"/>
        <v>0.1927960245023439</v>
      </c>
      <c r="L49" s="352">
        <f t="shared" si="26"/>
        <v>6.6809184141528588E-2</v>
      </c>
      <c r="M49" s="352">
        <f t="shared" si="26"/>
        <v>0.13021274319743514</v>
      </c>
      <c r="N49" s="189">
        <f t="shared" si="26"/>
        <v>0.12787092971857961</v>
      </c>
      <c r="O49" s="352">
        <f t="shared" si="26"/>
        <v>0.16946411261950578</v>
      </c>
      <c r="P49" s="352">
        <f t="shared" si="26"/>
        <v>0.38962799243361745</v>
      </c>
      <c r="Q49" s="352">
        <f t="shared" si="26"/>
        <v>0.45060974112510244</v>
      </c>
      <c r="R49" s="189">
        <f t="shared" si="27"/>
        <v>0.51419708089588401</v>
      </c>
      <c r="S49" s="352">
        <f t="shared" si="27"/>
        <v>0.64123922840432068</v>
      </c>
      <c r="T49" s="352">
        <f t="shared" si="27"/>
        <v>0.58766312472223348</v>
      </c>
      <c r="U49" s="275">
        <f t="shared" si="27"/>
        <v>0.41018170939976284</v>
      </c>
      <c r="V49" s="352">
        <f t="shared" si="27"/>
        <v>0.4031136315924182</v>
      </c>
      <c r="W49" s="352">
        <f t="shared" si="27"/>
        <v>0.33396764863768769</v>
      </c>
      <c r="X49" s="352">
        <f t="shared" si="27"/>
        <v>0.14819501436735916</v>
      </c>
      <c r="Y49" s="275">
        <f t="shared" si="27"/>
        <v>0.14425417414072261</v>
      </c>
      <c r="Z49" s="352">
        <f t="shared" si="27"/>
        <v>3.4505607976006658E-2</v>
      </c>
      <c r="AA49" s="352">
        <f t="shared" si="27"/>
        <v>3.91355258052557E-2</v>
      </c>
      <c r="AB49" s="352">
        <f t="shared" si="28"/>
        <v>-1.7216034881983533E-2</v>
      </c>
      <c r="AC49" s="275">
        <f t="shared" si="28"/>
        <v>3.478151902906168E-2</v>
      </c>
      <c r="AD49" s="275">
        <f t="shared" si="28"/>
        <v>-9.3581094534657128E-3</v>
      </c>
      <c r="AE49" s="275">
        <f t="shared" si="28"/>
        <v>-1.2482671176229476E-2</v>
      </c>
      <c r="AF49" s="275">
        <f t="shared" si="28"/>
        <v>-5.2007486341786313E-3</v>
      </c>
      <c r="AG49" s="275">
        <f t="shared" si="28"/>
        <v>-9.2161056976725053E-4</v>
      </c>
      <c r="AH49" s="275">
        <f t="shared" si="28"/>
        <v>0.15437067625730649</v>
      </c>
      <c r="AI49" s="275">
        <f t="shared" si="28"/>
        <v>0.17237119078296836</v>
      </c>
      <c r="AJ49" s="275">
        <f t="shared" si="28"/>
        <v>0.3104500382829225</v>
      </c>
      <c r="AK49" s="275">
        <f t="shared" si="28"/>
        <v>0.29685118033461344</v>
      </c>
      <c r="AL49" s="275">
        <f t="shared" si="29"/>
        <v>0.22021160666178097</v>
      </c>
      <c r="AM49" s="442">
        <f t="shared" si="29"/>
        <v>0.22522977715804915</v>
      </c>
      <c r="AN49" s="352">
        <f t="shared" si="30"/>
        <v>-0.35973311943871822</v>
      </c>
      <c r="AO49" s="352">
        <f t="shared" si="30"/>
        <v>-8.4337896872897611E-2</v>
      </c>
      <c r="AP49" s="352">
        <f t="shared" si="30"/>
        <v>3.9209526887802548E-2</v>
      </c>
      <c r="AQ49" s="352">
        <f t="shared" si="30"/>
        <v>0.22655552953204783</v>
      </c>
      <c r="AR49" s="352">
        <f t="shared" si="31"/>
        <v>1.7669881782927286</v>
      </c>
      <c r="AS49" s="352">
        <f t="shared" si="31"/>
        <v>-1</v>
      </c>
      <c r="AT49" s="352">
        <f t="shared" si="31"/>
        <v>-1</v>
      </c>
      <c r="AU49" s="352">
        <f t="shared" si="31"/>
        <v>-0.37336747862092989</v>
      </c>
      <c r="AV49" s="352">
        <f t="shared" si="31"/>
        <v>0.25111504929419959</v>
      </c>
      <c r="AW49" s="352" t="e">
        <f t="shared" si="31"/>
        <v>#DIV/0!</v>
      </c>
      <c r="AY49" s="352">
        <f t="shared" si="32"/>
        <v>0.96562220470701376</v>
      </c>
      <c r="AZ49" s="352">
        <f t="shared" si="32"/>
        <v>0.54082649321368303</v>
      </c>
      <c r="BA49" s="352">
        <f t="shared" si="32"/>
        <v>0.93929525145654869</v>
      </c>
      <c r="BB49" s="352">
        <f t="shared" si="32"/>
        <v>0.19425670611858203</v>
      </c>
      <c r="BC49" s="352">
        <f t="shared" si="32"/>
        <v>0.2897167114391479</v>
      </c>
      <c r="BD49" s="352">
        <f t="shared" si="32"/>
        <v>0.5309225216511082</v>
      </c>
      <c r="BE49" s="352">
        <f t="shared" si="32"/>
        <v>0.24372563617670018</v>
      </c>
      <c r="BF49" s="352"/>
    </row>
    <row r="50" spans="1:58" s="353" customFormat="1" x14ac:dyDescent="0.3">
      <c r="A50" s="93" t="s">
        <v>110</v>
      </c>
      <c r="E50" s="352"/>
      <c r="H50" s="352">
        <f t="shared" si="26"/>
        <v>1.360712004347536</v>
      </c>
      <c r="I50" s="352">
        <f t="shared" si="26"/>
        <v>2.1123713831728894</v>
      </c>
      <c r="J50" s="189">
        <f t="shared" si="26"/>
        <v>0.61130468273485983</v>
      </c>
      <c r="K50" s="352">
        <f t="shared" si="26"/>
        <v>4.2248120376225939E-2</v>
      </c>
      <c r="L50" s="352">
        <f t="shared" si="26"/>
        <v>-0.14706390746664078</v>
      </c>
      <c r="M50" s="352">
        <f t="shared" si="26"/>
        <v>-0.45030427816505514</v>
      </c>
      <c r="N50" s="189">
        <f t="shared" si="26"/>
        <v>0.21585892021246411</v>
      </c>
      <c r="O50" s="352">
        <f t="shared" si="26"/>
        <v>0.15936657876640425</v>
      </c>
      <c r="P50" s="352">
        <f t="shared" si="26"/>
        <v>0.46349371998609801</v>
      </c>
      <c r="Q50" s="352">
        <f t="shared" si="26"/>
        <v>0.28166072006125997</v>
      </c>
      <c r="R50" s="189">
        <f t="shared" si="27"/>
        <v>0.30318224898510882</v>
      </c>
      <c r="S50" s="352">
        <f t="shared" si="27"/>
        <v>0.79218836187703934</v>
      </c>
      <c r="T50" s="352">
        <f t="shared" si="27"/>
        <v>0.54465498989261052</v>
      </c>
      <c r="U50" s="275">
        <f t="shared" si="27"/>
        <v>0.24060385112187244</v>
      </c>
      <c r="V50" s="352">
        <f t="shared" si="27"/>
        <v>0.44726724378796301</v>
      </c>
      <c r="W50" s="352">
        <f t="shared" si="27"/>
        <v>0.18383881552569115</v>
      </c>
      <c r="X50" s="352">
        <f t="shared" si="27"/>
        <v>4.9497385129168459E-2</v>
      </c>
      <c r="Y50" s="275">
        <f t="shared" si="27"/>
        <v>-1.4823691535360561E-2</v>
      </c>
      <c r="Z50" s="352">
        <f t="shared" si="27"/>
        <v>-0.19088702367167487</v>
      </c>
      <c r="AA50" s="352">
        <f t="shared" si="27"/>
        <v>-0.16245371456180902</v>
      </c>
      <c r="AB50" s="352">
        <f t="shared" si="28"/>
        <v>1.2977832347146334E-2</v>
      </c>
      <c r="AC50" s="275">
        <f t="shared" si="28"/>
        <v>0.10184204738488689</v>
      </c>
      <c r="AD50" s="275">
        <f t="shared" si="28"/>
        <v>0.15206874547921689</v>
      </c>
      <c r="AE50" s="275">
        <f t="shared" si="28"/>
        <v>0.25985281550420658</v>
      </c>
      <c r="AF50" s="275">
        <f t="shared" si="28"/>
        <v>0.10244169620357901</v>
      </c>
      <c r="AG50" s="275">
        <f t="shared" si="28"/>
        <v>8.8104904637702486E-2</v>
      </c>
      <c r="AH50" s="275">
        <f t="shared" si="28"/>
        <v>0.14301471116113795</v>
      </c>
      <c r="AI50" s="275">
        <f t="shared" si="28"/>
        <v>-5.930021956035203E-3</v>
      </c>
      <c r="AJ50" s="275">
        <f t="shared" si="28"/>
        <v>5.7204334896488573E-2</v>
      </c>
      <c r="AK50" s="275">
        <f t="shared" si="28"/>
        <v>0.24316747493098645</v>
      </c>
      <c r="AL50" s="275">
        <f t="shared" si="29"/>
        <v>0.11852835364217285</v>
      </c>
      <c r="AM50" s="442">
        <f t="shared" si="29"/>
        <v>0.20870863584613364</v>
      </c>
      <c r="AN50" s="352">
        <f t="shared" si="30"/>
        <v>-0.43965308200290221</v>
      </c>
      <c r="AO50" s="352">
        <f t="shared" si="30"/>
        <v>0.19531005974573179</v>
      </c>
      <c r="AP50" s="352">
        <f t="shared" si="30"/>
        <v>7.6411734407313636E-2</v>
      </c>
      <c r="AQ50" s="352">
        <f t="shared" si="30"/>
        <v>1.0787684589029141</v>
      </c>
      <c r="AR50" s="352">
        <f t="shared" si="31"/>
        <v>1.7992101368950433</v>
      </c>
      <c r="AS50" s="352">
        <f t="shared" si="31"/>
        <v>-1</v>
      </c>
      <c r="AT50" s="352">
        <f t="shared" si="31"/>
        <v>-1</v>
      </c>
      <c r="AU50" s="352">
        <f t="shared" si="31"/>
        <v>-0.69843896683485274</v>
      </c>
      <c r="AV50" s="352">
        <f t="shared" si="31"/>
        <v>0.41502825393280007</v>
      </c>
      <c r="AW50" s="352" t="e">
        <f t="shared" si="31"/>
        <v>#DIV/0!</v>
      </c>
      <c r="AY50" s="352">
        <f t="shared" si="32"/>
        <v>-0.40710637360519308</v>
      </c>
      <c r="AZ50" s="352">
        <f t="shared" si="32"/>
        <v>0.2605373837879259</v>
      </c>
      <c r="BA50" s="352">
        <f t="shared" si="32"/>
        <v>1.6856730747975508</v>
      </c>
      <c r="BB50" s="352">
        <f t="shared" si="32"/>
        <v>-0.14524995490159631</v>
      </c>
      <c r="BC50" s="352">
        <f t="shared" si="32"/>
        <v>0.21605295789725187</v>
      </c>
      <c r="BD50" s="352">
        <f t="shared" si="32"/>
        <v>0.46373910454113898</v>
      </c>
      <c r="BE50" s="352">
        <f t="shared" si="32"/>
        <v>0.10134944980484262</v>
      </c>
      <c r="BF50" s="352"/>
    </row>
    <row r="51" spans="1:58" s="353" customFormat="1" x14ac:dyDescent="0.3">
      <c r="A51" s="103" t="s">
        <v>139</v>
      </c>
      <c r="E51" s="352"/>
      <c r="H51" s="352"/>
      <c r="I51" s="352"/>
      <c r="J51" s="189"/>
      <c r="K51" s="352"/>
      <c r="N51" s="190"/>
      <c r="R51" s="190"/>
      <c r="U51" s="276"/>
      <c r="Y51" s="276"/>
      <c r="AC51" s="276"/>
      <c r="AY51" s="352"/>
      <c r="AZ51" s="352"/>
    </row>
    <row r="52" spans="1:58" s="353" customFormat="1" x14ac:dyDescent="0.3">
      <c r="A52" s="71" t="s">
        <v>113</v>
      </c>
      <c r="E52" s="352"/>
      <c r="H52" s="352">
        <f t="shared" ref="H52:AM52" si="33">H16/D16-1</f>
        <v>1.5712923379545525</v>
      </c>
      <c r="I52" s="352">
        <f t="shared" si="33"/>
        <v>1.0432960449504498</v>
      </c>
      <c r="J52" s="189">
        <f t="shared" si="33"/>
        <v>-5.7368266913622401E-2</v>
      </c>
      <c r="K52" s="352">
        <f t="shared" si="33"/>
        <v>-1.3701849161079502</v>
      </c>
      <c r="L52" s="352">
        <f t="shared" si="33"/>
        <v>-1.4799920521073722</v>
      </c>
      <c r="M52" s="352">
        <f t="shared" si="33"/>
        <v>-1.2983915031353657</v>
      </c>
      <c r="N52" s="189">
        <f t="shared" si="33"/>
        <v>-0.30149611029643575</v>
      </c>
      <c r="O52" s="352">
        <f t="shared" si="33"/>
        <v>0.23547676395464889</v>
      </c>
      <c r="P52" s="352">
        <f t="shared" si="33"/>
        <v>-8.1467551092224699E-3</v>
      </c>
      <c r="Q52" s="352">
        <f t="shared" si="33"/>
        <v>-2.9230560624412956</v>
      </c>
      <c r="R52" s="189">
        <f t="shared" si="33"/>
        <v>3.6438038638832486</v>
      </c>
      <c r="S52" s="352">
        <f t="shared" si="33"/>
        <v>-3.129416493567112</v>
      </c>
      <c r="T52" s="352">
        <f t="shared" si="33"/>
        <v>-5.7548084112862616</v>
      </c>
      <c r="U52" s="275">
        <f t="shared" si="33"/>
        <v>0.9293319996102436</v>
      </c>
      <c r="V52" s="352">
        <f t="shared" si="33"/>
        <v>-3.7068127439691234E-2</v>
      </c>
      <c r="W52" s="352">
        <f t="shared" si="33"/>
        <v>-1.3654167477513788</v>
      </c>
      <c r="X52" s="352">
        <f t="shared" si="33"/>
        <v>-1.3441360825463549</v>
      </c>
      <c r="Y52" s="275">
        <f t="shared" si="33"/>
        <v>-1.1691906971114454</v>
      </c>
      <c r="Z52" s="352">
        <f t="shared" si="33"/>
        <v>-2.0457306112673201</v>
      </c>
      <c r="AA52" s="352">
        <f t="shared" si="33"/>
        <v>3.8368734419918278</v>
      </c>
      <c r="AB52" s="352">
        <f t="shared" si="33"/>
        <v>1.031396984662186</v>
      </c>
      <c r="AC52" s="275">
        <f t="shared" si="33"/>
        <v>1.5188737467882514</v>
      </c>
      <c r="AD52" s="275">
        <f t="shared" si="33"/>
        <v>0.4866038010564957</v>
      </c>
      <c r="AE52" s="275">
        <f t="shared" si="33"/>
        <v>1.2772098330373498</v>
      </c>
      <c r="AF52" s="275">
        <f t="shared" si="33"/>
        <v>1.8921296618294945</v>
      </c>
      <c r="AG52" s="275">
        <f t="shared" si="33"/>
        <v>3.7786162704355499</v>
      </c>
      <c r="AH52" s="275">
        <f t="shared" si="33"/>
        <v>0.59920037403076942</v>
      </c>
      <c r="AI52" s="275">
        <f t="shared" si="33"/>
        <v>-0.97376519540926632</v>
      </c>
      <c r="AJ52" s="275">
        <f t="shared" si="33"/>
        <v>-2.3827640015908593</v>
      </c>
      <c r="AK52" s="275">
        <f t="shared" si="33"/>
        <v>-2.7717531281512633</v>
      </c>
      <c r="AL52" s="275">
        <f t="shared" si="33"/>
        <v>-1.5502037262918984</v>
      </c>
      <c r="AM52" s="442">
        <f t="shared" si="33"/>
        <v>3.0234198719535099</v>
      </c>
      <c r="AN52" s="352">
        <f>AN16/N16-1</f>
        <v>-6.9962121791663279E-2</v>
      </c>
      <c r="AO52" s="352">
        <f>AO16/O16-1</f>
        <v>-2.7577963537476244</v>
      </c>
      <c r="AP52" s="352">
        <f>AP16/P16-1</f>
        <v>-4.6087271672948678</v>
      </c>
      <c r="AQ52" s="352">
        <f>AQ16/Q16-1</f>
        <v>1.9090918061135005</v>
      </c>
      <c r="AR52" s="352">
        <f t="shared" ref="AR52:AW52" si="34">AR16/AN16-1</f>
        <v>-0.98752203238466785</v>
      </c>
      <c r="AS52" s="352">
        <f t="shared" si="34"/>
        <v>-1</v>
      </c>
      <c r="AT52" s="352">
        <f t="shared" si="34"/>
        <v>-1</v>
      </c>
      <c r="AU52" s="352">
        <f t="shared" si="34"/>
        <v>-0.72841600440490284</v>
      </c>
      <c r="AV52" s="352">
        <f t="shared" si="34"/>
        <v>703.64271588661836</v>
      </c>
      <c r="AW52" s="352" t="e">
        <f t="shared" si="34"/>
        <v>#DIV/0!</v>
      </c>
      <c r="AY52" s="352">
        <f t="shared" ref="AY52:BE52" si="35">AY16/AX16-1</f>
        <v>-5.1005333826556476E-2</v>
      </c>
      <c r="AZ52" s="352">
        <f t="shared" si="35"/>
        <v>-0.36538719692754973</v>
      </c>
      <c r="BA52" s="352">
        <f t="shared" si="35"/>
        <v>2.3385184803935153</v>
      </c>
      <c r="BB52" s="352">
        <f t="shared" si="35"/>
        <v>-1.1915974710603314</v>
      </c>
      <c r="BC52" s="352">
        <f t="shared" si="35"/>
        <v>-1.2251065370581846</v>
      </c>
      <c r="BD52" s="352">
        <f t="shared" si="35"/>
        <v>35.458349536300538</v>
      </c>
      <c r="BE52" s="352">
        <f t="shared" si="35"/>
        <v>-0.56710108174428842</v>
      </c>
      <c r="BF52" s="352"/>
    </row>
    <row r="53" spans="1:58" s="353" customFormat="1" x14ac:dyDescent="0.3">
      <c r="A53" s="93" t="s">
        <v>118</v>
      </c>
      <c r="E53" s="352"/>
      <c r="H53" s="391">
        <f t="shared" ref="H53:AM53" si="36">1-H20/D20</f>
        <v>-0.39566498943043449</v>
      </c>
      <c r="I53" s="391">
        <f t="shared" si="36"/>
        <v>0.37100873270846446</v>
      </c>
      <c r="J53" s="191">
        <f t="shared" si="36"/>
        <v>1.410998436164896</v>
      </c>
      <c r="K53" s="391">
        <f t="shared" si="36"/>
        <v>2.4651444929373745</v>
      </c>
      <c r="L53" s="391">
        <f t="shared" si="36"/>
        <v>2.9500735981158881</v>
      </c>
      <c r="M53" s="391">
        <f t="shared" si="36"/>
        <v>3.5493183368612957</v>
      </c>
      <c r="N53" s="191">
        <f t="shared" si="36"/>
        <v>0.9099731080863156</v>
      </c>
      <c r="O53" s="391">
        <f t="shared" si="36"/>
        <v>-0.11989227774562394</v>
      </c>
      <c r="P53" s="391">
        <f t="shared" si="36"/>
        <v>-0.1706987394658297</v>
      </c>
      <c r="Q53" s="391">
        <f t="shared" si="36"/>
        <v>1.2704096573566199</v>
      </c>
      <c r="R53" s="191">
        <f t="shared" si="36"/>
        <v>58.676720486069087</v>
      </c>
      <c r="S53" s="391">
        <f t="shared" si="36"/>
        <v>1.475044009110221</v>
      </c>
      <c r="T53" s="391">
        <f t="shared" si="36"/>
        <v>2.5181507505983221</v>
      </c>
      <c r="U53" s="277">
        <f t="shared" si="36"/>
        <v>-2.4113944677557337</v>
      </c>
      <c r="V53" s="391">
        <f t="shared" si="36"/>
        <v>0.22743772461548595</v>
      </c>
      <c r="W53" s="391">
        <f t="shared" si="36"/>
        <v>4.066761237626876</v>
      </c>
      <c r="X53" s="391">
        <f t="shared" si="36"/>
        <v>2.1822105203809574</v>
      </c>
      <c r="Y53" s="277">
        <f t="shared" si="36"/>
        <v>2.4732608267305154</v>
      </c>
      <c r="Z53" s="391">
        <f t="shared" si="36"/>
        <v>4.4018680216061643</v>
      </c>
      <c r="AA53" s="391">
        <f t="shared" si="36"/>
        <v>-1.0202141034585317</v>
      </c>
      <c r="AB53" s="391">
        <f t="shared" si="36"/>
        <v>-0.28895070449520754</v>
      </c>
      <c r="AC53" s="277">
        <f t="shared" si="36"/>
        <v>-0.26462477578479127</v>
      </c>
      <c r="AD53" s="277">
        <f t="shared" si="36"/>
        <v>-0.28876807312609598</v>
      </c>
      <c r="AE53" s="277">
        <f t="shared" si="36"/>
        <v>-0.9521716724476661</v>
      </c>
      <c r="AF53" s="277">
        <f t="shared" si="36"/>
        <v>-1.3475076992975343</v>
      </c>
      <c r="AG53" s="277">
        <f t="shared" si="36"/>
        <v>-2.077281683663577</v>
      </c>
      <c r="AH53" s="277">
        <f t="shared" si="36"/>
        <v>-0.52430770290680329</v>
      </c>
      <c r="AI53" s="277">
        <f t="shared" si="36"/>
        <v>0.81450214799122078</v>
      </c>
      <c r="AJ53" s="277">
        <f t="shared" si="36"/>
        <v>2.0215221804756309</v>
      </c>
      <c r="AK53" s="277">
        <f t="shared" si="36"/>
        <v>2.2171701471335616</v>
      </c>
      <c r="AL53" s="277">
        <f t="shared" si="36"/>
        <v>1.2478870782427709</v>
      </c>
      <c r="AM53" s="444">
        <f t="shared" si="36"/>
        <v>-0.4730796010440117</v>
      </c>
      <c r="AN53" s="391">
        <f>1-AN20/N20</f>
        <v>12.944784682045944</v>
      </c>
      <c r="AO53" s="391">
        <f>1-AO20/O20</f>
        <v>1.8422012408749335</v>
      </c>
      <c r="AP53" s="391">
        <f>1-AP20/P20</f>
        <v>2.0119331733322765</v>
      </c>
      <c r="AQ53" s="391">
        <f>1-AQ20/Q20</f>
        <v>-2.439839898969324</v>
      </c>
      <c r="AR53" s="391">
        <f t="shared" ref="AR53:AW53" si="37">1-AR20/AN20</f>
        <v>6.653414422100675</v>
      </c>
      <c r="AS53" s="391">
        <f t="shared" si="37"/>
        <v>1</v>
      </c>
      <c r="AT53" s="391">
        <f t="shared" si="37"/>
        <v>1</v>
      </c>
      <c r="AU53" s="391">
        <f t="shared" si="37"/>
        <v>1</v>
      </c>
      <c r="AV53" s="391">
        <f t="shared" si="37"/>
        <v>1</v>
      </c>
      <c r="AW53" s="391" t="e">
        <f t="shared" si="37"/>
        <v>#DIV/0!</v>
      </c>
      <c r="AX53" s="352"/>
      <c r="AY53" s="352">
        <f t="shared" ref="AY53:BE53" si="38">AY20/AX20-1</f>
        <v>-0.12208479767842939</v>
      </c>
      <c r="AZ53" s="352">
        <f t="shared" si="38"/>
        <v>-0.46145587979619518</v>
      </c>
      <c r="BA53" s="352">
        <f t="shared" si="38"/>
        <v>0.75860452312588067</v>
      </c>
      <c r="BB53" s="352">
        <f t="shared" si="38"/>
        <v>-2.5322967803455594</v>
      </c>
      <c r="BC53" s="352">
        <f t="shared" si="38"/>
        <v>-0.34683263588981739</v>
      </c>
      <c r="BD53" s="352">
        <f t="shared" si="38"/>
        <v>-3.0460974068968603</v>
      </c>
      <c r="BE53" s="352">
        <f t="shared" si="38"/>
        <v>-2.0031475924059188</v>
      </c>
      <c r="BF53" s="352"/>
    </row>
    <row r="54" spans="1:58" s="353" customFormat="1" x14ac:dyDescent="0.3">
      <c r="A54" s="103" t="s">
        <v>127</v>
      </c>
      <c r="E54" s="352"/>
      <c r="H54" s="352">
        <f t="shared" ref="H54:AM54" si="39">H33/D33-1</f>
        <v>18.042307555885081</v>
      </c>
      <c r="I54" s="352">
        <f t="shared" si="39"/>
        <v>0.56558318942708663</v>
      </c>
      <c r="J54" s="189">
        <f t="shared" si="39"/>
        <v>-1.0989920058014055</v>
      </c>
      <c r="K54" s="352">
        <f t="shared" si="39"/>
        <v>-1.1314768998977642</v>
      </c>
      <c r="L54" s="352">
        <f t="shared" si="39"/>
        <v>-1.0173695299686978</v>
      </c>
      <c r="M54" s="352">
        <f t="shared" si="39"/>
        <v>-1.4277027589059039</v>
      </c>
      <c r="N54" s="189">
        <f t="shared" si="39"/>
        <v>0.10182442284749493</v>
      </c>
      <c r="O54" s="352">
        <f t="shared" si="39"/>
        <v>1.1785076768857579</v>
      </c>
      <c r="P54" s="352">
        <f t="shared" si="39"/>
        <v>3.3732693036809902</v>
      </c>
      <c r="Q54" s="352">
        <f t="shared" si="39"/>
        <v>-2.5368862927442244</v>
      </c>
      <c r="R54" s="189">
        <f t="shared" si="39"/>
        <v>2.0661074237721286</v>
      </c>
      <c r="S54" s="352">
        <f t="shared" si="39"/>
        <v>-2.5185973456472572</v>
      </c>
      <c r="T54" s="352">
        <f t="shared" si="39"/>
        <v>-2.5594881253776105</v>
      </c>
      <c r="U54" s="275">
        <f t="shared" si="39"/>
        <v>1.3789912364344747</v>
      </c>
      <c r="V54" s="352">
        <f t="shared" si="39"/>
        <v>0.17767205068071856</v>
      </c>
      <c r="W54" s="352">
        <f t="shared" si="39"/>
        <v>-0.66749037279803358</v>
      </c>
      <c r="X54" s="352">
        <f t="shared" si="39"/>
        <v>-1.1522538210906064</v>
      </c>
      <c r="Y54" s="275">
        <f t="shared" si="39"/>
        <v>-0.79346735089530152</v>
      </c>
      <c r="Z54" s="352">
        <f t="shared" si="39"/>
        <v>-1.5889438193262473</v>
      </c>
      <c r="AA54" s="352">
        <f t="shared" si="39"/>
        <v>-5.1922345964748162</v>
      </c>
      <c r="AB54" s="352">
        <f t="shared" si="39"/>
        <v>1.3941390389153852</v>
      </c>
      <c r="AC54" s="275">
        <f t="shared" si="39"/>
        <v>-4.2168686389609586</v>
      </c>
      <c r="AD54" s="275">
        <f t="shared" si="39"/>
        <v>0.5986283720873451</v>
      </c>
      <c r="AE54" s="275">
        <f t="shared" si="39"/>
        <v>1.4264147305834358</v>
      </c>
      <c r="AF54" s="275">
        <f t="shared" si="39"/>
        <v>2.5803273596988117</v>
      </c>
      <c r="AG54" s="275">
        <f t="shared" si="39"/>
        <v>0.75403930346435422</v>
      </c>
      <c r="AH54" s="275">
        <f t="shared" si="39"/>
        <v>0.87314571355186898</v>
      </c>
      <c r="AI54" s="275">
        <f t="shared" si="39"/>
        <v>-0.9678219587894582</v>
      </c>
      <c r="AJ54" s="275">
        <f t="shared" si="39"/>
        <v>-2.4482825200929597</v>
      </c>
      <c r="AK54" s="275">
        <f t="shared" si="39"/>
        <v>-3.4339694419091069</v>
      </c>
      <c r="AL54" s="275">
        <f t="shared" si="39"/>
        <v>-1.6788644191836832</v>
      </c>
      <c r="AM54" s="442">
        <f t="shared" si="39"/>
        <v>4.8999332048530508</v>
      </c>
      <c r="AN54" s="352">
        <f>AN33/O33-1</f>
        <v>2.0997379852600306</v>
      </c>
      <c r="AO54" s="352">
        <f>AO33/P33-1</f>
        <v>-5.0877802424014806</v>
      </c>
      <c r="AP54" s="352">
        <f>AP33/Q33-1</f>
        <v>-4.0133195680419487</v>
      </c>
      <c r="AQ54" s="352">
        <f>AQ33/R33-1</f>
        <v>-2.4513838235063306</v>
      </c>
      <c r="AR54" s="352">
        <f t="shared" ref="AR54:AW54" si="40">AR33/AN33-1</f>
        <v>-4.7296139443951279E-2</v>
      </c>
      <c r="AS54" s="352">
        <f t="shared" si="40"/>
        <v>-1</v>
      </c>
      <c r="AT54" s="352">
        <f t="shared" si="40"/>
        <v>1.974501864546907E-2</v>
      </c>
      <c r="AU54" s="352">
        <f t="shared" si="40"/>
        <v>-0.64696967519514603</v>
      </c>
      <c r="AV54" s="352">
        <f t="shared" si="40"/>
        <v>-12.713008987189589</v>
      </c>
      <c r="AW54" s="352" t="e">
        <f t="shared" si="40"/>
        <v>#DIV/0!</v>
      </c>
      <c r="AY54" s="352"/>
      <c r="AZ54" s="352"/>
    </row>
    <row r="55" spans="1:58" s="353" customFormat="1" x14ac:dyDescent="0.3">
      <c r="A55" s="72" t="s">
        <v>140</v>
      </c>
      <c r="E55" s="352"/>
      <c r="H55" s="352">
        <f>H38/D38-1</f>
        <v>16.802973563539268</v>
      </c>
      <c r="I55" s="352"/>
      <c r="J55" s="189"/>
      <c r="K55" s="352"/>
      <c r="N55" s="190"/>
      <c r="R55" s="190"/>
      <c r="U55" s="276"/>
      <c r="Y55" s="276"/>
      <c r="AC55" s="276"/>
      <c r="AE55" s="93"/>
      <c r="AF55" s="93"/>
      <c r="AG55" s="93"/>
      <c r="AH55" s="93"/>
      <c r="AI55" s="93"/>
      <c r="AJ55" s="93"/>
      <c r="AK55" s="93"/>
      <c r="AL55" s="93"/>
      <c r="AM55" s="93"/>
      <c r="AP55" s="352">
        <f>AP38/AN38-1</f>
        <v>1.4732628939313499</v>
      </c>
      <c r="AQ55" s="352"/>
      <c r="AR55" s="352">
        <f>AR38/AP38-1</f>
        <v>-1.0159304503666928</v>
      </c>
      <c r="AS55" s="352"/>
      <c r="AU55" s="352"/>
      <c r="AV55" s="352">
        <f>AV38/AU38-1</f>
        <v>5.8097119698513584</v>
      </c>
      <c r="AY55" s="352">
        <f t="shared" ref="AY55:BE55" si="41">AY38/AX38-1</f>
        <v>-0.39110217470681552</v>
      </c>
      <c r="AZ55" s="352">
        <f t="shared" si="41"/>
        <v>2.8109896525195857</v>
      </c>
      <c r="BA55" s="352">
        <f t="shared" si="41"/>
        <v>5.2446478783645896</v>
      </c>
      <c r="BB55" s="352">
        <f t="shared" si="41"/>
        <v>-1.0369052884944292</v>
      </c>
      <c r="BC55" s="352">
        <f t="shared" si="41"/>
        <v>-0.48921003966360455</v>
      </c>
      <c r="BD55" s="352">
        <f t="shared" si="41"/>
        <v>-10.002488670941274</v>
      </c>
      <c r="BE55" s="352">
        <f t="shared" si="41"/>
        <v>-0.69252309668333245</v>
      </c>
      <c r="BF55" s="352"/>
    </row>
    <row r="56" spans="1:58" x14ac:dyDescent="0.3">
      <c r="E56" s="54"/>
      <c r="AP56" s="54"/>
      <c r="AU56" s="54"/>
    </row>
    <row r="57" spans="1:58" x14ac:dyDescent="0.3">
      <c r="A57" s="102" t="s">
        <v>141</v>
      </c>
      <c r="E57" s="54"/>
      <c r="AP57" s="54"/>
      <c r="AU57" s="54"/>
    </row>
    <row r="58" spans="1:58" s="93" customFormat="1" x14ac:dyDescent="0.3">
      <c r="A58" s="103" t="s">
        <v>25</v>
      </c>
      <c r="B58" s="103"/>
      <c r="C58" s="103"/>
      <c r="D58" s="151">
        <f t="shared" ref="D58:AR58" si="42">IFERROR(D8/D5,"")</f>
        <v>0.35488829824403989</v>
      </c>
      <c r="E58" s="151">
        <f t="shared" si="42"/>
        <v>0.31994158110571286</v>
      </c>
      <c r="F58" s="151">
        <f t="shared" si="42"/>
        <v>0.28487406234448537</v>
      </c>
      <c r="G58" s="151">
        <f t="shared" si="42"/>
        <v>0.18846908237931675</v>
      </c>
      <c r="H58" s="151">
        <f t="shared" si="42"/>
        <v>0.23963311174423946</v>
      </c>
      <c r="I58" s="151">
        <f t="shared" si="42"/>
        <v>0.22627337900483208</v>
      </c>
      <c r="J58" s="194">
        <f t="shared" si="42"/>
        <v>0.26439287700657033</v>
      </c>
      <c r="K58" s="151">
        <f t="shared" si="42"/>
        <v>0.34975937466262924</v>
      </c>
      <c r="L58" s="355">
        <f t="shared" si="42"/>
        <v>0.3488911558383217</v>
      </c>
      <c r="M58" s="355">
        <f t="shared" si="42"/>
        <v>0.34512542379671068</v>
      </c>
      <c r="N58" s="192">
        <f t="shared" si="42"/>
        <v>0.31016479936864799</v>
      </c>
      <c r="O58" s="355">
        <f t="shared" si="42"/>
        <v>0.34685763845138207</v>
      </c>
      <c r="P58" s="355">
        <f t="shared" si="42"/>
        <v>0.30572364582728956</v>
      </c>
      <c r="Q58" s="355">
        <f t="shared" si="42"/>
        <v>0.24937582916850223</v>
      </c>
      <c r="R58" s="192">
        <f t="shared" si="42"/>
        <v>0.1945136167449863</v>
      </c>
      <c r="S58" s="355">
        <f t="shared" si="42"/>
        <v>0.28595956620079621</v>
      </c>
      <c r="T58" s="355">
        <f t="shared" si="42"/>
        <v>0.22072754573732981</v>
      </c>
      <c r="U58" s="278">
        <f t="shared" si="42"/>
        <v>0.24195971204002784</v>
      </c>
      <c r="V58" s="355">
        <f t="shared" si="42"/>
        <v>0.23212829547992583</v>
      </c>
      <c r="W58" s="355">
        <f t="shared" si="42"/>
        <v>0.30575046159217956</v>
      </c>
      <c r="X58" s="355">
        <f t="shared" si="42"/>
        <v>0.29551573668853803</v>
      </c>
      <c r="Y58" s="278">
        <f t="shared" si="42"/>
        <v>0.28161807411901946</v>
      </c>
      <c r="Z58" s="355">
        <f t="shared" si="42"/>
        <v>0.33808051292283636</v>
      </c>
      <c r="AA58" s="355">
        <f t="shared" si="42"/>
        <v>0.37369448258847132</v>
      </c>
      <c r="AB58" s="355">
        <f t="shared" si="42"/>
        <v>0.35286365120011981</v>
      </c>
      <c r="AC58" s="278">
        <f t="shared" si="42"/>
        <v>0.3391412779244819</v>
      </c>
      <c r="AD58" s="278">
        <f t="shared" si="42"/>
        <v>0.35068481739503821</v>
      </c>
      <c r="AE58" s="278">
        <f t="shared" si="42"/>
        <v>0.41202918230481045</v>
      </c>
      <c r="AF58" s="278">
        <f t="shared" si="42"/>
        <v>0.39276465058803406</v>
      </c>
      <c r="AG58" s="278">
        <f t="shared" si="42"/>
        <v>0.37795422068270679</v>
      </c>
      <c r="AH58" s="278">
        <f t="shared" si="42"/>
        <v>0.37447741737635792</v>
      </c>
      <c r="AI58" s="278">
        <f t="shared" si="42"/>
        <v>0.33116119384393461</v>
      </c>
      <c r="AJ58" s="278">
        <f t="shared" si="42"/>
        <v>0.26370887651743624</v>
      </c>
      <c r="AK58" s="278">
        <f t="shared" si="42"/>
        <v>0.26197837703348953</v>
      </c>
      <c r="AL58" s="278">
        <f t="shared" si="42"/>
        <v>0.28526344549878491</v>
      </c>
      <c r="AM58" s="279">
        <f t="shared" si="42"/>
        <v>0.33537630078880348</v>
      </c>
      <c r="AN58" s="355">
        <f t="shared" si="42"/>
        <v>0.39443731473821436</v>
      </c>
      <c r="AO58" s="355">
        <f t="shared" si="42"/>
        <v>0.33671980796830681</v>
      </c>
      <c r="AP58" s="355">
        <f t="shared" si="42"/>
        <v>0.22972380227029729</v>
      </c>
      <c r="AQ58" s="355">
        <f t="shared" si="42"/>
        <v>0.23282826190112613</v>
      </c>
      <c r="AR58" s="355">
        <f t="shared" si="42"/>
        <v>0.31067373609574156</v>
      </c>
      <c r="AS58" s="355"/>
      <c r="AT58" s="355" t="str">
        <f t="shared" ref="AT58:BE58" si="43">IFERROR(AT8/AT5,"")</f>
        <v/>
      </c>
      <c r="AU58" s="355">
        <f t="shared" si="43"/>
        <v>0.37812402875944423</v>
      </c>
      <c r="AV58" s="355">
        <f t="shared" si="43"/>
        <v>0.23388527421710359</v>
      </c>
      <c r="AW58" s="355" t="str">
        <f t="shared" si="43"/>
        <v/>
      </c>
      <c r="AX58" s="355">
        <f t="shared" si="43"/>
        <v>0.69158580617518117</v>
      </c>
      <c r="AY58" s="355">
        <f t="shared" si="43"/>
        <v>0.45743769458712019</v>
      </c>
      <c r="AZ58" s="355">
        <f t="shared" si="43"/>
        <v>0.36016000595614472</v>
      </c>
      <c r="BA58" s="355">
        <f t="shared" si="43"/>
        <v>0.23157425026995607</v>
      </c>
      <c r="BB58" s="355">
        <f t="shared" si="43"/>
        <v>0.3313941845386762</v>
      </c>
      <c r="BC58" s="355">
        <f t="shared" si="43"/>
        <v>0.29661820935513378</v>
      </c>
      <c r="BD58" s="355">
        <f t="shared" si="43"/>
        <v>0.23711607739352994</v>
      </c>
      <c r="BE58" s="355">
        <f t="shared" si="43"/>
        <v>0.28075285217043627</v>
      </c>
      <c r="BF58" s="355"/>
    </row>
    <row r="59" spans="1:58" s="112" customFormat="1" x14ac:dyDescent="0.3">
      <c r="A59" s="112" t="s">
        <v>142</v>
      </c>
      <c r="E59" s="355"/>
      <c r="J59" s="193"/>
      <c r="N59" s="193"/>
      <c r="R59" s="193"/>
      <c r="U59" s="279"/>
      <c r="Y59" s="279"/>
      <c r="AC59" s="279"/>
      <c r="AP59" s="355"/>
      <c r="AU59" s="355"/>
      <c r="AV59" s="355"/>
    </row>
    <row r="60" spans="1:58" s="112" customFormat="1" x14ac:dyDescent="0.3">
      <c r="A60" s="110" t="s">
        <v>108</v>
      </c>
      <c r="D60" s="355">
        <f t="shared" ref="D60:AM60" si="44">IFERROR(-D9/D5,"")</f>
        <v>0.32909087601185716</v>
      </c>
      <c r="E60" s="355">
        <f t="shared" si="44"/>
        <v>0.32096493319859198</v>
      </c>
      <c r="F60" s="355">
        <f t="shared" si="44"/>
        <v>0.25244674907803177</v>
      </c>
      <c r="G60" s="355">
        <f t="shared" si="44"/>
        <v>0.25663707067927288</v>
      </c>
      <c r="H60" s="355">
        <f t="shared" si="44"/>
        <v>0.24230799131411151</v>
      </c>
      <c r="I60" s="355">
        <f t="shared" si="44"/>
        <v>0.22900305461896239</v>
      </c>
      <c r="J60" s="192">
        <f t="shared" si="44"/>
        <v>0.19329333092445453</v>
      </c>
      <c r="K60" s="355">
        <f t="shared" si="44"/>
        <v>0.1827549206085485</v>
      </c>
      <c r="L60" s="355">
        <f t="shared" si="44"/>
        <v>0.20422003948623879</v>
      </c>
      <c r="M60" s="355">
        <f t="shared" si="44"/>
        <v>0.18996544281351546</v>
      </c>
      <c r="N60" s="192">
        <f t="shared" si="44"/>
        <v>0.19096696784453662</v>
      </c>
      <c r="O60" s="355">
        <f t="shared" si="44"/>
        <v>0.16877111518856791</v>
      </c>
      <c r="P60" s="355">
        <f t="shared" si="44"/>
        <v>0.16484075350717525</v>
      </c>
      <c r="Q60" s="355">
        <f t="shared" si="44"/>
        <v>0.20242207925922551</v>
      </c>
      <c r="R60" s="192">
        <f t="shared" si="44"/>
        <v>0.19468221831799223</v>
      </c>
      <c r="S60" s="355">
        <f t="shared" si="44"/>
        <v>0.24791630255302469</v>
      </c>
      <c r="T60" s="355">
        <f t="shared" si="44"/>
        <v>0.23322494228371163</v>
      </c>
      <c r="U60" s="278">
        <f t="shared" si="44"/>
        <v>0.22696270044142805</v>
      </c>
      <c r="V60" s="355">
        <f t="shared" si="44"/>
        <v>0.19680080427495411</v>
      </c>
      <c r="W60" s="355">
        <f t="shared" si="44"/>
        <v>0.17640998789065915</v>
      </c>
      <c r="X60" s="355">
        <f t="shared" si="44"/>
        <v>0.17385203813571151</v>
      </c>
      <c r="Y60" s="278">
        <f t="shared" si="44"/>
        <v>0.17906396119845056</v>
      </c>
      <c r="Z60" s="355">
        <f t="shared" si="44"/>
        <v>0.17798566952870298</v>
      </c>
      <c r="AA60" s="355">
        <f t="shared" si="44"/>
        <v>0.21412897097760741</v>
      </c>
      <c r="AB60" s="355">
        <f t="shared" si="44"/>
        <v>0.22108154577247383</v>
      </c>
      <c r="AC60" s="278">
        <f t="shared" si="44"/>
        <v>0.22695018889165294</v>
      </c>
      <c r="AD60" s="278">
        <f t="shared" si="44"/>
        <v>0.18953441762640488</v>
      </c>
      <c r="AE60" s="278">
        <f t="shared" si="44"/>
        <v>0.18033135298641742</v>
      </c>
      <c r="AF60" s="278">
        <f t="shared" si="44"/>
        <v>0.19185378670658432</v>
      </c>
      <c r="AG60" s="278">
        <f t="shared" si="44"/>
        <v>0.19552323081496353</v>
      </c>
      <c r="AH60" s="278">
        <f t="shared" si="44"/>
        <v>0.17965032711460405</v>
      </c>
      <c r="AI60" s="278">
        <f t="shared" si="44"/>
        <v>0.24519594192016417</v>
      </c>
      <c r="AJ60" s="278">
        <f t="shared" si="44"/>
        <v>0.35885959962367253</v>
      </c>
      <c r="AK60" s="278">
        <f t="shared" si="44"/>
        <v>0.34448340011098583</v>
      </c>
      <c r="AL60" s="278">
        <f t="shared" si="44"/>
        <v>0.25229344254202701</v>
      </c>
      <c r="AM60" s="279">
        <f t="shared" si="44"/>
        <v>0.23626362589375746</v>
      </c>
      <c r="AN60" s="355">
        <f t="shared" ref="AN60:AO62" si="45">IFERROR(-AN9/$AN$5,"")</f>
        <v>0.31663837806638351</v>
      </c>
      <c r="AO60" s="355">
        <f t="shared" si="45"/>
        <v>0.47506174878779472</v>
      </c>
      <c r="AP60" s="355">
        <f>IFERROR(-AP9/AP5,"")</f>
        <v>0.25484390040969984</v>
      </c>
      <c r="AQ60" s="355">
        <f>IFERROR(-AQ9/AQ5,"")</f>
        <v>0.23553105212313827</v>
      </c>
      <c r="AR60" s="355">
        <f>IFERROR(-AR9/AR5,"")</f>
        <v>0.18758000431218841</v>
      </c>
      <c r="AS60" s="355"/>
      <c r="AT60" s="355" t="str">
        <f t="shared" ref="AT60:BE60" si="46">IFERROR(-AT9/AT5,"")</f>
        <v/>
      </c>
      <c r="AU60" s="355">
        <f t="shared" si="46"/>
        <v>0.32177481831552301</v>
      </c>
      <c r="AV60" s="355">
        <f t="shared" si="46"/>
        <v>0.24957937272831224</v>
      </c>
      <c r="AW60" s="355" t="str">
        <f t="shared" si="46"/>
        <v/>
      </c>
      <c r="AX60" s="355">
        <f t="shared" si="46"/>
        <v>1.7768188229837627</v>
      </c>
      <c r="AY60" s="355">
        <f t="shared" si="46"/>
        <v>0.64190657323636136</v>
      </c>
      <c r="AZ60" s="355">
        <f t="shared" si="46"/>
        <v>0.32152476361182286</v>
      </c>
      <c r="BA60" s="355">
        <f t="shared" si="46"/>
        <v>0.24333226046930856</v>
      </c>
      <c r="BB60" s="355">
        <f t="shared" si="46"/>
        <v>0.19295960686622052</v>
      </c>
      <c r="BC60" s="355">
        <f t="shared" si="46"/>
        <v>0.18191362113048787</v>
      </c>
      <c r="BD60" s="355">
        <f t="shared" si="46"/>
        <v>0.22711785249292996</v>
      </c>
      <c r="BE60" s="355">
        <f t="shared" si="46"/>
        <v>0.18070054509526196</v>
      </c>
      <c r="BF60" s="355"/>
    </row>
    <row r="61" spans="1:58" s="112" customFormat="1" x14ac:dyDescent="0.3">
      <c r="A61" s="110" t="s">
        <v>109</v>
      </c>
      <c r="D61" s="355">
        <f t="shared" ref="D61:AM61" si="47">IFERROR(-D10/D5,"")</f>
        <v>0.1061617383703357</v>
      </c>
      <c r="E61" s="355">
        <f t="shared" si="47"/>
        <v>0.10971451340467141</v>
      </c>
      <c r="F61" s="355">
        <f t="shared" si="47"/>
        <v>0.12263700876882018</v>
      </c>
      <c r="G61" s="355">
        <f t="shared" si="47"/>
        <v>0.11304078004538518</v>
      </c>
      <c r="H61" s="355">
        <f t="shared" si="47"/>
        <v>0.10502710762356404</v>
      </c>
      <c r="I61" s="355">
        <f t="shared" si="47"/>
        <v>0.10007477484228507</v>
      </c>
      <c r="J61" s="192">
        <f t="shared" si="47"/>
        <v>0.10619337761386646</v>
      </c>
      <c r="K61" s="355">
        <f t="shared" si="47"/>
        <v>8.9517585168957053E-2</v>
      </c>
      <c r="L61" s="355">
        <f t="shared" si="47"/>
        <v>7.7739792007813877E-2</v>
      </c>
      <c r="M61" s="355">
        <f t="shared" si="47"/>
        <v>7.954630566036891E-2</v>
      </c>
      <c r="N61" s="355">
        <f t="shared" si="47"/>
        <v>0.13707016168844877</v>
      </c>
      <c r="O61" s="355">
        <f t="shared" si="47"/>
        <v>9.6139174447271047E-2</v>
      </c>
      <c r="P61" s="355">
        <f t="shared" si="47"/>
        <v>8.3898656551477435E-2</v>
      </c>
      <c r="Q61" s="355">
        <f t="shared" si="47"/>
        <v>8.5691268075029414E-2</v>
      </c>
      <c r="R61" s="355">
        <f t="shared" si="47"/>
        <v>9.3939523120946139E-2</v>
      </c>
      <c r="S61" s="355">
        <f t="shared" si="47"/>
        <v>8.914219518295019E-2</v>
      </c>
      <c r="T61" s="355">
        <f t="shared" si="47"/>
        <v>9.6572001645730834E-2</v>
      </c>
      <c r="U61" s="355">
        <f t="shared" si="47"/>
        <v>9.252163024500086E-2</v>
      </c>
      <c r="V61" s="355">
        <f t="shared" si="47"/>
        <v>0.10544984634771017</v>
      </c>
      <c r="W61" s="355">
        <f t="shared" si="47"/>
        <v>0.10215351836100425</v>
      </c>
      <c r="X61" s="355">
        <f t="shared" si="47"/>
        <v>8.6465455185633117E-2</v>
      </c>
      <c r="Y61" s="355">
        <f t="shared" si="47"/>
        <v>8.7194753261819566E-2</v>
      </c>
      <c r="Z61" s="355">
        <f t="shared" si="47"/>
        <v>8.6107210491779648E-2</v>
      </c>
      <c r="AA61" s="355">
        <f t="shared" si="47"/>
        <v>7.9558683352680654E-2</v>
      </c>
      <c r="AB61" s="355">
        <f t="shared" si="47"/>
        <v>6.9587710668093328E-2</v>
      </c>
      <c r="AC61" s="355">
        <f t="shared" si="47"/>
        <v>7.3617138070448396E-2</v>
      </c>
      <c r="AD61" s="355">
        <f t="shared" si="47"/>
        <v>6.8237361694606105E-2</v>
      </c>
      <c r="AE61" s="355">
        <f t="shared" si="47"/>
        <v>6.4919271513004015E-2</v>
      </c>
      <c r="AF61" s="355">
        <f t="shared" si="47"/>
        <v>5.6568013024609093E-2</v>
      </c>
      <c r="AG61" s="355">
        <f t="shared" si="47"/>
        <v>6.1254951219212303E-2</v>
      </c>
      <c r="AH61" s="355">
        <f t="shared" si="47"/>
        <v>6.6684630910688977E-2</v>
      </c>
      <c r="AI61" s="355">
        <f t="shared" si="47"/>
        <v>6.816261195498978E-2</v>
      </c>
      <c r="AJ61" s="355">
        <f t="shared" si="47"/>
        <v>7.264616277420835E-2</v>
      </c>
      <c r="AK61" s="355">
        <f t="shared" si="47"/>
        <v>7.632546751622693E-2</v>
      </c>
      <c r="AL61" s="355">
        <f t="shared" si="47"/>
        <v>7.7363605401848737E-2</v>
      </c>
      <c r="AM61" s="112">
        <f t="shared" si="47"/>
        <v>7.3297227477442259E-2</v>
      </c>
      <c r="AN61" s="355">
        <f t="shared" si="45"/>
        <v>0.10671064336238542</v>
      </c>
      <c r="AO61" s="355">
        <f t="shared" si="45"/>
        <v>0.15794451960411973</v>
      </c>
      <c r="AP61" s="355">
        <f>IFERROR(-AP10/AP5,"")</f>
        <v>0.11714730782162795</v>
      </c>
      <c r="AQ61" s="355">
        <f>IFERROR(-AQ10/AQ5,"")</f>
        <v>0.10250461098331867</v>
      </c>
      <c r="AR61" s="355">
        <f>IFERROR(-AR10/AR5,"")</f>
        <v>9.7152711526655347E-2</v>
      </c>
      <c r="AS61" s="355"/>
      <c r="AT61" s="355">
        <f>IFERROR(-AT10/$AN$5,"")</f>
        <v>0</v>
      </c>
      <c r="AU61" s="355">
        <f>IFERROR(-AU10/AU5,"")</f>
        <v>0.10648422953710608</v>
      </c>
      <c r="AV61" s="355">
        <f>IFERROR(-AV10/AV5,"")</f>
        <v>0.11205735950115694</v>
      </c>
      <c r="AW61" s="355">
        <f t="shared" ref="AW61:BE61" si="48">IFERROR(-AW10/$AN$5,"")</f>
        <v>0</v>
      </c>
      <c r="AX61" s="355">
        <f t="shared" si="48"/>
        <v>8.7382926236098862E-2</v>
      </c>
      <c r="AY61" s="355">
        <f t="shared" si="48"/>
        <v>0.17176182012195099</v>
      </c>
      <c r="AZ61" s="355">
        <f t="shared" si="48"/>
        <v>0.26465516296650515</v>
      </c>
      <c r="BA61" s="355">
        <f t="shared" si="48"/>
        <v>0.51324450081440254</v>
      </c>
      <c r="BB61" s="355">
        <f t="shared" si="48"/>
        <v>0.6129456869760842</v>
      </c>
      <c r="BC61" s="355">
        <f t="shared" si="48"/>
        <v>0.79052629569760469</v>
      </c>
      <c r="BD61" s="355">
        <f t="shared" si="48"/>
        <v>1.2102345100408867</v>
      </c>
      <c r="BE61" s="355">
        <f t="shared" si="48"/>
        <v>1.5051996859235988</v>
      </c>
      <c r="BF61" s="355"/>
    </row>
    <row r="62" spans="1:58" s="112" customFormat="1" x14ac:dyDescent="0.3">
      <c r="A62" s="110" t="s">
        <v>110</v>
      </c>
      <c r="D62" s="355">
        <f t="shared" ref="D62:AM62" si="49">IFERROR(-D11/D5,"")</f>
        <v>5.4211914330217423E-2</v>
      </c>
      <c r="E62" s="355">
        <f t="shared" si="49"/>
        <v>8.7294320071313894E-2</v>
      </c>
      <c r="F62" s="355">
        <f t="shared" si="49"/>
        <v>5.9182019648138552E-2</v>
      </c>
      <c r="G62" s="355">
        <f t="shared" si="49"/>
        <v>6.6093385393680953E-2</v>
      </c>
      <c r="H62" s="355">
        <f t="shared" si="49"/>
        <v>6.4900401808576313E-2</v>
      </c>
      <c r="I62" s="355">
        <f t="shared" si="49"/>
        <v>0.14371635813796504</v>
      </c>
      <c r="J62" s="192">
        <f t="shared" si="49"/>
        <v>5.6076998308917013E-2</v>
      </c>
      <c r="K62" s="355">
        <f t="shared" si="49"/>
        <v>4.5733679887497485E-2</v>
      </c>
      <c r="L62" s="355">
        <f t="shared" si="49"/>
        <v>3.8407770760273227E-2</v>
      </c>
      <c r="M62" s="355">
        <f t="shared" si="49"/>
        <v>5.5560194021979988E-2</v>
      </c>
      <c r="N62" s="192">
        <f t="shared" si="49"/>
        <v>7.8028638965990396E-2</v>
      </c>
      <c r="O62" s="355">
        <f t="shared" si="49"/>
        <v>4.8692498053441578E-2</v>
      </c>
      <c r="P62" s="355">
        <f t="shared" si="49"/>
        <v>4.3653899313589831E-2</v>
      </c>
      <c r="Q62" s="355">
        <f t="shared" si="49"/>
        <v>5.2881381643686248E-2</v>
      </c>
      <c r="R62" s="192">
        <f t="shared" si="49"/>
        <v>4.6023771930293771E-2</v>
      </c>
      <c r="S62" s="355">
        <f t="shared" si="49"/>
        <v>4.9301116619231346E-2</v>
      </c>
      <c r="T62" s="355">
        <f t="shared" si="49"/>
        <v>4.8886889181654403E-2</v>
      </c>
      <c r="U62" s="278">
        <f t="shared" si="49"/>
        <v>5.0230505408452246E-2</v>
      </c>
      <c r="V62" s="355">
        <f t="shared" si="49"/>
        <v>5.3288770214127659E-2</v>
      </c>
      <c r="W62" s="355">
        <f t="shared" si="49"/>
        <v>5.0138811881331957E-2</v>
      </c>
      <c r="X62" s="355">
        <f t="shared" si="49"/>
        <v>4.0008245434939985E-2</v>
      </c>
      <c r="Y62" s="278">
        <f t="shared" si="49"/>
        <v>4.0757363105974644E-2</v>
      </c>
      <c r="Z62" s="355">
        <f t="shared" si="49"/>
        <v>3.4033419250833606E-2</v>
      </c>
      <c r="AA62" s="355">
        <f t="shared" si="49"/>
        <v>3.1473491268045564E-2</v>
      </c>
      <c r="AB62" s="355">
        <f t="shared" si="49"/>
        <v>3.3188016876372413E-2</v>
      </c>
      <c r="AC62" s="278">
        <f t="shared" si="49"/>
        <v>3.66408325472318E-2</v>
      </c>
      <c r="AD62" s="278">
        <f t="shared" si="49"/>
        <v>3.1365339789008892E-2</v>
      </c>
      <c r="AE62" s="278">
        <f t="shared" si="49"/>
        <v>3.2764689512819391E-2</v>
      </c>
      <c r="AF62" s="278">
        <f t="shared" si="49"/>
        <v>2.9897843087383174E-2</v>
      </c>
      <c r="AG62" s="278">
        <f t="shared" si="49"/>
        <v>3.3204642166938858E-2</v>
      </c>
      <c r="AH62" s="278">
        <f t="shared" si="49"/>
        <v>3.0350095034347605E-2</v>
      </c>
      <c r="AI62" s="278">
        <f t="shared" si="49"/>
        <v>2.9169599287808601E-2</v>
      </c>
      <c r="AJ62" s="278">
        <f t="shared" si="49"/>
        <v>3.0975625206877844E-2</v>
      </c>
      <c r="AK62" s="278">
        <f t="shared" si="49"/>
        <v>3.966126634508272E-2</v>
      </c>
      <c r="AL62" s="278">
        <f t="shared" si="49"/>
        <v>3.2276233635760078E-2</v>
      </c>
      <c r="AM62" s="279">
        <f t="shared" si="49"/>
        <v>3.0943958396317292E-2</v>
      </c>
      <c r="AN62" s="355">
        <f t="shared" si="45"/>
        <v>5.3163650598930398E-2</v>
      </c>
      <c r="AO62" s="355">
        <f t="shared" si="45"/>
        <v>0.10442670206787769</v>
      </c>
      <c r="AP62" s="355">
        <f>IFERROR(-AP11/AP5,"")</f>
        <v>6.3135794841828893E-2</v>
      </c>
      <c r="AQ62" s="355">
        <f>IFERROR(-AQ11/AQ5,"")</f>
        <v>0.10720832966494305</v>
      </c>
      <c r="AR62" s="355">
        <f>IFERROR(-AR11/AR5,"")</f>
        <v>4.8965498648184579E-2</v>
      </c>
      <c r="AS62" s="355"/>
      <c r="AT62" s="355">
        <f>IFERROR(-AT11/$AN$5,"")</f>
        <v>0</v>
      </c>
      <c r="AU62" s="355">
        <f>IFERROR(-AU11/AU5,"")</f>
        <v>5.3596041276260567E-2</v>
      </c>
      <c r="AV62" s="355">
        <f>IFERROR(-AV11/AV5,"")</f>
        <v>6.3876851764974624E-2</v>
      </c>
      <c r="AW62" s="355">
        <f t="shared" ref="AW62:BE62" si="50">IFERROR(-AW11/$AN$5,"")</f>
        <v>0</v>
      </c>
      <c r="AX62" s="355">
        <f t="shared" si="50"/>
        <v>0.21086141455000515</v>
      </c>
      <c r="AY62" s="355">
        <f t="shared" si="50"/>
        <v>0.12501838873929125</v>
      </c>
      <c r="AZ62" s="355">
        <f t="shared" si="50"/>
        <v>0.1575903526668081</v>
      </c>
      <c r="BA62" s="355">
        <f t="shared" si="50"/>
        <v>0.42323616700509686</v>
      </c>
      <c r="BB62" s="355">
        <f t="shared" si="50"/>
        <v>0.36176113283488209</v>
      </c>
      <c r="BC62" s="355">
        <f t="shared" si="50"/>
        <v>0.43992069563611902</v>
      </c>
      <c r="BD62" s="355">
        <f t="shared" si="50"/>
        <v>0.64392912509952782</v>
      </c>
      <c r="BE62" s="355">
        <f t="shared" si="50"/>
        <v>0.70919098764167854</v>
      </c>
      <c r="BF62" s="355"/>
    </row>
    <row r="63" spans="1:58" s="112" customFormat="1" x14ac:dyDescent="0.3">
      <c r="A63" s="111" t="s">
        <v>143</v>
      </c>
      <c r="B63" s="111"/>
      <c r="C63" s="111"/>
      <c r="D63" s="151">
        <f t="shared" ref="D63:AR63" si="51">IFERROR(D15/D5,"")</f>
        <v>-0.13457623046837044</v>
      </c>
      <c r="E63" s="151">
        <f t="shared" si="51"/>
        <v>-0.19803218556886443</v>
      </c>
      <c r="F63" s="151">
        <f t="shared" si="51"/>
        <v>-0.14939171515050514</v>
      </c>
      <c r="G63" s="151">
        <f t="shared" si="51"/>
        <v>-0.24730215373902226</v>
      </c>
      <c r="H63" s="151">
        <f t="shared" si="51"/>
        <v>-0.17260238900201241</v>
      </c>
      <c r="I63" s="151">
        <f t="shared" si="51"/>
        <v>-0.24652080859438041</v>
      </c>
      <c r="J63" s="194">
        <f t="shared" si="51"/>
        <v>-9.1170829840667683E-2</v>
      </c>
      <c r="K63" s="151">
        <f t="shared" si="51"/>
        <v>3.1753188997626185E-2</v>
      </c>
      <c r="L63" s="151">
        <f t="shared" si="51"/>
        <v>2.8523553583995769E-2</v>
      </c>
      <c r="M63" s="151">
        <f t="shared" si="51"/>
        <v>2.0053481300846328E-2</v>
      </c>
      <c r="N63" s="194">
        <f t="shared" si="51"/>
        <v>-9.5900969130327793E-2</v>
      </c>
      <c r="O63" s="151">
        <f t="shared" si="51"/>
        <v>3.3254850762101537E-2</v>
      </c>
      <c r="P63" s="151">
        <f t="shared" si="51"/>
        <v>1.3330336455047024E-2</v>
      </c>
      <c r="Q63" s="151">
        <f t="shared" si="51"/>
        <v>-9.1618899809438936E-2</v>
      </c>
      <c r="R63" s="194">
        <f t="shared" si="51"/>
        <v>-0.14013189662424586</v>
      </c>
      <c r="S63" s="151">
        <f t="shared" si="51"/>
        <v>-0.10040004815441002</v>
      </c>
      <c r="T63" s="151">
        <f t="shared" si="51"/>
        <v>-0.15795628737376705</v>
      </c>
      <c r="U63" s="280">
        <f t="shared" si="51"/>
        <v>-0.12775512405485331</v>
      </c>
      <c r="V63" s="151">
        <f t="shared" si="51"/>
        <v>-0.1234111253568661</v>
      </c>
      <c r="W63" s="151">
        <f t="shared" si="51"/>
        <v>-2.2951856540815808E-2</v>
      </c>
      <c r="X63" s="151">
        <f t="shared" si="51"/>
        <v>-4.8100020677465834E-3</v>
      </c>
      <c r="Y63" s="280">
        <f t="shared" si="51"/>
        <v>-2.5398003447225304E-2</v>
      </c>
      <c r="Z63" s="151">
        <f t="shared" si="51"/>
        <v>3.9954213651520146E-2</v>
      </c>
      <c r="AA63" s="151">
        <f t="shared" si="51"/>
        <v>4.853333699013769E-2</v>
      </c>
      <c r="AB63" s="151">
        <f t="shared" si="51"/>
        <v>2.9006377883180237E-2</v>
      </c>
      <c r="AC63" s="280">
        <f t="shared" si="51"/>
        <v>1.9331184151487508E-3</v>
      </c>
      <c r="AD63" s="280">
        <f t="shared" si="51"/>
        <v>6.1547698285018299E-2</v>
      </c>
      <c r="AE63" s="280">
        <f t="shared" si="51"/>
        <v>0.13401386829256959</v>
      </c>
      <c r="AF63" s="280">
        <f t="shared" si="51"/>
        <v>0.11444500776945747</v>
      </c>
      <c r="AG63" s="280">
        <f t="shared" si="51"/>
        <v>8.7971396481592121E-2</v>
      </c>
      <c r="AH63" s="280">
        <f t="shared" si="51"/>
        <v>9.7792364316717256E-2</v>
      </c>
      <c r="AI63" s="280">
        <f t="shared" si="51"/>
        <v>-1.1366959319027949E-2</v>
      </c>
      <c r="AJ63" s="280">
        <f t="shared" si="51"/>
        <v>-0.19877251108732247</v>
      </c>
      <c r="AK63" s="280">
        <f t="shared" si="51"/>
        <v>-0.19849175693880597</v>
      </c>
      <c r="AL63" s="280">
        <f t="shared" si="51"/>
        <v>-7.666983608085097E-2</v>
      </c>
      <c r="AM63" s="445">
        <f t="shared" si="51"/>
        <v>-5.1285109787135019E-3</v>
      </c>
      <c r="AN63" s="151">
        <f t="shared" si="51"/>
        <v>-8.2075357289484951E-2</v>
      </c>
      <c r="AO63" s="151">
        <f t="shared" si="51"/>
        <v>-0.16756642232579858</v>
      </c>
      <c r="AP63" s="151">
        <f t="shared" si="51"/>
        <v>-0.20540320080285937</v>
      </c>
      <c r="AQ63" s="151">
        <f t="shared" si="51"/>
        <v>-0.21241573087027385</v>
      </c>
      <c r="AR63" s="151">
        <f t="shared" si="51"/>
        <v>-2.3024478391286754E-2</v>
      </c>
      <c r="AS63" s="151"/>
      <c r="AT63" s="151" t="str">
        <f t="shared" ref="AT63:BE63" si="52">IFERROR(AT15/AT5,"")</f>
        <v/>
      </c>
      <c r="AU63" s="151">
        <f t="shared" si="52"/>
        <v>-0.10373106036944546</v>
      </c>
      <c r="AV63" s="151">
        <f t="shared" si="52"/>
        <v>-0.19162830977734019</v>
      </c>
      <c r="AW63" s="151" t="str">
        <f t="shared" si="52"/>
        <v/>
      </c>
      <c r="AX63" s="151">
        <f t="shared" si="52"/>
        <v>-2.1077497929190123</v>
      </c>
      <c r="AY63" s="151">
        <f t="shared" si="52"/>
        <v>-0.49931756641110153</v>
      </c>
      <c r="AZ63" s="151">
        <f t="shared" si="52"/>
        <v>-0.13284684411132319</v>
      </c>
      <c r="BA63" s="151">
        <f t="shared" si="52"/>
        <v>-0.20958309804066944</v>
      </c>
      <c r="BB63" s="151">
        <f t="shared" si="52"/>
        <v>7.2817666042770599E-4</v>
      </c>
      <c r="BC63" s="151">
        <f t="shared" si="52"/>
        <v>-3.2986263890145966E-2</v>
      </c>
      <c r="BD63" s="151">
        <f t="shared" si="52"/>
        <v>-0.13262701753986564</v>
      </c>
      <c r="BE63" s="151">
        <f t="shared" si="52"/>
        <v>-3.8665531634232662E-2</v>
      </c>
      <c r="BF63" s="151"/>
    </row>
    <row r="64" spans="1:58" s="112" customFormat="1" x14ac:dyDescent="0.3">
      <c r="A64" s="111" t="s">
        <v>144</v>
      </c>
      <c r="B64" s="111"/>
      <c r="C64" s="111"/>
      <c r="D64" s="151">
        <f t="shared" ref="D64:AR64" si="53">IFERROR(D16/D5,"")</f>
        <v>-0.11067434128236733</v>
      </c>
      <c r="E64" s="151">
        <f t="shared" si="53"/>
        <v>-0.19803218556886443</v>
      </c>
      <c r="F64" s="151">
        <f t="shared" si="53"/>
        <v>-0.1232563401197847</v>
      </c>
      <c r="G64" s="151">
        <f t="shared" si="53"/>
        <v>-0.22158822363303771</v>
      </c>
      <c r="H64" s="151">
        <f t="shared" si="53"/>
        <v>-0.14431385742890845</v>
      </c>
      <c r="I64" s="151">
        <f t="shared" si="53"/>
        <v>-0.21404046122867873</v>
      </c>
      <c r="J64" s="194">
        <f t="shared" si="53"/>
        <v>-6.8323268058559122E-2</v>
      </c>
      <c r="K64" s="151">
        <f t="shared" si="53"/>
        <v>5.4459346300909872E-2</v>
      </c>
      <c r="L64" s="151">
        <f t="shared" si="53"/>
        <v>4.8061498174722585E-2</v>
      </c>
      <c r="M64" s="151">
        <f t="shared" si="53"/>
        <v>4.491770139290957E-2</v>
      </c>
      <c r="N64" s="194">
        <f t="shared" si="53"/>
        <v>-5.4616460048942675E-2</v>
      </c>
      <c r="O64" s="151">
        <f t="shared" si="53"/>
        <v>6.178913808063697E-2</v>
      </c>
      <c r="P64" s="151">
        <f t="shared" si="53"/>
        <v>3.702182310798801E-2</v>
      </c>
      <c r="Q64" s="151">
        <f t="shared" si="53"/>
        <v>-6.4146864730336678E-2</v>
      </c>
      <c r="R64" s="194">
        <f t="shared" si="53"/>
        <v>-0.11479433012441936</v>
      </c>
      <c r="S64" s="151">
        <f t="shared" si="53"/>
        <v>-7.4333365814098384E-2</v>
      </c>
      <c r="T64" s="151">
        <f t="shared" si="53"/>
        <v>-0.12762292448172075</v>
      </c>
      <c r="U64" s="280">
        <f t="shared" si="53"/>
        <v>-9.4757595404959538E-2</v>
      </c>
      <c r="V64" s="151">
        <f t="shared" si="53"/>
        <v>-8.8434302769424045E-2</v>
      </c>
      <c r="W64" s="151">
        <f t="shared" si="53"/>
        <v>2.3334416930516595E-2</v>
      </c>
      <c r="X64" s="151">
        <f t="shared" si="53"/>
        <v>3.4247955074005458E-2</v>
      </c>
      <c r="Y64" s="280">
        <f t="shared" si="53"/>
        <v>1.3204290865667861E-2</v>
      </c>
      <c r="Z64" s="151">
        <f t="shared" si="53"/>
        <v>7.2996375551644399E-2</v>
      </c>
      <c r="AA64" s="151">
        <f t="shared" si="53"/>
        <v>8.4590918946303592E-2</v>
      </c>
      <c r="AB64" s="151">
        <f t="shared" si="53"/>
        <v>5.697197874107815E-2</v>
      </c>
      <c r="AC64" s="280">
        <f t="shared" si="53"/>
        <v>2.7136972559048733E-2</v>
      </c>
      <c r="AD64" s="280">
        <f t="shared" si="53"/>
        <v>8.680856037164969E-2</v>
      </c>
      <c r="AE64" s="280">
        <f t="shared" si="53"/>
        <v>0.15917252974085677</v>
      </c>
      <c r="AF64" s="280">
        <f t="shared" si="53"/>
        <v>0.1346424447146215</v>
      </c>
      <c r="AG64" s="280">
        <f t="shared" si="53"/>
        <v>0.10800062191978382</v>
      </c>
      <c r="AH64" s="280">
        <f t="shared" si="53"/>
        <v>0.11752321813457624</v>
      </c>
      <c r="AI64" s="280">
        <f t="shared" si="53"/>
        <v>3.7398432586589268E-3</v>
      </c>
      <c r="AJ64" s="280">
        <f t="shared" si="53"/>
        <v>-0.18245313948135095</v>
      </c>
      <c r="AK64" s="280">
        <f t="shared" si="53"/>
        <v>-0.1838516778973048</v>
      </c>
      <c r="AL64" s="280">
        <f t="shared" si="53"/>
        <v>-6.1478462845324613E-2</v>
      </c>
      <c r="AM64" s="445">
        <f t="shared" si="53"/>
        <v>1.3206037851880532E-2</v>
      </c>
      <c r="AN64" s="151">
        <f t="shared" si="53"/>
        <v>-6.176293995716467E-2</v>
      </c>
      <c r="AO64" s="151">
        <f t="shared" si="53"/>
        <v>-0.1332613436163686</v>
      </c>
      <c r="AP64" s="151">
        <f t="shared" si="53"/>
        <v>-0.1795089211721331</v>
      </c>
      <c r="AQ64" s="151">
        <f t="shared" si="53"/>
        <v>-0.18199207596835665</v>
      </c>
      <c r="AR64" s="151">
        <f t="shared" si="53"/>
        <v>-2.5357807402402234E-4</v>
      </c>
      <c r="AS64" s="151"/>
      <c r="AT64" s="151" t="str">
        <f t="shared" ref="AT64:BE64" si="54">IFERROR(AT16/AT5,"")</f>
        <v/>
      </c>
      <c r="AU64" s="151">
        <f t="shared" si="54"/>
        <v>-8.1938047916118847E-2</v>
      </c>
      <c r="AV64" s="151">
        <f t="shared" si="54"/>
        <v>-0.16472855016660198</v>
      </c>
      <c r="AW64" s="151" t="str">
        <f t="shared" si="54"/>
        <v/>
      </c>
      <c r="AX64" s="151">
        <f t="shared" si="54"/>
        <v>-1.4609708633504348</v>
      </c>
      <c r="AY64" s="151">
        <f t="shared" si="54"/>
        <v>-0.4290165511029847</v>
      </c>
      <c r="AZ64" s="151">
        <f t="shared" si="54"/>
        <v>-0.10422445634631963</v>
      </c>
      <c r="BA64" s="151">
        <f t="shared" si="54"/>
        <v>-0.18098903345315132</v>
      </c>
      <c r="BB64" s="151">
        <f t="shared" si="54"/>
        <v>2.3192074942664728E-2</v>
      </c>
      <c r="BC64" s="151">
        <f t="shared" si="54"/>
        <v>-4.4354560161457201E-3</v>
      </c>
      <c r="BD64" s="151">
        <f t="shared" si="54"/>
        <v>-0.10363177342958846</v>
      </c>
      <c r="BE64" s="151">
        <f t="shared" si="54"/>
        <v>-3.6535004431907575E-2</v>
      </c>
      <c r="BF64" s="151"/>
    </row>
    <row r="65" spans="1:58" s="112" customFormat="1" x14ac:dyDescent="0.3">
      <c r="A65" s="112" t="s">
        <v>145</v>
      </c>
      <c r="D65" s="355">
        <f t="shared" ref="D65:AR65" si="55">IFERROR(D19/D5,"")</f>
        <v>-0.10806264676244982</v>
      </c>
      <c r="E65" s="355">
        <f t="shared" si="55"/>
        <v>-0.14611396362021495</v>
      </c>
      <c r="F65" s="355">
        <f t="shared" si="55"/>
        <v>-9.2986087971304462E-2</v>
      </c>
      <c r="G65" s="355">
        <f t="shared" si="55"/>
        <v>-0.18917678270554758</v>
      </c>
      <c r="H65" s="355">
        <f t="shared" si="55"/>
        <v>-0.17652323215156385</v>
      </c>
      <c r="I65" s="355">
        <f t="shared" si="55"/>
        <v>-0.18857914266664216</v>
      </c>
      <c r="J65" s="192">
        <f t="shared" si="55"/>
        <v>-6.7991821216686857E-2</v>
      </c>
      <c r="K65" s="355">
        <f t="shared" si="55"/>
        <v>5.5115246848926651E-2</v>
      </c>
      <c r="L65" s="355">
        <f t="shared" si="55"/>
        <v>5.6706009963253666E-2</v>
      </c>
      <c r="M65" s="355">
        <f t="shared" si="55"/>
        <v>5.0566347280138438E-2</v>
      </c>
      <c r="N65" s="192">
        <f t="shared" si="55"/>
        <v>-0.10239593952137793</v>
      </c>
      <c r="O65" s="355">
        <f t="shared" si="55"/>
        <v>8.7964539204752459E-2</v>
      </c>
      <c r="P65" s="355">
        <f t="shared" si="55"/>
        <v>0.18992766985105228</v>
      </c>
      <c r="Q65" s="355">
        <f t="shared" si="55"/>
        <v>-7.5234277024141677E-2</v>
      </c>
      <c r="R65" s="192">
        <f t="shared" si="55"/>
        <v>-0.12878142585007638</v>
      </c>
      <c r="S65" s="355">
        <f t="shared" si="55"/>
        <v>-7.4309005240311352E-2</v>
      </c>
      <c r="T65" s="355">
        <f t="shared" si="55"/>
        <v>-0.20409329467080981</v>
      </c>
      <c r="U65" s="278">
        <f t="shared" si="55"/>
        <v>-0.10108116544242061</v>
      </c>
      <c r="V65" s="355">
        <f t="shared" si="55"/>
        <v>-0.12069142817202295</v>
      </c>
      <c r="W65" s="355">
        <f t="shared" si="55"/>
        <v>-9.6751833191027359E-3</v>
      </c>
      <c r="X65" s="355">
        <f t="shared" si="55"/>
        <v>2.0317462659671461E-2</v>
      </c>
      <c r="Y65" s="278">
        <f t="shared" si="55"/>
        <v>-1.2485801553890714E-2</v>
      </c>
      <c r="Z65" s="355">
        <f t="shared" si="55"/>
        <v>6.5527697953265532E-2</v>
      </c>
      <c r="AA65" s="355">
        <f t="shared" si="55"/>
        <v>7.2217378852857339E-2</v>
      </c>
      <c r="AB65" s="355">
        <f t="shared" si="55"/>
        <v>4.7535726794860421E-2</v>
      </c>
      <c r="AC65" s="278">
        <f t="shared" si="55"/>
        <v>2.9398507931595864E-2</v>
      </c>
      <c r="AD65" s="278" t="str">
        <f t="shared" si="55"/>
        <v/>
      </c>
      <c r="AE65" s="278">
        <f t="shared" si="55"/>
        <v>0.1402208994783132</v>
      </c>
      <c r="AF65" s="278">
        <f t="shared" si="55"/>
        <v>0.14918651388163834</v>
      </c>
      <c r="AG65" s="278">
        <f t="shared" si="55"/>
        <v>7.7569202702272647E-2</v>
      </c>
      <c r="AH65" s="278">
        <f t="shared" si="55"/>
        <v>0.12347433994053823</v>
      </c>
      <c r="AI65" s="278">
        <f t="shared" si="55"/>
        <v>2.6738645094189404E-3</v>
      </c>
      <c r="AJ65" s="278">
        <f t="shared" si="55"/>
        <v>-0.20386383591013052</v>
      </c>
      <c r="AK65" s="278">
        <f t="shared" si="55"/>
        <v>-0.17453713650504299</v>
      </c>
      <c r="AL65" s="278">
        <f t="shared" si="55"/>
        <v>-7.1066440539169051E-2</v>
      </c>
      <c r="AM65" s="279">
        <f t="shared" si="55"/>
        <v>2.5717581380755705E-2</v>
      </c>
      <c r="AN65" s="355">
        <f t="shared" si="55"/>
        <v>-9.0727481387547673E-2</v>
      </c>
      <c r="AO65" s="355">
        <f t="shared" si="55"/>
        <v>-0.12784519107334127</v>
      </c>
      <c r="AP65" s="355">
        <f t="shared" si="55"/>
        <v>-0.14801376219754289</v>
      </c>
      <c r="AQ65" s="355">
        <f t="shared" si="55"/>
        <v>-0.18482658101319382</v>
      </c>
      <c r="AR65" s="355">
        <f t="shared" si="55"/>
        <v>3.2363334516092725E-2</v>
      </c>
      <c r="AS65" s="355"/>
      <c r="AT65" s="355" t="str">
        <f t="shared" ref="AT65:BE65" si="56">IFERROR(AT19/AT5,"")</f>
        <v/>
      </c>
      <c r="AU65" s="355">
        <f t="shared" si="56"/>
        <v>-9.7877937588948E-2</v>
      </c>
      <c r="AV65" s="355">
        <f t="shared" si="56"/>
        <v>-0.15998647934236099</v>
      </c>
      <c r="AW65" s="355" t="str">
        <f t="shared" si="56"/>
        <v/>
      </c>
      <c r="AX65" s="355">
        <f t="shared" si="56"/>
        <v>-2.1084900343596438</v>
      </c>
      <c r="AY65" s="355">
        <f t="shared" si="56"/>
        <v>-0.48162734175351746</v>
      </c>
      <c r="AZ65" s="355">
        <f t="shared" si="56"/>
        <v>-0.11277096987805377</v>
      </c>
      <c r="BA65" s="355">
        <f t="shared" si="56"/>
        <v>-0.16995645594777081</v>
      </c>
      <c r="BB65" s="355">
        <f t="shared" si="56"/>
        <v>2.7477702909315838E-2</v>
      </c>
      <c r="BC65" s="355">
        <f t="shared" si="56"/>
        <v>3.772046241584201E-2</v>
      </c>
      <c r="BD65" s="355">
        <f t="shared" si="56"/>
        <v>-0.12910990681149637</v>
      </c>
      <c r="BE65" s="355">
        <f t="shared" si="56"/>
        <v>-2.6462000754809117E-2</v>
      </c>
      <c r="BF65" s="355"/>
    </row>
    <row r="66" spans="1:58" s="112" customFormat="1" x14ac:dyDescent="0.3">
      <c r="A66" s="112" t="s">
        <v>146</v>
      </c>
      <c r="D66" s="355">
        <f t="shared" ref="D66:AR66" si="57">IFERROR(D20/D5,"")</f>
        <v>-8.6798915337888041E-2</v>
      </c>
      <c r="E66" s="355">
        <f t="shared" si="57"/>
        <v>-0.12970271812625758</v>
      </c>
      <c r="F66" s="355">
        <f t="shared" si="57"/>
        <v>-9.9022595261773705E-2</v>
      </c>
      <c r="G66" s="355">
        <f t="shared" si="57"/>
        <v>-0.10554394668423124</v>
      </c>
      <c r="H66" s="355">
        <f t="shared" si="57"/>
        <v>-6.1433479840295652E-2</v>
      </c>
      <c r="I66" s="355">
        <f t="shared" si="57"/>
        <v>-4.3154143025165514E-2</v>
      </c>
      <c r="J66" s="192">
        <f t="shared" si="57"/>
        <v>2.3932704660471173E-2</v>
      </c>
      <c r="K66" s="355">
        <f t="shared" si="57"/>
        <v>0.10266462295496874</v>
      </c>
      <c r="L66" s="355">
        <f t="shared" si="57"/>
        <v>8.3121111440035797E-2</v>
      </c>
      <c r="M66" s="355">
        <f t="shared" si="57"/>
        <v>7.7371632394950068E-2</v>
      </c>
      <c r="N66" s="192">
        <f t="shared" si="57"/>
        <v>2.46575615557154E-3</v>
      </c>
      <c r="O66" s="355">
        <f t="shared" si="57"/>
        <v>0.10558499354234882</v>
      </c>
      <c r="P66" s="355">
        <f t="shared" si="57"/>
        <v>7.5573506066814192E-2</v>
      </c>
      <c r="Q66" s="355">
        <f t="shared" si="57"/>
        <v>-1.5537098644467737E-2</v>
      </c>
      <c r="R66" s="192">
        <f t="shared" si="57"/>
        <v>-6.4368546991589809E-2</v>
      </c>
      <c r="S66" s="355">
        <f t="shared" si="57"/>
        <v>-2.8336557643424822E-2</v>
      </c>
      <c r="T66" s="355">
        <f t="shared" si="57"/>
        <v>-8.3180655412920537E-2</v>
      </c>
      <c r="U66" s="278">
        <f t="shared" si="57"/>
        <v>-4.058200437359244E-2</v>
      </c>
      <c r="V66" s="355">
        <f t="shared" si="57"/>
        <v>-3.9784321834125898E-2</v>
      </c>
      <c r="W66" s="355">
        <f t="shared" si="57"/>
        <v>7.4653773227851869E-2</v>
      </c>
      <c r="X66" s="355">
        <f t="shared" si="57"/>
        <v>7.6681906157010885E-2</v>
      </c>
      <c r="Y66" s="278">
        <f t="shared" si="57"/>
        <v>4.9242229270002588E-2</v>
      </c>
      <c r="Z66" s="355">
        <f t="shared" si="57"/>
        <v>0.10682924026474563</v>
      </c>
      <c r="AA66" s="355">
        <f t="shared" si="57"/>
        <v>0.11303455456473945</v>
      </c>
      <c r="AB66" s="355">
        <f t="shared" si="57"/>
        <v>8.0939601754782625E-2</v>
      </c>
      <c r="AC66" s="278">
        <f t="shared" si="57"/>
        <v>5.0808842944438021E-2</v>
      </c>
      <c r="AD66" s="278">
        <f t="shared" si="57"/>
        <v>0.11013641268387837</v>
      </c>
      <c r="AE66" s="278">
        <f t="shared" si="57"/>
        <v>0.18233521732487468</v>
      </c>
      <c r="AF66" s="278">
        <f t="shared" si="57"/>
        <v>0.15526408701664129</v>
      </c>
      <c r="AG66" s="278">
        <f t="shared" si="57"/>
        <v>0.13021747212164783</v>
      </c>
      <c r="AH66" s="278">
        <f t="shared" si="57"/>
        <v>0.14212216334447147</v>
      </c>
      <c r="AI66" s="278">
        <f t="shared" si="57"/>
        <v>3.0291228878594711E-2</v>
      </c>
      <c r="AJ66" s="278">
        <f t="shared" si="57"/>
        <v>-0.15543188082478915</v>
      </c>
      <c r="AK66" s="278">
        <f t="shared" si="57"/>
        <v>-0.15228554627237501</v>
      </c>
      <c r="AL66" s="278">
        <f t="shared" si="57"/>
        <v>-3.3495888010780794E-2</v>
      </c>
      <c r="AM66" s="279">
        <f t="shared" si="57"/>
        <v>3.9162182629167402E-2</v>
      </c>
      <c r="AN66" s="355">
        <f t="shared" si="57"/>
        <v>-3.5812301103150174E-2</v>
      </c>
      <c r="AO66" s="355">
        <f t="shared" si="57"/>
        <v>-0.10910422432204914</v>
      </c>
      <c r="AP66" s="355">
        <f t="shared" si="57"/>
        <v>-0.10275325551515122</v>
      </c>
      <c r="AQ66" s="355">
        <f t="shared" si="57"/>
        <v>-5.2122803894530299E-2</v>
      </c>
      <c r="AR66" s="355">
        <f t="shared" si="57"/>
        <v>6.6616672217492859E-2</v>
      </c>
      <c r="AS66" s="355"/>
      <c r="AT66" s="355" t="str">
        <f t="shared" ref="AT66:BE66" si="58">IFERROR(AT20/AT5,"")</f>
        <v/>
      </c>
      <c r="AU66" s="355">
        <f t="shared" si="58"/>
        <v>0</v>
      </c>
      <c r="AV66" s="355">
        <f t="shared" si="58"/>
        <v>0</v>
      </c>
      <c r="AW66" s="355" t="str">
        <f t="shared" si="58"/>
        <v/>
      </c>
      <c r="AX66" s="355">
        <f t="shared" si="58"/>
        <v>-1.4166322672114844</v>
      </c>
      <c r="AY66" s="355">
        <f t="shared" si="58"/>
        <v>-0.38483841757328663</v>
      </c>
      <c r="AZ66" s="355">
        <f t="shared" si="58"/>
        <v>-7.9338954002782416E-2</v>
      </c>
      <c r="BA66" s="355">
        <f t="shared" si="58"/>
        <v>-7.2574406676912076E-2</v>
      </c>
      <c r="BB66" s="355">
        <f t="shared" si="58"/>
        <v>7.4374482273294976E-2</v>
      </c>
      <c r="BC66" s="355">
        <f t="shared" si="58"/>
        <v>4.1272330880631834E-2</v>
      </c>
      <c r="BD66" s="355">
        <f t="shared" si="58"/>
        <v>-5.411815105597368E-2</v>
      </c>
      <c r="BE66" s="355">
        <f t="shared" si="58"/>
        <v>4.4211731031392844E-2</v>
      </c>
      <c r="BF66" s="355"/>
    </row>
    <row r="67" spans="1:58" s="112" customFormat="1" x14ac:dyDescent="0.3">
      <c r="A67" s="112" t="s">
        <v>147</v>
      </c>
      <c r="D67" s="355">
        <f>IFERROR(D35/D5,"")</f>
        <v>-0.44984006278404054</v>
      </c>
      <c r="E67" s="355"/>
      <c r="F67" s="355">
        <f>IFERROR(F35/F5,"")</f>
        <v>-1.867053603159468</v>
      </c>
      <c r="G67" s="355">
        <f>IFERROR(G35/G5,"")</f>
        <v>-0.51123383873057393</v>
      </c>
      <c r="H67" s="355">
        <f>IFERROR(H35/H5,"")</f>
        <v>-4.3664821957686204</v>
      </c>
      <c r="I67" s="355"/>
      <c r="J67" s="192"/>
      <c r="K67" s="355"/>
      <c r="L67" s="355">
        <f t="shared" ref="L67:AC67" si="59">IFERROR(L35/L5,"")</f>
        <v>4.8564050966134739E-2</v>
      </c>
      <c r="M67" s="355">
        <f t="shared" si="59"/>
        <v>5.177625898879451E-2</v>
      </c>
      <c r="N67" s="192">
        <f t="shared" si="59"/>
        <v>-9.420715324151345E-2</v>
      </c>
      <c r="O67" s="355">
        <f t="shared" si="59"/>
        <v>8.9384417509103392E-2</v>
      </c>
      <c r="P67" s="355">
        <f t="shared" si="59"/>
        <v>0.17856988907915822</v>
      </c>
      <c r="Q67" s="355">
        <f t="shared" si="59"/>
        <v>-5.9199598159203726E-2</v>
      </c>
      <c r="R67" s="192">
        <f t="shared" si="59"/>
        <v>-0.13095009431260238</v>
      </c>
      <c r="S67" s="355">
        <f t="shared" si="59"/>
        <v>-7.6722621640160416E-2</v>
      </c>
      <c r="T67" s="355">
        <f t="shared" si="59"/>
        <v>-0.20468541781309077</v>
      </c>
      <c r="U67" s="278">
        <f t="shared" si="59"/>
        <v>-0.10781048525342692</v>
      </c>
      <c r="V67" s="355">
        <f t="shared" si="59"/>
        <v>-0.12324708376629291</v>
      </c>
      <c r="W67" s="355">
        <f t="shared" si="59"/>
        <v>-2.1919020051743711E-2</v>
      </c>
      <c r="X67" s="355">
        <f t="shared" si="59"/>
        <v>1.942611823920487E-2</v>
      </c>
      <c r="Y67" s="278">
        <f t="shared" si="59"/>
        <v>-1.8020341253651592E-2</v>
      </c>
      <c r="Z67" s="355">
        <f t="shared" si="59"/>
        <v>5.7290648767657534E-2</v>
      </c>
      <c r="AA67" s="355">
        <f t="shared" si="59"/>
        <v>0</v>
      </c>
      <c r="AB67" s="355">
        <f t="shared" si="59"/>
        <v>0</v>
      </c>
      <c r="AC67" s="278">
        <f t="shared" si="59"/>
        <v>0</v>
      </c>
      <c r="AD67" s="278"/>
      <c r="AE67" s="278"/>
      <c r="AF67" s="278"/>
      <c r="AG67" s="278"/>
      <c r="AH67" s="278"/>
      <c r="AI67" s="278"/>
      <c r="AJ67" s="355"/>
      <c r="AK67" s="355"/>
      <c r="AL67" s="355"/>
      <c r="AN67" s="355">
        <f>IFERROR(AN35/AN5,"")</f>
        <v>-0.90018697546733528</v>
      </c>
      <c r="AO67" s="355">
        <f>IFERROR(AO35/AO5,"")</f>
        <v>0</v>
      </c>
      <c r="AP67" s="355">
        <f>IFERROR(AP35/AP5,"")</f>
        <v>-1.0914317146533565</v>
      </c>
      <c r="AQ67" s="355">
        <f>IFERROR(AQ35/AQ5,"")</f>
        <v>0</v>
      </c>
      <c r="AR67" s="355">
        <f>IFERROR(AR35/AR5,"")</f>
        <v>-1.3237974222818067E-2</v>
      </c>
      <c r="AS67" s="355"/>
      <c r="AT67" s="355" t="str">
        <f t="shared" ref="AT67:BE67" si="60">IFERROR(AT35/AT5,"")</f>
        <v/>
      </c>
      <c r="AU67" s="355">
        <f t="shared" si="60"/>
        <v>-0.71442665504720604</v>
      </c>
      <c r="AV67" s="355">
        <f t="shared" si="60"/>
        <v>-2.4668081460157056</v>
      </c>
      <c r="AW67" s="355" t="str">
        <f t="shared" si="60"/>
        <v/>
      </c>
      <c r="AX67" s="355">
        <f t="shared" si="60"/>
        <v>-2.6174285430630171</v>
      </c>
      <c r="AY67" s="355">
        <f t="shared" si="60"/>
        <v>-0.44578577721705837</v>
      </c>
      <c r="AZ67" s="355">
        <f t="shared" si="60"/>
        <v>-0.55755199976939396</v>
      </c>
      <c r="BA67" s="355">
        <f t="shared" si="60"/>
        <v>-1.7703815725684582</v>
      </c>
      <c r="BB67" s="355">
        <f t="shared" si="60"/>
        <v>2.2955016107030261E-2</v>
      </c>
      <c r="BC67" s="355">
        <f t="shared" si="60"/>
        <v>4.101514088086617E-2</v>
      </c>
      <c r="BD67" s="355">
        <f t="shared" si="60"/>
        <v>-0.13140536038037651</v>
      </c>
      <c r="BE67" s="355">
        <f t="shared" si="60"/>
        <v>-3.0397633973662644E-2</v>
      </c>
      <c r="BF67" s="355"/>
    </row>
    <row r="69" spans="1:58" x14ac:dyDescent="0.3">
      <c r="A69" s="71" t="s">
        <v>148</v>
      </c>
    </row>
    <row r="70" spans="1:58" s="144" customFormat="1" x14ac:dyDescent="0.3">
      <c r="A70" s="150" t="s">
        <v>149</v>
      </c>
      <c r="C70" s="146">
        <v>19408839</v>
      </c>
      <c r="D70" s="146"/>
      <c r="E70" s="146">
        <v>19408839</v>
      </c>
      <c r="G70" s="146">
        <v>26276846</v>
      </c>
      <c r="H70" s="146">
        <v>46921404</v>
      </c>
      <c r="I70" s="146">
        <v>17043692</v>
      </c>
      <c r="J70" s="184">
        <v>10802498</v>
      </c>
      <c r="K70" s="146">
        <v>10237250</v>
      </c>
      <c r="L70" s="144">
        <v>15139821</v>
      </c>
      <c r="M70" s="144">
        <v>13396185</v>
      </c>
      <c r="N70" s="183">
        <v>14137828</v>
      </c>
      <c r="O70" s="144">
        <v>13935056</v>
      </c>
      <c r="P70" s="144">
        <v>19689601</v>
      </c>
      <c r="Q70" s="144">
        <v>17093559</v>
      </c>
      <c r="R70" s="183">
        <v>17792902</v>
      </c>
      <c r="S70" s="144">
        <v>71387869</v>
      </c>
      <c r="T70" s="144">
        <v>50937433</v>
      </c>
      <c r="U70" s="268">
        <v>32513428</v>
      </c>
      <c r="V70" s="144">
        <v>35405971</v>
      </c>
      <c r="Y70" s="268"/>
      <c r="Z70" s="144">
        <v>26862612</v>
      </c>
      <c r="AA70" s="393"/>
      <c r="AC70" s="268"/>
      <c r="AN70" s="146">
        <v>19408839</v>
      </c>
      <c r="AP70" s="146">
        <v>26276846</v>
      </c>
      <c r="AR70" s="144">
        <v>10237250</v>
      </c>
      <c r="AU70" s="146"/>
      <c r="AX70" s="146">
        <v>16804326</v>
      </c>
      <c r="AY70" s="146">
        <v>9376575</v>
      </c>
      <c r="AZ70" s="146">
        <v>19408839</v>
      </c>
      <c r="BA70" s="146">
        <v>17043692</v>
      </c>
      <c r="BB70" s="144">
        <f>M70</f>
        <v>13396185</v>
      </c>
      <c r="BC70" s="144">
        <f>Q70</f>
        <v>17093559</v>
      </c>
      <c r="BD70" s="144">
        <f t="shared" ref="BD70:BE73" si="61">U70</f>
        <v>32513428</v>
      </c>
      <c r="BE70" s="144">
        <f t="shared" si="61"/>
        <v>35405971</v>
      </c>
    </row>
    <row r="71" spans="1:58" s="144" customFormat="1" x14ac:dyDescent="0.3">
      <c r="A71" s="150" t="s">
        <v>150</v>
      </c>
      <c r="C71" s="146">
        <v>4458781</v>
      </c>
      <c r="D71" s="146"/>
      <c r="E71" s="146">
        <v>4458761</v>
      </c>
      <c r="G71" s="146">
        <v>4909606</v>
      </c>
      <c r="H71" s="146">
        <v>4560975</v>
      </c>
      <c r="I71" s="146">
        <v>4256120</v>
      </c>
      <c r="J71" s="184">
        <v>4689775</v>
      </c>
      <c r="K71" s="146">
        <v>5752754</v>
      </c>
      <c r="L71" s="144">
        <v>5779041</v>
      </c>
      <c r="M71" s="144">
        <v>8760115</v>
      </c>
      <c r="N71" s="183">
        <v>5814831</v>
      </c>
      <c r="O71" s="144">
        <v>8509705</v>
      </c>
      <c r="P71" s="144">
        <v>11061099</v>
      </c>
      <c r="Q71" s="144">
        <v>12775667</v>
      </c>
      <c r="R71" s="183">
        <v>11022524</v>
      </c>
      <c r="S71" s="144">
        <v>12435628</v>
      </c>
      <c r="T71" s="144">
        <v>12914679</v>
      </c>
      <c r="U71" s="268">
        <v>13276919</v>
      </c>
      <c r="V71" s="144">
        <v>11112442</v>
      </c>
      <c r="Y71" s="268"/>
      <c r="Z71" s="144">
        <v>13240142</v>
      </c>
      <c r="AA71" s="393"/>
      <c r="AC71" s="268"/>
      <c r="AN71" s="146">
        <v>4458781</v>
      </c>
      <c r="AP71" s="146">
        <v>4909606</v>
      </c>
      <c r="AR71" s="144">
        <v>5752754</v>
      </c>
      <c r="AU71" s="146"/>
      <c r="AX71" s="146">
        <v>2502</v>
      </c>
      <c r="AY71" s="146">
        <v>325287</v>
      </c>
      <c r="AZ71" s="146">
        <v>4458761</v>
      </c>
      <c r="BA71" s="146">
        <v>4256120</v>
      </c>
      <c r="BB71" s="144">
        <f>M71</f>
        <v>8760115</v>
      </c>
      <c r="BC71" s="144">
        <f>Q71</f>
        <v>12775667</v>
      </c>
      <c r="BD71" s="144">
        <f t="shared" si="61"/>
        <v>13276919</v>
      </c>
      <c r="BE71" s="144">
        <f t="shared" si="61"/>
        <v>11112442</v>
      </c>
    </row>
    <row r="72" spans="1:58" s="144" customFormat="1" x14ac:dyDescent="0.3">
      <c r="A72" s="150" t="s">
        <v>151</v>
      </c>
      <c r="C72" s="146">
        <v>25838177</v>
      </c>
      <c r="D72" s="146"/>
      <c r="E72" s="146">
        <v>25838177</v>
      </c>
      <c r="G72" s="146">
        <v>7901373</v>
      </c>
      <c r="H72" s="146">
        <v>12711264</v>
      </c>
      <c r="I72" s="146">
        <v>41829964</v>
      </c>
      <c r="J72" s="184">
        <v>43161145</v>
      </c>
      <c r="K72" s="146">
        <v>48359889</v>
      </c>
      <c r="L72" s="144">
        <v>46053824</v>
      </c>
      <c r="M72" s="144">
        <v>49435599</v>
      </c>
      <c r="N72" s="183">
        <v>42376152</v>
      </c>
      <c r="O72" s="144">
        <v>44522946</v>
      </c>
      <c r="P72" s="144">
        <v>33702049</v>
      </c>
      <c r="Q72" s="144">
        <v>43999364</v>
      </c>
      <c r="R72" s="183">
        <v>35332854</v>
      </c>
      <c r="S72" s="144">
        <v>51121790</v>
      </c>
      <c r="T72" s="144">
        <v>69955148</v>
      </c>
      <c r="U72" s="268">
        <v>84282016</v>
      </c>
      <c r="V72" s="144">
        <v>68042120</v>
      </c>
      <c r="Y72" s="268"/>
      <c r="AA72" s="393"/>
      <c r="AC72" s="268"/>
      <c r="AN72" s="146">
        <v>25838177</v>
      </c>
      <c r="AP72" s="146">
        <v>7901373</v>
      </c>
      <c r="AR72" s="144">
        <v>48359889</v>
      </c>
      <c r="AU72" s="146"/>
      <c r="AX72" s="146">
        <v>784400</v>
      </c>
      <c r="AY72" s="146">
        <v>12607872</v>
      </c>
      <c r="AZ72" s="146">
        <v>25838177</v>
      </c>
      <c r="BA72" s="146">
        <v>41829964</v>
      </c>
      <c r="BB72" s="144">
        <f>M72</f>
        <v>49435599</v>
      </c>
      <c r="BC72" s="144">
        <f>Q72</f>
        <v>43999364</v>
      </c>
      <c r="BD72" s="144">
        <f t="shared" si="61"/>
        <v>84282016</v>
      </c>
      <c r="BE72" s="144">
        <f t="shared" si="61"/>
        <v>68042120</v>
      </c>
    </row>
    <row r="73" spans="1:58" s="145" customFormat="1" x14ac:dyDescent="0.3">
      <c r="A73" s="145" t="s">
        <v>152</v>
      </c>
      <c r="C73" s="145">
        <f>SUM(C72,C71,C70)</f>
        <v>49705797</v>
      </c>
      <c r="D73" s="79"/>
      <c r="E73" s="145">
        <f>SUM(E72,E71,E70)</f>
        <v>49705777</v>
      </c>
      <c r="G73" s="145">
        <f t="shared" ref="G73:V73" si="62">SUM(G72,G71,G70)</f>
        <v>39087825</v>
      </c>
      <c r="H73" s="145">
        <f t="shared" si="62"/>
        <v>64193643</v>
      </c>
      <c r="I73" s="145">
        <f t="shared" si="62"/>
        <v>63129776</v>
      </c>
      <c r="J73" s="195">
        <f t="shared" si="62"/>
        <v>58653418</v>
      </c>
      <c r="K73" s="145">
        <f t="shared" si="62"/>
        <v>64349893</v>
      </c>
      <c r="L73" s="145">
        <f t="shared" si="62"/>
        <v>66972686</v>
      </c>
      <c r="M73" s="145">
        <f t="shared" si="62"/>
        <v>71591899</v>
      </c>
      <c r="N73" s="195">
        <f t="shared" si="62"/>
        <v>62328811</v>
      </c>
      <c r="O73" s="145">
        <f t="shared" si="62"/>
        <v>66967707</v>
      </c>
      <c r="P73" s="145">
        <f t="shared" si="62"/>
        <v>64452749</v>
      </c>
      <c r="Q73" s="145">
        <f t="shared" si="62"/>
        <v>73868590</v>
      </c>
      <c r="R73" s="195">
        <f t="shared" si="62"/>
        <v>64148280</v>
      </c>
      <c r="S73" s="145">
        <f t="shared" si="62"/>
        <v>134945287</v>
      </c>
      <c r="T73" s="145">
        <f t="shared" si="62"/>
        <v>133807260</v>
      </c>
      <c r="U73" s="281">
        <f t="shared" si="62"/>
        <v>130072363</v>
      </c>
      <c r="V73" s="145">
        <f t="shared" si="62"/>
        <v>114560533</v>
      </c>
      <c r="Y73" s="281"/>
      <c r="AA73" s="394"/>
      <c r="AC73" s="281"/>
      <c r="AN73" s="145">
        <f>SUM(AN72,AN71,AN70)</f>
        <v>49705797</v>
      </c>
      <c r="AP73" s="145">
        <f>SUM(AP72,AP71,AP70)</f>
        <v>39087825</v>
      </c>
      <c r="AR73" s="145">
        <f>SUM(AR72,AR71,AR70)</f>
        <v>64349893</v>
      </c>
      <c r="AT73" s="145">
        <f>SUM(AT72,AT71,AT70)</f>
        <v>0</v>
      </c>
      <c r="AW73" s="145">
        <f t="shared" ref="AW73:BB73" si="63">SUM(AW72,AW71,AW70)</f>
        <v>0</v>
      </c>
      <c r="AX73" s="145">
        <f t="shared" si="63"/>
        <v>17591228</v>
      </c>
      <c r="AY73" s="145">
        <f t="shared" si="63"/>
        <v>22309734</v>
      </c>
      <c r="AZ73" s="145">
        <f t="shared" si="63"/>
        <v>49705777</v>
      </c>
      <c r="BA73" s="145">
        <f t="shared" si="63"/>
        <v>63129776</v>
      </c>
      <c r="BB73" s="145">
        <f t="shared" si="63"/>
        <v>71591899</v>
      </c>
      <c r="BC73" s="145">
        <f>Q73</f>
        <v>73868590</v>
      </c>
      <c r="BD73" s="145">
        <f t="shared" si="61"/>
        <v>130072363</v>
      </c>
      <c r="BE73" s="145">
        <f t="shared" si="61"/>
        <v>114560533</v>
      </c>
    </row>
    <row r="74" spans="1:58" s="152" customFormat="1" x14ac:dyDescent="0.3">
      <c r="A74" s="145"/>
      <c r="C74" s="264"/>
      <c r="D74" s="264"/>
      <c r="E74" s="70"/>
      <c r="G74" s="70"/>
      <c r="H74" s="264"/>
      <c r="I74" s="264"/>
      <c r="J74" s="187"/>
      <c r="K74" s="264"/>
      <c r="N74" s="196"/>
      <c r="R74" s="196"/>
      <c r="U74" s="282"/>
      <c r="Y74" s="282"/>
      <c r="AA74" s="395"/>
      <c r="AC74" s="282"/>
      <c r="AN74" s="264"/>
      <c r="AP74" s="70"/>
      <c r="AU74" s="70"/>
      <c r="AX74" s="264"/>
      <c r="AY74" s="264"/>
      <c r="AZ74" s="264"/>
      <c r="BB74" s="144"/>
      <c r="BC74" s="144"/>
    </row>
    <row r="75" spans="1:58" s="146" customFormat="1" x14ac:dyDescent="0.3">
      <c r="A75" s="145" t="s">
        <v>153</v>
      </c>
      <c r="C75" s="146">
        <v>83634163</v>
      </c>
      <c r="E75" s="146">
        <v>83634163</v>
      </c>
      <c r="G75" s="146">
        <v>95916325</v>
      </c>
      <c r="H75" s="146">
        <v>121813736</v>
      </c>
      <c r="I75" s="146">
        <v>120661511</v>
      </c>
      <c r="J75" s="184">
        <v>118161193</v>
      </c>
      <c r="K75" s="146">
        <v>123997559</v>
      </c>
      <c r="L75" s="146">
        <v>127871900</v>
      </c>
      <c r="M75" s="146">
        <v>132012915</v>
      </c>
      <c r="N75" s="184">
        <v>123205063</v>
      </c>
      <c r="O75" s="146">
        <v>133584285</v>
      </c>
      <c r="P75" s="146">
        <v>150085145</v>
      </c>
      <c r="Q75" s="146">
        <v>166574802</v>
      </c>
      <c r="R75" s="184">
        <v>160241093</v>
      </c>
      <c r="S75" s="146">
        <v>237128126</v>
      </c>
      <c r="T75" s="146">
        <v>242609769</v>
      </c>
      <c r="U75" s="270">
        <v>240653269</v>
      </c>
      <c r="V75" s="146">
        <v>230880141</v>
      </c>
      <c r="Y75" s="270"/>
      <c r="Z75" s="146">
        <v>250014760</v>
      </c>
      <c r="AA75" s="396"/>
      <c r="AC75" s="270"/>
      <c r="AN75" s="146">
        <v>83634163</v>
      </c>
      <c r="AP75" s="146">
        <v>95916325</v>
      </c>
      <c r="AR75" s="146">
        <v>23997559</v>
      </c>
      <c r="AX75" s="146">
        <v>42889847</v>
      </c>
      <c r="AY75" s="146">
        <v>51716560</v>
      </c>
      <c r="AZ75" s="146">
        <v>83634163</v>
      </c>
      <c r="BA75" s="146">
        <v>120661511</v>
      </c>
      <c r="BB75" s="144">
        <f>M75</f>
        <v>132012915</v>
      </c>
      <c r="BC75" s="144">
        <f>Q75</f>
        <v>166574802</v>
      </c>
      <c r="BD75" s="146">
        <f>U75</f>
        <v>240653269</v>
      </c>
      <c r="BE75" s="146">
        <f>V75</f>
        <v>230880141</v>
      </c>
    </row>
    <row r="76" spans="1:58" s="264" customFormat="1" x14ac:dyDescent="0.3">
      <c r="A76" s="145"/>
      <c r="J76" s="187"/>
      <c r="N76" s="187"/>
      <c r="R76" s="187"/>
      <c r="U76" s="273"/>
      <c r="Y76" s="273"/>
      <c r="AA76" s="397"/>
      <c r="AC76" s="273"/>
      <c r="AM76" s="440"/>
      <c r="BB76" s="144"/>
      <c r="BC76" s="144"/>
    </row>
    <row r="77" spans="1:58" s="146" customFormat="1" x14ac:dyDescent="0.3">
      <c r="A77" s="145" t="s">
        <v>154</v>
      </c>
      <c r="C77" s="146">
        <v>-40501382</v>
      </c>
      <c r="E77" s="146">
        <f>-40559116+57734</f>
        <v>-40501382</v>
      </c>
      <c r="G77" s="146">
        <v>-72313887</v>
      </c>
      <c r="H77" s="146">
        <v>89432522</v>
      </c>
      <c r="I77" s="146">
        <v>-86509772</v>
      </c>
      <c r="J77" s="184">
        <v>-84702062</v>
      </c>
      <c r="K77" s="146">
        <v>-87123343</v>
      </c>
      <c r="L77" s="146">
        <v>-90385540</v>
      </c>
      <c r="M77" s="146">
        <v>-92054394</v>
      </c>
      <c r="N77" s="184">
        <v>-91989829</v>
      </c>
      <c r="O77" s="146">
        <v>-95003319</v>
      </c>
      <c r="P77" s="146">
        <v>-100683339</v>
      </c>
      <c r="Q77" s="146">
        <v>-97634275</v>
      </c>
      <c r="R77" s="184">
        <v>-94047864</v>
      </c>
      <c r="S77" s="146">
        <v>-134829103</v>
      </c>
      <c r="T77" s="146">
        <v>-129241154</v>
      </c>
      <c r="U77" s="270">
        <v>-125556762</v>
      </c>
      <c r="V77" s="146">
        <v>-121087690</v>
      </c>
      <c r="Y77" s="270"/>
      <c r="Z77" s="146">
        <v>-134143350</v>
      </c>
      <c r="AA77" s="396"/>
      <c r="AC77" s="270"/>
      <c r="AN77" s="146">
        <v>-40501382</v>
      </c>
      <c r="AP77" s="146">
        <v>-72313887</v>
      </c>
      <c r="AR77" s="146">
        <v>87123343</v>
      </c>
      <c r="AX77" s="146">
        <v>-17669672</v>
      </c>
      <c r="AY77" s="146">
        <f>-25622386+47035</f>
        <v>-25575351</v>
      </c>
      <c r="AZ77" s="146">
        <f>-40559116+57734</f>
        <v>-40501382</v>
      </c>
      <c r="BA77" s="146">
        <v>-86509772</v>
      </c>
      <c r="BB77" s="144">
        <f>M77</f>
        <v>-92054394</v>
      </c>
      <c r="BC77" s="144">
        <f>Q77</f>
        <v>-97634275</v>
      </c>
      <c r="BD77" s="146">
        <f>U77</f>
        <v>-125556762</v>
      </c>
      <c r="BE77" s="146">
        <f>V77</f>
        <v>-121087690</v>
      </c>
    </row>
    <row r="78" spans="1:58" s="264" customFormat="1" x14ac:dyDescent="0.3">
      <c r="A78" s="145"/>
      <c r="J78" s="187"/>
      <c r="N78" s="187"/>
      <c r="R78" s="187"/>
      <c r="U78" s="273"/>
      <c r="Y78" s="273"/>
      <c r="AA78" s="397"/>
      <c r="AC78" s="273"/>
      <c r="AM78" s="440"/>
      <c r="BB78" s="144"/>
      <c r="BC78" s="144"/>
    </row>
    <row r="79" spans="1:58" s="146" customFormat="1" x14ac:dyDescent="0.3">
      <c r="A79" s="145" t="s">
        <v>155</v>
      </c>
      <c r="C79" s="146">
        <v>162000</v>
      </c>
      <c r="E79" s="146">
        <v>162000</v>
      </c>
      <c r="G79" s="146">
        <v>1117000</v>
      </c>
      <c r="H79" s="146">
        <v>1545000</v>
      </c>
      <c r="I79" s="146">
        <v>1800000</v>
      </c>
      <c r="J79" s="184">
        <v>2100000</v>
      </c>
      <c r="K79" s="146">
        <v>3000000</v>
      </c>
      <c r="L79" s="146">
        <v>3140000</v>
      </c>
      <c r="M79" s="146">
        <v>3552587</v>
      </c>
      <c r="N79" s="184">
        <v>3557738</v>
      </c>
      <c r="O79" s="146">
        <v>3323694</v>
      </c>
      <c r="P79" s="146">
        <v>7864604</v>
      </c>
      <c r="Q79" s="146">
        <v>6395002</v>
      </c>
      <c r="R79" s="184">
        <v>7074497</v>
      </c>
      <c r="S79" s="146">
        <v>11562939</v>
      </c>
      <c r="T79" s="146">
        <v>13733389</v>
      </c>
      <c r="U79" s="270">
        <v>11565200</v>
      </c>
      <c r="V79" s="146">
        <v>11716262</v>
      </c>
      <c r="Y79" s="270"/>
      <c r="Z79" s="146">
        <v>17638409</v>
      </c>
      <c r="AA79" s="396"/>
      <c r="AC79" s="270"/>
      <c r="AN79" s="146">
        <v>162000</v>
      </c>
      <c r="AP79" s="146">
        <v>1117000</v>
      </c>
      <c r="AR79" s="146">
        <v>3000000</v>
      </c>
      <c r="AY79" s="146">
        <v>1000</v>
      </c>
      <c r="AZ79" s="146">
        <v>162000</v>
      </c>
      <c r="BA79" s="146">
        <v>1800000</v>
      </c>
      <c r="BB79" s="144">
        <f>M79</f>
        <v>3552587</v>
      </c>
      <c r="BC79" s="144">
        <f>Q79</f>
        <v>6395002</v>
      </c>
      <c r="BD79" s="146">
        <f t="shared" ref="BD79:BE81" si="64">U79</f>
        <v>11565200</v>
      </c>
      <c r="BE79" s="146">
        <f t="shared" si="64"/>
        <v>11716262</v>
      </c>
    </row>
    <row r="80" spans="1:58" s="146" customFormat="1" x14ac:dyDescent="0.3">
      <c r="A80" s="145" t="s">
        <v>156</v>
      </c>
      <c r="I80" s="146">
        <v>470056</v>
      </c>
      <c r="J80" s="184">
        <v>470179</v>
      </c>
      <c r="K80" s="146">
        <v>936854</v>
      </c>
      <c r="L80" s="146">
        <v>937043</v>
      </c>
      <c r="M80" s="146">
        <v>466676</v>
      </c>
      <c r="N80" s="184">
        <v>466738</v>
      </c>
      <c r="O80" s="146">
        <v>0</v>
      </c>
      <c r="P80" s="146">
        <v>0</v>
      </c>
      <c r="Q80" s="146">
        <v>1957470</v>
      </c>
      <c r="R80" s="184">
        <v>1971390</v>
      </c>
      <c r="S80" s="146">
        <v>7591910</v>
      </c>
      <c r="T80" s="146">
        <v>10635570</v>
      </c>
      <c r="U80" s="270">
        <v>12219667</v>
      </c>
      <c r="V80" s="146">
        <v>15338680</v>
      </c>
      <c r="Y80" s="270"/>
      <c r="Z80" s="146">
        <v>1625178</v>
      </c>
      <c r="AA80" s="396"/>
      <c r="AC80" s="270"/>
      <c r="BB80" s="144">
        <v>466676</v>
      </c>
      <c r="BC80" s="144">
        <v>1957470</v>
      </c>
      <c r="BD80" s="146">
        <f t="shared" si="64"/>
        <v>12219667</v>
      </c>
      <c r="BE80" s="146">
        <f t="shared" si="64"/>
        <v>15338680</v>
      </c>
    </row>
    <row r="81" spans="1:58" s="264" customFormat="1" x14ac:dyDescent="0.3">
      <c r="A81" s="145" t="s">
        <v>157</v>
      </c>
      <c r="C81" s="264">
        <v>124135545</v>
      </c>
      <c r="E81" s="264">
        <f>E75-E77</f>
        <v>124135545</v>
      </c>
      <c r="G81" s="264">
        <v>168230212</v>
      </c>
      <c r="H81" s="264">
        <v>32381214</v>
      </c>
      <c r="I81" s="264">
        <f t="shared" ref="I81:P81" si="65">I75+I77</f>
        <v>34151739</v>
      </c>
      <c r="J81" s="187">
        <f t="shared" si="65"/>
        <v>33459131</v>
      </c>
      <c r="K81" s="264">
        <f t="shared" si="65"/>
        <v>36874216</v>
      </c>
      <c r="L81" s="264">
        <f t="shared" si="65"/>
        <v>37486360</v>
      </c>
      <c r="M81" s="264">
        <f t="shared" si="65"/>
        <v>39958521</v>
      </c>
      <c r="N81" s="187">
        <f t="shared" si="65"/>
        <v>31215234</v>
      </c>
      <c r="O81" s="264">
        <f t="shared" si="65"/>
        <v>38580966</v>
      </c>
      <c r="P81" s="264">
        <f t="shared" si="65"/>
        <v>49401806</v>
      </c>
      <c r="Q81" s="264">
        <v>68940527</v>
      </c>
      <c r="R81" s="187">
        <v>66193229</v>
      </c>
      <c r="S81" s="264">
        <v>102299023</v>
      </c>
      <c r="T81" s="264">
        <v>102299023</v>
      </c>
      <c r="U81" s="273">
        <v>115096507</v>
      </c>
      <c r="V81" s="264">
        <v>109792451</v>
      </c>
      <c r="Y81" s="273"/>
      <c r="Z81" s="264">
        <v>115871410</v>
      </c>
      <c r="AA81" s="397"/>
      <c r="AC81" s="273"/>
      <c r="AM81" s="440"/>
      <c r="AN81" s="144">
        <v>124135545</v>
      </c>
      <c r="AP81" s="144">
        <v>168230212</v>
      </c>
      <c r="AR81" s="144">
        <v>36874216</v>
      </c>
      <c r="AS81" s="144"/>
      <c r="AX81" s="264">
        <f>AX75-AX77</f>
        <v>60559519</v>
      </c>
      <c r="AY81" s="264">
        <f>AY75-AY77</f>
        <v>77291911</v>
      </c>
      <c r="AZ81" s="264">
        <f>AZ75-AZ77</f>
        <v>124135545</v>
      </c>
      <c r="BA81" s="264">
        <v>34151739</v>
      </c>
      <c r="BB81" s="264">
        <f>M81</f>
        <v>39958521</v>
      </c>
      <c r="BC81" s="264">
        <f>Q81</f>
        <v>68940527</v>
      </c>
      <c r="BD81" s="264">
        <f t="shared" si="64"/>
        <v>115096507</v>
      </c>
      <c r="BE81" s="264">
        <f t="shared" si="64"/>
        <v>109792451</v>
      </c>
    </row>
    <row r="82" spans="1:58" s="264" customFormat="1" x14ac:dyDescent="0.3">
      <c r="A82" s="150"/>
      <c r="J82" s="187"/>
      <c r="N82" s="187"/>
      <c r="R82" s="187"/>
      <c r="U82" s="273"/>
      <c r="Y82" s="273"/>
      <c r="AC82" s="273"/>
      <c r="AM82" s="440"/>
      <c r="BB82" s="144"/>
      <c r="BC82" s="144"/>
      <c r="BD82" s="144"/>
      <c r="BE82" s="144"/>
      <c r="BF82" s="144"/>
    </row>
    <row r="83" spans="1:58" s="264" customFormat="1" x14ac:dyDescent="0.3">
      <c r="A83" s="76" t="s">
        <v>158</v>
      </c>
      <c r="J83" s="187"/>
      <c r="N83" s="187"/>
      <c r="R83" s="187"/>
      <c r="U83" s="273"/>
      <c r="Y83" s="273"/>
      <c r="AC83" s="273"/>
      <c r="AM83" s="440"/>
      <c r="BB83" s="144"/>
      <c r="BC83" s="144"/>
      <c r="BD83" s="144"/>
      <c r="BE83" s="144"/>
      <c r="BF83" s="144"/>
    </row>
    <row r="84" spans="1:58" s="146" customFormat="1" x14ac:dyDescent="0.3">
      <c r="A84" s="145" t="s">
        <v>159</v>
      </c>
      <c r="I84" s="146">
        <v>-9179818</v>
      </c>
      <c r="J84" s="184">
        <v>-3280850</v>
      </c>
      <c r="K84" s="146">
        <v>3131073</v>
      </c>
      <c r="L84" s="146">
        <v>2609272</v>
      </c>
      <c r="M84" s="146">
        <v>5574220</v>
      </c>
      <c r="N84" s="184"/>
      <c r="Q84" s="146">
        <v>8475013</v>
      </c>
      <c r="R84" s="184"/>
      <c r="U84" s="270"/>
      <c r="Y84" s="270"/>
      <c r="AC84" s="270"/>
      <c r="AN84" s="146">
        <v>-1442802</v>
      </c>
      <c r="AP84" s="146">
        <v>-5513676</v>
      </c>
      <c r="AR84" s="146">
        <v>-149777</v>
      </c>
      <c r="AX84" s="146">
        <v>-4004434</v>
      </c>
      <c r="AY84" s="146">
        <v>-1918024</v>
      </c>
      <c r="AZ84" s="146">
        <v>-310200</v>
      </c>
      <c r="BA84" s="146">
        <v>-9179818</v>
      </c>
      <c r="BB84" s="144">
        <f>M84</f>
        <v>5574220</v>
      </c>
      <c r="BC84" s="144">
        <f>Q84</f>
        <v>8475013</v>
      </c>
      <c r="BD84" s="144">
        <v>-4011457</v>
      </c>
      <c r="BE84" s="144">
        <v>11411448</v>
      </c>
      <c r="BF84" s="144"/>
    </row>
    <row r="85" spans="1:58" s="146" customFormat="1" x14ac:dyDescent="0.3">
      <c r="A85" s="145" t="s">
        <v>160</v>
      </c>
      <c r="I85" s="146">
        <v>-23438686</v>
      </c>
      <c r="J85" s="184">
        <v>-2791839</v>
      </c>
      <c r="K85" s="146">
        <v>-4993985</v>
      </c>
      <c r="L85" s="146">
        <v>2184297</v>
      </c>
      <c r="M85" s="146">
        <v>-10174018</v>
      </c>
      <c r="N85" s="184"/>
      <c r="Q85" s="146">
        <v>-21232004</v>
      </c>
      <c r="R85" s="184"/>
      <c r="U85" s="270"/>
      <c r="Y85" s="270"/>
      <c r="AC85" s="270"/>
      <c r="AN85" s="146">
        <v>-3061049</v>
      </c>
      <c r="AP85" s="146">
        <v>12627023</v>
      </c>
      <c r="AR85" s="146">
        <v>-7785824</v>
      </c>
      <c r="AX85" s="146">
        <v>852664</v>
      </c>
      <c r="AY85" s="146">
        <v>9556784</v>
      </c>
      <c r="AZ85" s="146">
        <v>-15157090</v>
      </c>
      <c r="BA85" s="146">
        <v>-23438686</v>
      </c>
      <c r="BB85" s="144">
        <f>M85</f>
        <v>-10174018</v>
      </c>
      <c r="BC85" s="144">
        <f>Q85</f>
        <v>-21232004</v>
      </c>
      <c r="BD85" s="144">
        <v>-58491834</v>
      </c>
      <c r="BE85" s="144">
        <v>-14713569</v>
      </c>
      <c r="BF85" s="144"/>
    </row>
    <row r="86" spans="1:58" s="146" customFormat="1" x14ac:dyDescent="0.3">
      <c r="A86" s="98" t="s">
        <v>161</v>
      </c>
      <c r="J86" s="184"/>
      <c r="N86" s="184"/>
      <c r="R86" s="184"/>
      <c r="U86" s="270"/>
      <c r="Y86" s="270"/>
      <c r="AC86" s="270"/>
      <c r="AN86" s="146">
        <v>-210071</v>
      </c>
      <c r="AP86" s="146">
        <v>-847162</v>
      </c>
      <c r="AX86" s="146">
        <v>-356082</v>
      </c>
      <c r="AY86" s="146">
        <v>-352806</v>
      </c>
      <c r="AZ86" s="146">
        <v>-737680</v>
      </c>
      <c r="BA86" s="146">
        <v>-2200000</v>
      </c>
      <c r="BB86" s="144"/>
      <c r="BC86" s="144"/>
      <c r="BD86" s="144"/>
      <c r="BE86" s="144"/>
      <c r="BF86" s="144"/>
    </row>
    <row r="87" spans="1:58" s="146" customFormat="1" x14ac:dyDescent="0.3">
      <c r="A87" s="145" t="s">
        <v>162</v>
      </c>
      <c r="I87" s="146">
        <v>29295294</v>
      </c>
      <c r="J87" s="184">
        <v>46000</v>
      </c>
      <c r="K87" s="146">
        <v>1253230</v>
      </c>
      <c r="L87" s="146">
        <v>43065</v>
      </c>
      <c r="M87" s="146">
        <v>1114267</v>
      </c>
      <c r="N87" s="184"/>
      <c r="Q87" s="146">
        <v>17418081</v>
      </c>
      <c r="R87" s="184"/>
      <c r="U87" s="270"/>
      <c r="Y87" s="270"/>
      <c r="AC87" s="270"/>
      <c r="AN87" s="146">
        <v>157147</v>
      </c>
      <c r="AP87" s="146">
        <v>-466934</v>
      </c>
      <c r="AR87" s="146">
        <v>1299230</v>
      </c>
      <c r="AX87" s="146">
        <v>18505796</v>
      </c>
      <c r="AY87" s="146">
        <v>3805222</v>
      </c>
      <c r="AZ87" s="146">
        <v>25507781</v>
      </c>
      <c r="BA87" s="146">
        <v>29295294</v>
      </c>
      <c r="BB87" s="144">
        <f>M87</f>
        <v>1114267</v>
      </c>
      <c r="BC87" s="144">
        <f>Q87</f>
        <v>17418081</v>
      </c>
      <c r="BD87" s="144">
        <v>78598331</v>
      </c>
      <c r="BE87" s="144">
        <v>-9990201</v>
      </c>
      <c r="BF87" s="144"/>
    </row>
    <row r="88" spans="1:58" x14ac:dyDescent="0.3">
      <c r="AX88" s="56"/>
      <c r="AY88" s="56"/>
      <c r="AZ88" s="56"/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F18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G18" sqref="AG18"/>
    </sheetView>
  </sheetViews>
  <sheetFormatPr defaultRowHeight="14" outlineLevelRow="1" outlineLevelCol="1" x14ac:dyDescent="0.3"/>
  <cols>
    <col min="1" max="1" width="36.83203125" style="344" customWidth="1"/>
    <col min="2" max="5" width="11.4140625" style="262" customWidth="1" outlineLevel="1"/>
    <col min="6" max="6" width="12.83203125" style="262" customWidth="1" outlineLevel="1"/>
    <col min="7" max="9" width="11.4140625" style="262" customWidth="1" outlineLevel="1"/>
    <col min="10" max="10" width="11.25" style="180" customWidth="1"/>
    <col min="11" max="11" width="11.25" style="262" customWidth="1"/>
    <col min="12" max="13" width="11.33203125" style="262" bestFit="1" customWidth="1"/>
    <col min="14" max="14" width="12.83203125" style="180" bestFit="1" customWidth="1"/>
    <col min="15" max="15" width="12.33203125" style="262" bestFit="1" customWidth="1"/>
    <col min="16" max="16" width="13.08203125" style="262" bestFit="1" customWidth="1"/>
    <col min="17" max="17" width="12.33203125" style="262" bestFit="1" customWidth="1"/>
    <col min="18" max="18" width="12.25" style="180" bestFit="1" customWidth="1"/>
    <col min="19" max="20" width="12.25" style="262" customWidth="1"/>
    <col min="21" max="21" width="12.25" style="266" customWidth="1"/>
    <col min="22" max="24" width="12.25" style="262" customWidth="1"/>
    <col min="25" max="25" width="12.25" style="266" customWidth="1"/>
    <col min="26" max="33" width="12.25" style="262" customWidth="1"/>
    <col min="34" max="35" width="4" style="262" customWidth="1"/>
    <col min="36" max="36" width="11.4140625" style="262" hidden="1" customWidth="1" outlineLevel="1"/>
    <col min="37" max="41" width="13.4140625" style="262" hidden="1" customWidth="1" outlineLevel="1"/>
    <col min="42" max="42" width="1.33203125" style="262" hidden="1" customWidth="1" outlineLevel="1"/>
    <col min="43" max="44" width="13.33203125" style="262" hidden="1" customWidth="1" outlineLevel="1"/>
    <col min="45" max="45" width="1" style="262" customWidth="1" collapsed="1"/>
    <col min="46" max="47" width="10.25" style="262" hidden="1" customWidth="1" outlineLevel="1"/>
    <col min="48" max="48" width="12.75" style="262" hidden="1" customWidth="1" outlineLevel="1"/>
    <col min="49" max="49" width="12.33203125" style="262" hidden="1" customWidth="1" outlineLevel="1"/>
    <col min="50" max="50" width="12.25" style="262" bestFit="1" customWidth="1" collapsed="1"/>
    <col min="51" max="51" width="11.83203125" style="262" bestFit="1" customWidth="1"/>
    <col min="52" max="52" width="11.83203125" style="262" customWidth="1"/>
    <col min="53" max="53" width="12" style="262" customWidth="1"/>
  </cols>
  <sheetData>
    <row r="1" spans="1:58" s="52" customFormat="1" ht="13" customHeight="1" x14ac:dyDescent="0.25">
      <c r="A1" s="47"/>
      <c r="B1" s="50" t="s">
        <v>44</v>
      </c>
      <c r="C1" s="50" t="s">
        <v>163</v>
      </c>
      <c r="D1" s="50"/>
      <c r="E1" s="50"/>
      <c r="F1" s="50"/>
      <c r="G1" s="50"/>
      <c r="H1" s="50"/>
      <c r="I1" s="149"/>
      <c r="J1" s="179"/>
      <c r="K1" s="149"/>
      <c r="L1" s="336"/>
      <c r="M1" s="336"/>
      <c r="N1" s="198"/>
      <c r="O1" s="336"/>
      <c r="P1" s="336"/>
      <c r="Q1" s="336"/>
      <c r="R1" s="198"/>
      <c r="S1" s="336"/>
      <c r="T1" s="336"/>
      <c r="U1" s="331"/>
      <c r="V1" s="336"/>
      <c r="W1" s="336"/>
      <c r="X1" s="336"/>
      <c r="Y1" s="28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50"/>
      <c r="AK1" s="50"/>
      <c r="AL1" s="149"/>
      <c r="AM1" s="149"/>
      <c r="AN1" s="149"/>
      <c r="AO1" s="149"/>
      <c r="AP1" s="336"/>
      <c r="AQ1" s="149"/>
      <c r="AR1" s="149"/>
      <c r="AS1" s="336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51"/>
      <c r="BF1" s="51"/>
    </row>
    <row r="2" spans="1:58" x14ac:dyDescent="0.3">
      <c r="S2" s="383"/>
    </row>
    <row r="3" spans="1:58" x14ac:dyDescent="0.3">
      <c r="A3" s="96"/>
      <c r="B3" s="283" t="s">
        <v>47</v>
      </c>
      <c r="C3" s="283" t="s">
        <v>48</v>
      </c>
      <c r="D3" s="283" t="s">
        <v>49</v>
      </c>
      <c r="E3" s="283" t="s">
        <v>50</v>
      </c>
      <c r="F3" s="283" t="s">
        <v>51</v>
      </c>
      <c r="G3" s="283" t="s">
        <v>52</v>
      </c>
      <c r="H3" s="283" t="s">
        <v>53</v>
      </c>
      <c r="I3" s="283" t="s">
        <v>54</v>
      </c>
      <c r="J3" s="181" t="s">
        <v>55</v>
      </c>
      <c r="K3" s="283" t="s">
        <v>56</v>
      </c>
      <c r="L3" s="283" t="s">
        <v>57</v>
      </c>
      <c r="M3" s="283" t="s">
        <v>58</v>
      </c>
      <c r="N3" s="181" t="s">
        <v>59</v>
      </c>
      <c r="O3" s="283" t="s">
        <v>60</v>
      </c>
      <c r="P3" s="283" t="s">
        <v>61</v>
      </c>
      <c r="Q3" s="283" t="s">
        <v>62</v>
      </c>
      <c r="R3" s="181" t="s">
        <v>63</v>
      </c>
      <c r="S3" s="283" t="s">
        <v>64</v>
      </c>
      <c r="T3" s="283" t="s">
        <v>65</v>
      </c>
      <c r="U3" s="284" t="s">
        <v>66</v>
      </c>
      <c r="V3" s="181" t="s">
        <v>67</v>
      </c>
      <c r="W3" s="283" t="s">
        <v>68</v>
      </c>
      <c r="X3" s="283" t="s">
        <v>69</v>
      </c>
      <c r="Y3" s="284" t="s">
        <v>70</v>
      </c>
      <c r="Z3" s="153" t="s">
        <v>71</v>
      </c>
      <c r="AA3" s="153" t="s">
        <v>72</v>
      </c>
      <c r="AB3" s="153" t="s">
        <v>73</v>
      </c>
      <c r="AC3" s="153" t="s">
        <v>74</v>
      </c>
      <c r="AD3" s="153" t="s">
        <v>75</v>
      </c>
      <c r="AE3" s="153" t="s">
        <v>76</v>
      </c>
      <c r="AF3" s="153" t="s">
        <v>77</v>
      </c>
      <c r="AG3" s="153" t="s">
        <v>78</v>
      </c>
      <c r="AH3" s="7"/>
      <c r="AI3" s="7"/>
      <c r="AJ3" s="283" t="s">
        <v>85</v>
      </c>
      <c r="AK3" s="283" t="s">
        <v>86</v>
      </c>
      <c r="AL3" s="283" t="s">
        <v>87</v>
      </c>
      <c r="AM3" s="283" t="s">
        <v>88</v>
      </c>
      <c r="AN3" s="283" t="s">
        <v>89</v>
      </c>
      <c r="AO3" s="283" t="s">
        <v>90</v>
      </c>
      <c r="AP3" s="283"/>
      <c r="AQ3" s="283" t="s">
        <v>164</v>
      </c>
      <c r="AR3" s="283" t="s">
        <v>165</v>
      </c>
      <c r="AS3" s="283"/>
      <c r="AT3" s="45">
        <v>2015</v>
      </c>
      <c r="AU3" s="45">
        <v>2016</v>
      </c>
      <c r="AV3" s="45">
        <v>2017</v>
      </c>
      <c r="AW3" s="45">
        <v>2018</v>
      </c>
      <c r="AX3" s="143">
        <v>2019</v>
      </c>
      <c r="AY3" s="283">
        <v>2020</v>
      </c>
      <c r="AZ3" s="283">
        <v>2021</v>
      </c>
      <c r="BA3" s="283">
        <v>2022</v>
      </c>
      <c r="BB3" s="24"/>
    </row>
    <row r="4" spans="1:58" x14ac:dyDescent="0.3">
      <c r="A4" s="71" t="s">
        <v>166</v>
      </c>
      <c r="B4" s="337"/>
      <c r="C4" s="337"/>
      <c r="D4" s="337"/>
      <c r="E4" s="337"/>
      <c r="F4" s="337"/>
      <c r="G4" s="337"/>
      <c r="H4" s="337"/>
      <c r="I4" s="337"/>
      <c r="J4" s="199"/>
      <c r="K4" s="337"/>
      <c r="L4" s="337"/>
      <c r="M4" s="337"/>
      <c r="N4" s="199"/>
      <c r="O4" s="337"/>
      <c r="P4" s="337"/>
      <c r="Q4" s="337"/>
      <c r="R4" s="199"/>
      <c r="S4" s="337"/>
      <c r="T4" s="337"/>
      <c r="U4" s="287"/>
      <c r="V4" s="337"/>
      <c r="W4" s="337"/>
      <c r="X4" s="337"/>
      <c r="Y4" s="287"/>
      <c r="Z4" s="337"/>
      <c r="AA4" s="337"/>
      <c r="AB4" s="337"/>
      <c r="AC4" s="337"/>
      <c r="AD4" s="337"/>
      <c r="AE4" s="337"/>
      <c r="AF4" s="337"/>
      <c r="AG4" s="337"/>
      <c r="AJ4" s="337"/>
      <c r="AK4" s="61" t="s">
        <v>103</v>
      </c>
      <c r="AL4" s="337"/>
      <c r="AM4" s="337"/>
      <c r="AN4" s="337"/>
      <c r="AO4" s="337"/>
      <c r="AP4" s="337"/>
      <c r="AQ4" s="337"/>
      <c r="AR4" s="337"/>
      <c r="AS4" s="337"/>
      <c r="AT4" s="337"/>
      <c r="AU4" s="337"/>
      <c r="AV4" s="337"/>
      <c r="AW4" s="62"/>
      <c r="AX4" s="337"/>
      <c r="AY4" s="337"/>
      <c r="AZ4" s="337"/>
      <c r="BA4" s="337"/>
      <c r="BB4" s="337"/>
    </row>
    <row r="5" spans="1:58" s="156" customFormat="1" x14ac:dyDescent="0.3">
      <c r="A5" s="103" t="s">
        <v>167</v>
      </c>
      <c r="B5" s="80"/>
      <c r="C5" s="80"/>
      <c r="D5" s="80">
        <v>1204.0999999999999</v>
      </c>
      <c r="E5" s="94">
        <f>AV5-AJ5-D5</f>
        <v>1354.4</v>
      </c>
      <c r="F5" s="94">
        <f>AL5-G5</f>
        <v>1224.3999999999999</v>
      </c>
      <c r="G5" s="80">
        <v>1549.2</v>
      </c>
      <c r="H5" s="80">
        <v>1787.5</v>
      </c>
      <c r="I5" s="80">
        <v>1832.3</v>
      </c>
      <c r="J5" s="235">
        <v>1662.6</v>
      </c>
      <c r="K5" s="156">
        <v>2085.1</v>
      </c>
      <c r="L5" s="156">
        <v>2469.1</v>
      </c>
      <c r="M5" s="156">
        <v>2505.3000000000002</v>
      </c>
      <c r="N5" s="233">
        <v>1374.5</v>
      </c>
      <c r="O5" s="159">
        <v>2228.9</v>
      </c>
      <c r="P5" s="159">
        <v>3212.7</v>
      </c>
      <c r="Q5" s="159">
        <v>3331.3</v>
      </c>
      <c r="R5" s="200">
        <v>2902.7</v>
      </c>
      <c r="S5" s="338">
        <v>3541.4</v>
      </c>
      <c r="T5" s="338">
        <v>4013</v>
      </c>
      <c r="U5" s="288">
        <v>3910.6</v>
      </c>
      <c r="V5" s="338">
        <v>3361.6</v>
      </c>
      <c r="W5" s="338"/>
      <c r="X5" s="338"/>
      <c r="Y5" s="28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80">
        <v>1531.5</v>
      </c>
      <c r="AK5" s="80">
        <f>AV5-AJ5</f>
        <v>2558.5</v>
      </c>
      <c r="AL5" s="80">
        <v>2773.6</v>
      </c>
      <c r="AM5" s="80">
        <f>AW5-AL5</f>
        <v>3619.7999999999997</v>
      </c>
      <c r="AN5" s="80">
        <f>1662.6+2085.1</f>
        <v>3747.7</v>
      </c>
      <c r="AO5" s="80"/>
      <c r="AQ5" s="446">
        <f>AJ5+D5</f>
        <v>2735.6</v>
      </c>
      <c r="AR5" s="446">
        <f>AL5+H5</f>
        <v>4561.1000000000004</v>
      </c>
      <c r="AT5" s="342">
        <v>637</v>
      </c>
      <c r="AU5" s="342">
        <v>1585</v>
      </c>
      <c r="AV5" s="342">
        <v>4090</v>
      </c>
      <c r="AW5" s="342">
        <v>6393.4</v>
      </c>
      <c r="AX5" s="94">
        <v>8722.1</v>
      </c>
      <c r="AY5" s="94">
        <v>10147.4</v>
      </c>
      <c r="AZ5" s="94">
        <v>14367.6</v>
      </c>
      <c r="BA5" s="159"/>
    </row>
    <row r="6" spans="1:58" s="156" customFormat="1" x14ac:dyDescent="0.3">
      <c r="A6" s="103" t="s">
        <v>168</v>
      </c>
      <c r="B6" s="94"/>
      <c r="C6" s="94"/>
      <c r="D6" s="80">
        <v>51.8</v>
      </c>
      <c r="E6" s="94">
        <f>AV6-AJ6-D6</f>
        <v>57</v>
      </c>
      <c r="F6" s="94">
        <f>AL6-G6</f>
        <v>54.5</v>
      </c>
      <c r="G6" s="80">
        <v>68.2</v>
      </c>
      <c r="H6" s="80">
        <v>80</v>
      </c>
      <c r="I6" s="80">
        <v>80.2</v>
      </c>
      <c r="J6" s="216">
        <v>75.599999999999994</v>
      </c>
      <c r="K6" s="156">
        <v>93.1</v>
      </c>
      <c r="L6" s="156">
        <v>111.9</v>
      </c>
      <c r="M6" s="156">
        <v>112.1</v>
      </c>
      <c r="N6" s="216">
        <v>71.504000000000005</v>
      </c>
      <c r="O6" s="156">
        <v>108.8271</v>
      </c>
      <c r="P6" s="156">
        <v>152.23249999999999</v>
      </c>
      <c r="Q6" s="156">
        <v>156.28729999999999</v>
      </c>
      <c r="R6" s="200">
        <f>142735.4*10^(-3)</f>
        <v>142.7354</v>
      </c>
      <c r="S6" s="338">
        <f>173603.3/1000</f>
        <v>173.60329999999999</v>
      </c>
      <c r="T6" s="338">
        <v>197.09800000000001</v>
      </c>
      <c r="U6" s="288">
        <v>188.6208</v>
      </c>
      <c r="V6" s="248"/>
      <c r="W6" s="248"/>
      <c r="X6" s="248"/>
      <c r="Y6" s="289"/>
      <c r="Z6" s="248"/>
      <c r="AA6" s="248"/>
      <c r="AB6" s="248"/>
      <c r="AC6" s="248"/>
      <c r="AD6" s="248"/>
      <c r="AE6" s="248"/>
      <c r="AF6" s="248"/>
      <c r="AG6" s="248"/>
      <c r="AH6" s="338"/>
      <c r="AI6" s="338"/>
      <c r="AJ6" s="94">
        <v>62.3</v>
      </c>
      <c r="AK6" s="81">
        <f>AV6-AJ6</f>
        <v>108.8</v>
      </c>
      <c r="AL6" s="81">
        <v>122.7</v>
      </c>
      <c r="AM6" s="80">
        <f>AW6-AL6</f>
        <v>160.10000000000002</v>
      </c>
      <c r="AN6" s="80">
        <f>75.6+93.1</f>
        <v>168.7</v>
      </c>
      <c r="AO6" s="80"/>
      <c r="AQ6" s="446">
        <f>AJ6+D6</f>
        <v>114.1</v>
      </c>
      <c r="AR6" s="446">
        <f>AL6+H6</f>
        <v>202.7</v>
      </c>
      <c r="AT6" s="94">
        <v>15.6</v>
      </c>
      <c r="AU6" s="94">
        <v>58.7</v>
      </c>
      <c r="AV6" s="94">
        <v>171.1</v>
      </c>
      <c r="AW6" s="342">
        <v>282.8</v>
      </c>
      <c r="AX6" s="156">
        <v>392.7</v>
      </c>
      <c r="AY6" s="94">
        <v>488.85120000000001</v>
      </c>
      <c r="AZ6" s="94">
        <v>702.05740000000003</v>
      </c>
      <c r="BA6" s="159"/>
    </row>
    <row r="7" spans="1:58" s="93" customFormat="1" x14ac:dyDescent="0.3">
      <c r="A7" s="103" t="s">
        <v>169</v>
      </c>
      <c r="B7" s="339"/>
      <c r="C7" s="339"/>
      <c r="D7" s="339">
        <f t="shared" ref="D7:U7" si="0">D6*1000/D5</f>
        <v>43.019682750602115</v>
      </c>
      <c r="E7" s="339">
        <f t="shared" si="0"/>
        <v>42.08505611340815</v>
      </c>
      <c r="F7" s="339">
        <f t="shared" si="0"/>
        <v>44.511597517151266</v>
      </c>
      <c r="G7" s="339">
        <f t="shared" si="0"/>
        <v>44.02272140459592</v>
      </c>
      <c r="H7" s="339">
        <f t="shared" si="0"/>
        <v>44.755244755244753</v>
      </c>
      <c r="I7" s="339">
        <f t="shared" si="0"/>
        <v>43.770124979533918</v>
      </c>
      <c r="J7" s="201">
        <f t="shared" si="0"/>
        <v>45.470949115842657</v>
      </c>
      <c r="K7" s="339">
        <f t="shared" si="0"/>
        <v>44.650136684091891</v>
      </c>
      <c r="L7" s="339">
        <f t="shared" si="0"/>
        <v>45.320157142278568</v>
      </c>
      <c r="M7" s="339">
        <f t="shared" si="0"/>
        <v>44.745140302558575</v>
      </c>
      <c r="N7" s="201">
        <f t="shared" si="0"/>
        <v>52.021826118588578</v>
      </c>
      <c r="O7" s="339">
        <f t="shared" si="0"/>
        <v>48.825474449279916</v>
      </c>
      <c r="P7" s="339">
        <f t="shared" si="0"/>
        <v>47.38459862421017</v>
      </c>
      <c r="Q7" s="339">
        <f t="shared" si="0"/>
        <v>46.914808032900062</v>
      </c>
      <c r="R7" s="201">
        <f t="shared" si="0"/>
        <v>49.173321390429599</v>
      </c>
      <c r="S7" s="339">
        <f t="shared" si="0"/>
        <v>49.021093352911272</v>
      </c>
      <c r="T7" s="339">
        <f t="shared" si="0"/>
        <v>49.114876650884625</v>
      </c>
      <c r="U7" s="332">
        <f t="shared" si="0"/>
        <v>48.233212294788522</v>
      </c>
      <c r="V7" s="249"/>
      <c r="W7" s="249"/>
      <c r="X7" s="249"/>
      <c r="Y7" s="290"/>
      <c r="Z7" s="249"/>
      <c r="AA7" s="249"/>
      <c r="AB7" s="249"/>
      <c r="AC7" s="249"/>
      <c r="AD7" s="249"/>
      <c r="AE7" s="249"/>
      <c r="AF7" s="249"/>
      <c r="AG7" s="249"/>
      <c r="AH7" s="339"/>
      <c r="AI7" s="339"/>
      <c r="AJ7" s="339">
        <f>AJ6*1000/AJ5</f>
        <v>40.679072804440089</v>
      </c>
      <c r="AK7" s="339">
        <f>AK6*1000/AK5</f>
        <v>42.524916943521596</v>
      </c>
      <c r="AL7" s="339">
        <f>AL6*1000/AL5</f>
        <v>44.238534756273438</v>
      </c>
      <c r="AM7" s="339">
        <f>AM6*1000/AM5</f>
        <v>44.228962926128524</v>
      </c>
      <c r="AN7" s="339">
        <f>AN6*1000/AN5</f>
        <v>45.01427542225899</v>
      </c>
      <c r="AO7" s="339"/>
      <c r="AQ7" s="339">
        <f>AQ6*1000/AQ5</f>
        <v>41.709314227226201</v>
      </c>
      <c r="AR7" s="339">
        <f>AR6*1000/AR5</f>
        <v>44.441033961105873</v>
      </c>
      <c r="AT7" s="339">
        <f t="shared" ref="AT7:AZ7" si="1">AT6*1000/AT5</f>
        <v>24.489795918367346</v>
      </c>
      <c r="AU7" s="339">
        <f t="shared" si="1"/>
        <v>37.034700315457414</v>
      </c>
      <c r="AV7" s="339">
        <f t="shared" si="1"/>
        <v>41.833740831295842</v>
      </c>
      <c r="AW7" s="339">
        <f t="shared" si="1"/>
        <v>44.233115400256516</v>
      </c>
      <c r="AX7" s="339">
        <f t="shared" si="1"/>
        <v>45.023560839706029</v>
      </c>
      <c r="AY7" s="339">
        <f t="shared" si="1"/>
        <v>48.175020202219294</v>
      </c>
      <c r="AZ7" s="339">
        <f t="shared" si="1"/>
        <v>48.863929953506499</v>
      </c>
    </row>
    <row r="8" spans="1:58" x14ac:dyDescent="0.3">
      <c r="A8" s="103"/>
      <c r="AT8" s="46"/>
      <c r="AU8" s="46"/>
      <c r="AV8" s="46"/>
      <c r="AW8" s="46"/>
    </row>
    <row r="9" spans="1:58" s="156" customFormat="1" x14ac:dyDescent="0.3">
      <c r="A9" s="93" t="s">
        <v>170</v>
      </c>
      <c r="B9" s="342"/>
      <c r="C9" s="342"/>
      <c r="D9" s="342"/>
      <c r="E9" s="342"/>
      <c r="F9" s="342"/>
      <c r="G9" s="342"/>
      <c r="H9" s="342"/>
      <c r="I9" s="342"/>
      <c r="J9" s="203"/>
      <c r="K9" s="342"/>
      <c r="M9" s="156">
        <v>13963448</v>
      </c>
      <c r="N9" s="202">
        <v>8563624</v>
      </c>
      <c r="O9" s="340">
        <v>12719014</v>
      </c>
      <c r="P9" s="340">
        <v>18251171</v>
      </c>
      <c r="Q9" s="340">
        <v>19058227</v>
      </c>
      <c r="R9" s="202">
        <v>18370710</v>
      </c>
      <c r="S9" s="340">
        <v>20353682</v>
      </c>
      <c r="T9" s="340">
        <v>23222843</v>
      </c>
      <c r="U9" s="291">
        <f>14254546+7768614</f>
        <v>22023160</v>
      </c>
      <c r="V9" s="340">
        <f>V10+V11</f>
        <v>20706770</v>
      </c>
      <c r="W9" s="340"/>
      <c r="X9" s="340"/>
      <c r="Y9" s="291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2">
        <v>8138117</v>
      </c>
      <c r="AK9" s="87">
        <f>AV9-AJ9</f>
        <v>12145847</v>
      </c>
      <c r="AL9" s="342">
        <v>15219665</v>
      </c>
      <c r="AM9" s="347">
        <f>AW9-AL9</f>
        <v>20499543</v>
      </c>
      <c r="AN9" s="342">
        <v>21632175</v>
      </c>
      <c r="AO9" s="342"/>
      <c r="AQ9" s="446"/>
      <c r="AR9" s="446"/>
      <c r="AT9" s="342">
        <v>174754</v>
      </c>
      <c r="AU9" s="342">
        <v>5208994</v>
      </c>
      <c r="AV9" s="342">
        <v>20283964</v>
      </c>
      <c r="AW9" s="342">
        <v>35719208</v>
      </c>
      <c r="AX9" s="340">
        <v>49646589</v>
      </c>
      <c r="AY9" s="342">
        <v>58592036</v>
      </c>
      <c r="AZ9" s="342">
        <f>AZ10+AZ11</f>
        <v>82750914</v>
      </c>
      <c r="BA9" s="159"/>
    </row>
    <row r="10" spans="1:58" s="156" customFormat="1" x14ac:dyDescent="0.3">
      <c r="A10" s="242" t="s">
        <v>171</v>
      </c>
      <c r="B10" s="342"/>
      <c r="C10" s="342"/>
      <c r="D10" s="342"/>
      <c r="E10" s="342"/>
      <c r="F10" s="342"/>
      <c r="G10" s="342"/>
      <c r="H10" s="342"/>
      <c r="I10" s="342"/>
      <c r="J10" s="203"/>
      <c r="K10" s="342"/>
      <c r="N10" s="202"/>
      <c r="O10" s="340"/>
      <c r="P10" s="340"/>
      <c r="Q10" s="341">
        <v>12664562</v>
      </c>
      <c r="R10" s="246">
        <v>12165172</v>
      </c>
      <c r="S10" s="341"/>
      <c r="T10" s="341"/>
      <c r="U10" s="292">
        <v>14254546</v>
      </c>
      <c r="V10" s="341">
        <v>13500013</v>
      </c>
      <c r="W10" s="341"/>
      <c r="X10" s="341"/>
      <c r="Y10" s="292"/>
      <c r="Z10" s="341"/>
      <c r="AA10" s="341"/>
      <c r="AB10" s="341"/>
      <c r="AC10" s="341"/>
      <c r="AD10" s="341">
        <f>U10/U16</f>
        <v>0.54559428439346647</v>
      </c>
      <c r="AE10" s="341"/>
      <c r="AF10" s="341"/>
      <c r="AG10" s="341"/>
      <c r="AH10" s="243">
        <f>V10/V16</f>
        <v>0.55885119678075523</v>
      </c>
      <c r="AI10" s="356"/>
      <c r="AJ10" s="342"/>
      <c r="AK10" s="87"/>
      <c r="AL10" s="342"/>
      <c r="AM10" s="347"/>
      <c r="AN10" s="342"/>
      <c r="AO10" s="342"/>
      <c r="AQ10" s="446"/>
      <c r="AR10" s="446"/>
      <c r="AT10" s="342"/>
      <c r="AU10" s="342"/>
      <c r="AV10" s="342"/>
      <c r="AW10" s="342"/>
      <c r="AX10" s="341"/>
      <c r="AY10" s="341">
        <v>39116411</v>
      </c>
      <c r="AZ10" s="341">
        <v>54203640</v>
      </c>
      <c r="BA10" s="159"/>
    </row>
    <row r="11" spans="1:58" s="156" customFormat="1" x14ac:dyDescent="0.3">
      <c r="A11" s="242" t="s">
        <v>172</v>
      </c>
      <c r="B11" s="342"/>
      <c r="C11" s="342"/>
      <c r="D11" s="342"/>
      <c r="E11" s="342"/>
      <c r="F11" s="342"/>
      <c r="G11" s="342"/>
      <c r="H11" s="342"/>
      <c r="I11" s="342"/>
      <c r="J11" s="203"/>
      <c r="K11" s="342"/>
      <c r="N11" s="202"/>
      <c r="O11" s="340"/>
      <c r="P11" s="340"/>
      <c r="Q11" s="341">
        <v>6029499</v>
      </c>
      <c r="R11" s="246">
        <v>5809915</v>
      </c>
      <c r="S11" s="341"/>
      <c r="T11" s="341"/>
      <c r="U11" s="292">
        <v>7768614</v>
      </c>
      <c r="V11" s="341">
        <v>7206757</v>
      </c>
      <c r="W11" s="341"/>
      <c r="X11" s="341"/>
      <c r="Y11" s="292"/>
      <c r="Z11" s="341"/>
      <c r="AA11" s="341"/>
      <c r="AB11" s="341"/>
      <c r="AC11" s="341"/>
      <c r="AD11" s="341">
        <f>U11/U16</f>
        <v>0.29734453809044953</v>
      </c>
      <c r="AE11" s="341"/>
      <c r="AF11" s="341"/>
      <c r="AG11" s="341"/>
      <c r="AH11" s="243">
        <f>V11/V16</f>
        <v>0.29833339970547329</v>
      </c>
      <c r="AI11" s="356"/>
      <c r="AJ11" s="342"/>
      <c r="AK11" s="87"/>
      <c r="AL11" s="342"/>
      <c r="AM11" s="347"/>
      <c r="AN11" s="342"/>
      <c r="AO11" s="342"/>
      <c r="AQ11" s="446"/>
      <c r="AR11" s="446"/>
      <c r="AT11" s="342"/>
      <c r="AU11" s="342"/>
      <c r="AV11" s="342"/>
      <c r="AW11" s="342"/>
      <c r="AX11" s="341"/>
      <c r="AY11" s="341">
        <v>18502868</v>
      </c>
      <c r="AZ11" s="341">
        <v>28547274</v>
      </c>
      <c r="BA11" s="159"/>
    </row>
    <row r="12" spans="1:58" s="156" customFormat="1" x14ac:dyDescent="0.3">
      <c r="A12" s="104" t="s">
        <v>173</v>
      </c>
      <c r="B12" s="342"/>
      <c r="C12" s="342"/>
      <c r="D12" s="342"/>
      <c r="E12" s="342"/>
      <c r="F12" s="342"/>
      <c r="G12" s="342"/>
      <c r="H12" s="342"/>
      <c r="I12" s="342"/>
      <c r="J12" s="203"/>
      <c r="K12" s="342"/>
      <c r="N12" s="228">
        <f t="shared" ref="N12:V12" si="2">N9/N16</f>
        <v>0.90234376275957351</v>
      </c>
      <c r="O12" s="373">
        <f t="shared" si="2"/>
        <v>0.87451395222597217</v>
      </c>
      <c r="P12" s="373">
        <f t="shared" si="2"/>
        <v>0.88200518479456835</v>
      </c>
      <c r="Q12" s="373">
        <f t="shared" si="2"/>
        <v>0.88486583122794449</v>
      </c>
      <c r="R12" s="228">
        <f t="shared" si="2"/>
        <v>0.89284782174449984</v>
      </c>
      <c r="S12" s="373">
        <f t="shared" si="2"/>
        <v>0.88015602451433261</v>
      </c>
      <c r="T12" s="373">
        <f t="shared" si="2"/>
        <v>0.87684183622939527</v>
      </c>
      <c r="U12" s="326">
        <f t="shared" si="2"/>
        <v>0.84293882248391594</v>
      </c>
      <c r="V12" s="373">
        <f t="shared" si="2"/>
        <v>0.85718459648622858</v>
      </c>
      <c r="W12" s="373"/>
      <c r="X12" s="373"/>
      <c r="Y12" s="326"/>
      <c r="Z12" s="373"/>
      <c r="AA12" s="373"/>
      <c r="AB12" s="373"/>
      <c r="AC12" s="373"/>
      <c r="AD12" s="373"/>
      <c r="AE12" s="373"/>
      <c r="AF12" s="373"/>
      <c r="AG12" s="373"/>
      <c r="AH12" s="340"/>
      <c r="AI12" s="340"/>
      <c r="AJ12" s="342"/>
      <c r="AK12" s="87"/>
      <c r="AL12" s="342"/>
      <c r="AM12" s="347"/>
      <c r="AN12" s="342"/>
      <c r="AO12" s="342"/>
      <c r="AQ12" s="446"/>
      <c r="AR12" s="446"/>
      <c r="AT12" s="342"/>
      <c r="AU12" s="342"/>
      <c r="AV12" s="342"/>
      <c r="AW12" s="342"/>
      <c r="AX12" s="340"/>
      <c r="AY12" s="342"/>
      <c r="AZ12" s="342"/>
      <c r="BA12" s="159"/>
    </row>
    <row r="13" spans="1:58" s="156" customFormat="1" x14ac:dyDescent="0.3">
      <c r="A13" s="93" t="s">
        <v>174</v>
      </c>
      <c r="B13" s="342"/>
      <c r="C13" s="342"/>
      <c r="D13" s="342"/>
      <c r="E13" s="342"/>
      <c r="F13" s="342"/>
      <c r="G13" s="342"/>
      <c r="H13" s="342"/>
      <c r="I13" s="342"/>
      <c r="J13" s="203"/>
      <c r="K13" s="342"/>
      <c r="M13" s="156">
        <v>1732259</v>
      </c>
      <c r="N13" s="202">
        <v>919519</v>
      </c>
      <c r="O13" s="340">
        <v>1795740</v>
      </c>
      <c r="P13" s="340">
        <v>2407888</v>
      </c>
      <c r="Q13" s="340">
        <v>2441964</v>
      </c>
      <c r="R13" s="202">
        <v>2192127</v>
      </c>
      <c r="S13" s="340">
        <v>2764255</v>
      </c>
      <c r="T13" s="340">
        <v>3255079</v>
      </c>
      <c r="U13" s="291">
        <v>3223472</v>
      </c>
      <c r="V13" s="340">
        <v>2639206</v>
      </c>
      <c r="W13" s="340"/>
      <c r="X13" s="340"/>
      <c r="Y13" s="291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2">
        <v>213399</v>
      </c>
      <c r="AK13" s="87">
        <f>AV13-AJ13</f>
        <v>496804</v>
      </c>
      <c r="AL13" s="342">
        <v>703842</v>
      </c>
      <c r="AM13" s="347">
        <f>AW13-AL13</f>
        <v>1631157</v>
      </c>
      <c r="AN13" s="342">
        <v>1867796</v>
      </c>
      <c r="AO13" s="342"/>
      <c r="AQ13" s="446"/>
      <c r="AR13" s="446"/>
      <c r="AT13" s="342">
        <v>0</v>
      </c>
      <c r="AU13" s="342">
        <v>82975</v>
      </c>
      <c r="AV13" s="342">
        <v>710203</v>
      </c>
      <c r="AW13" s="342">
        <v>2334999</v>
      </c>
      <c r="AX13" s="340">
        <v>5103794</v>
      </c>
      <c r="AY13" s="342">
        <v>7565111</v>
      </c>
      <c r="AZ13" s="342">
        <v>11434933</v>
      </c>
      <c r="BA13" s="159"/>
    </row>
    <row r="14" spans="1:58" s="156" customFormat="1" x14ac:dyDescent="0.3">
      <c r="A14" s="104" t="s">
        <v>173</v>
      </c>
      <c r="B14" s="342"/>
      <c r="C14" s="342"/>
      <c r="D14" s="342"/>
      <c r="E14" s="342"/>
      <c r="F14" s="342"/>
      <c r="G14" s="342"/>
      <c r="H14" s="342"/>
      <c r="I14" s="356"/>
      <c r="J14" s="203"/>
      <c r="K14" s="342"/>
      <c r="N14" s="228">
        <f t="shared" ref="N14:V14" si="3">N13/N16</f>
        <v>9.688914814439778E-2</v>
      </c>
      <c r="O14" s="373">
        <f t="shared" si="3"/>
        <v>0.12346866546182489</v>
      </c>
      <c r="P14" s="373">
        <f t="shared" si="3"/>
        <v>0.1163634760972117</v>
      </c>
      <c r="Q14" s="373">
        <f t="shared" si="3"/>
        <v>0.11337940851941349</v>
      </c>
      <c r="R14" s="228">
        <f t="shared" si="3"/>
        <v>0.10654110902285786</v>
      </c>
      <c r="S14" s="373">
        <f t="shared" si="3"/>
        <v>0.11953491714884149</v>
      </c>
      <c r="T14" s="373">
        <f t="shared" si="3"/>
        <v>0.12290439406715808</v>
      </c>
      <c r="U14" s="326">
        <f t="shared" si="3"/>
        <v>0.12337873820059762</v>
      </c>
      <c r="V14" s="373">
        <f t="shared" si="3"/>
        <v>0.10925348232264295</v>
      </c>
      <c r="W14" s="373"/>
      <c r="X14" s="373"/>
      <c r="Y14" s="326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>
        <f>AJ13/AJ16</f>
        <v>2.5516114865143592E-2</v>
      </c>
      <c r="AK14" s="373">
        <f>AK13/AK16</f>
        <v>3.9215290051094712E-2</v>
      </c>
      <c r="AL14" s="373">
        <f>AL13/AL16</f>
        <v>4.4088420132685824E-2</v>
      </c>
      <c r="AM14" s="373">
        <f>AM13/AM16</f>
        <v>7.354592266337763E-2</v>
      </c>
      <c r="AN14" s="373">
        <f>AN13/AN16</f>
        <v>7.9310170733787946E-2</v>
      </c>
      <c r="AO14" s="373"/>
      <c r="AQ14" s="446"/>
      <c r="AR14" s="446"/>
      <c r="AT14" s="356">
        <f t="shared" ref="AT14:AZ14" si="4">AT13/AT16</f>
        <v>0</v>
      </c>
      <c r="AU14" s="356">
        <f t="shared" si="4"/>
        <v>1.5652727705922267E-2</v>
      </c>
      <c r="AV14" s="356">
        <f t="shared" si="4"/>
        <v>3.3767842451761329E-2</v>
      </c>
      <c r="AW14" s="356">
        <f t="shared" si="4"/>
        <v>6.1216839760960068E-2</v>
      </c>
      <c r="AX14" s="356">
        <f t="shared" si="4"/>
        <v>9.3061556121674507E-2</v>
      </c>
      <c r="AY14" s="356">
        <f t="shared" si="4"/>
        <v>0.11416395656376452</v>
      </c>
      <c r="AZ14" s="356">
        <f t="shared" si="4"/>
        <v>0.11872829302351785</v>
      </c>
    </row>
    <row r="15" spans="1:58" s="156" customFormat="1" x14ac:dyDescent="0.3">
      <c r="A15" s="93" t="s">
        <v>175</v>
      </c>
      <c r="B15" s="342"/>
      <c r="C15" s="342"/>
      <c r="D15" s="342"/>
      <c r="E15" s="342"/>
      <c r="F15" s="342"/>
      <c r="G15" s="342"/>
      <c r="H15" s="342"/>
      <c r="I15" s="342"/>
      <c r="J15" s="203"/>
      <c r="K15" s="342"/>
      <c r="M15" s="156">
        <v>20003</v>
      </c>
      <c r="N15" s="203">
        <v>7280</v>
      </c>
      <c r="O15" s="342">
        <v>29341</v>
      </c>
      <c r="P15" s="342">
        <v>33757</v>
      </c>
      <c r="Q15" s="340">
        <v>37794</v>
      </c>
      <c r="R15" s="203">
        <v>12573</v>
      </c>
      <c r="S15" s="342">
        <v>7147</v>
      </c>
      <c r="T15" s="342">
        <v>6721</v>
      </c>
      <c r="U15" s="293">
        <v>880009</v>
      </c>
      <c r="V15" s="342">
        <v>810746</v>
      </c>
      <c r="W15" s="342"/>
      <c r="X15" s="342"/>
      <c r="Y15" s="293"/>
      <c r="Z15" s="342"/>
      <c r="AA15" s="342"/>
      <c r="AB15" s="342"/>
      <c r="AC15" s="342"/>
      <c r="AD15" s="342"/>
      <c r="AE15" s="342"/>
      <c r="AF15" s="342"/>
      <c r="AG15" s="342"/>
      <c r="AJ15" s="342">
        <v>11787</v>
      </c>
      <c r="AK15" s="87">
        <f>AV15-AJ15</f>
        <v>25979</v>
      </c>
      <c r="AL15" s="342">
        <v>40821</v>
      </c>
      <c r="AM15" s="347">
        <f>AW15-AL15</f>
        <v>48055</v>
      </c>
      <c r="AN15" s="342">
        <v>50552</v>
      </c>
      <c r="AO15" s="342"/>
      <c r="AQ15" s="446"/>
      <c r="AT15" s="342">
        <v>0</v>
      </c>
      <c r="AU15" s="342">
        <v>9024</v>
      </c>
      <c r="AV15" s="342">
        <v>37766</v>
      </c>
      <c r="AW15" s="342">
        <v>88876</v>
      </c>
      <c r="AX15" s="340">
        <v>92822</v>
      </c>
      <c r="AY15" s="342">
        <v>108172</v>
      </c>
      <c r="AZ15" s="342">
        <v>2125931</v>
      </c>
      <c r="BA15" s="159"/>
    </row>
    <row r="16" spans="1:58" s="156" customFormat="1" x14ac:dyDescent="0.3">
      <c r="A16" s="103" t="s">
        <v>176</v>
      </c>
      <c r="B16" s="342"/>
      <c r="C16" s="342"/>
      <c r="D16" s="342">
        <v>6044214</v>
      </c>
      <c r="E16" s="94">
        <v>6624416</v>
      </c>
      <c r="F16" s="94">
        <v>7056361</v>
      </c>
      <c r="G16" s="342">
        <f>AL16-F16</f>
        <v>8907967</v>
      </c>
      <c r="H16" s="342">
        <v>11172478</v>
      </c>
      <c r="I16" s="342">
        <v>11006277</v>
      </c>
      <c r="J16" s="203">
        <v>10705803</v>
      </c>
      <c r="K16" s="342">
        <v>12844720</v>
      </c>
      <c r="L16" s="156">
        <v>15576972</v>
      </c>
      <c r="M16" s="156">
        <v>15715710</v>
      </c>
      <c r="N16" s="202">
        <v>9490423</v>
      </c>
      <c r="O16" s="340">
        <v>14544095</v>
      </c>
      <c r="P16" s="340">
        <v>20692816</v>
      </c>
      <c r="Q16" s="340">
        <v>21537985</v>
      </c>
      <c r="R16" s="202">
        <v>20575410</v>
      </c>
      <c r="S16" s="340">
        <v>23125084</v>
      </c>
      <c r="T16" s="340">
        <v>26484643</v>
      </c>
      <c r="U16" s="291">
        <v>26126641</v>
      </c>
      <c r="V16" s="340">
        <v>24156722</v>
      </c>
      <c r="W16" s="340"/>
      <c r="X16" s="340"/>
      <c r="Y16" s="291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7">
        <f>SUM(AJ9,AJ13,AJ15)</f>
        <v>8363303</v>
      </c>
      <c r="AK16" s="347">
        <f>SUM(AK9,AK13,AK15)</f>
        <v>12668630</v>
      </c>
      <c r="AL16" s="347">
        <f>SUM(AL9,AL13,AL15)</f>
        <v>15964328</v>
      </c>
      <c r="AM16" s="347">
        <f>SUM(AM9,AM13,AM15)</f>
        <v>22178755</v>
      </c>
      <c r="AN16" s="347">
        <f>SUM(AN9,AN13,AN15)</f>
        <v>23550523</v>
      </c>
      <c r="AO16" s="347"/>
      <c r="AQ16" s="447">
        <f>AJ16+D16</f>
        <v>14407517</v>
      </c>
      <c r="AR16" s="447">
        <f>AL16+H16</f>
        <v>27136806</v>
      </c>
      <c r="AT16" s="342">
        <f>SUM(AT9,AT13,AT15)</f>
        <v>174754</v>
      </c>
      <c r="AU16" s="342">
        <f>SUM(AU9,AU13,AU15)</f>
        <v>5300993</v>
      </c>
      <c r="AV16" s="342">
        <f>SUM(AV9,AV13,AV15)</f>
        <v>21031933</v>
      </c>
      <c r="AW16" s="342">
        <v>38143083</v>
      </c>
      <c r="AX16" s="340">
        <v>54843205</v>
      </c>
      <c r="AY16" s="342">
        <v>66265319</v>
      </c>
      <c r="AZ16" s="342">
        <v>96311778</v>
      </c>
      <c r="BA16" s="159"/>
    </row>
    <row r="17" spans="1:54" s="156" customFormat="1" x14ac:dyDescent="0.3">
      <c r="A17" s="103" t="s">
        <v>177</v>
      </c>
      <c r="B17" s="342"/>
      <c r="C17" s="342"/>
      <c r="D17" s="373">
        <f t="shared" ref="D17:V17" si="5">D16/D143</f>
        <v>0.62480271446699931</v>
      </c>
      <c r="E17" s="373">
        <f t="shared" si="5"/>
        <v>0.63237966209906693</v>
      </c>
      <c r="F17" s="373">
        <f t="shared" si="5"/>
        <v>0.62583783345600819</v>
      </c>
      <c r="G17" s="373">
        <f t="shared" si="5"/>
        <v>0.59099757682134479</v>
      </c>
      <c r="H17" s="373">
        <f t="shared" si="5"/>
        <v>0.58568245888459103</v>
      </c>
      <c r="I17" s="373">
        <f t="shared" si="5"/>
        <v>0.55577567991681454</v>
      </c>
      <c r="J17" s="228">
        <f t="shared" si="5"/>
        <v>0.55836421621662213</v>
      </c>
      <c r="K17" s="373">
        <f t="shared" si="5"/>
        <v>0.56576851031643782</v>
      </c>
      <c r="L17" s="373">
        <f t="shared" si="5"/>
        <v>0.5665666034847564</v>
      </c>
      <c r="M17" s="373">
        <f t="shared" si="5"/>
        <v>0.55812091751572801</v>
      </c>
      <c r="N17" s="228">
        <f t="shared" si="5"/>
        <v>0.5664609651479684</v>
      </c>
      <c r="O17" s="373">
        <f t="shared" si="5"/>
        <v>0.58830963896412714</v>
      </c>
      <c r="P17" s="373">
        <f t="shared" si="5"/>
        <v>0.58452165658859478</v>
      </c>
      <c r="Q17" s="373">
        <f t="shared" si="5"/>
        <v>0.56802222530259372</v>
      </c>
      <c r="R17" s="228">
        <f t="shared" si="5"/>
        <v>0.55584785951644711</v>
      </c>
      <c r="S17" s="373">
        <f t="shared" si="5"/>
        <v>0.52846183406509506</v>
      </c>
      <c r="T17" s="373">
        <f t="shared" si="5"/>
        <v>0.54239165895443664</v>
      </c>
      <c r="U17" s="326">
        <f t="shared" si="5"/>
        <v>0.52756438087226831</v>
      </c>
      <c r="V17" s="373">
        <f t="shared" si="5"/>
        <v>0.52209579709019183</v>
      </c>
      <c r="W17" s="373"/>
      <c r="X17" s="373"/>
      <c r="Y17" s="326"/>
      <c r="Z17" s="373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>
        <f>AJ16/AJ143</f>
        <v>0.60696832158183722</v>
      </c>
      <c r="AK17" s="373">
        <f>AK16/AK143</f>
        <v>0.62874190276981079</v>
      </c>
      <c r="AL17" s="373">
        <f>AL16/AL143</f>
        <v>0.60590681728705753</v>
      </c>
      <c r="AM17" s="373">
        <f>AM16/AM143</f>
        <v>0.5704492843790413</v>
      </c>
      <c r="AN17" s="373">
        <f>AN16/AN143</f>
        <v>0.562378403295832</v>
      </c>
      <c r="AO17" s="373"/>
      <c r="AP17" s="373"/>
      <c r="AQ17" s="373">
        <f>AQ16/AQ143</f>
        <v>0.61432470050560262</v>
      </c>
      <c r="AR17" s="373">
        <f>AR16/AR143</f>
        <v>0.59741348075787359</v>
      </c>
      <c r="AS17" s="373"/>
      <c r="AT17" s="373">
        <f t="shared" ref="AT17:AZ17" si="6">AT16/AT143</f>
        <v>4.3482404274340691E-2</v>
      </c>
      <c r="AU17" s="373">
        <f t="shared" si="6"/>
        <v>0.40814302225033006</v>
      </c>
      <c r="AV17" s="373">
        <f t="shared" si="6"/>
        <v>0.61989922950630694</v>
      </c>
      <c r="AW17" s="373">
        <f t="shared" si="6"/>
        <v>0.58477195691042017</v>
      </c>
      <c r="AX17" s="373">
        <f t="shared" si="6"/>
        <v>0.56232985812120972</v>
      </c>
      <c r="AY17" s="373">
        <f t="shared" si="6"/>
        <v>0.57725163860188089</v>
      </c>
      <c r="AZ17" s="373">
        <f t="shared" si="6"/>
        <v>0.53767015549222041</v>
      </c>
    </row>
    <row r="18" spans="1:54" s="375" customFormat="1" x14ac:dyDescent="0.3">
      <c r="A18" s="344" t="s">
        <v>178</v>
      </c>
      <c r="B18" s="342"/>
      <c r="C18" s="342"/>
      <c r="D18" s="342"/>
      <c r="E18" s="342"/>
      <c r="F18" s="342"/>
      <c r="G18" s="342"/>
      <c r="H18" s="342"/>
      <c r="I18" s="342"/>
      <c r="J18" s="203"/>
      <c r="K18" s="342"/>
      <c r="N18" s="204"/>
      <c r="O18" s="343"/>
      <c r="P18" s="343"/>
      <c r="Q18" s="343"/>
      <c r="R18" s="204"/>
      <c r="S18" s="343"/>
      <c r="T18" s="343"/>
      <c r="U18" s="294"/>
      <c r="V18" s="343"/>
      <c r="W18" s="343"/>
      <c r="X18" s="343"/>
      <c r="Y18" s="294"/>
      <c r="Z18" s="343"/>
      <c r="AA18" s="343"/>
      <c r="AB18" s="343"/>
      <c r="AC18" s="343"/>
      <c r="AD18" s="343"/>
      <c r="AE18" s="343"/>
      <c r="AF18" s="343"/>
      <c r="AG18" s="343"/>
      <c r="AH18" s="343"/>
      <c r="AI18" s="343"/>
      <c r="AJ18" s="342">
        <v>7172635</v>
      </c>
      <c r="AK18" s="87">
        <f>AV18-AJ18</f>
        <v>11151430</v>
      </c>
      <c r="AL18" s="342">
        <v>13042195</v>
      </c>
      <c r="AM18" s="347">
        <f>AW18-AL18</f>
        <v>17473860</v>
      </c>
      <c r="AN18" s="342">
        <v>17745098</v>
      </c>
      <c r="AO18" s="342"/>
      <c r="AQ18" s="447"/>
      <c r="AT18" s="342">
        <v>276779</v>
      </c>
      <c r="AU18" s="342">
        <v>5134840</v>
      </c>
      <c r="AV18" s="342">
        <v>18324065</v>
      </c>
      <c r="AW18" s="342">
        <v>30516055</v>
      </c>
      <c r="AX18" s="343">
        <v>41041513</v>
      </c>
      <c r="AY18" s="139">
        <v>48692295</v>
      </c>
      <c r="AZ18" s="139"/>
      <c r="BA18" s="159"/>
    </row>
    <row r="19" spans="1:54" s="344" customFormat="1" x14ac:dyDescent="0.3">
      <c r="A19" s="344" t="s">
        <v>179</v>
      </c>
      <c r="B19" s="82"/>
      <c r="C19" s="82"/>
      <c r="D19" s="82"/>
      <c r="E19" s="82"/>
      <c r="F19" s="82"/>
      <c r="G19" s="82"/>
      <c r="H19" s="82"/>
      <c r="I19" s="347"/>
      <c r="J19" s="208"/>
      <c r="K19" s="347"/>
      <c r="N19" s="205"/>
      <c r="R19" s="205"/>
      <c r="U19" s="295"/>
      <c r="Y19" s="295"/>
      <c r="AJ19" s="82">
        <f>AJ18/AJ5/1000</f>
        <v>4.6834051583414951</v>
      </c>
      <c r="AK19" s="82">
        <f>AK18/AK5/1000</f>
        <v>4.3585811999218294</v>
      </c>
      <c r="AL19" s="82">
        <f>AL18/AL5/1000</f>
        <v>4.7022624026535915</v>
      </c>
      <c r="AM19" s="82">
        <f>AM18/AM5/1000</f>
        <v>4.827299850820487</v>
      </c>
      <c r="AN19" s="82">
        <f>AN18/AN5/1000</f>
        <v>4.7349302238706406</v>
      </c>
      <c r="AO19" s="82"/>
      <c r="AQ19" s="347"/>
      <c r="AT19" s="82">
        <f t="shared" ref="AT19:AY19" si="7">AT18/AT5/1000</f>
        <v>0.43450392464678178</v>
      </c>
      <c r="AU19" s="82">
        <f t="shared" si="7"/>
        <v>3.239646687697161</v>
      </c>
      <c r="AV19" s="82">
        <f t="shared" si="7"/>
        <v>4.4802114914425433</v>
      </c>
      <c r="AW19" s="82">
        <f t="shared" si="7"/>
        <v>4.7730558075515379</v>
      </c>
      <c r="AX19" s="82">
        <f t="shared" si="7"/>
        <v>4.7054623313192927</v>
      </c>
      <c r="AY19" s="82">
        <f t="shared" si="7"/>
        <v>4.7984996156650972</v>
      </c>
      <c r="AZ19" s="82"/>
    </row>
    <row r="20" spans="1:54" x14ac:dyDescent="0.3">
      <c r="B20" s="46"/>
      <c r="C20" s="46"/>
      <c r="D20" s="46"/>
      <c r="E20" s="46"/>
      <c r="F20" s="46"/>
      <c r="G20" s="46"/>
      <c r="H20" s="46"/>
      <c r="I20" s="46"/>
      <c r="J20" s="236"/>
      <c r="K20" s="46"/>
      <c r="AJ20" s="46"/>
      <c r="AL20" s="46"/>
      <c r="AM20" s="46"/>
      <c r="AN20" s="46"/>
      <c r="AO20" s="46"/>
      <c r="AQ20" s="46"/>
      <c r="AT20" s="46"/>
      <c r="AU20" s="46"/>
      <c r="AV20" s="46"/>
      <c r="AW20" s="46"/>
    </row>
    <row r="21" spans="1:54" s="375" customFormat="1" x14ac:dyDescent="0.3">
      <c r="A21" s="344" t="s">
        <v>180</v>
      </c>
      <c r="B21" s="342"/>
      <c r="C21" s="342"/>
      <c r="D21" s="342">
        <v>-5566225</v>
      </c>
      <c r="E21" s="342">
        <v>-6208427</v>
      </c>
      <c r="F21" s="342">
        <f>F22-F16</f>
        <v>-6521266</v>
      </c>
      <c r="G21" s="342">
        <f>AL21-F21</f>
        <v>-7497661</v>
      </c>
      <c r="H21" s="342">
        <v>-9321403</v>
      </c>
      <c r="I21" s="342">
        <v>-9534556</v>
      </c>
      <c r="J21" s="208">
        <f>J22-J16</f>
        <v>-9165049</v>
      </c>
      <c r="K21" s="347">
        <f>K22-K16</f>
        <v>-9984444</v>
      </c>
      <c r="L21" s="375">
        <v>-12531750</v>
      </c>
      <c r="M21" s="375">
        <v>-12928774</v>
      </c>
      <c r="N21" s="206"/>
      <c r="O21" s="345"/>
      <c r="P21" s="345"/>
      <c r="Q21" s="241">
        <v>-20655633</v>
      </c>
      <c r="R21" s="206"/>
      <c r="S21" s="345"/>
      <c r="T21" s="345"/>
      <c r="U21" s="296"/>
      <c r="V21" s="241"/>
      <c r="W21" s="241"/>
      <c r="X21" s="241"/>
      <c r="Y21" s="296"/>
      <c r="Z21" s="241"/>
      <c r="AA21" s="241"/>
      <c r="AB21" s="241"/>
      <c r="AC21" s="241"/>
      <c r="AD21" s="241"/>
      <c r="AE21" s="241"/>
      <c r="AF21" s="241"/>
      <c r="AG21" s="241"/>
      <c r="AJ21" s="81">
        <v>-7557862</v>
      </c>
      <c r="AK21" s="87">
        <f>AV21-AJ21</f>
        <v>-11774652</v>
      </c>
      <c r="AL21" s="81">
        <v>-14018927</v>
      </c>
      <c r="AM21" s="87">
        <f>AW21-AL21</f>
        <v>-18855959</v>
      </c>
      <c r="AN21" s="81">
        <v>-19149493</v>
      </c>
      <c r="AO21" s="81"/>
      <c r="AQ21" s="446"/>
      <c r="AT21" s="342">
        <v>-391010</v>
      </c>
      <c r="AU21" s="342">
        <v>-5706544</v>
      </c>
      <c r="AV21" s="342">
        <v>-19332514</v>
      </c>
      <c r="AW21" s="342">
        <v>-32874886</v>
      </c>
      <c r="AX21" s="343">
        <v>-44610017</v>
      </c>
      <c r="AY21" s="343"/>
      <c r="AZ21" s="343"/>
    </row>
    <row r="22" spans="1:54" s="93" customFormat="1" x14ac:dyDescent="0.3">
      <c r="A22" s="103" t="s">
        <v>181</v>
      </c>
      <c r="B22" s="347"/>
      <c r="C22" s="347"/>
      <c r="D22" s="347">
        <f>SUM(D16,D21)</f>
        <v>477989</v>
      </c>
      <c r="E22" s="347">
        <f>SUM(E16,E21)</f>
        <v>415989</v>
      </c>
      <c r="F22" s="347">
        <v>535095</v>
      </c>
      <c r="G22" s="347">
        <f>AL22-F22</f>
        <v>1410306</v>
      </c>
      <c r="H22" s="347">
        <f>SUM(H16,H21)</f>
        <v>1851075</v>
      </c>
      <c r="I22" s="347">
        <f>SUM(I16,I21)</f>
        <v>1471721</v>
      </c>
      <c r="J22" s="203">
        <v>1540754</v>
      </c>
      <c r="K22" s="342">
        <v>2860276</v>
      </c>
      <c r="L22" s="93">
        <v>3045222</v>
      </c>
      <c r="M22" s="347">
        <f>SUM(M16,M21)</f>
        <v>2786936</v>
      </c>
      <c r="N22" s="207"/>
      <c r="O22" s="346"/>
      <c r="P22" s="346"/>
      <c r="Q22" s="346">
        <f>SUM(Q16,Q21)</f>
        <v>882352</v>
      </c>
      <c r="R22" s="207"/>
      <c r="S22" s="346"/>
      <c r="T22" s="346"/>
      <c r="U22" s="297"/>
      <c r="V22" s="346"/>
      <c r="W22" s="346"/>
      <c r="X22" s="346"/>
      <c r="Y22" s="297"/>
      <c r="Z22" s="346"/>
      <c r="AA22" s="346"/>
      <c r="AB22" s="346"/>
      <c r="AC22" s="346"/>
      <c r="AD22" s="346"/>
      <c r="AE22" s="346"/>
      <c r="AF22" s="346"/>
      <c r="AG22" s="346"/>
      <c r="AH22" s="347"/>
      <c r="AI22" s="347"/>
      <c r="AJ22" s="347">
        <f>SUM(AJ16,AJ21)</f>
        <v>805441</v>
      </c>
      <c r="AK22" s="347">
        <f>SUM(AK16,AK21)</f>
        <v>893978</v>
      </c>
      <c r="AL22" s="347">
        <f>SUM(AL16,AL21)</f>
        <v>1945401</v>
      </c>
      <c r="AM22" s="347">
        <f>SUM(AM16,AM21)</f>
        <v>3322796</v>
      </c>
      <c r="AN22" s="347">
        <f>SUM(AN16,AN21)</f>
        <v>4401030</v>
      </c>
      <c r="AO22" s="347"/>
      <c r="AQ22" s="448">
        <f>AJ22+D22</f>
        <v>1283430</v>
      </c>
      <c r="AR22" s="448">
        <f>AL22+H22</f>
        <v>3796476</v>
      </c>
      <c r="AT22" s="347">
        <f>SUM(AT16,AT21)</f>
        <v>-216256</v>
      </c>
      <c r="AU22" s="347">
        <f>SUM(AU16,AU21)</f>
        <v>-405551</v>
      </c>
      <c r="AV22" s="347">
        <f>SUM(AV16,AV21)</f>
        <v>1699419</v>
      </c>
      <c r="AW22" s="347">
        <f>SUM(AW16,AW21)</f>
        <v>5268197</v>
      </c>
      <c r="AX22" s="347">
        <f>SUM(AX16,AX21)</f>
        <v>10233188</v>
      </c>
      <c r="AY22" s="347"/>
      <c r="AZ22" s="347"/>
    </row>
    <row r="23" spans="1:54" s="93" customFormat="1" x14ac:dyDescent="0.3">
      <c r="A23" s="103"/>
      <c r="B23" s="347"/>
      <c r="C23" s="347"/>
      <c r="D23" s="347"/>
      <c r="E23" s="347"/>
      <c r="F23" s="347"/>
      <c r="G23" s="347"/>
      <c r="H23" s="347"/>
      <c r="I23" s="347"/>
      <c r="J23" s="203"/>
      <c r="K23" s="342"/>
      <c r="M23" s="347"/>
      <c r="N23" s="208"/>
      <c r="O23" s="347"/>
      <c r="P23" s="347"/>
      <c r="Q23" s="347"/>
      <c r="R23" s="208"/>
      <c r="S23" s="347"/>
      <c r="T23" s="347"/>
      <c r="U23" s="298"/>
      <c r="V23" s="347"/>
      <c r="W23" s="347"/>
      <c r="X23" s="347"/>
      <c r="Y23" s="298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7"/>
      <c r="AM23" s="347"/>
      <c r="AN23" s="347"/>
      <c r="AO23" s="347"/>
      <c r="AQ23" s="448"/>
      <c r="AR23" s="448"/>
      <c r="AT23" s="347"/>
      <c r="AU23" s="347"/>
      <c r="AV23" s="347"/>
      <c r="AW23" s="347"/>
      <c r="AX23" s="347"/>
    </row>
    <row r="24" spans="1:54" s="93" customFormat="1" x14ac:dyDescent="0.3">
      <c r="A24" s="344" t="s">
        <v>182</v>
      </c>
      <c r="B24" s="347"/>
      <c r="C24" s="347"/>
      <c r="D24" s="347"/>
      <c r="E24" s="347"/>
      <c r="F24" s="347"/>
      <c r="G24" s="347"/>
      <c r="H24" s="347"/>
      <c r="I24" s="347"/>
      <c r="J24" s="203">
        <v>-154203</v>
      </c>
      <c r="K24" s="342">
        <v>756347</v>
      </c>
      <c r="L24" s="93">
        <v>330907</v>
      </c>
      <c r="M24" s="347">
        <v>482829</v>
      </c>
      <c r="N24" s="208">
        <v>-70881</v>
      </c>
      <c r="O24" s="347">
        <v>1253421</v>
      </c>
      <c r="P24" s="347">
        <v>768477</v>
      </c>
      <c r="Q24" s="347">
        <v>882352</v>
      </c>
      <c r="R24" s="208">
        <v>1115885</v>
      </c>
      <c r="S24" s="347">
        <v>2447076</v>
      </c>
      <c r="T24" s="347">
        <v>876103</v>
      </c>
      <c r="U24" s="298">
        <v>1735577</v>
      </c>
      <c r="V24" s="347">
        <v>1577143</v>
      </c>
      <c r="W24" s="347"/>
      <c r="X24" s="347"/>
      <c r="Y24" s="298"/>
      <c r="Z24" s="347"/>
      <c r="AA24" s="347"/>
      <c r="AB24" s="347"/>
      <c r="AC24" s="347"/>
      <c r="AD24" s="347"/>
      <c r="AE24" s="347"/>
      <c r="AF24" s="347"/>
      <c r="AG24" s="347"/>
      <c r="AH24" s="347"/>
      <c r="AI24" s="347"/>
      <c r="AJ24" s="347"/>
      <c r="AK24" s="347"/>
      <c r="AL24" s="347"/>
      <c r="AM24" s="347"/>
      <c r="AN24" s="347"/>
      <c r="AO24" s="347"/>
      <c r="AQ24" s="448"/>
      <c r="AR24" s="448"/>
      <c r="AT24" s="347"/>
      <c r="AU24" s="347"/>
      <c r="AV24" s="347"/>
      <c r="AW24" s="347"/>
      <c r="AX24" s="347">
        <v>1415880</v>
      </c>
      <c r="AY24" s="347">
        <v>2833369</v>
      </c>
      <c r="AZ24" s="347">
        <v>6174641</v>
      </c>
      <c r="BA24" s="159"/>
    </row>
    <row r="25" spans="1:54" x14ac:dyDescent="0.3">
      <c r="A25" s="103" t="s">
        <v>183</v>
      </c>
      <c r="J25" s="209">
        <f t="shared" ref="J25:V25" si="8">J24/J16</f>
        <v>-1.4403683684446651E-2</v>
      </c>
      <c r="K25" s="348">
        <f t="shared" si="8"/>
        <v>5.8883883805952955E-2</v>
      </c>
      <c r="L25" s="348">
        <f t="shared" si="8"/>
        <v>2.1243345625837937E-2</v>
      </c>
      <c r="M25" s="348">
        <f t="shared" si="8"/>
        <v>3.0722697224624278E-2</v>
      </c>
      <c r="N25" s="209">
        <f t="shared" si="8"/>
        <v>-7.4686871175289023E-3</v>
      </c>
      <c r="O25" s="348">
        <f t="shared" si="8"/>
        <v>8.6180748956879064E-2</v>
      </c>
      <c r="P25" s="348">
        <f t="shared" si="8"/>
        <v>3.713738139845249E-2</v>
      </c>
      <c r="Q25" s="348">
        <f t="shared" si="8"/>
        <v>4.096724925753268E-2</v>
      </c>
      <c r="R25" s="209">
        <f t="shared" si="8"/>
        <v>5.4233913200271586E-2</v>
      </c>
      <c r="S25" s="348">
        <f t="shared" si="8"/>
        <v>0.10581911832190534</v>
      </c>
      <c r="T25" s="348">
        <f t="shared" si="8"/>
        <v>3.3079660541393746E-2</v>
      </c>
      <c r="U25" s="299">
        <f t="shared" si="8"/>
        <v>6.6429396721913087E-2</v>
      </c>
      <c r="V25" s="348">
        <f t="shared" si="8"/>
        <v>6.5287955874145501E-2</v>
      </c>
      <c r="W25" s="348"/>
      <c r="X25" s="348"/>
      <c r="Y25" s="299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X25" s="348">
        <f>AX24/AX16</f>
        <v>2.5816871935183221E-2</v>
      </c>
      <c r="AY25" s="348">
        <f>AY24/AY16</f>
        <v>4.2757947034103919E-2</v>
      </c>
      <c r="AZ25" s="348">
        <f>AZ24/AZ16</f>
        <v>6.4110964704649109E-2</v>
      </c>
    </row>
    <row r="26" spans="1:54" x14ac:dyDescent="0.3">
      <c r="A26" s="102" t="s">
        <v>136</v>
      </c>
      <c r="B26" s="349"/>
      <c r="C26" s="349"/>
      <c r="D26" s="349"/>
      <c r="E26" s="349"/>
      <c r="F26" s="349"/>
      <c r="G26" s="349"/>
      <c r="H26" s="349"/>
      <c r="I26" s="349"/>
      <c r="J26" s="210"/>
      <c r="K26" s="349"/>
      <c r="L26" s="349"/>
      <c r="M26" s="349"/>
      <c r="N26" s="210"/>
      <c r="O26" s="349"/>
      <c r="P26" s="349"/>
      <c r="Q26" s="349"/>
      <c r="R26" s="210"/>
      <c r="S26" s="349"/>
      <c r="T26" s="349"/>
      <c r="U26" s="300"/>
      <c r="V26" s="349"/>
      <c r="W26" s="349"/>
      <c r="X26" s="349"/>
      <c r="Y26" s="300"/>
      <c r="Z26" s="349"/>
      <c r="AA26" s="349"/>
      <c r="AB26" s="349"/>
      <c r="AC26" s="349"/>
      <c r="AD26" s="349"/>
      <c r="AE26" s="349"/>
      <c r="AF26" s="349"/>
      <c r="AG26" s="349"/>
      <c r="AH26" s="254"/>
      <c r="AI26" s="254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  <c r="AY26" s="349"/>
      <c r="AZ26" s="349"/>
      <c r="BA26" s="349"/>
      <c r="BB26" s="349"/>
    </row>
    <row r="27" spans="1:54" s="73" customFormat="1" x14ac:dyDescent="0.3">
      <c r="A27" s="86" t="s">
        <v>184</v>
      </c>
      <c r="B27" s="85"/>
      <c r="C27" s="85"/>
      <c r="D27" s="85"/>
      <c r="E27" s="85"/>
      <c r="F27" s="85"/>
      <c r="G27" s="85"/>
      <c r="H27" s="352">
        <f t="shared" ref="H27:V28" si="9">IFERROR(H5/D5-1,"")</f>
        <v>0.48451125321817146</v>
      </c>
      <c r="I27" s="352">
        <f t="shared" si="9"/>
        <v>0.35284997046662725</v>
      </c>
      <c r="J27" s="189">
        <f t="shared" si="9"/>
        <v>0.3578895785690952</v>
      </c>
      <c r="K27" s="352">
        <f t="shared" si="9"/>
        <v>0.34592047508391421</v>
      </c>
      <c r="L27" s="352">
        <f t="shared" si="9"/>
        <v>0.38131468531468515</v>
      </c>
      <c r="M27" s="352">
        <f t="shared" si="9"/>
        <v>0.36729793156142576</v>
      </c>
      <c r="N27" s="189">
        <f t="shared" si="9"/>
        <v>-0.17328281005653789</v>
      </c>
      <c r="O27" s="352">
        <f t="shared" si="9"/>
        <v>6.8965517241379448E-2</v>
      </c>
      <c r="P27" s="352">
        <f t="shared" si="9"/>
        <v>0.3011623668543193</v>
      </c>
      <c r="Q27" s="352">
        <f t="shared" si="9"/>
        <v>0.32970103380832638</v>
      </c>
      <c r="R27" s="189">
        <f t="shared" si="9"/>
        <v>1.1118224809021462</v>
      </c>
      <c r="S27" s="352">
        <f t="shared" si="9"/>
        <v>0.58885548925478925</v>
      </c>
      <c r="T27" s="352">
        <f t="shared" si="9"/>
        <v>0.249105114078501</v>
      </c>
      <c r="U27" s="275">
        <f t="shared" si="9"/>
        <v>0.17389607660673012</v>
      </c>
      <c r="V27" s="352">
        <f t="shared" si="9"/>
        <v>0.15809418816963516</v>
      </c>
      <c r="W27" s="352"/>
      <c r="X27" s="352"/>
      <c r="Y27" s="275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85"/>
      <c r="AL27" s="352">
        <f t="shared" ref="AL27:AN28" si="10">IFERROR(AL5/AJ5-1,"")</f>
        <v>0.81103493307215135</v>
      </c>
      <c r="AM27" s="352">
        <f t="shared" si="10"/>
        <v>0.41481336720734796</v>
      </c>
      <c r="AN27" s="352">
        <f t="shared" si="10"/>
        <v>0.35120421113354494</v>
      </c>
      <c r="AO27" s="352"/>
      <c r="AQ27" s="85"/>
      <c r="AT27" s="85"/>
      <c r="AU27" s="352">
        <f t="shared" ref="AU27:AZ28" si="11">IFERROR(AU5/AT5-1,"")</f>
        <v>1.4882260596546311</v>
      </c>
      <c r="AV27" s="352">
        <f t="shared" si="11"/>
        <v>1.5804416403785488</v>
      </c>
      <c r="AW27" s="352">
        <f t="shared" si="11"/>
        <v>0.56317848410757931</v>
      </c>
      <c r="AX27" s="352">
        <f t="shared" si="11"/>
        <v>0.36423499233584655</v>
      </c>
      <c r="AY27" s="352">
        <f t="shared" si="11"/>
        <v>0.16341248093922323</v>
      </c>
      <c r="AZ27" s="352">
        <f t="shared" si="11"/>
        <v>0.4158897845753593</v>
      </c>
    </row>
    <row r="28" spans="1:54" s="353" customFormat="1" x14ac:dyDescent="0.3">
      <c r="A28" s="86" t="s">
        <v>185</v>
      </c>
      <c r="B28" s="352" t="str">
        <f>IFERROR(B6/#REF!,"")</f>
        <v/>
      </c>
      <c r="C28" s="352" t="str">
        <f>IFERROR(C6/#REF!,"")</f>
        <v/>
      </c>
      <c r="D28" s="352"/>
      <c r="E28" s="352"/>
      <c r="F28" s="352"/>
      <c r="G28" s="352"/>
      <c r="H28" s="352">
        <f t="shared" si="9"/>
        <v>0.54440154440154442</v>
      </c>
      <c r="I28" s="352">
        <f t="shared" si="9"/>
        <v>0.40701754385964928</v>
      </c>
      <c r="J28" s="189">
        <f t="shared" si="9"/>
        <v>0.38715596330275215</v>
      </c>
      <c r="K28" s="352">
        <f t="shared" si="9"/>
        <v>0.36510263929618758</v>
      </c>
      <c r="L28" s="352">
        <f t="shared" si="9"/>
        <v>0.39875000000000016</v>
      </c>
      <c r="M28" s="352">
        <f t="shared" si="9"/>
        <v>0.3977556109725684</v>
      </c>
      <c r="N28" s="189">
        <f t="shared" si="9"/>
        <v>-5.4179894179893995E-2</v>
      </c>
      <c r="O28" s="352">
        <f t="shared" si="9"/>
        <v>0.16892696025778742</v>
      </c>
      <c r="P28" s="352">
        <f t="shared" si="9"/>
        <v>0.36043342269883816</v>
      </c>
      <c r="Q28" s="352">
        <f t="shared" si="9"/>
        <v>0.39417752007136486</v>
      </c>
      <c r="R28" s="189">
        <f t="shared" si="9"/>
        <v>0.99618762586708409</v>
      </c>
      <c r="S28" s="350">
        <f t="shared" si="9"/>
        <v>0.59522122706568492</v>
      </c>
      <c r="T28" s="350">
        <f t="shared" si="9"/>
        <v>0.29471696254085056</v>
      </c>
      <c r="U28" s="301">
        <f t="shared" si="9"/>
        <v>0.20688501240983759</v>
      </c>
      <c r="V28" s="350">
        <f t="shared" si="9"/>
        <v>-1</v>
      </c>
      <c r="W28" s="350"/>
      <c r="X28" s="350"/>
      <c r="Y28" s="301"/>
      <c r="Z28" s="350"/>
      <c r="AA28" s="350"/>
      <c r="AB28" s="350"/>
      <c r="AC28" s="350"/>
      <c r="AD28" s="350"/>
      <c r="AE28" s="350"/>
      <c r="AF28" s="350"/>
      <c r="AG28" s="350"/>
      <c r="AH28" s="352"/>
      <c r="AI28" s="352"/>
      <c r="AJ28" s="352"/>
      <c r="AL28" s="352">
        <f t="shared" si="10"/>
        <v>0.96950240770465501</v>
      </c>
      <c r="AM28" s="352">
        <f t="shared" si="10"/>
        <v>0.47150735294117663</v>
      </c>
      <c r="AN28" s="352">
        <f t="shared" si="10"/>
        <v>0.3748981255093724</v>
      </c>
      <c r="AO28" s="352"/>
      <c r="AQ28" s="352"/>
      <c r="AT28" s="352"/>
      <c r="AU28" s="352">
        <f t="shared" si="11"/>
        <v>2.7628205128205132</v>
      </c>
      <c r="AV28" s="352">
        <f t="shared" si="11"/>
        <v>1.9148211243611581</v>
      </c>
      <c r="AW28" s="352">
        <f t="shared" si="11"/>
        <v>0.65283459964932811</v>
      </c>
      <c r="AX28" s="352">
        <f t="shared" si="11"/>
        <v>0.38861386138613851</v>
      </c>
      <c r="AY28" s="352">
        <f t="shared" si="11"/>
        <v>0.24484644766997721</v>
      </c>
      <c r="AZ28" s="352">
        <f t="shared" si="11"/>
        <v>0.43613721312333897</v>
      </c>
    </row>
    <row r="29" spans="1:54" s="353" customFormat="1" x14ac:dyDescent="0.3">
      <c r="A29" s="156" t="s">
        <v>186</v>
      </c>
      <c r="B29" s="352"/>
      <c r="C29" s="352"/>
      <c r="D29" s="352"/>
      <c r="E29" s="352"/>
      <c r="F29" s="352"/>
      <c r="G29" s="352"/>
      <c r="H29" s="352"/>
      <c r="I29" s="352"/>
      <c r="J29" s="189"/>
      <c r="K29" s="352"/>
      <c r="L29" s="352"/>
      <c r="M29" s="352"/>
      <c r="N29" s="189"/>
      <c r="O29" s="352"/>
      <c r="P29" s="352"/>
      <c r="Q29" s="352"/>
      <c r="R29" s="211">
        <f>R6/J6-1</f>
        <v>0.88803439153439157</v>
      </c>
      <c r="S29" s="351">
        <f>S6/K6-1</f>
        <v>0.86469709989258869</v>
      </c>
      <c r="T29" s="351">
        <f>T6/L6-1</f>
        <v>0.76137622877569266</v>
      </c>
      <c r="U29" s="302">
        <f>U6/M6-1</f>
        <v>0.68261195361284588</v>
      </c>
      <c r="V29" s="351">
        <f>V6/J6-1</f>
        <v>-1</v>
      </c>
      <c r="W29" s="351"/>
      <c r="X29" s="351"/>
      <c r="Y29" s="302"/>
      <c r="Z29" s="351"/>
      <c r="AA29" s="351"/>
      <c r="AB29" s="351"/>
      <c r="AC29" s="351"/>
      <c r="AD29" s="351"/>
      <c r="AE29" s="351"/>
      <c r="AF29" s="351"/>
      <c r="AG29" s="351"/>
      <c r="AH29" s="352"/>
      <c r="AI29" s="352"/>
      <c r="AJ29" s="352"/>
      <c r="AL29" s="352"/>
      <c r="AM29" s="352"/>
      <c r="AN29" s="352"/>
      <c r="AO29" s="352"/>
      <c r="AQ29" s="352"/>
      <c r="AT29" s="352"/>
      <c r="AU29" s="352"/>
      <c r="AV29" s="352"/>
      <c r="AW29" s="352"/>
      <c r="AX29" s="352"/>
      <c r="AY29" s="352"/>
      <c r="AZ29" s="351">
        <f>AZ6/AX6-1</f>
        <v>0.78777030812324944</v>
      </c>
    </row>
    <row r="30" spans="1:54" s="353" customFormat="1" x14ac:dyDescent="0.3">
      <c r="A30" s="86" t="s">
        <v>187</v>
      </c>
      <c r="B30" s="352"/>
      <c r="C30" s="352"/>
      <c r="D30" s="352"/>
      <c r="E30" s="352">
        <f t="shared" ref="E30:V30" si="12">IFERROR(E5/D5-1,"")</f>
        <v>0.12482351964122596</v>
      </c>
      <c r="F30" s="352">
        <f t="shared" si="12"/>
        <v>-9.5983461311281881E-2</v>
      </c>
      <c r="G30" s="352">
        <f t="shared" si="12"/>
        <v>0.26527278667102272</v>
      </c>
      <c r="H30" s="352">
        <f t="shared" si="12"/>
        <v>0.15382132713658669</v>
      </c>
      <c r="I30" s="352">
        <f t="shared" si="12"/>
        <v>2.5062937062936941E-2</v>
      </c>
      <c r="J30" s="189">
        <f t="shared" si="12"/>
        <v>-9.2615838017791829E-2</v>
      </c>
      <c r="K30" s="352">
        <f t="shared" si="12"/>
        <v>0.25412005292914719</v>
      </c>
      <c r="L30" s="352">
        <f t="shared" si="12"/>
        <v>0.18416382907294615</v>
      </c>
      <c r="M30" s="352">
        <f t="shared" si="12"/>
        <v>1.4661212587582684E-2</v>
      </c>
      <c r="N30" s="189">
        <f t="shared" si="12"/>
        <v>-0.45136311020636255</v>
      </c>
      <c r="O30" s="352">
        <f t="shared" si="12"/>
        <v>0.62160785740269198</v>
      </c>
      <c r="P30" s="352">
        <f t="shared" si="12"/>
        <v>0.44138364215532322</v>
      </c>
      <c r="Q30" s="352">
        <f t="shared" si="12"/>
        <v>3.6915989666013171E-2</v>
      </c>
      <c r="R30" s="189">
        <f t="shared" si="12"/>
        <v>-0.1286584816738211</v>
      </c>
      <c r="S30" s="352">
        <f t="shared" si="12"/>
        <v>0.22003651772487687</v>
      </c>
      <c r="T30" s="352">
        <f t="shared" si="12"/>
        <v>0.13316767380132144</v>
      </c>
      <c r="U30" s="275">
        <f t="shared" si="12"/>
        <v>-2.5517069524046865E-2</v>
      </c>
      <c r="V30" s="352">
        <f t="shared" si="12"/>
        <v>-0.14038766429703886</v>
      </c>
      <c r="W30" s="352"/>
      <c r="X30" s="352"/>
      <c r="Y30" s="275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L30" s="352"/>
      <c r="AM30" s="352"/>
      <c r="AN30" s="352"/>
      <c r="AO30" s="352"/>
      <c r="AQ30" s="352"/>
      <c r="AT30" s="352"/>
      <c r="AU30" s="352"/>
      <c r="AV30" s="352"/>
      <c r="AW30" s="352"/>
      <c r="AX30" s="352"/>
    </row>
    <row r="31" spans="1:54" s="353" customFormat="1" x14ac:dyDescent="0.3">
      <c r="A31" s="93" t="s">
        <v>169</v>
      </c>
      <c r="B31" s="352"/>
      <c r="C31" s="352"/>
      <c r="D31" s="352"/>
      <c r="E31" s="352"/>
      <c r="F31" s="352"/>
      <c r="G31" s="352"/>
      <c r="H31" s="352">
        <f t="shared" ref="H31:V31" si="13">IFERROR(H7/D7-1,"")</f>
        <v>4.0343440343440173E-2</v>
      </c>
      <c r="I31" s="352">
        <f t="shared" si="13"/>
        <v>4.0039601268083258E-2</v>
      </c>
      <c r="J31" s="189">
        <f t="shared" si="13"/>
        <v>2.1552845824545752E-2</v>
      </c>
      <c r="K31" s="352">
        <f t="shared" si="13"/>
        <v>1.425207846033949E-2</v>
      </c>
      <c r="L31" s="352">
        <f t="shared" si="13"/>
        <v>1.2622261147786862E-2</v>
      </c>
      <c r="M31" s="352">
        <f t="shared" si="13"/>
        <v>2.2275817660574626E-2</v>
      </c>
      <c r="N31" s="189">
        <f t="shared" si="13"/>
        <v>0.14406730297308679</v>
      </c>
      <c r="O31" s="352">
        <f t="shared" si="13"/>
        <v>9.3512317660510824E-2</v>
      </c>
      <c r="P31" s="352">
        <f t="shared" si="13"/>
        <v>4.5552390196937687E-2</v>
      </c>
      <c r="Q31" s="352">
        <f t="shared" si="13"/>
        <v>4.8489460881574686E-2</v>
      </c>
      <c r="R31" s="189">
        <f t="shared" si="13"/>
        <v>-5.4755954196331946E-2</v>
      </c>
      <c r="S31" s="352">
        <f t="shared" si="13"/>
        <v>4.0064926319265393E-3</v>
      </c>
      <c r="T31" s="352">
        <f t="shared" si="13"/>
        <v>3.6515620621726752E-2</v>
      </c>
      <c r="U31" s="275">
        <f t="shared" si="13"/>
        <v>2.8102092221370611E-2</v>
      </c>
      <c r="V31" s="352">
        <f t="shared" si="13"/>
        <v>-1</v>
      </c>
      <c r="W31" s="352"/>
      <c r="X31" s="352"/>
      <c r="Y31" s="275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L31" s="352">
        <f>IFERROR(AL7/AJ7-1,"")</f>
        <v>8.7501059056705799E-2</v>
      </c>
      <c r="AM31" s="352">
        <f>IFERROR(AM7/AK7-1,"")</f>
        <v>4.0071706309741106E-2</v>
      </c>
      <c r="AN31" s="352">
        <f>IFERROR(AN7/AL7-1,"")</f>
        <v>1.7535405959067107E-2</v>
      </c>
      <c r="AO31" s="352"/>
      <c r="AQ31" s="352"/>
      <c r="AT31" s="352"/>
      <c r="AU31" s="352">
        <f t="shared" ref="AU31:AZ31" si="14">IFERROR(AU7/AT7-1,"")</f>
        <v>0.51225026288117781</v>
      </c>
      <c r="AV31" s="352">
        <f t="shared" si="14"/>
        <v>0.12958226946514317</v>
      </c>
      <c r="AW31" s="352">
        <f t="shared" si="14"/>
        <v>5.7355008691111431E-2</v>
      </c>
      <c r="AX31" s="352">
        <f t="shared" si="14"/>
        <v>1.7869992477286045E-2</v>
      </c>
      <c r="AY31" s="352">
        <f t="shared" si="14"/>
        <v>6.9995782291257802E-2</v>
      </c>
      <c r="AZ31" s="352">
        <f t="shared" si="14"/>
        <v>1.4300144522938263E-2</v>
      </c>
    </row>
    <row r="32" spans="1:54" s="353" customFormat="1" x14ac:dyDescent="0.3">
      <c r="A32" s="93" t="s">
        <v>188</v>
      </c>
      <c r="B32" s="352" t="str">
        <f>IFERROR(B9/#REF!,"")</f>
        <v/>
      </c>
      <c r="C32" s="352" t="str">
        <f>IFERROR(C9/#REF!,"")</f>
        <v/>
      </c>
      <c r="D32" s="352" t="str">
        <f>IFERROR(D9/B9,"")</f>
        <v/>
      </c>
      <c r="E32" s="352"/>
      <c r="F32" s="352" t="str">
        <f>IFERROR(F9/C9,"")</f>
        <v/>
      </c>
      <c r="G32" s="352"/>
      <c r="H32" s="352" t="str">
        <f>IFERROR(H9/F9-1,"")</f>
        <v/>
      </c>
      <c r="I32" s="352" t="str">
        <f>IFERROR(I9/G9-1,"")</f>
        <v/>
      </c>
      <c r="J32" s="189" t="str">
        <f>IFERROR(J9/H9-1,"")</f>
        <v/>
      </c>
      <c r="K32" s="352"/>
      <c r="N32" s="190"/>
      <c r="R32" s="189">
        <f>R9/N9-1</f>
        <v>1.1452027786367078</v>
      </c>
      <c r="S32" s="352">
        <f>S9/O9-1</f>
        <v>0.6002562777271887</v>
      </c>
      <c r="T32" s="352">
        <f>T9/P9-1</f>
        <v>0.27240290499716435</v>
      </c>
      <c r="U32" s="275">
        <f>U9/Q9-1</f>
        <v>0.15557234154048016</v>
      </c>
      <c r="V32" s="352">
        <f>V9/R9-1</f>
        <v>0.12716220548906376</v>
      </c>
      <c r="W32" s="352"/>
      <c r="X32" s="352"/>
      <c r="Y32" s="275"/>
      <c r="Z32" s="352"/>
      <c r="AA32" s="352"/>
      <c r="AB32" s="352"/>
      <c r="AC32" s="352"/>
      <c r="AD32" s="352"/>
      <c r="AE32" s="352"/>
      <c r="AF32" s="352"/>
      <c r="AG32" s="352"/>
      <c r="AJ32" s="352"/>
      <c r="AL32" s="352">
        <f>IFERROR(AL9/AJ9-1,"")</f>
        <v>0.87017033547195255</v>
      </c>
      <c r="AM32" s="352">
        <f>IFERROR(AM9/AK9-1,"")</f>
        <v>0.68778208716115063</v>
      </c>
      <c r="AN32" s="352">
        <f>IFERROR(AN9/AL9-1,"")</f>
        <v>0.42133056148082093</v>
      </c>
      <c r="AO32" s="352"/>
      <c r="AQ32" s="352"/>
      <c r="AT32" s="352"/>
      <c r="AU32" s="352">
        <f t="shared" ref="AU32:AZ32" si="15">IFERROR(AU9/AT9-1,"")</f>
        <v>28.807580942353251</v>
      </c>
      <c r="AV32" s="352">
        <f t="shared" si="15"/>
        <v>2.8940271384455425</v>
      </c>
      <c r="AW32" s="352">
        <f t="shared" si="15"/>
        <v>0.76095796659863923</v>
      </c>
      <c r="AX32" s="352">
        <f t="shared" si="15"/>
        <v>0.38991292864052296</v>
      </c>
      <c r="AY32" s="352">
        <f t="shared" si="15"/>
        <v>0.18018250961813309</v>
      </c>
      <c r="AZ32" s="352">
        <f t="shared" si="15"/>
        <v>0.4123235792659603</v>
      </c>
    </row>
    <row r="33" spans="1:54" s="353" customFormat="1" x14ac:dyDescent="0.3">
      <c r="A33" s="242" t="s">
        <v>171</v>
      </c>
      <c r="B33" s="352"/>
      <c r="C33" s="352"/>
      <c r="D33" s="352"/>
      <c r="E33" s="352"/>
      <c r="F33" s="352"/>
      <c r="G33" s="352"/>
      <c r="H33" s="352"/>
      <c r="I33" s="352"/>
      <c r="J33" s="189"/>
      <c r="K33" s="352"/>
      <c r="N33" s="190"/>
      <c r="R33" s="189"/>
      <c r="S33" s="352"/>
      <c r="T33" s="352"/>
      <c r="U33" s="303">
        <f>U10/Q10-1</f>
        <v>0.12554591307618845</v>
      </c>
      <c r="V33" s="247">
        <f>V10/R10-1</f>
        <v>0.10972643872195142</v>
      </c>
      <c r="W33" s="247"/>
      <c r="X33" s="247"/>
      <c r="Y33" s="303"/>
      <c r="Z33" s="247"/>
      <c r="AA33" s="247"/>
      <c r="AB33" s="247"/>
      <c r="AC33" s="247"/>
      <c r="AD33" s="247"/>
      <c r="AE33" s="247"/>
      <c r="AF33" s="247"/>
      <c r="AG33" s="247"/>
      <c r="AJ33" s="352"/>
      <c r="AL33" s="352"/>
      <c r="AM33" s="352"/>
      <c r="AN33" s="352"/>
      <c r="AO33" s="352"/>
      <c r="AQ33" s="352"/>
      <c r="AT33" s="352"/>
      <c r="AU33" s="352"/>
      <c r="AV33" s="352"/>
      <c r="AW33" s="352"/>
      <c r="AX33" s="352"/>
      <c r="AY33" s="352"/>
      <c r="AZ33" s="352"/>
    </row>
    <row r="34" spans="1:54" s="353" customFormat="1" x14ac:dyDescent="0.3">
      <c r="A34" s="242" t="s">
        <v>172</v>
      </c>
      <c r="B34" s="352"/>
      <c r="C34" s="352"/>
      <c r="D34" s="352"/>
      <c r="E34" s="352"/>
      <c r="F34" s="352"/>
      <c r="G34" s="352"/>
      <c r="H34" s="352"/>
      <c r="I34" s="352"/>
      <c r="J34" s="189"/>
      <c r="K34" s="352"/>
      <c r="N34" s="190"/>
      <c r="R34" s="189"/>
      <c r="S34" s="352"/>
      <c r="T34" s="352"/>
      <c r="U34" s="303">
        <f>U11/Q11-1</f>
        <v>0.28843441221235788</v>
      </c>
      <c r="V34" s="247">
        <f>V11/R11-1</f>
        <v>0.24042382719884881</v>
      </c>
      <c r="W34" s="247"/>
      <c r="X34" s="247"/>
      <c r="Y34" s="303"/>
      <c r="Z34" s="247"/>
      <c r="AA34" s="247"/>
      <c r="AB34" s="247"/>
      <c r="AC34" s="247"/>
      <c r="AD34" s="247"/>
      <c r="AE34" s="247"/>
      <c r="AF34" s="247"/>
      <c r="AG34" s="247"/>
      <c r="AJ34" s="352"/>
      <c r="AL34" s="352"/>
      <c r="AM34" s="352"/>
      <c r="AN34" s="352"/>
      <c r="AO34" s="352"/>
      <c r="AQ34" s="352"/>
      <c r="AT34" s="352"/>
      <c r="AU34" s="352"/>
      <c r="AV34" s="352"/>
      <c r="AW34" s="352"/>
      <c r="AX34" s="352"/>
      <c r="AY34" s="352"/>
      <c r="AZ34" s="352"/>
    </row>
    <row r="35" spans="1:54" s="353" customFormat="1" x14ac:dyDescent="0.3">
      <c r="A35" s="93" t="s">
        <v>189</v>
      </c>
      <c r="B35" s="352" t="str">
        <f>IFERROR(B13/#REF!,"")</f>
        <v/>
      </c>
      <c r="C35" s="352" t="str">
        <f>IFERROR(C13/#REF!,"")</f>
        <v/>
      </c>
      <c r="D35" s="352" t="str">
        <f>IFERROR(D13/B13,"")</f>
        <v/>
      </c>
      <c r="E35" s="352"/>
      <c r="F35" s="352" t="str">
        <f>IFERROR(F13/C13,"")</f>
        <v/>
      </c>
      <c r="G35" s="352"/>
      <c r="H35" s="352" t="str">
        <f>IFERROR(H13/F13-1,"")</f>
        <v/>
      </c>
      <c r="I35" s="352" t="str">
        <f>IFERROR(I13/G13-1,"")</f>
        <v/>
      </c>
      <c r="J35" s="189" t="str">
        <f>IFERROR(J13/H13-1,"")</f>
        <v/>
      </c>
      <c r="K35" s="352"/>
      <c r="N35" s="190"/>
      <c r="R35" s="189">
        <f>R13/N13-1</f>
        <v>1.3839931529419185</v>
      </c>
      <c r="S35" s="352">
        <f>S13/O13-1</f>
        <v>0.53934032766436113</v>
      </c>
      <c r="T35" s="352">
        <f>T13/P13-1</f>
        <v>0.35183986962848768</v>
      </c>
      <c r="U35" s="275">
        <f>U13/Q13-1</f>
        <v>0.32003256395262181</v>
      </c>
      <c r="V35" s="352">
        <f>V13/R13-1</f>
        <v>0.2039475815041738</v>
      </c>
      <c r="W35" s="352"/>
      <c r="X35" s="352"/>
      <c r="Y35" s="275"/>
      <c r="Z35" s="352"/>
      <c r="AA35" s="352"/>
      <c r="AB35" s="352"/>
      <c r="AC35" s="352"/>
      <c r="AD35" s="352"/>
      <c r="AE35" s="352"/>
      <c r="AF35" s="352"/>
      <c r="AG35" s="352"/>
      <c r="AJ35" s="352"/>
      <c r="AL35" s="352">
        <f>IFERROR(AL13/AJ13-1,"")</f>
        <v>2.2982441342274331</v>
      </c>
      <c r="AM35" s="352">
        <f>IFERROR(AM13/AK13-1,"")</f>
        <v>2.2833008590913115</v>
      </c>
      <c r="AN35" s="352">
        <f>IFERROR(AN13/AL13-1,"")</f>
        <v>1.6537148962409178</v>
      </c>
      <c r="AO35" s="352"/>
      <c r="AQ35" s="352"/>
      <c r="AT35" s="352"/>
      <c r="AU35" s="352" t="str">
        <f t="shared" ref="AU35:AZ35" si="16">IFERROR(AU13/AT13-1,"")</f>
        <v/>
      </c>
      <c r="AV35" s="352">
        <f t="shared" si="16"/>
        <v>7.5592407351611932</v>
      </c>
      <c r="AW35" s="352">
        <f t="shared" si="16"/>
        <v>2.2877909555436968</v>
      </c>
      <c r="AX35" s="352">
        <f t="shared" si="16"/>
        <v>1.1857799510834908</v>
      </c>
      <c r="AY35" s="352">
        <f t="shared" si="16"/>
        <v>0.48225241849494704</v>
      </c>
      <c r="AZ35" s="352">
        <f t="shared" si="16"/>
        <v>0.51153538923619224</v>
      </c>
    </row>
    <row r="36" spans="1:54" s="353" customFormat="1" x14ac:dyDescent="0.3">
      <c r="A36" s="93" t="s">
        <v>190</v>
      </c>
      <c r="B36" s="352" t="str">
        <f>IFERROR(B15/#REF!,"")</f>
        <v/>
      </c>
      <c r="C36" s="352" t="str">
        <f>IFERROR(C15/#REF!,"")</f>
        <v/>
      </c>
      <c r="D36" s="352" t="str">
        <f>IFERROR(D15/B15,"")</f>
        <v/>
      </c>
      <c r="E36" s="352"/>
      <c r="F36" s="352" t="str">
        <f>IFERROR(F15/C15,"")</f>
        <v/>
      </c>
      <c r="G36" s="352"/>
      <c r="H36" s="352" t="str">
        <f>IFERROR(H15/F15-1,"")</f>
        <v/>
      </c>
      <c r="I36" s="352" t="str">
        <f>IFERROR(I15/G15-1,"")</f>
        <v/>
      </c>
      <c r="J36" s="189" t="str">
        <f>IFERROR(J15/H15-1,"")</f>
        <v/>
      </c>
      <c r="K36" s="352"/>
      <c r="N36" s="190"/>
      <c r="R36" s="190"/>
      <c r="U36" s="276"/>
      <c r="V36" s="352"/>
      <c r="W36" s="352"/>
      <c r="X36" s="352"/>
      <c r="Y36" s="275"/>
      <c r="Z36" s="352"/>
      <c r="AA36" s="352"/>
      <c r="AB36" s="352"/>
      <c r="AC36" s="352"/>
      <c r="AD36" s="352"/>
      <c r="AE36" s="352"/>
      <c r="AF36" s="352"/>
      <c r="AG36" s="352"/>
      <c r="AJ36" s="352"/>
      <c r="AL36" s="352">
        <f t="shared" ref="AL36:AN37" si="17">IFERROR(AL15/AJ15-1,"")</f>
        <v>2.463222193942479</v>
      </c>
      <c r="AM36" s="352">
        <f t="shared" si="17"/>
        <v>0.849763270333731</v>
      </c>
      <c r="AN36" s="352">
        <f t="shared" si="17"/>
        <v>0.2383822052375002</v>
      </c>
      <c r="AO36" s="352"/>
      <c r="AQ36" s="352"/>
      <c r="AT36" s="352"/>
      <c r="AU36" s="352" t="str">
        <f t="shared" ref="AU36:AZ36" si="18">IFERROR(AU15/AT15-1,"")</f>
        <v/>
      </c>
      <c r="AV36" s="352">
        <f t="shared" si="18"/>
        <v>3.1850620567375882</v>
      </c>
      <c r="AW36" s="352">
        <f t="shared" si="18"/>
        <v>1.3533336863845786</v>
      </c>
      <c r="AX36" s="352">
        <f t="shared" si="18"/>
        <v>4.4398937845987696E-2</v>
      </c>
      <c r="AY36" s="352">
        <f t="shared" si="18"/>
        <v>0.16537027859774622</v>
      </c>
      <c r="AZ36" s="352">
        <f t="shared" si="18"/>
        <v>18.653246681211403</v>
      </c>
    </row>
    <row r="37" spans="1:54" s="353" customFormat="1" x14ac:dyDescent="0.3">
      <c r="A37" s="93" t="s">
        <v>191</v>
      </c>
      <c r="B37" s="352" t="str">
        <f>IFERROR(B16/#REF!,"")</f>
        <v/>
      </c>
      <c r="C37" s="352" t="str">
        <f>IFERROR(C16/#REF!,"")</f>
        <v/>
      </c>
      <c r="D37" s="352"/>
      <c r="E37" s="352"/>
      <c r="F37" s="352"/>
      <c r="G37" s="352"/>
      <c r="H37" s="352">
        <f t="shared" ref="H37:V37" si="19">IFERROR(H16/D16-1,"")</f>
        <v>0.84845837688738346</v>
      </c>
      <c r="I37" s="352">
        <f t="shared" si="19"/>
        <v>0.66147129045035813</v>
      </c>
      <c r="J37" s="189">
        <f t="shared" si="19"/>
        <v>0.51718470752842727</v>
      </c>
      <c r="K37" s="352">
        <f t="shared" si="19"/>
        <v>0.44193619037879239</v>
      </c>
      <c r="L37" s="352">
        <f t="shared" si="19"/>
        <v>0.39422713564528844</v>
      </c>
      <c r="M37" s="352">
        <f t="shared" si="19"/>
        <v>0.42788610535606186</v>
      </c>
      <c r="N37" s="189">
        <f t="shared" si="19"/>
        <v>-0.11352534695435734</v>
      </c>
      <c r="O37" s="352">
        <f t="shared" si="19"/>
        <v>0.1323014437060519</v>
      </c>
      <c r="P37" s="352">
        <f t="shared" si="19"/>
        <v>0.32842352159328536</v>
      </c>
      <c r="Q37" s="352">
        <f t="shared" si="19"/>
        <v>0.37047483059944475</v>
      </c>
      <c r="R37" s="189">
        <f t="shared" si="19"/>
        <v>1.1680182221593283</v>
      </c>
      <c r="S37" s="352">
        <f t="shared" si="19"/>
        <v>0.58999814013866114</v>
      </c>
      <c r="T37" s="352">
        <f t="shared" si="19"/>
        <v>0.27989554442469311</v>
      </c>
      <c r="U37" s="275">
        <f t="shared" si="19"/>
        <v>0.21304945657636964</v>
      </c>
      <c r="V37" s="352">
        <f t="shared" si="19"/>
        <v>0.17405786810566592</v>
      </c>
      <c r="W37" s="352"/>
      <c r="X37" s="352"/>
      <c r="Y37" s="275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L37" s="352">
        <f t="shared" si="17"/>
        <v>0.90885443227394735</v>
      </c>
      <c r="AM37" s="352">
        <f t="shared" si="17"/>
        <v>0.7506829862423956</v>
      </c>
      <c r="AN37" s="352">
        <f t="shared" si="17"/>
        <v>0.47519663840532478</v>
      </c>
      <c r="AO37" s="352"/>
      <c r="AQ37" s="352"/>
      <c r="AT37" s="352"/>
      <c r="AU37" s="352"/>
      <c r="AV37" s="352">
        <f>IFERROR(AV16/AU16-1,"")</f>
        <v>2.9675458918734661</v>
      </c>
      <c r="AW37" s="352">
        <f>IFERROR(AW16/AV16-1,"")</f>
        <v>0.81357952214853491</v>
      </c>
      <c r="AX37" s="352">
        <f>IFERROR(AX16/AW16-1,"")</f>
        <v>0.43782832132368532</v>
      </c>
      <c r="AY37" s="352">
        <f>IFERROR(AY16/AX16-1,"")</f>
        <v>0.20826853572835513</v>
      </c>
      <c r="AZ37" s="352">
        <f>IFERROR(AZ16/AY16-1,"")</f>
        <v>0.45342661068303314</v>
      </c>
    </row>
    <row r="38" spans="1:54" s="353" customFormat="1" x14ac:dyDescent="0.3">
      <c r="A38" s="156" t="s">
        <v>192</v>
      </c>
      <c r="B38" s="352"/>
      <c r="C38" s="352"/>
      <c r="D38" s="352"/>
      <c r="E38" s="352"/>
      <c r="F38" s="352"/>
      <c r="G38" s="352"/>
      <c r="H38" s="352"/>
      <c r="I38" s="352"/>
      <c r="J38" s="189"/>
      <c r="K38" s="352"/>
      <c r="L38" s="352"/>
      <c r="M38" s="352"/>
      <c r="N38" s="189"/>
      <c r="O38" s="352"/>
      <c r="P38" s="352"/>
      <c r="Q38" s="352"/>
      <c r="R38" s="211">
        <f>R16/J16-1</f>
        <v>0.9218932012853216</v>
      </c>
      <c r="S38" s="354">
        <f>S16/K16-1</f>
        <v>0.80035718956894342</v>
      </c>
      <c r="T38" s="354">
        <f>T16/L16-1</f>
        <v>0.70024334639620589</v>
      </c>
      <c r="U38" s="304">
        <f>U16/M16-1</f>
        <v>0.66245374851024863</v>
      </c>
      <c r="V38" s="354">
        <f>V16/J16-1</f>
        <v>1.2564138346278182</v>
      </c>
      <c r="W38" s="354"/>
      <c r="X38" s="354"/>
      <c r="Y38" s="304"/>
      <c r="Z38" s="354"/>
      <c r="AA38" s="354"/>
      <c r="AB38" s="354"/>
      <c r="AC38" s="354"/>
      <c r="AD38" s="354"/>
      <c r="AE38" s="354"/>
      <c r="AF38" s="354"/>
      <c r="AG38" s="354"/>
      <c r="AH38" s="352"/>
      <c r="AI38" s="352"/>
      <c r="AJ38" s="352"/>
      <c r="AL38" s="352"/>
      <c r="AM38" s="352"/>
      <c r="AN38" s="352"/>
      <c r="AO38" s="352"/>
      <c r="AQ38" s="352"/>
      <c r="AT38" s="352"/>
      <c r="AU38" s="352"/>
      <c r="AV38" s="352"/>
      <c r="AW38" s="352"/>
      <c r="AX38" s="352"/>
      <c r="AY38" s="352"/>
      <c r="AZ38" s="352"/>
    </row>
    <row r="39" spans="1:54" s="353" customFormat="1" x14ac:dyDescent="0.3">
      <c r="A39" s="93"/>
      <c r="B39" s="352"/>
      <c r="C39" s="352"/>
      <c r="D39" s="352"/>
      <c r="E39" s="352"/>
      <c r="F39" s="352"/>
      <c r="G39" s="352"/>
      <c r="H39" s="352"/>
      <c r="I39" s="352"/>
      <c r="J39" s="189"/>
      <c r="K39" s="352"/>
      <c r="L39" s="352"/>
      <c r="M39" s="352"/>
      <c r="N39" s="189"/>
      <c r="O39" s="352"/>
      <c r="P39" s="352"/>
      <c r="Q39" s="352"/>
      <c r="R39" s="189"/>
      <c r="S39" s="352"/>
      <c r="T39" s="352"/>
      <c r="U39" s="275"/>
      <c r="V39" s="352"/>
      <c r="W39" s="352"/>
      <c r="X39" s="352"/>
      <c r="Y39" s="275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L39" s="352"/>
      <c r="AM39" s="352"/>
      <c r="AN39" s="352"/>
      <c r="AO39" s="352"/>
      <c r="AQ39" s="352"/>
      <c r="AT39" s="352"/>
      <c r="AU39" s="352"/>
      <c r="AV39" s="352"/>
      <c r="AW39" s="352"/>
      <c r="AX39" s="352"/>
    </row>
    <row r="40" spans="1:54" s="353" customFormat="1" x14ac:dyDescent="0.3">
      <c r="A40" s="93" t="s">
        <v>193</v>
      </c>
      <c r="B40" s="352"/>
      <c r="C40" s="352"/>
      <c r="D40" s="352"/>
      <c r="E40" s="352"/>
      <c r="F40" s="352"/>
      <c r="G40" s="352"/>
      <c r="H40" s="352"/>
      <c r="I40" s="352"/>
      <c r="J40" s="189"/>
      <c r="K40" s="352"/>
      <c r="L40" s="352"/>
      <c r="M40" s="352"/>
      <c r="N40" s="189">
        <f t="shared" ref="N40:V40" si="20">N24/J24-1</f>
        <v>-0.54033968210735206</v>
      </c>
      <c r="O40" s="352">
        <f t="shared" si="20"/>
        <v>0.65720363801271109</v>
      </c>
      <c r="P40" s="352">
        <f t="shared" si="20"/>
        <v>1.3223352784921443</v>
      </c>
      <c r="Q40" s="352">
        <f t="shared" si="20"/>
        <v>0.82746272489846295</v>
      </c>
      <c r="R40" s="189">
        <f t="shared" si="20"/>
        <v>-16.743076423865354</v>
      </c>
      <c r="S40" s="352">
        <f t="shared" si="20"/>
        <v>0.95231769692705015</v>
      </c>
      <c r="T40" s="352">
        <f t="shared" si="20"/>
        <v>0.14005103601018631</v>
      </c>
      <c r="U40" s="275">
        <f t="shared" si="20"/>
        <v>0.96698936478865583</v>
      </c>
      <c r="V40" s="352">
        <f t="shared" si="20"/>
        <v>0.41335621502215725</v>
      </c>
      <c r="W40" s="352"/>
      <c r="X40" s="352"/>
      <c r="Y40" s="275"/>
      <c r="Z40" s="352"/>
      <c r="AA40" s="352"/>
      <c r="AB40" s="352"/>
      <c r="AC40" s="352"/>
      <c r="AD40" s="352"/>
      <c r="AE40" s="352"/>
      <c r="AF40" s="352"/>
      <c r="AG40" s="352"/>
      <c r="AH40" s="352"/>
      <c r="AI40" s="352"/>
      <c r="AJ40" s="352"/>
      <c r="AL40" s="352"/>
      <c r="AM40" s="352"/>
      <c r="AN40" s="352"/>
      <c r="AO40" s="352"/>
      <c r="AQ40" s="352"/>
      <c r="AT40" s="352"/>
      <c r="AU40" s="352"/>
      <c r="AV40" s="352"/>
      <c r="AW40" s="352"/>
      <c r="AX40" s="352" t="str">
        <f>IFERROR(AX24/AW24-1,"")</f>
        <v/>
      </c>
      <c r="AY40" s="352">
        <f>IFERROR(AY24/AX24-1,"")</f>
        <v>1.0011363957397519</v>
      </c>
      <c r="AZ40" s="352">
        <f>IFERROR(AZ24/AY24-1,"")</f>
        <v>1.1792576258157692</v>
      </c>
    </row>
    <row r="41" spans="1:54" x14ac:dyDescent="0.3">
      <c r="B41" s="54"/>
      <c r="C41" s="54"/>
      <c r="D41" s="54"/>
      <c r="E41" s="54"/>
      <c r="F41" s="54"/>
      <c r="G41" s="54"/>
      <c r="H41" s="54"/>
      <c r="I41" s="54"/>
      <c r="J41" s="237"/>
      <c r="K41" s="54"/>
      <c r="AJ41" s="54"/>
      <c r="AL41" s="54"/>
      <c r="AQ41" s="54"/>
      <c r="AT41" s="54"/>
      <c r="AU41" s="54"/>
      <c r="AV41" s="54"/>
    </row>
    <row r="42" spans="1:54" x14ac:dyDescent="0.3">
      <c r="A42" s="102" t="s">
        <v>194</v>
      </c>
      <c r="B42" s="349"/>
      <c r="C42" s="349"/>
      <c r="D42" s="349"/>
      <c r="E42" s="349"/>
      <c r="F42" s="349"/>
      <c r="G42" s="349"/>
      <c r="H42" s="349"/>
      <c r="I42" s="349"/>
      <c r="J42" s="210"/>
      <c r="K42" s="349"/>
      <c r="L42" s="349"/>
      <c r="M42" s="349"/>
      <c r="N42" s="210"/>
      <c r="O42" s="349"/>
      <c r="P42" s="349"/>
      <c r="Q42" s="349"/>
      <c r="R42" s="210"/>
      <c r="S42" s="349"/>
      <c r="T42" s="349"/>
      <c r="U42" s="300"/>
      <c r="V42" s="349"/>
      <c r="W42" s="349"/>
      <c r="X42" s="349"/>
      <c r="Y42" s="300"/>
      <c r="Z42" s="349"/>
      <c r="AA42" s="349"/>
      <c r="AB42" s="349"/>
      <c r="AC42" s="349"/>
      <c r="AD42" s="349"/>
      <c r="AE42" s="349"/>
      <c r="AF42" s="349"/>
      <c r="AG42" s="349"/>
      <c r="AH42" s="254"/>
      <c r="AI42" s="254"/>
      <c r="AJ42" s="349"/>
      <c r="AK42" s="349"/>
      <c r="AL42" s="349"/>
      <c r="AM42" s="349"/>
      <c r="AN42" s="349"/>
      <c r="AO42" s="349"/>
      <c r="AP42" s="349"/>
      <c r="AQ42" s="349"/>
      <c r="AR42" s="349"/>
      <c r="AS42" s="349"/>
      <c r="AT42" s="349"/>
      <c r="AU42" s="349"/>
      <c r="AV42" s="349"/>
      <c r="AW42" s="349"/>
      <c r="AX42" s="349"/>
      <c r="AY42" s="349"/>
      <c r="AZ42" s="349"/>
      <c r="BA42" s="349"/>
      <c r="BB42" s="349"/>
    </row>
    <row r="43" spans="1:54" s="93" customFormat="1" x14ac:dyDescent="0.3">
      <c r="A43" s="83" t="s">
        <v>195</v>
      </c>
      <c r="B43" s="355" t="str">
        <f>IFERROR(B9/B6,"")</f>
        <v/>
      </c>
      <c r="C43" s="355" t="str">
        <f>IFERROR(C9/C6,"")</f>
        <v/>
      </c>
      <c r="D43" s="355"/>
      <c r="E43" s="355"/>
      <c r="F43" s="355">
        <f>IFERROR(F9/F6,"")</f>
        <v>0</v>
      </c>
      <c r="G43" s="355"/>
      <c r="H43" s="355"/>
      <c r="I43" s="373"/>
      <c r="J43" s="228"/>
      <c r="K43" s="373"/>
      <c r="N43" s="212"/>
      <c r="R43" s="212"/>
      <c r="U43" s="305"/>
      <c r="Y43" s="305"/>
      <c r="AJ43" s="355">
        <f>IFERROR(AJ9/(AJ6*1000000),"")</f>
        <v>0.13062788121990368</v>
      </c>
      <c r="AK43" s="355">
        <f>IFERROR(AK9/(AK6*1000000),"")</f>
        <v>0.1116346231617647</v>
      </c>
      <c r="AL43" s="355">
        <f>IFERROR(AL9/(AL6*1000000),"")</f>
        <v>0.12403964955175224</v>
      </c>
      <c r="AM43" s="355">
        <f>IFERROR(AM9/(AM6*1000000),"")</f>
        <v>0.12804211742660834</v>
      </c>
      <c r="AN43" s="355">
        <f>IFERROR(AN9/(AN6*1000000),"")</f>
        <v>0.12822866034380556</v>
      </c>
      <c r="AO43" s="355"/>
      <c r="AQ43" s="373"/>
      <c r="AR43" s="373">
        <f>IFERROR(AR9/(AR6*1000000),"")</f>
        <v>0</v>
      </c>
      <c r="AT43" s="355">
        <f t="shared" ref="AT43:AZ43" si="21">IFERROR(AT9/(AT6*1000000),"")</f>
        <v>1.1202179487179487E-2</v>
      </c>
      <c r="AU43" s="355">
        <f t="shared" si="21"/>
        <v>8.8739250425894381E-2</v>
      </c>
      <c r="AV43" s="355">
        <f t="shared" si="21"/>
        <v>0.11855034482758621</v>
      </c>
      <c r="AW43" s="355">
        <f t="shared" si="21"/>
        <v>0.12630554455445545</v>
      </c>
      <c r="AX43" s="355">
        <f t="shared" si="21"/>
        <v>0.126423705118411</v>
      </c>
      <c r="AY43" s="355">
        <f t="shared" si="21"/>
        <v>0.11985658621682835</v>
      </c>
      <c r="AZ43" s="355">
        <f t="shared" si="21"/>
        <v>0.1178691571372939</v>
      </c>
    </row>
    <row r="44" spans="1:54" s="93" customFormat="1" x14ac:dyDescent="0.3">
      <c r="A44" s="83" t="s">
        <v>196</v>
      </c>
      <c r="B44" s="355"/>
      <c r="C44" s="355"/>
      <c r="D44" s="355">
        <f t="shared" ref="D44:V44" si="22">IFERROR(D16/(D6*1000000),"")</f>
        <v>0.11668366795366795</v>
      </c>
      <c r="E44" s="355">
        <f t="shared" si="22"/>
        <v>0.1162178245614035</v>
      </c>
      <c r="F44" s="355">
        <f t="shared" si="22"/>
        <v>0.1294745137614679</v>
      </c>
      <c r="G44" s="355">
        <f t="shared" si="22"/>
        <v>0.13061535190615836</v>
      </c>
      <c r="H44" s="355">
        <f t="shared" si="22"/>
        <v>0.13965597499999999</v>
      </c>
      <c r="I44" s="355">
        <f t="shared" si="22"/>
        <v>0.13723537406483791</v>
      </c>
      <c r="J44" s="192">
        <f t="shared" si="22"/>
        <v>0.1416111507936508</v>
      </c>
      <c r="K44" s="355">
        <f t="shared" si="22"/>
        <v>0.13796691729323307</v>
      </c>
      <c r="L44" s="355">
        <f t="shared" si="22"/>
        <v>0.13920439678284183</v>
      </c>
      <c r="M44" s="355">
        <f t="shared" si="22"/>
        <v>0.1401936663693131</v>
      </c>
      <c r="N44" s="192">
        <f t="shared" si="22"/>
        <v>0.1327257635936451</v>
      </c>
      <c r="O44" s="355">
        <f t="shared" si="22"/>
        <v>0.13364405557071721</v>
      </c>
      <c r="P44" s="355">
        <f t="shared" si="22"/>
        <v>0.13592902960931469</v>
      </c>
      <c r="Q44" s="355">
        <f t="shared" si="22"/>
        <v>0.13781020594763618</v>
      </c>
      <c r="R44" s="192">
        <f t="shared" si="22"/>
        <v>0.14415071523952713</v>
      </c>
      <c r="S44" s="355">
        <f t="shared" si="22"/>
        <v>0.13320647706581615</v>
      </c>
      <c r="T44" s="355">
        <f t="shared" si="22"/>
        <v>0.13437296674750632</v>
      </c>
      <c r="U44" s="278">
        <f t="shared" si="22"/>
        <v>0.13851410342867806</v>
      </c>
      <c r="V44" s="355" t="str">
        <f t="shared" si="22"/>
        <v/>
      </c>
      <c r="W44" s="355"/>
      <c r="X44" s="355"/>
      <c r="Y44" s="278"/>
      <c r="Z44" s="355"/>
      <c r="AA44" s="355"/>
      <c r="AB44" s="355"/>
      <c r="AC44" s="355"/>
      <c r="AD44" s="355"/>
      <c r="AE44" s="355"/>
      <c r="AF44" s="355"/>
      <c r="AG44" s="355"/>
      <c r="AH44" s="355"/>
      <c r="AI44" s="355"/>
      <c r="AJ44" s="355">
        <f>IFERROR(AJ16/(AJ6*1000000),"")</f>
        <v>0.13424242375601927</v>
      </c>
      <c r="AK44" s="355">
        <f>IFERROR(AK16/(AK6*1000000),"")</f>
        <v>0.11643961397058823</v>
      </c>
      <c r="AL44" s="355">
        <f>IFERROR(AL16/(AL6*1000000),"")</f>
        <v>0.13010862265688672</v>
      </c>
      <c r="AM44" s="355">
        <f>IFERROR(AM16/(AM6*1000000),"")</f>
        <v>0.13853063710181135</v>
      </c>
      <c r="AN44" s="355">
        <f>IFERROR(AN16/(AN6*1000000),"")</f>
        <v>0.13960001778304684</v>
      </c>
      <c r="AO44" s="355"/>
      <c r="AQ44" s="355">
        <f>IFERROR(AQ16/(AQ6*1000000),"")</f>
        <v>0.12627096406660823</v>
      </c>
      <c r="AR44" s="373"/>
      <c r="AT44" s="355">
        <f t="shared" ref="AT44:AZ44" si="23">IFERROR(AT16/(AT6*1000000),"")</f>
        <v>1.1202179487179487E-2</v>
      </c>
      <c r="AU44" s="355">
        <f t="shared" si="23"/>
        <v>9.0306524701873933E-2</v>
      </c>
      <c r="AV44" s="355">
        <f t="shared" si="23"/>
        <v>0.12292187609585038</v>
      </c>
      <c r="AW44" s="355">
        <f t="shared" si="23"/>
        <v>0.13487653111739745</v>
      </c>
      <c r="AX44" s="355">
        <f t="shared" si="23"/>
        <v>0.13965674815380696</v>
      </c>
      <c r="AY44" s="355">
        <f t="shared" si="23"/>
        <v>0.13555314786994488</v>
      </c>
      <c r="AZ44" s="355">
        <f t="shared" si="23"/>
        <v>0.13718504783227126</v>
      </c>
    </row>
    <row r="45" spans="1:54" s="93" customFormat="1" x14ac:dyDescent="0.3">
      <c r="A45" s="93" t="s">
        <v>25</v>
      </c>
      <c r="B45" s="373" t="str">
        <f t="shared" ref="B45:M45" si="24">IFERROR(B22/B16,"")</f>
        <v/>
      </c>
      <c r="C45" s="373" t="str">
        <f t="shared" si="24"/>
        <v/>
      </c>
      <c r="D45" s="355">
        <f t="shared" si="24"/>
        <v>7.9082077504204845E-2</v>
      </c>
      <c r="E45" s="355">
        <f t="shared" si="24"/>
        <v>6.2796328008385943E-2</v>
      </c>
      <c r="F45" s="355">
        <f t="shared" si="24"/>
        <v>7.5831579478430874E-2</v>
      </c>
      <c r="G45" s="355">
        <f t="shared" si="24"/>
        <v>0.15831962556664164</v>
      </c>
      <c r="H45" s="355">
        <f t="shared" si="24"/>
        <v>0.16568168673055342</v>
      </c>
      <c r="I45" s="355">
        <f t="shared" si="24"/>
        <v>0.13371651467612528</v>
      </c>
      <c r="J45" s="192">
        <f t="shared" si="24"/>
        <v>0.14391764914784999</v>
      </c>
      <c r="K45" s="355">
        <f t="shared" si="24"/>
        <v>0.22268107050990602</v>
      </c>
      <c r="L45" s="355">
        <f t="shared" si="24"/>
        <v>0.19549511933384742</v>
      </c>
      <c r="M45" s="355">
        <f t="shared" si="24"/>
        <v>0.17733439978212884</v>
      </c>
      <c r="N45" s="192"/>
      <c r="O45" s="355"/>
      <c r="P45" s="355"/>
      <c r="Q45" s="355"/>
      <c r="R45" s="192"/>
      <c r="S45" s="355"/>
      <c r="T45" s="355"/>
      <c r="U45" s="278"/>
      <c r="V45" s="355"/>
      <c r="W45" s="355"/>
      <c r="X45" s="355"/>
      <c r="Y45" s="278"/>
      <c r="Z45" s="355"/>
      <c r="AA45" s="355"/>
      <c r="AB45" s="355"/>
      <c r="AC45" s="355"/>
      <c r="AD45" s="355"/>
      <c r="AE45" s="355"/>
      <c r="AF45" s="355"/>
      <c r="AG45" s="355"/>
      <c r="AH45" s="355"/>
      <c r="AI45" s="355"/>
      <c r="AJ45" s="355">
        <f>IFERROR(AJ22/AJ16,"")</f>
        <v>9.6306566915009537E-2</v>
      </c>
      <c r="AK45" s="355">
        <f>IFERROR(AK22/AK16,"")</f>
        <v>7.0566272754038914E-2</v>
      </c>
      <c r="AL45" s="355">
        <f>IFERROR(AL22/AL16,"")</f>
        <v>0.12185924769273095</v>
      </c>
      <c r="AM45" s="355">
        <f>IFERROR(AM22/AM16,"")</f>
        <v>0.14981886945412401</v>
      </c>
      <c r="AN45" s="355">
        <f>IFERROR(AN22/AN16,"")</f>
        <v>0.18687610461984219</v>
      </c>
      <c r="AO45" s="355"/>
      <c r="AP45" s="112"/>
      <c r="AQ45" s="355">
        <f>IFERROR(AQ22/AQ16,"")</f>
        <v>8.9080582032282182E-2</v>
      </c>
      <c r="AR45" s="355">
        <f>IFERROR(AR22/AR16,"")</f>
        <v>0.13990135758791952</v>
      </c>
      <c r="AS45" s="112"/>
      <c r="AT45" s="355">
        <f>IFERROR(AT22/AT16,"")</f>
        <v>-1.2374881261659247</v>
      </c>
      <c r="AU45" s="355">
        <f>IFERROR(AU22/AU16,"")</f>
        <v>-7.6504722794389649E-2</v>
      </c>
      <c r="AV45" s="355">
        <f>IFERROR(AV22/AV16,"")</f>
        <v>8.080184546042439E-2</v>
      </c>
      <c r="AW45" s="355">
        <f>IFERROR(AW22/AW16,"")</f>
        <v>0.13811670650744198</v>
      </c>
      <c r="AX45" s="355">
        <f>IFERROR(AX22/AX16,"")</f>
        <v>0.18658989750872509</v>
      </c>
      <c r="AY45" s="355"/>
      <c r="AZ45" s="355"/>
    </row>
    <row r="46" spans="1:54" x14ac:dyDescent="0.3">
      <c r="A46" s="344" t="s">
        <v>183</v>
      </c>
      <c r="J46" s="209">
        <f>J24/J16</f>
        <v>-1.4403683684446651E-2</v>
      </c>
      <c r="N46" s="209">
        <f t="shared" ref="N46:V46" si="25">N24/N16</f>
        <v>-7.4686871175289023E-3</v>
      </c>
      <c r="O46" s="348">
        <f t="shared" si="25"/>
        <v>8.6180748956879064E-2</v>
      </c>
      <c r="P46" s="348">
        <f t="shared" si="25"/>
        <v>3.713738139845249E-2</v>
      </c>
      <c r="Q46" s="348">
        <f t="shared" si="25"/>
        <v>4.096724925753268E-2</v>
      </c>
      <c r="R46" s="209">
        <f t="shared" si="25"/>
        <v>5.4233913200271586E-2</v>
      </c>
      <c r="S46" s="348">
        <f t="shared" si="25"/>
        <v>0.10581911832190534</v>
      </c>
      <c r="T46" s="348">
        <f t="shared" si="25"/>
        <v>3.3079660541393746E-2</v>
      </c>
      <c r="U46" s="299">
        <f t="shared" si="25"/>
        <v>6.6429396721913087E-2</v>
      </c>
      <c r="V46" s="348">
        <f t="shared" si="25"/>
        <v>6.5287955874145501E-2</v>
      </c>
      <c r="W46" s="348"/>
      <c r="X46" s="348"/>
      <c r="Y46" s="299"/>
      <c r="Z46" s="348"/>
      <c r="AA46" s="348"/>
      <c r="AB46" s="348"/>
      <c r="AC46" s="348"/>
      <c r="AD46" s="348"/>
      <c r="AE46" s="348"/>
      <c r="AF46" s="348"/>
      <c r="AG46" s="348"/>
      <c r="AH46" s="348"/>
      <c r="AI46" s="348"/>
      <c r="AX46" s="348">
        <f>AX24/AX16</f>
        <v>2.5816871935183221E-2</v>
      </c>
      <c r="AY46" s="348">
        <f>AY24/AY16</f>
        <v>4.2757947034103919E-2</v>
      </c>
      <c r="AZ46" s="348">
        <f>AZ24/AZ16</f>
        <v>6.4110964704649109E-2</v>
      </c>
    </row>
    <row r="47" spans="1:54" x14ac:dyDescent="0.3">
      <c r="A47" s="71" t="s">
        <v>197</v>
      </c>
      <c r="B47" s="337"/>
      <c r="C47" s="337"/>
      <c r="D47" s="337"/>
      <c r="E47" s="337"/>
      <c r="F47" s="337"/>
      <c r="G47" s="337"/>
      <c r="H47" s="337"/>
      <c r="I47" s="337"/>
      <c r="J47" s="199"/>
      <c r="K47" s="337"/>
      <c r="L47" s="337"/>
      <c r="M47" s="337"/>
      <c r="N47" s="199"/>
      <c r="O47" s="337"/>
      <c r="P47" s="337"/>
      <c r="Q47" s="337"/>
      <c r="R47" s="199"/>
      <c r="S47" s="337"/>
      <c r="T47" s="337"/>
      <c r="U47" s="287"/>
      <c r="V47" s="337"/>
      <c r="W47" s="337"/>
      <c r="X47" s="337"/>
      <c r="Y47" s="287"/>
      <c r="Z47" s="337"/>
      <c r="AA47" s="337"/>
      <c r="AB47" s="337"/>
      <c r="AC47" s="337"/>
      <c r="AD47" s="337"/>
      <c r="AE47" s="337"/>
      <c r="AF47" s="337"/>
      <c r="AG47" s="337"/>
      <c r="AJ47" s="337"/>
      <c r="AK47" s="61"/>
      <c r="AL47" s="337"/>
      <c r="AM47" s="337"/>
      <c r="AN47" s="337"/>
      <c r="AO47" s="337"/>
      <c r="AP47" s="337"/>
      <c r="AQ47" s="337"/>
      <c r="AR47" s="337"/>
      <c r="AS47" s="337"/>
      <c r="AT47" s="337"/>
      <c r="AU47" s="337"/>
      <c r="AV47" s="337"/>
      <c r="AW47" s="62"/>
      <c r="AX47" s="337"/>
      <c r="AY47" s="337"/>
      <c r="AZ47" s="337"/>
      <c r="BA47" s="337"/>
      <c r="BB47" s="337"/>
    </row>
    <row r="48" spans="1:54" x14ac:dyDescent="0.3">
      <c r="A48" s="103" t="s">
        <v>198</v>
      </c>
      <c r="AL48" s="53"/>
      <c r="AQ48" s="53"/>
      <c r="AT48" s="46">
        <v>1290</v>
      </c>
      <c r="AU48" s="46">
        <v>1439</v>
      </c>
      <c r="AV48" s="46">
        <v>1394</v>
      </c>
    </row>
    <row r="49" spans="1:56" s="156" customFormat="1" x14ac:dyDescent="0.3">
      <c r="A49" s="103" t="s">
        <v>168</v>
      </c>
      <c r="D49" s="156">
        <v>43.3</v>
      </c>
      <c r="E49" s="94">
        <f>AV49-AJ49-D49</f>
        <v>39.899999999999991</v>
      </c>
      <c r="F49" s="94">
        <f>AL49-G49</f>
        <v>40.299999999999997</v>
      </c>
      <c r="G49" s="156">
        <v>42.5</v>
      </c>
      <c r="H49" s="156">
        <v>49.3</v>
      </c>
      <c r="I49" s="156">
        <v>44.7</v>
      </c>
      <c r="J49" s="216">
        <v>46.4</v>
      </c>
      <c r="K49" s="156">
        <v>51.3</v>
      </c>
      <c r="L49" s="156">
        <v>63.9</v>
      </c>
      <c r="M49" s="156">
        <v>60.4</v>
      </c>
      <c r="N49" s="216"/>
      <c r="Q49" s="356"/>
      <c r="R49" s="213"/>
      <c r="S49" s="356"/>
      <c r="T49" s="356"/>
      <c r="U49" s="306"/>
      <c r="V49" s="356"/>
      <c r="W49" s="356"/>
      <c r="X49" s="356"/>
      <c r="Y49" s="306"/>
      <c r="Z49" s="356"/>
      <c r="AA49" s="356"/>
      <c r="AB49" s="356"/>
      <c r="AC49" s="356"/>
      <c r="AD49" s="356"/>
      <c r="AE49" s="356"/>
      <c r="AF49" s="356"/>
      <c r="AG49" s="356"/>
      <c r="AH49" s="356"/>
      <c r="AI49" s="356"/>
      <c r="AJ49" s="156">
        <v>74.900000000000006</v>
      </c>
      <c r="AK49" s="81">
        <f>AV49-AJ49</f>
        <v>83.199999999999989</v>
      </c>
      <c r="AL49" s="156">
        <v>82.8</v>
      </c>
      <c r="AM49" s="156">
        <v>82.8</v>
      </c>
      <c r="AN49" s="156">
        <v>97.7</v>
      </c>
      <c r="AQ49" s="447">
        <f>AJ49+D49</f>
        <v>118.2</v>
      </c>
      <c r="AR49" s="447">
        <f>AL49+H49</f>
        <v>132.1</v>
      </c>
      <c r="AT49" s="80">
        <v>127.5</v>
      </c>
      <c r="AU49" s="80">
        <v>158.4</v>
      </c>
      <c r="AV49" s="80">
        <v>158.1</v>
      </c>
      <c r="AW49" s="80">
        <v>176.8</v>
      </c>
      <c r="AX49" s="156">
        <v>222.1</v>
      </c>
    </row>
    <row r="50" spans="1:56" s="156" customFormat="1" x14ac:dyDescent="0.3">
      <c r="A50" s="103"/>
      <c r="J50" s="216"/>
      <c r="N50" s="216"/>
      <c r="Q50" s="356"/>
      <c r="R50" s="213"/>
      <c r="S50" s="356"/>
      <c r="T50" s="356"/>
      <c r="U50" s="306"/>
      <c r="V50" s="356"/>
      <c r="W50" s="356"/>
      <c r="X50" s="356"/>
      <c r="Y50" s="306"/>
      <c r="Z50" s="356"/>
      <c r="AA50" s="356"/>
      <c r="AB50" s="356"/>
      <c r="AC50" s="356"/>
      <c r="AD50" s="356"/>
      <c r="AE50" s="356"/>
      <c r="AF50" s="356"/>
      <c r="AG50" s="356"/>
      <c r="AH50" s="356"/>
      <c r="AI50" s="356"/>
    </row>
    <row r="51" spans="1:56" s="156" customFormat="1" x14ac:dyDescent="0.3">
      <c r="A51" s="93" t="s">
        <v>170</v>
      </c>
      <c r="B51" s="342"/>
      <c r="C51" s="342"/>
      <c r="D51" s="342"/>
      <c r="E51" s="342"/>
      <c r="F51" s="342"/>
      <c r="G51" s="342"/>
      <c r="H51" s="342"/>
      <c r="I51" s="342"/>
      <c r="J51" s="203"/>
      <c r="K51" s="342"/>
      <c r="M51" s="156">
        <v>3203847</v>
      </c>
      <c r="N51" s="202">
        <v>1196998</v>
      </c>
      <c r="O51" s="340">
        <v>2092858</v>
      </c>
      <c r="P51" s="340">
        <v>3321348</v>
      </c>
      <c r="Q51" s="340">
        <v>3581958</v>
      </c>
      <c r="R51" s="202">
        <v>3255587</v>
      </c>
      <c r="S51" s="340">
        <v>4352601</v>
      </c>
      <c r="T51" s="340">
        <v>4124543</v>
      </c>
      <c r="U51" s="291">
        <v>4066205</v>
      </c>
      <c r="V51" s="340">
        <v>3542896</v>
      </c>
      <c r="W51" s="340"/>
      <c r="X51" s="340"/>
      <c r="Y51" s="291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>
        <v>3220393</v>
      </c>
      <c r="AK51" s="370">
        <f>AV51-AJ51</f>
        <v>3915577</v>
      </c>
      <c r="AL51" s="340">
        <v>4060551</v>
      </c>
      <c r="AM51" s="370">
        <f>AW51-AL51</f>
        <v>4981752</v>
      </c>
      <c r="AN51" s="340">
        <v>5168087</v>
      </c>
      <c r="AO51" s="340"/>
      <c r="AP51" s="340"/>
      <c r="AQ51" s="340"/>
      <c r="AR51" s="340"/>
      <c r="AS51" s="340"/>
      <c r="AT51" s="340">
        <v>3426056</v>
      </c>
      <c r="AU51" s="340">
        <v>4869575</v>
      </c>
      <c r="AV51" s="340">
        <v>7135970</v>
      </c>
      <c r="AW51" s="340">
        <v>9042303</v>
      </c>
      <c r="AX51" s="340">
        <v>11679344</v>
      </c>
      <c r="AY51" s="340">
        <v>10193162</v>
      </c>
      <c r="AZ51" s="340">
        <v>15798936</v>
      </c>
      <c r="BA51" s="159"/>
    </row>
    <row r="52" spans="1:56" s="156" customFormat="1" x14ac:dyDescent="0.3">
      <c r="A52" s="104" t="s">
        <v>173</v>
      </c>
      <c r="B52" s="342"/>
      <c r="C52" s="342"/>
      <c r="D52" s="342"/>
      <c r="E52" s="342"/>
      <c r="F52" s="342"/>
      <c r="G52" s="342"/>
      <c r="H52" s="342"/>
      <c r="I52" s="342"/>
      <c r="J52" s="203"/>
      <c r="K52" s="342"/>
      <c r="N52" s="209">
        <f t="shared" ref="N52:V52" si="26">N51/N56</f>
        <v>0.38675493008350947</v>
      </c>
      <c r="O52" s="348">
        <f t="shared" si="26"/>
        <v>0.46057796883878499</v>
      </c>
      <c r="P52" s="348">
        <f t="shared" si="26"/>
        <v>0.51270577476838042</v>
      </c>
      <c r="Q52" s="348">
        <f t="shared" si="26"/>
        <v>0.50200102027087634</v>
      </c>
      <c r="R52" s="209">
        <f t="shared" si="26"/>
        <v>0.49444010843219971</v>
      </c>
      <c r="S52" s="348">
        <f t="shared" si="26"/>
        <v>0.50598819206156953</v>
      </c>
      <c r="T52" s="348">
        <f t="shared" si="26"/>
        <v>0.47841156258061401</v>
      </c>
      <c r="U52" s="299">
        <f t="shared" si="26"/>
        <v>0.46617816348591967</v>
      </c>
      <c r="V52" s="348">
        <f t="shared" si="26"/>
        <v>0.46485492571090581</v>
      </c>
      <c r="W52" s="348"/>
      <c r="X52" s="348"/>
      <c r="Y52" s="299"/>
      <c r="Z52" s="348"/>
      <c r="AA52" s="348"/>
      <c r="AB52" s="348"/>
      <c r="AC52" s="348"/>
      <c r="AD52" s="348"/>
      <c r="AE52" s="348"/>
      <c r="AF52" s="348"/>
      <c r="AG52" s="348"/>
      <c r="AH52" s="340"/>
      <c r="AI52" s="340"/>
      <c r="AJ52" s="340"/>
      <c r="AK52" s="370"/>
      <c r="AL52" s="340"/>
      <c r="AM52" s="370"/>
      <c r="AN52" s="340"/>
      <c r="AO52" s="340"/>
      <c r="AP52" s="340"/>
      <c r="AQ52" s="340"/>
      <c r="AR52" s="340"/>
      <c r="AS52" s="340"/>
      <c r="AT52" s="340"/>
      <c r="AU52" s="340"/>
      <c r="AV52" s="340"/>
      <c r="AW52" s="340"/>
      <c r="AX52" s="348">
        <f>AX51/AX56</f>
        <v>0.52431409758679859</v>
      </c>
      <c r="AY52" s="348">
        <f>AY51/AY56</f>
        <v>0.47962408759707964</v>
      </c>
      <c r="AZ52" s="348">
        <f>AZ51/AZ56</f>
        <v>0.48566794214321563</v>
      </c>
      <c r="BA52" s="159"/>
    </row>
    <row r="53" spans="1:56" s="156" customFormat="1" x14ac:dyDescent="0.3">
      <c r="A53" s="93" t="s">
        <v>174</v>
      </c>
      <c r="B53" s="342"/>
      <c r="C53" s="342"/>
      <c r="D53" s="342"/>
      <c r="E53" s="342"/>
      <c r="F53" s="342"/>
      <c r="G53" s="342"/>
      <c r="H53" s="342"/>
      <c r="I53" s="342"/>
      <c r="J53" s="203"/>
      <c r="K53" s="342"/>
      <c r="M53" s="156">
        <v>3131896</v>
      </c>
      <c r="N53" s="202">
        <v>1886831</v>
      </c>
      <c r="O53" s="340">
        <v>2445305</v>
      </c>
      <c r="P53" s="340">
        <v>3147357</v>
      </c>
      <c r="Q53" s="340">
        <v>3538844</v>
      </c>
      <c r="R53" s="202">
        <v>3315840</v>
      </c>
      <c r="S53" s="340">
        <v>4234620</v>
      </c>
      <c r="T53" s="340">
        <v>4480794</v>
      </c>
      <c r="U53" s="291">
        <v>4636167</v>
      </c>
      <c r="V53" s="340">
        <v>4063588</v>
      </c>
      <c r="W53" s="340"/>
      <c r="X53" s="340"/>
      <c r="Y53" s="291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>
        <v>1469143</v>
      </c>
      <c r="AK53" s="370">
        <f>AV53-AJ53</f>
        <v>2180853</v>
      </c>
      <c r="AL53" s="340">
        <v>2729072</v>
      </c>
      <c r="AM53" s="370">
        <f>AW53-AL53</f>
        <v>4005829</v>
      </c>
      <c r="AN53" s="340">
        <v>4534423</v>
      </c>
      <c r="AO53" s="340"/>
      <c r="AP53" s="340"/>
      <c r="AQ53" s="340"/>
      <c r="AR53" s="340"/>
      <c r="AS53" s="340"/>
      <c r="AT53" s="340">
        <v>345259</v>
      </c>
      <c r="AU53" s="340">
        <v>2113106</v>
      </c>
      <c r="AV53" s="340">
        <v>3649996</v>
      </c>
      <c r="AW53" s="340">
        <v>6734901</v>
      </c>
      <c r="AX53" s="340">
        <v>10516428</v>
      </c>
      <c r="AY53" s="340">
        <v>11018337</v>
      </c>
      <c r="AZ53" s="340">
        <v>16667421</v>
      </c>
      <c r="BA53" s="159"/>
    </row>
    <row r="54" spans="1:56" x14ac:dyDescent="0.3">
      <c r="A54" s="104" t="s">
        <v>173</v>
      </c>
      <c r="B54" s="46"/>
      <c r="C54" s="46"/>
      <c r="D54" s="46"/>
      <c r="E54" s="46"/>
      <c r="F54" s="46"/>
      <c r="G54" s="46"/>
      <c r="H54" s="46"/>
      <c r="I54" s="46"/>
      <c r="J54" s="236"/>
      <c r="K54" s="46"/>
      <c r="N54" s="209">
        <f t="shared" ref="N54:V54" si="27">N53/N56</f>
        <v>0.60964278259813154</v>
      </c>
      <c r="O54" s="348">
        <f t="shared" si="27"/>
        <v>0.53814143629970368</v>
      </c>
      <c r="P54" s="348">
        <f t="shared" si="27"/>
        <v>0.48584734546265113</v>
      </c>
      <c r="Q54" s="348">
        <f t="shared" si="27"/>
        <v>0.49595871827069693</v>
      </c>
      <c r="R54" s="209">
        <f t="shared" si="27"/>
        <v>0.50359099269773011</v>
      </c>
      <c r="S54" s="348">
        <f t="shared" si="27"/>
        <v>0.49227294619188927</v>
      </c>
      <c r="T54" s="348">
        <f t="shared" si="27"/>
        <v>0.51973361876499768</v>
      </c>
      <c r="U54" s="299">
        <f t="shared" si="27"/>
        <v>0.53152259113203237</v>
      </c>
      <c r="V54" s="348">
        <f t="shared" si="27"/>
        <v>0.53317367991036946</v>
      </c>
      <c r="W54" s="348"/>
      <c r="X54" s="348"/>
      <c r="Y54" s="299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71">
        <f>AJ53/AJ56</f>
        <v>0.31079601094386267</v>
      </c>
      <c r="AK54" s="371">
        <f>AK53/AK56</f>
        <v>0.3560124699283046</v>
      </c>
      <c r="AL54" s="371">
        <f>AL53/AL56</f>
        <v>0.40071542481688932</v>
      </c>
      <c r="AM54" s="371">
        <f>AM53/AM56</f>
        <v>0.44362017935600789</v>
      </c>
      <c r="AN54" s="371">
        <f>AN53/AN56</f>
        <v>0.46567033738951119</v>
      </c>
      <c r="AO54" s="371"/>
      <c r="AQ54" s="46"/>
      <c r="AR54" s="46"/>
      <c r="AT54" s="371">
        <f t="shared" ref="AT54:AZ54" si="28">AT53/AT56</f>
        <v>9.1490335401053766E-2</v>
      </c>
      <c r="AU54" s="371">
        <f t="shared" si="28"/>
        <v>0.3010276022623376</v>
      </c>
      <c r="AV54" s="371">
        <f t="shared" si="28"/>
        <v>0.33631805956245431</v>
      </c>
      <c r="AW54" s="371">
        <f t="shared" si="28"/>
        <v>0.42517345406458856</v>
      </c>
      <c r="AX54" s="371">
        <f t="shared" si="28"/>
        <v>0.47210797598362897</v>
      </c>
      <c r="AY54" s="371">
        <f t="shared" si="28"/>
        <v>0.51845147074697173</v>
      </c>
      <c r="AZ54" s="371">
        <f t="shared" si="28"/>
        <v>0.5123656465159816</v>
      </c>
    </row>
    <row r="55" spans="1:56" s="375" customFormat="1" x14ac:dyDescent="0.3">
      <c r="A55" s="344" t="s">
        <v>175</v>
      </c>
      <c r="B55" s="342"/>
      <c r="C55" s="342"/>
      <c r="D55" s="342"/>
      <c r="E55" s="342"/>
      <c r="F55" s="342"/>
      <c r="G55" s="342"/>
      <c r="H55" s="342"/>
      <c r="I55" s="342"/>
      <c r="J55" s="203"/>
      <c r="K55" s="342"/>
      <c r="M55" s="375">
        <v>21202</v>
      </c>
      <c r="N55" s="204">
        <v>11149</v>
      </c>
      <c r="O55" s="343">
        <v>5819</v>
      </c>
      <c r="P55" s="343">
        <v>9373</v>
      </c>
      <c r="Q55" s="340">
        <v>14558</v>
      </c>
      <c r="R55" s="202">
        <v>12964</v>
      </c>
      <c r="S55" s="340">
        <v>14958</v>
      </c>
      <c r="T55" s="340">
        <v>15991</v>
      </c>
      <c r="U55" s="291">
        <v>20055</v>
      </c>
      <c r="V55" s="340">
        <v>15025</v>
      </c>
      <c r="W55" s="340"/>
      <c r="X55" s="340"/>
      <c r="Y55" s="306">
        <f>Y56/'New Segment Reporting'!H8</f>
        <v>0.16452615234253876</v>
      </c>
      <c r="Z55" s="340"/>
      <c r="AA55" s="340"/>
      <c r="AB55" s="340"/>
      <c r="AC55" s="356"/>
      <c r="AD55" s="340"/>
      <c r="AE55" s="340"/>
      <c r="AF55" s="340"/>
      <c r="AG55" s="340"/>
      <c r="AH55" s="340"/>
      <c r="AI55" s="340"/>
      <c r="AJ55" s="340">
        <v>37497</v>
      </c>
      <c r="AK55" s="370">
        <f>AV55-AJ55</f>
        <v>29347</v>
      </c>
      <c r="AL55" s="340">
        <v>20876</v>
      </c>
      <c r="AM55" s="370">
        <f>AW55-AL55</f>
        <v>42281</v>
      </c>
      <c r="AN55" s="340">
        <v>34900</v>
      </c>
      <c r="AO55" s="340"/>
      <c r="AP55" s="343"/>
      <c r="AQ55" s="340"/>
      <c r="AR55" s="340"/>
      <c r="AS55" s="343"/>
      <c r="AT55" s="340">
        <v>2406</v>
      </c>
      <c r="AU55" s="340">
        <v>36961</v>
      </c>
      <c r="AV55" s="340">
        <v>66844</v>
      </c>
      <c r="AW55" s="340">
        <v>63157</v>
      </c>
      <c r="AX55" s="343">
        <v>79700</v>
      </c>
      <c r="AY55" s="343">
        <v>40899</v>
      </c>
      <c r="AZ55" s="343">
        <v>63968</v>
      </c>
      <c r="BA55" s="159"/>
      <c r="BB55" s="343"/>
      <c r="BC55" s="343"/>
      <c r="BD55" s="343"/>
    </row>
    <row r="56" spans="1:56" s="156" customFormat="1" x14ac:dyDescent="0.3">
      <c r="A56" s="103" t="s">
        <v>176</v>
      </c>
      <c r="B56" s="342"/>
      <c r="C56" s="342"/>
      <c r="D56" s="342">
        <v>3022586</v>
      </c>
      <c r="E56" s="342">
        <v>3103191</v>
      </c>
      <c r="F56" s="342">
        <v>3137805</v>
      </c>
      <c r="G56" s="342">
        <f>AL56-F56</f>
        <v>3672694</v>
      </c>
      <c r="H56" s="342">
        <v>4435730</v>
      </c>
      <c r="I56" s="342">
        <v>4594132</v>
      </c>
      <c r="J56" s="203">
        <v>4492102</v>
      </c>
      <c r="K56" s="342">
        <v>5245308</v>
      </c>
      <c r="L56" s="156">
        <v>6181117</v>
      </c>
      <c r="M56" s="156">
        <v>6356945</v>
      </c>
      <c r="N56" s="202">
        <v>3094978</v>
      </c>
      <c r="O56" s="340">
        <v>4543982</v>
      </c>
      <c r="P56" s="340">
        <v>6478078</v>
      </c>
      <c r="Q56" s="340">
        <v>7135360</v>
      </c>
      <c r="R56" s="202">
        <v>6584391</v>
      </c>
      <c r="S56" s="340">
        <v>8602179</v>
      </c>
      <c r="T56" s="340">
        <v>8621328</v>
      </c>
      <c r="U56" s="291">
        <v>8722427</v>
      </c>
      <c r="V56" s="340">
        <v>7621509</v>
      </c>
      <c r="W56" s="340">
        <f>S56*(1-18.6%)</f>
        <v>7002173.7059999993</v>
      </c>
      <c r="X56" s="260">
        <f>X57*X143</f>
        <v>10645211.640000001</v>
      </c>
      <c r="Y56" s="307">
        <f>U56*(1+Y59)</f>
        <v>7152390.1400000006</v>
      </c>
      <c r="Z56" s="260">
        <f>Z57*Z143</f>
        <v>9085708.1600000001</v>
      </c>
      <c r="AA56" s="260">
        <f>AA57*AA143</f>
        <v>11553986.08</v>
      </c>
      <c r="AB56" s="260">
        <f>AB57*AB143</f>
        <v>13764043.26</v>
      </c>
      <c r="AC56" s="260">
        <f>AC57*AC143</f>
        <v>11054392.65</v>
      </c>
      <c r="AD56" s="260">
        <f>Z56*(1+AD58)</f>
        <v>11902277.6896</v>
      </c>
      <c r="AE56" s="260">
        <f>AE57*AE143</f>
        <v>13160172.32</v>
      </c>
      <c r="AF56" s="260">
        <f>AF57*AF143</f>
        <v>14036597.85</v>
      </c>
      <c r="AG56" s="260">
        <f>AG57*AG143</f>
        <v>13273094.4</v>
      </c>
      <c r="AH56" s="340"/>
      <c r="AI56" s="340"/>
      <c r="AJ56" s="370">
        <f>SUM(AJ51,AJ53,AJ55)</f>
        <v>4727033</v>
      </c>
      <c r="AK56" s="370">
        <f>SUM(AK51,AK53,AK55)</f>
        <v>6125777</v>
      </c>
      <c r="AL56" s="370">
        <f>SUM(AL51,AL53,AL55)</f>
        <v>6810499</v>
      </c>
      <c r="AM56" s="370">
        <f>SUM(AM51,AM53,AM55)</f>
        <v>9029862</v>
      </c>
      <c r="AN56" s="370">
        <f>SUM(AN51,AN53,AN55)</f>
        <v>9737410</v>
      </c>
      <c r="AO56" s="370"/>
      <c r="AP56" s="340"/>
      <c r="AQ56" s="340">
        <f>AJ56+D56</f>
        <v>7749619</v>
      </c>
      <c r="AR56" s="340">
        <f>AL56+H56</f>
        <v>11246229</v>
      </c>
      <c r="AS56" s="340"/>
      <c r="AT56" s="340">
        <f>SUM(AT51,AT53,AT55)</f>
        <v>3773721</v>
      </c>
      <c r="AU56" s="340">
        <f>SUM(AU51,AU53,AU55)</f>
        <v>7019642</v>
      </c>
      <c r="AV56" s="340">
        <f>SUM(AV51,AV53,AV55)</f>
        <v>10852810</v>
      </c>
      <c r="AW56" s="340">
        <v>15840361</v>
      </c>
      <c r="AX56" s="340">
        <v>22275472</v>
      </c>
      <c r="AY56" s="340">
        <v>21252398</v>
      </c>
      <c r="AZ56" s="340">
        <v>32530325</v>
      </c>
      <c r="BA56" s="159"/>
      <c r="BB56" s="340"/>
      <c r="BC56" s="340"/>
      <c r="BD56" s="340"/>
    </row>
    <row r="57" spans="1:56" s="156" customFormat="1" x14ac:dyDescent="0.3">
      <c r="A57" s="103" t="s">
        <v>177</v>
      </c>
      <c r="B57" s="342"/>
      <c r="C57" s="342"/>
      <c r="D57" s="373">
        <f t="shared" ref="D57:W57" si="29">D56/D143</f>
        <v>0.31245087243931957</v>
      </c>
      <c r="E57" s="373">
        <f t="shared" si="29"/>
        <v>0.29623666086321659</v>
      </c>
      <c r="F57" s="373">
        <f t="shared" si="29"/>
        <v>0.27829600597353649</v>
      </c>
      <c r="G57" s="373">
        <f t="shared" si="29"/>
        <v>0.24366426754907064</v>
      </c>
      <c r="H57" s="373">
        <f t="shared" si="29"/>
        <v>0.23252936844880312</v>
      </c>
      <c r="I57" s="373">
        <f t="shared" si="29"/>
        <v>0.23198642337709607</v>
      </c>
      <c r="J57" s="228">
        <f t="shared" si="29"/>
        <v>0.23428686408624566</v>
      </c>
      <c r="K57" s="373">
        <f t="shared" si="29"/>
        <v>0.23103890885211151</v>
      </c>
      <c r="L57" s="373">
        <f t="shared" si="29"/>
        <v>0.22481997556597566</v>
      </c>
      <c r="M57" s="373">
        <f t="shared" si="29"/>
        <v>0.22575779115273947</v>
      </c>
      <c r="N57" s="228">
        <f t="shared" si="29"/>
        <v>0.18473193713196226</v>
      </c>
      <c r="O57" s="373">
        <f t="shared" si="29"/>
        <v>0.18380438314515221</v>
      </c>
      <c r="P57" s="373">
        <f t="shared" si="29"/>
        <v>0.18298992674898046</v>
      </c>
      <c r="Q57" s="373">
        <f t="shared" si="29"/>
        <v>0.18818116297950413</v>
      </c>
      <c r="R57" s="228">
        <f t="shared" si="29"/>
        <v>0.17787833358214289</v>
      </c>
      <c r="S57" s="373">
        <f t="shared" si="29"/>
        <v>0.19657975258797961</v>
      </c>
      <c r="T57" s="373">
        <f t="shared" si="29"/>
        <v>0.1765602955762075</v>
      </c>
      <c r="U57" s="326">
        <f t="shared" si="29"/>
        <v>0.17612833582237214</v>
      </c>
      <c r="V57" s="373">
        <f t="shared" si="29"/>
        <v>0.16472259010908311</v>
      </c>
      <c r="W57" s="373">
        <f t="shared" si="29"/>
        <v>0.1374636579114252</v>
      </c>
      <c r="X57" s="261">
        <v>0.17</v>
      </c>
      <c r="Y57" s="308">
        <f>Y56/Y143</f>
        <v>0.11895087887714101</v>
      </c>
      <c r="Z57" s="373">
        <v>0.155</v>
      </c>
      <c r="AA57" s="373">
        <v>0.17</v>
      </c>
      <c r="AB57" s="373">
        <v>0.18</v>
      </c>
      <c r="AC57" s="261">
        <v>0.15</v>
      </c>
      <c r="AD57" s="373"/>
      <c r="AE57" s="373">
        <v>0.16</v>
      </c>
      <c r="AF57" s="373">
        <v>0.15</v>
      </c>
      <c r="AG57" s="373">
        <v>0.15</v>
      </c>
      <c r="AH57" s="373"/>
      <c r="AI57" s="373"/>
      <c r="AJ57" s="373">
        <f>AJ56/AJ143</f>
        <v>0.34306532790596694</v>
      </c>
      <c r="AK57" s="373">
        <f>AK56/AK143</f>
        <v>0.30402124672703706</v>
      </c>
      <c r="AL57" s="373">
        <f>AL56/AL143</f>
        <v>0.25848427652117195</v>
      </c>
      <c r="AM57" s="373">
        <f>AM56/AM143</f>
        <v>0.23225281653282603</v>
      </c>
      <c r="AN57" s="373">
        <f>AN56/AN143</f>
        <v>0.23252600751316085</v>
      </c>
      <c r="AO57" s="373"/>
      <c r="AP57" s="373"/>
      <c r="AQ57" s="373">
        <f t="shared" ref="AQ57:AZ57" si="30">AQ56/AQ143</f>
        <v>0.33043739398034566</v>
      </c>
      <c r="AR57" s="373">
        <f t="shared" si="30"/>
        <v>0.24758436244450213</v>
      </c>
      <c r="AS57" s="373" t="e">
        <f t="shared" si="30"/>
        <v>#DIV/0!</v>
      </c>
      <c r="AT57" s="373">
        <f t="shared" si="30"/>
        <v>0.93897972086801584</v>
      </c>
      <c r="AU57" s="373">
        <f t="shared" si="30"/>
        <v>0.54046815398461223</v>
      </c>
      <c r="AV57" s="373">
        <f t="shared" si="30"/>
        <v>0.31987780471620669</v>
      </c>
      <c r="AW57" s="373">
        <f t="shared" si="30"/>
        <v>0.2428487204387097</v>
      </c>
      <c r="AX57" s="373">
        <f t="shared" si="30"/>
        <v>0.2283995439242287</v>
      </c>
      <c r="AY57" s="373">
        <f t="shared" si="30"/>
        <v>0.18513427166508223</v>
      </c>
      <c r="AZ57" s="373">
        <f t="shared" si="30"/>
        <v>0.1816038003260875</v>
      </c>
    </row>
    <row r="58" spans="1:56" s="156" customFormat="1" x14ac:dyDescent="0.3">
      <c r="A58" s="103"/>
      <c r="B58" s="342"/>
      <c r="C58" s="342"/>
      <c r="D58" s="373"/>
      <c r="E58" s="373"/>
      <c r="F58" s="373"/>
      <c r="G58" s="373"/>
      <c r="H58" s="373"/>
      <c r="I58" s="373"/>
      <c r="J58" s="228"/>
      <c r="K58" s="373"/>
      <c r="L58" s="373"/>
      <c r="M58" s="373"/>
      <c r="N58" s="228"/>
      <c r="O58" s="373"/>
      <c r="P58" s="373"/>
      <c r="Q58" s="373"/>
      <c r="R58" s="228"/>
      <c r="S58" s="373"/>
      <c r="T58" s="373"/>
      <c r="U58" s="326"/>
      <c r="V58" s="373"/>
      <c r="W58" s="373"/>
      <c r="X58" s="261"/>
      <c r="Y58" s="308"/>
      <c r="Z58" s="261">
        <f>Z56/V56-1</f>
        <v>0.19211407609700393</v>
      </c>
      <c r="AA58" s="261">
        <f>AA56/W56-1</f>
        <v>0.65005704872754855</v>
      </c>
      <c r="AB58" s="261">
        <f>AB56/X56-1</f>
        <v>0.29297976644079182</v>
      </c>
      <c r="AC58" s="261">
        <f>AC56/Y56-1</f>
        <v>0.54555224667875835</v>
      </c>
      <c r="AD58" s="373">
        <v>0.31</v>
      </c>
      <c r="AE58" s="373">
        <f>AE56/AA56-1</f>
        <v>0.13901576727535758</v>
      </c>
      <c r="AF58" s="373"/>
      <c r="AG58" s="373"/>
      <c r="AH58" s="373"/>
      <c r="AI58" s="373"/>
      <c r="AJ58" s="373"/>
      <c r="AK58" s="373"/>
      <c r="AL58" s="373"/>
      <c r="AM58" s="373"/>
      <c r="AN58" s="373"/>
      <c r="AO58" s="373"/>
      <c r="AP58" s="373"/>
      <c r="AQ58" s="373"/>
      <c r="AR58" s="373"/>
      <c r="AS58" s="373"/>
      <c r="AT58" s="373"/>
      <c r="AU58" s="373"/>
      <c r="AV58" s="373"/>
      <c r="AW58" s="373"/>
      <c r="AX58" s="373"/>
      <c r="AY58" s="373"/>
      <c r="AZ58" s="373"/>
    </row>
    <row r="59" spans="1:56" s="375" customFormat="1" x14ac:dyDescent="0.3">
      <c r="A59" s="344" t="s">
        <v>180</v>
      </c>
      <c r="B59" s="342"/>
      <c r="C59" s="342"/>
      <c r="D59" s="342">
        <v>-347707</v>
      </c>
      <c r="E59" s="342">
        <v>-382361</v>
      </c>
      <c r="F59" s="342">
        <f>F60-F56</f>
        <v>-381846</v>
      </c>
      <c r="G59" s="342">
        <f>AL59-F59</f>
        <v>-338675</v>
      </c>
      <c r="H59" s="342">
        <v>-418611</v>
      </c>
      <c r="I59" s="342">
        <v>-605874</v>
      </c>
      <c r="J59" s="208">
        <f>J60-J56</f>
        <v>-523726</v>
      </c>
      <c r="K59" s="347">
        <f>K60-K56</f>
        <v>-586041</v>
      </c>
      <c r="L59" s="375">
        <v>-704900</v>
      </c>
      <c r="M59" s="375">
        <v>-714450</v>
      </c>
      <c r="N59" s="206"/>
      <c r="O59" s="345"/>
      <c r="P59" s="345"/>
      <c r="Q59" s="345"/>
      <c r="R59" s="214"/>
      <c r="S59" s="140"/>
      <c r="T59" s="357"/>
      <c r="U59" s="333">
        <v>-4825411</v>
      </c>
      <c r="V59" s="357"/>
      <c r="W59" s="384">
        <f>W56/S56-1</f>
        <v>-0.18600000000000005</v>
      </c>
      <c r="X59" s="357"/>
      <c r="Y59" s="309">
        <v>-0.18</v>
      </c>
      <c r="Z59" s="357"/>
      <c r="AA59" s="140"/>
      <c r="AB59" s="357"/>
      <c r="AC59" s="140"/>
      <c r="AD59" s="357"/>
      <c r="AE59" s="357"/>
      <c r="AF59" s="357"/>
      <c r="AG59" s="357"/>
      <c r="AH59" s="154"/>
      <c r="AI59" s="154"/>
      <c r="AJ59" s="342">
        <v>-543263</v>
      </c>
      <c r="AK59" s="87">
        <f>AV59-AJ59</f>
        <v>-730068</v>
      </c>
      <c r="AL59" s="342">
        <v>-720521</v>
      </c>
      <c r="AM59" s="342">
        <v>-720520</v>
      </c>
      <c r="AN59" s="342">
        <v>-1109767</v>
      </c>
      <c r="AO59" s="342"/>
      <c r="AQ59" s="447"/>
      <c r="AR59" s="342"/>
      <c r="AT59" s="342">
        <v>-740686</v>
      </c>
      <c r="AU59" s="342">
        <v>-1080917</v>
      </c>
      <c r="AV59" s="342">
        <v>-1273331</v>
      </c>
      <c r="AW59" s="342">
        <v>-1745006</v>
      </c>
      <c r="AX59" s="343">
        <v>-2529117</v>
      </c>
      <c r="AY59" s="343"/>
      <c r="AZ59" s="343"/>
      <c r="BA59" s="343"/>
    </row>
    <row r="60" spans="1:56" s="93" customFormat="1" x14ac:dyDescent="0.3">
      <c r="A60" s="103" t="s">
        <v>181</v>
      </c>
      <c r="B60" s="347"/>
      <c r="C60" s="347"/>
      <c r="D60" s="347">
        <f>SUM(D56,D59)</f>
        <v>2674879</v>
      </c>
      <c r="E60" s="347">
        <f>SUM(E56,E59)</f>
        <v>2720830</v>
      </c>
      <c r="F60" s="347">
        <v>2755959</v>
      </c>
      <c r="G60" s="347">
        <f>AL60-F60</f>
        <v>3334019</v>
      </c>
      <c r="H60" s="347">
        <f>SUM(H56,H59)</f>
        <v>4017119</v>
      </c>
      <c r="I60" s="347">
        <f>SUM(I56,I59)</f>
        <v>3988258</v>
      </c>
      <c r="J60" s="203">
        <v>3968376</v>
      </c>
      <c r="K60" s="342">
        <v>4659267</v>
      </c>
      <c r="L60" s="93">
        <v>5476217</v>
      </c>
      <c r="M60" s="347">
        <f>SUM(M56,M59)</f>
        <v>5642495</v>
      </c>
      <c r="N60" s="207"/>
      <c r="O60" s="346"/>
      <c r="P60" s="346"/>
      <c r="Q60" s="346"/>
      <c r="R60" s="207"/>
      <c r="S60" s="346"/>
      <c r="T60" s="358"/>
      <c r="U60" s="310"/>
      <c r="V60" s="358"/>
      <c r="W60" s="358"/>
      <c r="X60" s="358"/>
      <c r="Y60" s="310"/>
      <c r="Z60" s="358"/>
      <c r="AA60" s="358"/>
      <c r="AB60" s="358"/>
      <c r="AC60" s="358"/>
      <c r="AD60" s="358"/>
      <c r="AE60" s="358"/>
      <c r="AF60" s="358"/>
      <c r="AG60" s="358"/>
      <c r="AH60" s="347"/>
      <c r="AI60" s="347"/>
      <c r="AJ60" s="347">
        <f>SUM(AJ56,AJ59)</f>
        <v>4183770</v>
      </c>
      <c r="AK60" s="347">
        <f>SUM(AK56,AK59)</f>
        <v>5395709</v>
      </c>
      <c r="AL60" s="347">
        <f>SUM(AL56,AL59)</f>
        <v>6089978</v>
      </c>
      <c r="AM60" s="347">
        <f>SUM(AM56,AM59)</f>
        <v>8309342</v>
      </c>
      <c r="AN60" s="347">
        <f>SUM(AN56,AN59)</f>
        <v>8627643</v>
      </c>
      <c r="AO60" s="347"/>
      <c r="AQ60" s="448">
        <f>AJ60+D60</f>
        <v>6858649</v>
      </c>
      <c r="AR60" s="448">
        <f>AL60+H60</f>
        <v>10107097</v>
      </c>
      <c r="AT60" s="347">
        <f>SUM(AT56,AT59)</f>
        <v>3033035</v>
      </c>
      <c r="AU60" s="347">
        <f>SUM(AU56,AU59)</f>
        <v>5938725</v>
      </c>
      <c r="AV60" s="347">
        <f>SUM(AV56,AV59)</f>
        <v>9579479</v>
      </c>
      <c r="AW60" s="347">
        <f>SUM(AW56,AW59)</f>
        <v>14095355</v>
      </c>
      <c r="AX60" s="347">
        <f>SUM(AX56,AX59)</f>
        <v>19746355</v>
      </c>
    </row>
    <row r="61" spans="1:56" s="93" customFormat="1" x14ac:dyDescent="0.3">
      <c r="A61" s="103"/>
      <c r="B61" s="347"/>
      <c r="C61" s="347"/>
      <c r="D61" s="347"/>
      <c r="E61" s="347"/>
      <c r="F61" s="347"/>
      <c r="G61" s="347"/>
      <c r="H61" s="347"/>
      <c r="I61" s="347"/>
      <c r="J61" s="203"/>
      <c r="K61" s="342"/>
      <c r="M61" s="347"/>
      <c r="N61" s="208"/>
      <c r="O61" s="347"/>
      <c r="P61" s="347"/>
      <c r="Q61" s="347"/>
      <c r="R61" s="208"/>
      <c r="S61" s="347"/>
      <c r="T61" s="347"/>
      <c r="U61" s="298"/>
      <c r="V61" s="347"/>
      <c r="W61" s="347"/>
      <c r="X61" s="347"/>
      <c r="Y61" s="298"/>
      <c r="Z61" s="347"/>
      <c r="AA61" s="347"/>
      <c r="AB61" s="347"/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347"/>
      <c r="AO61" s="347"/>
      <c r="AQ61" s="448"/>
      <c r="AR61" s="448"/>
      <c r="AT61" s="347"/>
      <c r="AU61" s="347"/>
      <c r="AV61" s="347"/>
      <c r="AW61" s="347"/>
      <c r="AX61" s="347"/>
    </row>
    <row r="62" spans="1:56" s="93" customFormat="1" x14ac:dyDescent="0.3">
      <c r="A62" s="103" t="s">
        <v>199</v>
      </c>
      <c r="B62" s="347"/>
      <c r="C62" s="347"/>
      <c r="D62" s="347"/>
      <c r="E62" s="347"/>
      <c r="F62" s="347"/>
      <c r="G62" s="347"/>
      <c r="H62" s="347"/>
      <c r="I62" s="347"/>
      <c r="J62" s="203">
        <v>1592878</v>
      </c>
      <c r="K62" s="342">
        <v>2147499</v>
      </c>
      <c r="L62" s="370">
        <v>2331639</v>
      </c>
      <c r="M62" s="347">
        <v>2331277</v>
      </c>
      <c r="N62" s="208">
        <v>680179</v>
      </c>
      <c r="O62" s="347">
        <v>1891563</v>
      </c>
      <c r="P62" s="347">
        <v>2787256</v>
      </c>
      <c r="Q62" s="347">
        <v>2821935</v>
      </c>
      <c r="R62" s="208">
        <v>2748205</v>
      </c>
      <c r="S62" s="347">
        <v>3663818</v>
      </c>
      <c r="T62" s="347">
        <v>3784074</v>
      </c>
      <c r="U62" s="298">
        <v>3897016</v>
      </c>
      <c r="V62" s="347">
        <v>3473546</v>
      </c>
      <c r="W62" s="347"/>
      <c r="X62" s="347"/>
      <c r="Y62" s="298"/>
      <c r="Z62" s="347"/>
      <c r="AA62" s="347"/>
      <c r="AB62" s="347"/>
      <c r="AC62" s="347"/>
      <c r="AD62" s="347"/>
      <c r="AE62" s="347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Q62" s="448"/>
      <c r="AR62" s="448"/>
      <c r="AT62" s="347"/>
      <c r="AU62" s="347"/>
      <c r="AV62" s="347"/>
      <c r="AW62" s="347"/>
      <c r="AX62" s="347">
        <v>8403293</v>
      </c>
      <c r="AY62" s="347">
        <v>8180933</v>
      </c>
      <c r="AZ62" s="347">
        <v>14093113</v>
      </c>
      <c r="BA62" s="159"/>
    </row>
    <row r="63" spans="1:56" x14ac:dyDescent="0.3">
      <c r="J63" s="182">
        <f t="shared" ref="J63:V63" si="31">J62/J56</f>
        <v>0.35459524293971956</v>
      </c>
      <c r="K63" s="371">
        <f t="shared" si="31"/>
        <v>0.40941332711062917</v>
      </c>
      <c r="L63" s="371">
        <f t="shared" si="31"/>
        <v>0.37721968375618842</v>
      </c>
      <c r="M63" s="371">
        <f t="shared" si="31"/>
        <v>0.36672914426662495</v>
      </c>
      <c r="N63" s="182">
        <f t="shared" si="31"/>
        <v>0.21976860578653548</v>
      </c>
      <c r="O63" s="371">
        <f t="shared" si="31"/>
        <v>0.41627871765337099</v>
      </c>
      <c r="P63" s="371">
        <f t="shared" si="31"/>
        <v>0.43025971592191387</v>
      </c>
      <c r="Q63" s="371">
        <f t="shared" si="31"/>
        <v>0.39548600210781237</v>
      </c>
      <c r="R63" s="209">
        <f t="shared" si="31"/>
        <v>0.41738180493837623</v>
      </c>
      <c r="S63" s="348">
        <f t="shared" si="31"/>
        <v>0.42591743324569276</v>
      </c>
      <c r="T63" s="348">
        <f t="shared" si="31"/>
        <v>0.43892008284570544</v>
      </c>
      <c r="U63" s="299">
        <f t="shared" si="31"/>
        <v>0.44678115391507434</v>
      </c>
      <c r="V63" s="348">
        <f t="shared" si="31"/>
        <v>0.45575567777982023</v>
      </c>
      <c r="W63" s="348"/>
      <c r="X63" s="348"/>
      <c r="Y63" s="299"/>
      <c r="Z63" s="348"/>
      <c r="AA63" s="348"/>
      <c r="AB63" s="348"/>
      <c r="AC63" s="348"/>
      <c r="AD63" s="348"/>
      <c r="AE63" s="348"/>
      <c r="AF63" s="348"/>
      <c r="AG63" s="348"/>
      <c r="AH63" s="371"/>
      <c r="AI63" s="371"/>
      <c r="AX63" s="371">
        <f>AX62/AX56</f>
        <v>0.37724421731669705</v>
      </c>
      <c r="AY63" s="371">
        <f>AY62/AY56</f>
        <v>0.38494164282073018</v>
      </c>
      <c r="AZ63" s="371">
        <f>AZ62/AZ56</f>
        <v>0.43323000922984939</v>
      </c>
    </row>
    <row r="64" spans="1:56" x14ac:dyDescent="0.3">
      <c r="A64" s="102" t="s">
        <v>136</v>
      </c>
      <c r="B64" s="349"/>
      <c r="C64" s="349"/>
      <c r="D64" s="349"/>
      <c r="E64" s="349"/>
      <c r="F64" s="349"/>
      <c r="G64" s="349"/>
      <c r="H64" s="349"/>
      <c r="I64" s="349"/>
      <c r="J64" s="210"/>
      <c r="K64" s="349"/>
      <c r="L64" s="349"/>
      <c r="M64" s="349"/>
      <c r="N64" s="210"/>
      <c r="O64" s="349"/>
      <c r="P64" s="349"/>
      <c r="Q64" s="349"/>
      <c r="R64" s="210"/>
      <c r="S64" s="349"/>
      <c r="T64" s="349"/>
      <c r="U64" s="300"/>
      <c r="V64" s="349"/>
      <c r="W64" s="349"/>
      <c r="X64" s="349"/>
      <c r="Y64" s="300"/>
      <c r="Z64" s="349"/>
      <c r="AA64" s="349"/>
      <c r="AB64" s="349"/>
      <c r="AC64" s="349"/>
      <c r="AD64" s="349"/>
      <c r="AE64" s="349"/>
      <c r="AF64" s="349"/>
      <c r="AG64" s="349"/>
      <c r="AH64" s="254"/>
      <c r="AI64" s="254"/>
      <c r="AJ64" s="349"/>
      <c r="AK64" s="349"/>
      <c r="AL64" s="349"/>
      <c r="AM64" s="349"/>
      <c r="AN64" s="349"/>
      <c r="AO64" s="349"/>
      <c r="AP64" s="349"/>
      <c r="AQ64" s="349"/>
      <c r="AR64" s="349"/>
      <c r="AS64" s="349"/>
      <c r="AT64" s="349"/>
      <c r="AU64" s="349"/>
      <c r="AV64" s="349"/>
      <c r="AW64" s="349"/>
      <c r="AX64" s="349"/>
      <c r="AY64" s="349"/>
      <c r="AZ64" s="349"/>
      <c r="BA64" s="349"/>
      <c r="BB64" s="349"/>
    </row>
    <row r="65" spans="1:54" s="353" customFormat="1" x14ac:dyDescent="0.3">
      <c r="A65" s="84" t="s">
        <v>184</v>
      </c>
      <c r="B65" s="352" t="str">
        <f>IFERROR(B48/#REF!,"")</f>
        <v/>
      </c>
      <c r="C65" s="352" t="str">
        <f>IFERROR(C48/#REF!,"")</f>
        <v/>
      </c>
      <c r="D65" s="352" t="str">
        <f>IFERROR(D48/#REF!,"")</f>
        <v/>
      </c>
      <c r="E65" s="352"/>
      <c r="F65" s="352" t="str">
        <f>IFERROR(F48/#REF!,"")</f>
        <v/>
      </c>
      <c r="G65" s="352"/>
      <c r="H65" s="352"/>
      <c r="I65" s="352"/>
      <c r="J65" s="189"/>
      <c r="K65" s="352"/>
      <c r="N65" s="190"/>
      <c r="R65" s="190"/>
      <c r="U65" s="276"/>
      <c r="Y65" s="276"/>
      <c r="AJ65" s="352" t="str">
        <f>IFERROR(AJ48/#REF!,"")</f>
        <v/>
      </c>
      <c r="AL65" s="352" t="str">
        <f>IFERROR(AL48/AJ48-1,"")</f>
        <v/>
      </c>
      <c r="AM65" s="352" t="str">
        <f>IFERROR(AM48/#REF!,"")</f>
        <v/>
      </c>
      <c r="AN65" s="352"/>
      <c r="AO65" s="352"/>
      <c r="AQ65" s="352"/>
      <c r="AR65" s="352"/>
      <c r="AT65" s="352"/>
      <c r="AU65" s="352">
        <f>IFERROR(AU48/AT48-1,"")</f>
        <v>0.11550387596899214</v>
      </c>
      <c r="AV65" s="352">
        <f>IFERROR(AV48/AU48-1,"")</f>
        <v>-3.1271716469770672E-2</v>
      </c>
      <c r="AW65" s="352"/>
    </row>
    <row r="66" spans="1:54" s="353" customFormat="1" x14ac:dyDescent="0.3">
      <c r="A66" s="84" t="s">
        <v>185</v>
      </c>
      <c r="B66" s="352" t="str">
        <f>IFERROR(B49/#REF!,"")</f>
        <v/>
      </c>
      <c r="C66" s="352" t="str">
        <f>IFERROR(C49/#REF!,"")</f>
        <v/>
      </c>
      <c r="D66" s="352"/>
      <c r="E66" s="352"/>
      <c r="F66" s="352"/>
      <c r="G66" s="352"/>
      <c r="H66" s="352">
        <f t="shared" ref="H66:M66" si="32">H49/D49-1</f>
        <v>0.13856812933025409</v>
      </c>
      <c r="I66" s="352">
        <f t="shared" si="32"/>
        <v>0.12030075187969946</v>
      </c>
      <c r="J66" s="189">
        <f t="shared" si="32"/>
        <v>0.15136476426799006</v>
      </c>
      <c r="K66" s="352">
        <f t="shared" si="32"/>
        <v>0.20705882352941174</v>
      </c>
      <c r="L66" s="352">
        <f t="shared" si="32"/>
        <v>0.29614604462474658</v>
      </c>
      <c r="M66" s="352">
        <f t="shared" si="32"/>
        <v>0.35123042505592839</v>
      </c>
      <c r="N66" s="189"/>
      <c r="O66" s="352"/>
      <c r="P66" s="352"/>
      <c r="Q66" s="352"/>
      <c r="R66" s="189"/>
      <c r="S66" s="352"/>
      <c r="T66" s="352"/>
      <c r="U66" s="275"/>
      <c r="V66" s="352"/>
      <c r="W66" s="352"/>
      <c r="X66" s="352"/>
      <c r="Y66" s="275"/>
      <c r="Z66" s="352"/>
      <c r="AA66" s="352"/>
      <c r="AB66" s="352"/>
      <c r="AC66" s="352"/>
      <c r="AD66" s="352"/>
      <c r="AE66" s="352"/>
      <c r="AF66" s="352"/>
      <c r="AG66" s="352"/>
      <c r="AH66" s="352"/>
      <c r="AI66" s="352"/>
      <c r="AJ66" s="352"/>
      <c r="AL66" s="352">
        <f>IFERROR(AL49/AJ49-1,"")</f>
        <v>0.10547396528704933</v>
      </c>
      <c r="AM66" s="352">
        <f>IFERROR(AM49/AK49-1,"")</f>
        <v>-4.8076923076921796E-3</v>
      </c>
      <c r="AN66" s="352">
        <f>IFERROR(AN49/AL49-1,"")</f>
        <v>0.17995169082125617</v>
      </c>
      <c r="AO66" s="352"/>
      <c r="AQ66" s="352"/>
      <c r="AR66" s="352"/>
      <c r="AT66" s="352"/>
      <c r="AU66" s="352">
        <f>IFERROR(AU49/AT49-1,"")</f>
        <v>0.24235294117647066</v>
      </c>
      <c r="AV66" s="352">
        <f>IFERROR(AV49/AU49-1,"")</f>
        <v>-1.8939393939394478E-3</v>
      </c>
      <c r="AW66" s="352">
        <f>IFERROR(AW49/AV49-1,"")</f>
        <v>0.11827956989247324</v>
      </c>
      <c r="AX66" s="352">
        <f>IFERROR(AX49/AW49-1,"")</f>
        <v>0.25622171945701355</v>
      </c>
      <c r="AY66" s="352"/>
      <c r="AZ66" s="352"/>
    </row>
    <row r="67" spans="1:54" s="353" customFormat="1" x14ac:dyDescent="0.3">
      <c r="A67" s="84" t="s">
        <v>187</v>
      </c>
      <c r="B67" s="352"/>
      <c r="C67" s="352"/>
      <c r="D67" s="352"/>
      <c r="E67" s="352">
        <f t="shared" ref="E67:M67" si="33">IFERROR(E49/D49-1,"")</f>
        <v>-7.8521939953810738E-2</v>
      </c>
      <c r="F67" s="352">
        <f t="shared" si="33"/>
        <v>1.0025062656641825E-2</v>
      </c>
      <c r="G67" s="352">
        <f t="shared" si="33"/>
        <v>5.4590570719603049E-2</v>
      </c>
      <c r="H67" s="352">
        <f t="shared" si="33"/>
        <v>0.15999999999999992</v>
      </c>
      <c r="I67" s="352">
        <f t="shared" si="33"/>
        <v>-9.3306288032454221E-2</v>
      </c>
      <c r="J67" s="189">
        <f t="shared" si="33"/>
        <v>3.8031319910514449E-2</v>
      </c>
      <c r="K67" s="352">
        <f t="shared" si="33"/>
        <v>0.1056034482758621</v>
      </c>
      <c r="L67" s="352">
        <f t="shared" si="33"/>
        <v>0.2456140350877194</v>
      </c>
      <c r="M67" s="352">
        <f t="shared" si="33"/>
        <v>-5.477308294209704E-2</v>
      </c>
      <c r="N67" s="189"/>
      <c r="O67" s="352"/>
      <c r="P67" s="352"/>
      <c r="Q67" s="352"/>
      <c r="R67" s="189"/>
      <c r="S67" s="352"/>
      <c r="T67" s="352"/>
      <c r="U67" s="275"/>
      <c r="V67" s="352"/>
      <c r="W67" s="352"/>
      <c r="X67" s="352"/>
      <c r="Y67" s="275"/>
      <c r="Z67" s="352"/>
      <c r="AA67" s="352"/>
      <c r="AB67" s="352"/>
      <c r="AC67" s="352"/>
      <c r="AD67" s="352"/>
      <c r="AE67" s="352"/>
      <c r="AF67" s="352"/>
      <c r="AG67" s="352"/>
      <c r="AH67" s="352"/>
      <c r="AI67" s="352"/>
      <c r="AJ67" s="352"/>
      <c r="AL67" s="352"/>
      <c r="AM67" s="352"/>
      <c r="AN67" s="352"/>
      <c r="AO67" s="352"/>
      <c r="AQ67" s="352"/>
      <c r="AR67" s="352"/>
      <c r="AT67" s="352"/>
      <c r="AU67" s="352"/>
      <c r="AV67" s="352"/>
      <c r="AW67" s="352"/>
      <c r="AX67" s="352"/>
      <c r="AY67" s="352"/>
      <c r="AZ67" s="352"/>
    </row>
    <row r="68" spans="1:54" s="353" customFormat="1" x14ac:dyDescent="0.3">
      <c r="A68" s="353" t="s">
        <v>188</v>
      </c>
      <c r="B68" s="352" t="str">
        <f>IFERROR(B51/#REF!,"")</f>
        <v/>
      </c>
      <c r="C68" s="352" t="str">
        <f>IFERROR(C51/#REF!,"")</f>
        <v/>
      </c>
      <c r="D68" s="352" t="str">
        <f>IFERROR(D51/#REF!,"")</f>
        <v/>
      </c>
      <c r="E68" s="352"/>
      <c r="F68" s="352" t="str">
        <f>IFERROR(F51/#REF!,"")</f>
        <v/>
      </c>
      <c r="G68" s="352"/>
      <c r="H68" s="352"/>
      <c r="I68" s="352"/>
      <c r="J68" s="189"/>
      <c r="K68" s="352"/>
      <c r="N68" s="190"/>
      <c r="R68" s="189">
        <f>R51/N51-1</f>
        <v>1.7197931826118338</v>
      </c>
      <c r="S68" s="352">
        <f>S51/O51-1</f>
        <v>1.0797402403794236</v>
      </c>
      <c r="T68" s="352">
        <f>T51/P51-1</f>
        <v>0.24182801681726818</v>
      </c>
      <c r="U68" s="275">
        <f>U51/Q51-1</f>
        <v>0.13519058570759346</v>
      </c>
      <c r="V68" s="352">
        <f>V51/R51-1</f>
        <v>8.8251058872025334E-2</v>
      </c>
      <c r="W68" s="352"/>
      <c r="X68" s="352"/>
      <c r="Y68" s="275"/>
      <c r="Z68" s="352"/>
      <c r="AA68" s="352"/>
      <c r="AB68" s="352"/>
      <c r="AC68" s="352"/>
      <c r="AD68" s="352"/>
      <c r="AE68" s="352"/>
      <c r="AF68" s="352"/>
      <c r="AG68" s="352"/>
      <c r="AJ68" s="352"/>
      <c r="AL68" s="352">
        <f>IFERROR(AL51/AJ51-1,"")</f>
        <v>0.26088679238838242</v>
      </c>
      <c r="AM68" s="352">
        <f>IFERROR(AM51/AK51-1,"")</f>
        <v>0.27229064835144356</v>
      </c>
      <c r="AN68" s="352">
        <f>IFERROR(AN51/AL51-1,"")</f>
        <v>0.27275510146283111</v>
      </c>
      <c r="AO68" s="352"/>
      <c r="AQ68" s="352"/>
      <c r="AR68" s="352"/>
      <c r="AT68" s="352"/>
      <c r="AU68" s="352">
        <f t="shared" ref="AU68:AZ68" si="34">IFERROR(AU51/AT51-1,"")</f>
        <v>0.42133549480802412</v>
      </c>
      <c r="AV68" s="352">
        <f t="shared" si="34"/>
        <v>0.46541946679124968</v>
      </c>
      <c r="AW68" s="352">
        <f t="shared" si="34"/>
        <v>0.26714420043806242</v>
      </c>
      <c r="AX68" s="352">
        <f t="shared" si="34"/>
        <v>0.29163377958026837</v>
      </c>
      <c r="AY68" s="352">
        <f t="shared" si="34"/>
        <v>-0.12724875643700539</v>
      </c>
      <c r="AZ68" s="352">
        <f t="shared" si="34"/>
        <v>0.54995437137170988</v>
      </c>
    </row>
    <row r="69" spans="1:54" s="353" customFormat="1" x14ac:dyDescent="0.3">
      <c r="A69" s="353" t="s">
        <v>189</v>
      </c>
      <c r="B69" s="352" t="str">
        <f>IFERROR(B53/#REF!,"")</f>
        <v/>
      </c>
      <c r="C69" s="352" t="str">
        <f>IFERROR(C53/#REF!,"")</f>
        <v/>
      </c>
      <c r="D69" s="352" t="str">
        <f>IFERROR(D53/#REF!,"")</f>
        <v/>
      </c>
      <c r="E69" s="352"/>
      <c r="F69" s="352" t="str">
        <f>IFERROR(F53/#REF!,"")</f>
        <v/>
      </c>
      <c r="G69" s="352"/>
      <c r="H69" s="352"/>
      <c r="I69" s="352"/>
      <c r="J69" s="189"/>
      <c r="K69" s="352"/>
      <c r="N69" s="190"/>
      <c r="R69" s="189">
        <f>R53/N53-1</f>
        <v>0.7573592971495593</v>
      </c>
      <c r="S69" s="352">
        <f>S53/O53-1</f>
        <v>0.73173489605591113</v>
      </c>
      <c r="T69" s="352">
        <f>T53/P53-1</f>
        <v>0.42366881164100545</v>
      </c>
      <c r="U69" s="275">
        <f>U53/Q53-1</f>
        <v>0.31007950618902669</v>
      </c>
      <c r="V69" s="352">
        <f>V53/R53-1</f>
        <v>0.22550786527697353</v>
      </c>
      <c r="W69" s="352"/>
      <c r="X69" s="352"/>
      <c r="Y69" s="275"/>
      <c r="Z69" s="352"/>
      <c r="AA69" s="352"/>
      <c r="AB69" s="352"/>
      <c r="AC69" s="352"/>
      <c r="AD69" s="352"/>
      <c r="AE69" s="352"/>
      <c r="AF69" s="352"/>
      <c r="AG69" s="352"/>
      <c r="AJ69" s="352"/>
      <c r="AL69" s="352">
        <f>IFERROR(AL53/AJ53-1,"")</f>
        <v>0.85759452959990967</v>
      </c>
      <c r="AM69" s="352">
        <f>IFERROR(AM53/AK53-1,"")</f>
        <v>0.83681752048395741</v>
      </c>
      <c r="AN69" s="352">
        <f>IFERROR(AN53/AL53-1,"")</f>
        <v>0.6615256028422849</v>
      </c>
      <c r="AO69" s="352"/>
      <c r="AQ69" s="352"/>
      <c r="AR69" s="352"/>
      <c r="AT69" s="352"/>
      <c r="AU69" s="352">
        <f t="shared" ref="AU69:AZ69" si="35">IFERROR(AU53/AT53-1,"")</f>
        <v>5.120350229827463</v>
      </c>
      <c r="AV69" s="352">
        <f t="shared" si="35"/>
        <v>0.72731325357081</v>
      </c>
      <c r="AW69" s="352">
        <f t="shared" si="35"/>
        <v>0.84518037827986658</v>
      </c>
      <c r="AX69" s="352">
        <f t="shared" si="35"/>
        <v>0.56148219550666001</v>
      </c>
      <c r="AY69" s="352">
        <f t="shared" si="35"/>
        <v>4.7726186115665925E-2</v>
      </c>
      <c r="AZ69" s="352">
        <f t="shared" si="35"/>
        <v>0.51269842263855248</v>
      </c>
    </row>
    <row r="70" spans="1:54" s="353" customFormat="1" x14ac:dyDescent="0.3">
      <c r="A70" s="353" t="s">
        <v>190</v>
      </c>
      <c r="B70" s="352" t="str">
        <f>IFERROR(B55/#REF!,"")</f>
        <v/>
      </c>
      <c r="C70" s="352" t="str">
        <f>IFERROR(C55/#REF!,"")</f>
        <v/>
      </c>
      <c r="D70" s="352" t="str">
        <f>IFERROR(D55/#REF!,"")</f>
        <v/>
      </c>
      <c r="E70" s="352"/>
      <c r="F70" s="352" t="str">
        <f>IFERROR(F55/#REF!,"")</f>
        <v/>
      </c>
      <c r="G70" s="352"/>
      <c r="H70" s="352"/>
      <c r="I70" s="352"/>
      <c r="J70" s="189"/>
      <c r="K70" s="352"/>
      <c r="N70" s="190"/>
      <c r="R70" s="190"/>
      <c r="U70" s="276"/>
      <c r="Y70" s="276"/>
      <c r="AJ70" s="352"/>
      <c r="AL70" s="352">
        <f t="shared" ref="AL70:AN71" si="36">IFERROR(AL55/AJ55-1,"")</f>
        <v>-0.44326212763687767</v>
      </c>
      <c r="AM70" s="352">
        <f t="shared" si="36"/>
        <v>0.44072647970831769</v>
      </c>
      <c r="AN70" s="352">
        <f t="shared" si="36"/>
        <v>0.67177620233761259</v>
      </c>
      <c r="AO70" s="352"/>
      <c r="AQ70" s="352"/>
      <c r="AR70" s="352"/>
      <c r="AT70" s="352"/>
      <c r="AU70" s="352">
        <f t="shared" ref="AU70:AZ71" si="37">IFERROR(AU55/AT55-1,"")</f>
        <v>14.362011637572735</v>
      </c>
      <c r="AV70" s="352">
        <f t="shared" si="37"/>
        <v>0.80850085224966861</v>
      </c>
      <c r="AW70" s="352">
        <f t="shared" si="37"/>
        <v>-5.5158278977918695E-2</v>
      </c>
      <c r="AX70" s="352">
        <f t="shared" si="37"/>
        <v>0.26193454407270766</v>
      </c>
      <c r="AY70" s="352">
        <f t="shared" si="37"/>
        <v>-0.48683814303638639</v>
      </c>
      <c r="AZ70" s="352">
        <f t="shared" si="37"/>
        <v>0.56404802073400329</v>
      </c>
    </row>
    <row r="71" spans="1:54" s="353" customFormat="1" x14ac:dyDescent="0.3">
      <c r="A71" s="353" t="s">
        <v>191</v>
      </c>
      <c r="B71" s="352" t="str">
        <f>IFERROR(B56/#REF!,"")</f>
        <v/>
      </c>
      <c r="C71" s="352" t="str">
        <f>IFERROR(C56/#REF!,"")</f>
        <v/>
      </c>
      <c r="D71" s="352"/>
      <c r="E71" s="352"/>
      <c r="F71" s="352"/>
      <c r="G71" s="352"/>
      <c r="H71" s="352">
        <f t="shared" ref="H71:V71" si="38">H56/D56-1</f>
        <v>0.46752813650298131</v>
      </c>
      <c r="I71" s="352">
        <f t="shared" si="38"/>
        <v>0.48045415187141227</v>
      </c>
      <c r="J71" s="189">
        <f t="shared" si="38"/>
        <v>0.43160648924965073</v>
      </c>
      <c r="K71" s="352">
        <f t="shared" si="38"/>
        <v>0.42819085935283474</v>
      </c>
      <c r="L71" s="352">
        <f t="shared" si="38"/>
        <v>0.39348359796470933</v>
      </c>
      <c r="M71" s="352">
        <f t="shared" si="38"/>
        <v>0.3837096975010732</v>
      </c>
      <c r="N71" s="189">
        <f t="shared" si="38"/>
        <v>-0.31101787092100763</v>
      </c>
      <c r="O71" s="352">
        <f t="shared" si="38"/>
        <v>-0.13370539918723556</v>
      </c>
      <c r="P71" s="352">
        <f t="shared" si="38"/>
        <v>4.8043258200742622E-2</v>
      </c>
      <c r="Q71" s="352">
        <f t="shared" si="38"/>
        <v>0.12245111448974311</v>
      </c>
      <c r="R71" s="189">
        <f t="shared" si="38"/>
        <v>1.1274435553338344</v>
      </c>
      <c r="S71" s="352">
        <f t="shared" si="38"/>
        <v>0.89309266630017459</v>
      </c>
      <c r="T71" s="352">
        <f t="shared" si="38"/>
        <v>0.33084658752179275</v>
      </c>
      <c r="U71" s="275">
        <f t="shared" si="38"/>
        <v>0.22242283500762405</v>
      </c>
      <c r="V71" s="352">
        <f t="shared" si="38"/>
        <v>0.15751160585694257</v>
      </c>
      <c r="W71" s="352"/>
      <c r="X71" s="352"/>
      <c r="Y71" s="275"/>
      <c r="Z71" s="352"/>
      <c r="AA71" s="352"/>
      <c r="AB71" s="352"/>
      <c r="AC71" s="352"/>
      <c r="AD71" s="352"/>
      <c r="AE71" s="352"/>
      <c r="AF71" s="352"/>
      <c r="AG71" s="352"/>
      <c r="AH71" s="352"/>
      <c r="AI71" s="352"/>
      <c r="AJ71" s="352"/>
      <c r="AL71" s="352">
        <f t="shared" si="36"/>
        <v>0.44075554369939884</v>
      </c>
      <c r="AM71" s="352">
        <f t="shared" si="36"/>
        <v>0.47407618658008599</v>
      </c>
      <c r="AN71" s="352">
        <f t="shared" si="36"/>
        <v>0.42976454441884515</v>
      </c>
      <c r="AO71" s="352"/>
      <c r="AQ71" s="352"/>
      <c r="AR71" s="352"/>
      <c r="AT71" s="352"/>
      <c r="AU71" s="352">
        <f t="shared" si="37"/>
        <v>0.86013804412143879</v>
      </c>
      <c r="AV71" s="352">
        <f t="shared" si="37"/>
        <v>0.54606317530153237</v>
      </c>
      <c r="AW71" s="352">
        <f t="shared" si="37"/>
        <v>0.45956309932634953</v>
      </c>
      <c r="AX71" s="352">
        <f t="shared" si="37"/>
        <v>0.40624774902541683</v>
      </c>
      <c r="AY71" s="352">
        <f t="shared" si="37"/>
        <v>-4.5928274830719595E-2</v>
      </c>
      <c r="AZ71" s="352">
        <f t="shared" si="37"/>
        <v>0.53066609236284767</v>
      </c>
    </row>
    <row r="72" spans="1:54" s="353" customFormat="1" x14ac:dyDescent="0.3">
      <c r="A72" s="156" t="s">
        <v>192</v>
      </c>
      <c r="B72" s="352"/>
      <c r="C72" s="352"/>
      <c r="D72" s="352"/>
      <c r="E72" s="352"/>
      <c r="F72" s="352"/>
      <c r="G72" s="352"/>
      <c r="H72" s="352"/>
      <c r="I72" s="352"/>
      <c r="J72" s="189"/>
      <c r="K72" s="352"/>
      <c r="L72" s="352"/>
      <c r="M72" s="352"/>
      <c r="N72" s="189"/>
      <c r="O72" s="352"/>
      <c r="P72" s="352"/>
      <c r="Q72" s="352"/>
      <c r="R72" s="211">
        <f>R56/J56-1</f>
        <v>0.46577059024928635</v>
      </c>
      <c r="S72" s="354">
        <f>S56/K56-1</f>
        <v>0.63997595565408161</v>
      </c>
      <c r="T72" s="354">
        <f>T56/L56-1</f>
        <v>0.39478479375167952</v>
      </c>
      <c r="U72" s="304">
        <f>U56/M56-1</f>
        <v>0.37210987353201896</v>
      </c>
      <c r="V72" s="354">
        <f>V56/J56-1</f>
        <v>0.69664646973733002</v>
      </c>
      <c r="W72" s="354"/>
      <c r="X72" s="354"/>
      <c r="Y72" s="304"/>
      <c r="Z72" s="354"/>
      <c r="AA72" s="354"/>
      <c r="AB72" s="354"/>
      <c r="AC72" s="354"/>
      <c r="AD72" s="354"/>
      <c r="AE72" s="354"/>
      <c r="AF72" s="354"/>
      <c r="AG72" s="354"/>
      <c r="AH72" s="352"/>
      <c r="AI72" s="352"/>
      <c r="AJ72" s="352"/>
      <c r="AL72" s="352"/>
      <c r="AM72" s="352"/>
      <c r="AN72" s="352"/>
      <c r="AO72" s="352"/>
      <c r="AQ72" s="352"/>
      <c r="AR72" s="352"/>
      <c r="AT72" s="352"/>
      <c r="AU72" s="352"/>
      <c r="AV72" s="352"/>
      <c r="AW72" s="352"/>
      <c r="AX72" s="352"/>
      <c r="AY72" s="352"/>
      <c r="AZ72" s="354">
        <f>AZ56/AX56-1</f>
        <v>0.46036523939874319</v>
      </c>
    </row>
    <row r="73" spans="1:54" x14ac:dyDescent="0.3">
      <c r="A73" s="344" t="s">
        <v>199</v>
      </c>
      <c r="B73" s="54"/>
      <c r="C73" s="54"/>
      <c r="D73" s="54"/>
      <c r="E73" s="54"/>
      <c r="F73" s="54"/>
      <c r="G73" s="54"/>
      <c r="H73" s="54"/>
      <c r="I73" s="54"/>
      <c r="J73" s="237"/>
      <c r="K73" s="54"/>
      <c r="N73" s="182" t="s">
        <v>200</v>
      </c>
      <c r="O73" s="371"/>
      <c r="P73" s="371"/>
      <c r="Q73" s="371"/>
      <c r="R73" s="182"/>
      <c r="S73" s="371">
        <f>S62/O62-1</f>
        <v>0.93692623507649486</v>
      </c>
      <c r="T73" s="371">
        <f>T62/P62-1</f>
        <v>0.35763417497352235</v>
      </c>
      <c r="U73" s="324">
        <f>U62/Q62-1</f>
        <v>0.38097298484904862</v>
      </c>
      <c r="V73" s="371">
        <f>V62/R62-1</f>
        <v>0.26393263966843805</v>
      </c>
      <c r="W73" s="371"/>
      <c r="X73" s="371"/>
      <c r="Y73" s="324"/>
      <c r="Z73" s="371"/>
      <c r="AA73" s="371"/>
      <c r="AB73" s="371"/>
      <c r="AC73" s="371"/>
      <c r="AD73" s="371"/>
      <c r="AE73" s="371"/>
      <c r="AF73" s="371"/>
      <c r="AG73" s="371"/>
      <c r="AH73" s="371"/>
      <c r="AI73" s="371"/>
      <c r="AJ73" s="54"/>
      <c r="AL73" s="54"/>
      <c r="AM73" s="54"/>
      <c r="AN73" s="54"/>
      <c r="AO73" s="54"/>
      <c r="AQ73" s="54"/>
      <c r="AR73" s="54"/>
      <c r="AT73" s="54"/>
      <c r="AU73" s="54"/>
      <c r="AV73" s="54"/>
      <c r="AW73" s="54"/>
    </row>
    <row r="74" spans="1:54" x14ac:dyDescent="0.3">
      <c r="A74" s="102" t="s">
        <v>194</v>
      </c>
      <c r="B74" s="349"/>
      <c r="C74" s="349"/>
      <c r="D74" s="349"/>
      <c r="E74" s="349"/>
      <c r="F74" s="349"/>
      <c r="G74" s="349"/>
      <c r="H74" s="349"/>
      <c r="I74" s="349"/>
      <c r="J74" s="210"/>
      <c r="K74" s="349"/>
      <c r="L74" s="349"/>
      <c r="M74" s="349"/>
      <c r="N74" s="210"/>
      <c r="O74" s="349"/>
      <c r="P74" s="349"/>
      <c r="Q74" s="359">
        <f t="shared" ref="Q74:V74" si="39">Q62/M62-1</f>
        <v>0.21046748198519527</v>
      </c>
      <c r="R74" s="245">
        <f t="shared" si="39"/>
        <v>3.0404143615136601</v>
      </c>
      <c r="S74" s="359">
        <f t="shared" si="39"/>
        <v>0.93692623507649486</v>
      </c>
      <c r="T74" s="359">
        <f t="shared" si="39"/>
        <v>0.35763417497352235</v>
      </c>
      <c r="U74" s="311">
        <f t="shared" si="39"/>
        <v>0.38097298484904862</v>
      </c>
      <c r="V74" s="359">
        <f t="shared" si="39"/>
        <v>0.26393263966843805</v>
      </c>
      <c r="W74" s="359"/>
      <c r="X74" s="359"/>
      <c r="Y74" s="311"/>
      <c r="Z74" s="359"/>
      <c r="AA74" s="359"/>
      <c r="AB74" s="359"/>
      <c r="AC74" s="359"/>
      <c r="AD74" s="359"/>
      <c r="AE74" s="359"/>
      <c r="AF74" s="359"/>
      <c r="AG74" s="359"/>
      <c r="AH74" s="254"/>
      <c r="AI74" s="254"/>
      <c r="AJ74" s="349"/>
      <c r="AK74" s="349"/>
      <c r="AL74" s="349"/>
      <c r="AM74" s="349"/>
      <c r="AN74" s="349"/>
      <c r="AO74" s="349"/>
      <c r="AP74" s="349"/>
      <c r="AQ74" s="349"/>
      <c r="AR74" s="349"/>
      <c r="AS74" s="349"/>
      <c r="AT74" s="349"/>
      <c r="AU74" s="349"/>
      <c r="AV74" s="349"/>
      <c r="AW74" s="349"/>
      <c r="AX74" s="349"/>
      <c r="AY74" s="349"/>
      <c r="AZ74" s="349"/>
      <c r="BA74" s="349"/>
      <c r="BB74" s="349"/>
    </row>
    <row r="75" spans="1:54" s="93" customFormat="1" x14ac:dyDescent="0.3">
      <c r="A75" s="83" t="s">
        <v>195</v>
      </c>
      <c r="B75" s="373" t="str">
        <f>IFERROR(B51/B49,"")</f>
        <v/>
      </c>
      <c r="C75" s="373" t="str">
        <f>IFERROR(C51/C49,"")</f>
        <v/>
      </c>
      <c r="D75" s="373"/>
      <c r="E75" s="373"/>
      <c r="F75" s="373">
        <f>IFERROR(F51/F49,"")</f>
        <v>0</v>
      </c>
      <c r="G75" s="373"/>
      <c r="H75" s="373"/>
      <c r="I75" s="373"/>
      <c r="J75" s="228"/>
      <c r="K75" s="373"/>
      <c r="N75" s="212"/>
      <c r="R75" s="212"/>
      <c r="U75" s="305"/>
      <c r="Y75" s="305"/>
      <c r="AJ75" s="373">
        <f>IFERROR(AJ51/(AJ49*1000000),"")</f>
        <v>4.2995901201602134E-2</v>
      </c>
      <c r="AK75" s="373">
        <f>IFERROR(AK51/(AK49*1000000),"")</f>
        <v>4.7062223557692316E-2</v>
      </c>
      <c r="AL75" s="373">
        <f>IFERROR(AL51/(AL49*1000000),"")</f>
        <v>4.9040471014492756E-2</v>
      </c>
      <c r="AM75" s="373">
        <f>IFERROR(AM51/(AM49*1000000),"")</f>
        <v>6.0166086956521737E-2</v>
      </c>
      <c r="AN75" s="373">
        <f>IFERROR(AN51/(AN49*1000000),"")</f>
        <v>5.2897512794268166E-2</v>
      </c>
      <c r="AO75" s="373"/>
      <c r="AQ75" s="373"/>
      <c r="AR75" s="373"/>
      <c r="AT75" s="373">
        <f t="shared" ref="AT75:AY75" si="40">IFERROR(AT51/(AT49*1000000),"")</f>
        <v>2.6871027450980391E-2</v>
      </c>
      <c r="AU75" s="373">
        <f t="shared" si="40"/>
        <v>3.0742266414141413E-2</v>
      </c>
      <c r="AV75" s="373">
        <f t="shared" si="40"/>
        <v>4.5135800126502215E-2</v>
      </c>
      <c r="AW75" s="373">
        <f t="shared" si="40"/>
        <v>5.1144247737556561E-2</v>
      </c>
      <c r="AX75" s="373">
        <f t="shared" si="40"/>
        <v>5.2585970283656011E-2</v>
      </c>
      <c r="AY75" s="373" t="str">
        <f t="shared" si="40"/>
        <v/>
      </c>
      <c r="AZ75" s="373"/>
    </row>
    <row r="76" spans="1:54" s="355" customFormat="1" x14ac:dyDescent="0.3">
      <c r="A76" s="114" t="s">
        <v>196</v>
      </c>
      <c r="D76" s="355">
        <f t="shared" ref="D76:N76" si="41">IFERROR(D56/(D49*1000000),"")</f>
        <v>6.9805681293302543E-2</v>
      </c>
      <c r="E76" s="355">
        <f t="shared" si="41"/>
        <v>7.7774210526315807E-2</v>
      </c>
      <c r="F76" s="355">
        <f t="shared" si="41"/>
        <v>7.7861166253101743E-2</v>
      </c>
      <c r="G76" s="355">
        <f t="shared" si="41"/>
        <v>8.6416329411764706E-2</v>
      </c>
      <c r="H76" s="355">
        <f t="shared" si="41"/>
        <v>8.9974239350912782E-2</v>
      </c>
      <c r="I76" s="355">
        <f t="shared" si="41"/>
        <v>0.10277700223713647</v>
      </c>
      <c r="J76" s="192">
        <f t="shared" si="41"/>
        <v>9.6812543103448279E-2</v>
      </c>
      <c r="K76" s="355">
        <f t="shared" si="41"/>
        <v>0.10224771929824561</v>
      </c>
      <c r="L76" s="355">
        <f t="shared" si="41"/>
        <v>9.6731095461658839E-2</v>
      </c>
      <c r="M76" s="355">
        <f t="shared" si="41"/>
        <v>0.10524743377483443</v>
      </c>
      <c r="N76" s="192" t="str">
        <f t="shared" si="41"/>
        <v/>
      </c>
      <c r="R76" s="192"/>
      <c r="U76" s="278"/>
      <c r="Y76" s="278"/>
      <c r="AJ76" s="355">
        <f>IFERROR(AJ56/(AJ49*1000000),"")</f>
        <v>6.3111255006675568E-2</v>
      </c>
      <c r="AK76" s="355">
        <f>IFERROR(AK56/(AK49*1000000),"")</f>
        <v>7.3627127403846165E-2</v>
      </c>
      <c r="AL76" s="355">
        <f>IFERROR(AL56/(AL49*1000000),"")</f>
        <v>8.2252403381642511E-2</v>
      </c>
      <c r="AM76" s="355">
        <f>IFERROR(AM56/(AM49*1000000),"")</f>
        <v>0.10905630434782608</v>
      </c>
      <c r="AN76" s="355">
        <f>IFERROR(AN56/(AN49*1000000),"")</f>
        <v>9.9666427840327532E-2</v>
      </c>
      <c r="AQ76" s="355">
        <f>IFERROR(AQ56/(AQ49*1000000),"")</f>
        <v>6.5563612521150588E-2</v>
      </c>
      <c r="AT76" s="355">
        <f t="shared" ref="AT76:AY76" si="42">IFERROR(AT56/(AT49*1000000),"")</f>
        <v>2.9597811764705884E-2</v>
      </c>
      <c r="AU76" s="355">
        <f t="shared" si="42"/>
        <v>4.4315921717171719E-2</v>
      </c>
      <c r="AV76" s="355">
        <f t="shared" si="42"/>
        <v>6.8645224541429475E-2</v>
      </c>
      <c r="AW76" s="355">
        <f t="shared" si="42"/>
        <v>8.95948020361991E-2</v>
      </c>
      <c r="AX76" s="355">
        <f t="shared" si="42"/>
        <v>0.1002947861323728</v>
      </c>
      <c r="AY76" s="355" t="str">
        <f t="shared" si="42"/>
        <v/>
      </c>
    </row>
    <row r="77" spans="1:54" s="93" customFormat="1" x14ac:dyDescent="0.3">
      <c r="A77" s="93" t="s">
        <v>117</v>
      </c>
      <c r="B77" s="373" t="str">
        <f t="shared" ref="B77:M77" si="43">IFERROR(B60/B56,"")</f>
        <v/>
      </c>
      <c r="C77" s="373" t="str">
        <f t="shared" si="43"/>
        <v/>
      </c>
      <c r="D77" s="355">
        <f t="shared" si="43"/>
        <v>0.88496373635026426</v>
      </c>
      <c r="E77" s="355">
        <f t="shared" si="43"/>
        <v>0.87678457433010082</v>
      </c>
      <c r="F77" s="355">
        <f t="shared" si="43"/>
        <v>0.87830792544469782</v>
      </c>
      <c r="G77" s="355">
        <f t="shared" si="43"/>
        <v>0.90778567449398184</v>
      </c>
      <c r="H77" s="355">
        <f t="shared" si="43"/>
        <v>0.90562748408942839</v>
      </c>
      <c r="I77" s="355">
        <f t="shared" si="43"/>
        <v>0.8681200278964557</v>
      </c>
      <c r="J77" s="192">
        <f t="shared" si="43"/>
        <v>0.88341181923295597</v>
      </c>
      <c r="K77" s="355">
        <f t="shared" si="43"/>
        <v>0.88827329110130426</v>
      </c>
      <c r="L77" s="355">
        <f t="shared" si="43"/>
        <v>0.88595912356941309</v>
      </c>
      <c r="M77" s="355">
        <f t="shared" si="43"/>
        <v>0.8876111087951839</v>
      </c>
      <c r="N77" s="192"/>
      <c r="O77" s="355"/>
      <c r="P77" s="355"/>
      <c r="Q77" s="355"/>
      <c r="R77" s="192"/>
      <c r="S77" s="355"/>
      <c r="T77" s="355"/>
      <c r="U77" s="278"/>
      <c r="V77" s="355"/>
      <c r="W77" s="355"/>
      <c r="X77" s="355"/>
      <c r="Y77" s="278"/>
      <c r="Z77" s="355"/>
      <c r="AA77" s="355"/>
      <c r="AB77" s="355"/>
      <c r="AC77" s="355"/>
      <c r="AD77" s="355"/>
      <c r="AE77" s="355"/>
      <c r="AF77" s="355"/>
      <c r="AG77" s="355"/>
      <c r="AH77" s="355"/>
      <c r="AI77" s="355"/>
      <c r="AJ77" s="373">
        <f>IFERROR(AJ60/AJ56,"")</f>
        <v>0.88507315265199127</v>
      </c>
      <c r="AK77" s="373">
        <f>IFERROR(AK60/AK56,"")</f>
        <v>0.88082034328053405</v>
      </c>
      <c r="AL77" s="373">
        <f>IFERROR(AL60/AL56,"")</f>
        <v>0.89420437474552161</v>
      </c>
      <c r="AM77" s="373">
        <f>IFERROR(AM60/AM56,"")</f>
        <v>0.92020697547758756</v>
      </c>
      <c r="AN77" s="373">
        <f>IFERROR(AN60/AN56,"")</f>
        <v>0.88603057691932452</v>
      </c>
      <c r="AO77" s="373"/>
      <c r="AQ77" s="373">
        <f>IFERROR(AQ60/AQ56,"")</f>
        <v>0.88503047698215875</v>
      </c>
      <c r="AR77" s="373"/>
      <c r="AT77" s="355">
        <f>IFERROR(AT60/AT56,"")</f>
        <v>0.80372528864746495</v>
      </c>
      <c r="AU77" s="355">
        <f>IFERROR(AU60/AU56,"")</f>
        <v>0.84601536659561838</v>
      </c>
      <c r="AV77" s="355">
        <f>IFERROR(AV60/AV56,"")</f>
        <v>0.88267269029864159</v>
      </c>
      <c r="AW77" s="355">
        <f>IFERROR(AW60/AW56,"")</f>
        <v>0.8898379904346877</v>
      </c>
      <c r="AX77" s="355">
        <f>IFERROR(AX60/AX56,"")</f>
        <v>0.88646179977690265</v>
      </c>
      <c r="AY77" s="355"/>
      <c r="AZ77" s="355"/>
    </row>
    <row r="78" spans="1:54" x14ac:dyDescent="0.3">
      <c r="A78" s="344" t="s">
        <v>183</v>
      </c>
      <c r="J78" s="182">
        <f t="shared" ref="J78:V78" si="44">J62/J56</f>
        <v>0.35459524293971956</v>
      </c>
      <c r="K78" s="371">
        <f t="shared" si="44"/>
        <v>0.40941332711062917</v>
      </c>
      <c r="L78" s="371">
        <f t="shared" si="44"/>
        <v>0.37721968375618842</v>
      </c>
      <c r="M78" s="348">
        <f t="shared" si="44"/>
        <v>0.36672914426662495</v>
      </c>
      <c r="N78" s="209">
        <f t="shared" si="44"/>
        <v>0.21976860578653548</v>
      </c>
      <c r="O78" s="348">
        <f t="shared" si="44"/>
        <v>0.41627871765337099</v>
      </c>
      <c r="P78" s="348">
        <f t="shared" si="44"/>
        <v>0.43025971592191387</v>
      </c>
      <c r="Q78" s="348">
        <f t="shared" si="44"/>
        <v>0.39548600210781237</v>
      </c>
      <c r="R78" s="209">
        <f t="shared" si="44"/>
        <v>0.41738180493837623</v>
      </c>
      <c r="S78" s="348">
        <f t="shared" si="44"/>
        <v>0.42591743324569276</v>
      </c>
      <c r="T78" s="348">
        <f t="shared" si="44"/>
        <v>0.43892008284570544</v>
      </c>
      <c r="U78" s="299">
        <f t="shared" si="44"/>
        <v>0.44678115391507434</v>
      </c>
      <c r="V78" s="348">
        <f t="shared" si="44"/>
        <v>0.45575567777982023</v>
      </c>
      <c r="W78" s="348"/>
      <c r="X78" s="348"/>
      <c r="Y78" s="299"/>
      <c r="Z78" s="348"/>
      <c r="AA78" s="348"/>
      <c r="AB78" s="348"/>
      <c r="AC78" s="348"/>
      <c r="AD78" s="348"/>
      <c r="AE78" s="348"/>
      <c r="AF78" s="348"/>
      <c r="AG78" s="348"/>
      <c r="AH78" s="371"/>
      <c r="AI78" s="371"/>
      <c r="AX78" s="371">
        <f>AX62/AX56</f>
        <v>0.37724421731669705</v>
      </c>
      <c r="AY78" s="371">
        <f>AY62/AY56</f>
        <v>0.38494164282073018</v>
      </c>
      <c r="AZ78" s="371">
        <f>AZ62/AZ56</f>
        <v>0.43323000922984939</v>
      </c>
    </row>
    <row r="79" spans="1:54" x14ac:dyDescent="0.3">
      <c r="A79" s="105" t="s">
        <v>201</v>
      </c>
      <c r="B79" s="63"/>
      <c r="C79" s="63"/>
      <c r="D79" s="63"/>
      <c r="E79" s="63"/>
      <c r="F79" s="63"/>
      <c r="G79" s="63"/>
      <c r="H79" s="63"/>
      <c r="I79" s="63"/>
      <c r="J79" s="238"/>
      <c r="K79" s="63"/>
      <c r="L79" s="360"/>
      <c r="M79" s="360"/>
      <c r="N79" s="215"/>
      <c r="O79" s="360"/>
      <c r="P79" s="360"/>
      <c r="Q79" s="360"/>
      <c r="R79" s="215"/>
      <c r="S79" s="360"/>
      <c r="T79" s="360"/>
      <c r="U79" s="312"/>
      <c r="V79" s="360"/>
      <c r="W79" s="360"/>
      <c r="X79" s="360"/>
      <c r="Y79" s="312"/>
      <c r="Z79" s="360"/>
      <c r="AA79" s="360"/>
      <c r="AB79" s="360"/>
      <c r="AC79" s="360"/>
      <c r="AD79" s="360"/>
      <c r="AE79" s="360"/>
      <c r="AF79" s="360"/>
      <c r="AG79" s="360"/>
      <c r="AJ79" s="63"/>
      <c r="AK79" s="360"/>
      <c r="AL79" s="63"/>
      <c r="AM79" s="63"/>
      <c r="AN79" s="63"/>
      <c r="AO79" s="63"/>
      <c r="AP79" s="360"/>
      <c r="AQ79" s="63"/>
      <c r="AR79" s="63"/>
      <c r="AS79" s="360"/>
      <c r="AT79" s="63"/>
      <c r="AU79" s="63"/>
      <c r="AV79" s="63"/>
      <c r="AW79" s="63"/>
      <c r="AX79" s="360"/>
      <c r="AY79" s="360"/>
      <c r="AZ79" s="360"/>
      <c r="BA79" s="360"/>
      <c r="BB79" s="360"/>
    </row>
    <row r="80" spans="1:54" s="156" customFormat="1" x14ac:dyDescent="0.3">
      <c r="A80" s="103" t="s">
        <v>202</v>
      </c>
      <c r="J80" s="216"/>
      <c r="N80" s="216"/>
      <c r="R80" s="216"/>
      <c r="U80" s="313"/>
      <c r="Y80" s="313"/>
      <c r="AT80" s="449">
        <v>13.448</v>
      </c>
      <c r="AU80" s="449">
        <v>21.791</v>
      </c>
      <c r="AV80" s="449">
        <v>36.530999999999999</v>
      </c>
    </row>
    <row r="81" spans="1:53" s="361" customFormat="1" x14ac:dyDescent="0.3">
      <c r="A81" s="103" t="s">
        <v>203</v>
      </c>
      <c r="D81" s="88">
        <v>56.4</v>
      </c>
      <c r="E81" s="88">
        <f>AV81-AJ81-D81</f>
        <v>59.199999999999996</v>
      </c>
      <c r="F81" s="88">
        <f>AL81-G81</f>
        <v>60.599999999999994</v>
      </c>
      <c r="G81" s="88">
        <v>72.900000000000006</v>
      </c>
      <c r="H81" s="88">
        <v>76.099999999999994</v>
      </c>
      <c r="I81" s="88">
        <v>74.400000000000006</v>
      </c>
      <c r="J81" s="217">
        <v>78.599999999999994</v>
      </c>
      <c r="K81" s="361">
        <v>94</v>
      </c>
      <c r="L81" s="361">
        <v>109.8</v>
      </c>
      <c r="M81" s="361">
        <v>110</v>
      </c>
      <c r="N81" s="217">
        <v>42.8</v>
      </c>
      <c r="O81" s="361">
        <v>78</v>
      </c>
      <c r="P81" s="361">
        <v>113.9</v>
      </c>
      <c r="Q81" s="361">
        <v>119.7</v>
      </c>
      <c r="R81" s="217">
        <v>101</v>
      </c>
      <c r="S81" s="361">
        <v>140.80000000000001</v>
      </c>
      <c r="T81" s="361">
        <v>119.8</v>
      </c>
      <c r="U81" s="334">
        <v>115.3</v>
      </c>
      <c r="V81" s="381">
        <f>R81*(1+V83)</f>
        <v>96.96</v>
      </c>
      <c r="W81" s="381">
        <f>S81*(1+W83)</f>
        <v>91.52000000000001</v>
      </c>
      <c r="X81" s="381">
        <f>T81*(1+X83)</f>
        <v>117.404</v>
      </c>
      <c r="Y81" s="381">
        <f>U81*(1+Y83)</f>
        <v>83.015999999999991</v>
      </c>
      <c r="Z81" s="381">
        <f>[1]TTM酒店对比!$F$109</f>
        <v>129.69</v>
      </c>
      <c r="AA81" s="381">
        <f>W81*(1+AA83)</f>
        <v>155.584</v>
      </c>
      <c r="AB81" s="381"/>
      <c r="AC81" s="381"/>
      <c r="AD81" s="381"/>
      <c r="AE81" s="381"/>
      <c r="AF81" s="381"/>
      <c r="AG81" s="381"/>
      <c r="AJ81" s="361">
        <v>89.4</v>
      </c>
      <c r="AK81" s="89">
        <f>AV81-AJ81</f>
        <v>115.6</v>
      </c>
      <c r="AL81" s="361">
        <v>133.5</v>
      </c>
      <c r="AM81" s="361">
        <f>AW81-AL81</f>
        <v>150.39999999999998</v>
      </c>
      <c r="AN81" s="361">
        <v>172.6</v>
      </c>
      <c r="AQ81" s="108">
        <f>D81+AJ81</f>
        <v>145.80000000000001</v>
      </c>
      <c r="AR81" s="108">
        <f>AL81+H81</f>
        <v>209.6</v>
      </c>
      <c r="AT81" s="108">
        <v>82</v>
      </c>
      <c r="AU81" s="108">
        <v>132</v>
      </c>
      <c r="AV81" s="108">
        <v>205</v>
      </c>
      <c r="AW81" s="108">
        <v>283.89999999999998</v>
      </c>
      <c r="AX81" s="361">
        <v>392.5</v>
      </c>
      <c r="AY81" s="361">
        <v>354.5</v>
      </c>
      <c r="AZ81" s="361">
        <v>476.9</v>
      </c>
      <c r="BA81" s="159"/>
    </row>
    <row r="82" spans="1:53" x14ac:dyDescent="0.3">
      <c r="A82" s="104" t="s">
        <v>204</v>
      </c>
      <c r="D82" s="64"/>
      <c r="E82" s="362">
        <f t="shared" ref="E82:X82" si="45">E81/D81-1</f>
        <v>4.9645390070921946E-2</v>
      </c>
      <c r="F82" s="362">
        <f t="shared" si="45"/>
        <v>2.3648648648648685E-2</v>
      </c>
      <c r="G82" s="362">
        <f t="shared" si="45"/>
        <v>0.20297029702970315</v>
      </c>
      <c r="H82" s="362">
        <f t="shared" si="45"/>
        <v>4.3895747599451251E-2</v>
      </c>
      <c r="I82" s="362">
        <f t="shared" si="45"/>
        <v>-2.233902759526929E-2</v>
      </c>
      <c r="J82" s="218">
        <f t="shared" si="45"/>
        <v>5.6451612903225756E-2</v>
      </c>
      <c r="K82" s="362">
        <f t="shared" si="45"/>
        <v>0.19592875318066172</v>
      </c>
      <c r="L82" s="362">
        <f t="shared" si="45"/>
        <v>0.16808510638297869</v>
      </c>
      <c r="M82" s="362">
        <f t="shared" si="45"/>
        <v>1.8214936247722413E-3</v>
      </c>
      <c r="N82" s="218">
        <f t="shared" si="45"/>
        <v>-0.61090909090909096</v>
      </c>
      <c r="O82" s="362">
        <f t="shared" si="45"/>
        <v>0.82242990654205617</v>
      </c>
      <c r="P82" s="362">
        <f t="shared" si="45"/>
        <v>0.4602564102564104</v>
      </c>
      <c r="Q82" s="362">
        <f t="shared" si="45"/>
        <v>5.0921861281826075E-2</v>
      </c>
      <c r="R82" s="218">
        <f t="shared" si="45"/>
        <v>-0.15622389306599838</v>
      </c>
      <c r="S82" s="362">
        <f t="shared" si="45"/>
        <v>0.39405940594059419</v>
      </c>
      <c r="T82" s="362">
        <f t="shared" si="45"/>
        <v>-0.1491477272727274</v>
      </c>
      <c r="U82" s="315">
        <f t="shared" si="45"/>
        <v>-3.7562604340567574E-2</v>
      </c>
      <c r="V82" s="362">
        <f t="shared" si="45"/>
        <v>-0.15906331309627064</v>
      </c>
      <c r="W82" s="362">
        <f t="shared" si="45"/>
        <v>-5.6105610561055896E-2</v>
      </c>
      <c r="X82" s="362">
        <f t="shared" si="45"/>
        <v>0.28282342657342641</v>
      </c>
      <c r="Y82" s="315"/>
      <c r="Z82" s="362"/>
      <c r="AA82" s="362"/>
      <c r="AB82" s="362"/>
      <c r="AC82" s="362"/>
      <c r="AD82" s="362"/>
      <c r="AE82" s="362"/>
      <c r="AF82" s="362"/>
      <c r="AG82" s="362"/>
      <c r="AH82" s="362"/>
      <c r="AI82" s="362"/>
      <c r="AJ82" s="362">
        <f>AJ81/Q81-1</f>
        <v>-0.25313283208020043</v>
      </c>
      <c r="AK82" s="362">
        <f t="shared" ref="AK82:AS82" si="46">AK81/AJ81-1</f>
        <v>0.29306487695749417</v>
      </c>
      <c r="AL82" s="362">
        <f t="shared" si="46"/>
        <v>0.15484429065743943</v>
      </c>
      <c r="AM82" s="362">
        <f t="shared" si="46"/>
        <v>0.12659176029962538</v>
      </c>
      <c r="AN82" s="362">
        <f t="shared" si="46"/>
        <v>0.14760638297872353</v>
      </c>
      <c r="AO82" s="362">
        <f t="shared" si="46"/>
        <v>-1</v>
      </c>
      <c r="AP82" s="362" t="e">
        <f t="shared" si="46"/>
        <v>#DIV/0!</v>
      </c>
      <c r="AQ82" s="362" t="e">
        <f t="shared" si="46"/>
        <v>#DIV/0!</v>
      </c>
      <c r="AR82" s="362">
        <f t="shared" si="46"/>
        <v>0.43758573388202993</v>
      </c>
      <c r="AS82" s="362">
        <f t="shared" si="46"/>
        <v>-1</v>
      </c>
      <c r="AT82" s="46"/>
      <c r="AU82" s="46"/>
      <c r="AV82" s="46"/>
      <c r="AW82" s="46"/>
      <c r="AY82" s="348"/>
      <c r="AZ82" s="348"/>
    </row>
    <row r="83" spans="1:53" s="93" customFormat="1" x14ac:dyDescent="0.3">
      <c r="A83" s="104" t="s">
        <v>136</v>
      </c>
      <c r="H83" s="373">
        <f t="shared" ref="H83:U83" si="47">H81/D81-1</f>
        <v>0.34929078014184389</v>
      </c>
      <c r="I83" s="373">
        <f t="shared" si="47"/>
        <v>0.25675675675675702</v>
      </c>
      <c r="J83" s="228">
        <f t="shared" si="47"/>
        <v>0.29702970297029707</v>
      </c>
      <c r="K83" s="373">
        <f t="shared" si="47"/>
        <v>0.28943758573388201</v>
      </c>
      <c r="L83" s="373">
        <f t="shared" si="47"/>
        <v>0.44283837056504605</v>
      </c>
      <c r="M83" s="373">
        <f t="shared" si="47"/>
        <v>0.47849462365591378</v>
      </c>
      <c r="N83" s="228">
        <f t="shared" si="47"/>
        <v>-0.45547073791348602</v>
      </c>
      <c r="O83" s="373">
        <f t="shared" si="47"/>
        <v>-0.17021276595744683</v>
      </c>
      <c r="P83" s="373">
        <f t="shared" si="47"/>
        <v>3.7340619307832501E-2</v>
      </c>
      <c r="Q83" s="373">
        <f t="shared" si="47"/>
        <v>8.8181818181818139E-2</v>
      </c>
      <c r="R83" s="228">
        <f t="shared" si="47"/>
        <v>1.3598130841121496</v>
      </c>
      <c r="S83" s="373">
        <f t="shared" si="47"/>
        <v>0.80512820512820538</v>
      </c>
      <c r="T83" s="355">
        <f t="shared" si="47"/>
        <v>5.1799824407374739E-2</v>
      </c>
      <c r="U83" s="278">
        <f t="shared" si="47"/>
        <v>-3.6758563074352546E-2</v>
      </c>
      <c r="V83" s="252">
        <v>-0.04</v>
      </c>
      <c r="W83" s="252">
        <v>-0.35</v>
      </c>
      <c r="X83" s="252">
        <v>-0.02</v>
      </c>
      <c r="Y83" s="316">
        <v>-0.28000000000000003</v>
      </c>
      <c r="Z83" s="252"/>
      <c r="AA83" s="252">
        <v>0.7</v>
      </c>
      <c r="AB83" s="252"/>
      <c r="AC83" s="252"/>
      <c r="AD83" s="252"/>
      <c r="AE83" s="252"/>
      <c r="AF83" s="252"/>
      <c r="AG83" s="252"/>
      <c r="AH83" s="373"/>
      <c r="AI83" s="373"/>
      <c r="AJ83" s="373">
        <f>AJ81/N81-1</f>
        <v>1.0887850467289724</v>
      </c>
      <c r="AK83" s="373">
        <f>AK81/O81-1</f>
        <v>0.48205128205128189</v>
      </c>
      <c r="AL83" s="373">
        <f>AL81/P81-1</f>
        <v>0.17208077260755039</v>
      </c>
      <c r="AM83" s="373">
        <f>AM81/Q81-1</f>
        <v>0.25647451963241408</v>
      </c>
      <c r="AN83" s="373">
        <f t="shared" ref="AN83:AS83" si="48">AN81/AJ81-1</f>
        <v>0.93064876957494391</v>
      </c>
      <c r="AO83" s="373">
        <f t="shared" si="48"/>
        <v>-1</v>
      </c>
      <c r="AP83" s="373">
        <f t="shared" si="48"/>
        <v>-1</v>
      </c>
      <c r="AQ83" s="373">
        <f t="shared" si="48"/>
        <v>-3.0585106382978511E-2</v>
      </c>
      <c r="AR83" s="373">
        <f t="shared" si="48"/>
        <v>0.2143684820393974</v>
      </c>
      <c r="AS83" s="373" t="e">
        <f t="shared" si="48"/>
        <v>#DIV/0!</v>
      </c>
      <c r="AT83" s="347">
        <f>AT80*1000/AT81</f>
        <v>164</v>
      </c>
      <c r="AU83" s="347">
        <f>AU80*1000/AU81</f>
        <v>165.08333333333334</v>
      </c>
      <c r="AV83" s="347">
        <f>AV80*1000/AV81</f>
        <v>178.2</v>
      </c>
      <c r="AW83" s="347"/>
      <c r="AX83" s="355">
        <f>AX81/AW81-1</f>
        <v>0.38252905952800287</v>
      </c>
      <c r="AY83" s="355">
        <f>AY81/AX81-1</f>
        <v>-9.68152866242038E-2</v>
      </c>
      <c r="AZ83" s="355">
        <f>AZ81/AY81-1</f>
        <v>0.34527503526093084</v>
      </c>
    </row>
    <row r="84" spans="1:53" s="93" customFormat="1" ht="15" customHeight="1" x14ac:dyDescent="0.3">
      <c r="A84" s="157" t="s">
        <v>205</v>
      </c>
      <c r="H84" s="373"/>
      <c r="I84" s="373"/>
      <c r="J84" s="228"/>
      <c r="K84" s="373"/>
      <c r="L84" s="373"/>
      <c r="M84" s="373"/>
      <c r="N84" s="228"/>
      <c r="O84" s="373"/>
      <c r="P84" s="373"/>
      <c r="Q84" s="373"/>
      <c r="R84" s="219">
        <f>R81/J81-1</f>
        <v>0.28498727735368967</v>
      </c>
      <c r="S84" s="158">
        <f>S81/K81-1</f>
        <v>0.49787234042553208</v>
      </c>
      <c r="T84" s="363">
        <f>T81/L81-1</f>
        <v>9.1074681238615618E-2</v>
      </c>
      <c r="U84" s="317">
        <f>U81/M81-1</f>
        <v>4.8181818181818103E-2</v>
      </c>
      <c r="V84" s="363">
        <f>V81/J81-1</f>
        <v>0.23358778625954191</v>
      </c>
      <c r="W84" s="363">
        <f>W81/K81-1</f>
        <v>-2.6382978723404116E-2</v>
      </c>
      <c r="X84" s="363">
        <f>X81/L81-1</f>
        <v>6.9253187613843359E-2</v>
      </c>
      <c r="Y84" s="363">
        <f>Y81/M81-1</f>
        <v>-0.24530909090909103</v>
      </c>
      <c r="Z84" s="363"/>
      <c r="AA84" s="363">
        <f>AA81/K81-1</f>
        <v>0.65514893617021275</v>
      </c>
      <c r="AB84" s="363"/>
      <c r="AC84" s="363"/>
      <c r="AD84" s="363"/>
      <c r="AE84" s="363"/>
      <c r="AF84" s="363"/>
      <c r="AG84" s="363"/>
      <c r="AH84" s="373"/>
      <c r="AI84" s="373"/>
      <c r="AJ84" s="373"/>
      <c r="AK84" s="373"/>
      <c r="AL84" s="373"/>
      <c r="AM84" s="373"/>
      <c r="AN84" s="373"/>
      <c r="AO84" s="373"/>
      <c r="AP84" s="373"/>
      <c r="AQ84" s="373"/>
      <c r="AR84" s="373"/>
      <c r="AS84" s="373"/>
      <c r="AT84" s="347"/>
      <c r="AU84" s="347"/>
      <c r="AV84" s="347"/>
      <c r="AW84" s="347"/>
      <c r="AX84" s="355"/>
      <c r="AY84" s="355"/>
      <c r="AZ84" s="363">
        <f>AZ81/AX81-1</f>
        <v>0.215031847133758</v>
      </c>
    </row>
    <row r="85" spans="1:53" s="93" customFormat="1" x14ac:dyDescent="0.3">
      <c r="A85" s="104"/>
      <c r="H85" s="373"/>
      <c r="I85" s="373"/>
      <c r="J85" s="228"/>
      <c r="K85" s="373"/>
      <c r="L85" s="373"/>
      <c r="M85" s="373"/>
      <c r="N85" s="228"/>
      <c r="O85" s="373"/>
      <c r="P85" s="373"/>
      <c r="Q85" s="373"/>
      <c r="R85" s="228"/>
      <c r="S85" s="373"/>
      <c r="T85" s="373"/>
      <c r="U85" s="326"/>
      <c r="V85" s="373"/>
      <c r="W85" s="373"/>
      <c r="X85" s="373"/>
      <c r="Y85" s="326"/>
      <c r="Z85" s="373"/>
      <c r="AA85" s="373"/>
      <c r="AB85" s="373"/>
      <c r="AC85" s="373"/>
      <c r="AD85" s="373"/>
      <c r="AE85" s="373"/>
      <c r="AF85" s="373"/>
      <c r="AG85" s="373"/>
      <c r="AH85" s="373"/>
      <c r="AI85" s="373"/>
      <c r="AJ85" s="373"/>
      <c r="AK85" s="373"/>
      <c r="AL85" s="373"/>
      <c r="AM85" s="373"/>
      <c r="AN85" s="373"/>
      <c r="AO85" s="373"/>
      <c r="AP85" s="373"/>
      <c r="AQ85" s="373"/>
      <c r="AR85" s="373"/>
      <c r="AS85" s="373"/>
      <c r="AT85" s="347"/>
      <c r="AU85" s="347"/>
      <c r="AV85" s="347"/>
      <c r="AW85" s="347"/>
      <c r="AX85" s="347"/>
    </row>
    <row r="86" spans="1:53" s="93" customFormat="1" x14ac:dyDescent="0.3">
      <c r="A86" s="104" t="s">
        <v>206</v>
      </c>
      <c r="H86" s="373"/>
      <c r="I86" s="373"/>
      <c r="J86" s="239">
        <v>0.125</v>
      </c>
      <c r="K86" s="373"/>
      <c r="L86" s="373"/>
      <c r="M86" s="155">
        <v>0.13</v>
      </c>
      <c r="N86" s="220">
        <v>0.15</v>
      </c>
      <c r="O86" s="155">
        <v>0.15</v>
      </c>
      <c r="P86" s="155">
        <v>0.15</v>
      </c>
      <c r="Q86" s="155">
        <v>0.15</v>
      </c>
      <c r="R86" s="220">
        <v>0.16700000000000001</v>
      </c>
      <c r="S86" s="364"/>
      <c r="T86" s="364">
        <v>0.16</v>
      </c>
      <c r="U86" s="335"/>
      <c r="V86" s="250">
        <v>0.17399999999999999</v>
      </c>
      <c r="W86" s="250"/>
      <c r="X86" s="250">
        <v>0.15</v>
      </c>
      <c r="Y86" s="389">
        <v>0.17</v>
      </c>
      <c r="Z86" s="250">
        <v>0.19</v>
      </c>
      <c r="AA86" s="250"/>
      <c r="AB86" s="250"/>
      <c r="AC86" s="250"/>
      <c r="AD86" s="250"/>
      <c r="AE86" s="250"/>
      <c r="AF86" s="250"/>
      <c r="AG86" s="250"/>
      <c r="AH86" s="155"/>
      <c r="AI86" s="155"/>
      <c r="AJ86" s="373"/>
      <c r="AK86" s="373"/>
      <c r="AL86" s="373"/>
      <c r="AM86" s="373"/>
      <c r="AN86" s="373"/>
      <c r="AO86" s="373"/>
      <c r="AP86" s="373"/>
      <c r="AQ86" s="373"/>
      <c r="AR86" s="373"/>
      <c r="AS86" s="373"/>
      <c r="AT86" s="347"/>
      <c r="AU86" s="347"/>
      <c r="AV86" s="347"/>
      <c r="AW86" s="347"/>
      <c r="AX86" s="347"/>
      <c r="AZ86" s="244">
        <v>0.16500000000000001</v>
      </c>
    </row>
    <row r="87" spans="1:53" x14ac:dyDescent="0.3">
      <c r="A87" s="103"/>
      <c r="J87" s="180">
        <f>J86*J81</f>
        <v>9.8249999999999993</v>
      </c>
      <c r="M87">
        <f>M86*M81</f>
        <v>14.3</v>
      </c>
      <c r="N87" s="180">
        <f>N86*N81</f>
        <v>6.419999999999999</v>
      </c>
      <c r="P87" s="365">
        <f>P86*P81</f>
        <v>17.085000000000001</v>
      </c>
      <c r="Q87" s="365">
        <f>Q86*Q81</f>
        <v>17.954999999999998</v>
      </c>
      <c r="R87" s="221">
        <f>R86*R81</f>
        <v>16.867000000000001</v>
      </c>
      <c r="S87" s="160"/>
      <c r="T87" s="365">
        <f>T86*T81</f>
        <v>19.167999999999999</v>
      </c>
      <c r="U87" s="318"/>
      <c r="V87" s="365">
        <f>V86*V81</f>
        <v>16.871039999999997</v>
      </c>
      <c r="W87" s="365"/>
      <c r="X87" s="365">
        <f>X86*X81</f>
        <v>17.610599999999998</v>
      </c>
      <c r="Y87" s="365">
        <f>Y86*Y81</f>
        <v>14.112719999999999</v>
      </c>
      <c r="Z87" s="365">
        <f>Z86*Z81</f>
        <v>24.641100000000002</v>
      </c>
      <c r="AA87" s="365"/>
      <c r="AB87" s="365"/>
      <c r="AC87" s="365"/>
      <c r="AD87" s="365"/>
      <c r="AE87" s="365"/>
      <c r="AF87" s="365"/>
      <c r="AG87" s="365"/>
      <c r="AH87" s="365"/>
      <c r="AI87" s="365"/>
      <c r="AQ87" s="53"/>
      <c r="AT87" s="46"/>
      <c r="AU87" s="46"/>
      <c r="AV87" s="46"/>
    </row>
    <row r="88" spans="1:53" outlineLevel="1" x14ac:dyDescent="0.3">
      <c r="A88" s="141" t="s">
        <v>207</v>
      </c>
      <c r="J88" s="182">
        <f>J89/J81</f>
        <v>0.35844381947234505</v>
      </c>
      <c r="P88" s="365"/>
      <c r="Q88" s="365"/>
      <c r="R88" s="222">
        <v>0.53</v>
      </c>
      <c r="S88" s="366"/>
      <c r="T88" s="366"/>
      <c r="U88" s="319"/>
      <c r="V88" s="366"/>
      <c r="W88" s="366"/>
      <c r="X88" s="366"/>
      <c r="Y88" s="319"/>
      <c r="Z88" s="366"/>
      <c r="AA88" s="366"/>
      <c r="AB88" s="366"/>
      <c r="AC88" s="366"/>
      <c r="AD88" s="366"/>
      <c r="AE88" s="366"/>
      <c r="AF88" s="366"/>
      <c r="AG88" s="366"/>
      <c r="AH88" s="366"/>
      <c r="AI88" s="366"/>
      <c r="AQ88" s="53"/>
      <c r="AT88" s="46"/>
      <c r="AU88" s="46"/>
      <c r="AV88" s="46"/>
    </row>
    <row r="89" spans="1:53" outlineLevel="1" x14ac:dyDescent="0.3">
      <c r="A89" s="142"/>
      <c r="J89" s="221">
        <f>R89/(1+90%)</f>
        <v>28.173684210526318</v>
      </c>
      <c r="P89" s="365"/>
      <c r="Q89" s="365"/>
      <c r="R89" s="223">
        <f>R88*R81</f>
        <v>53.53</v>
      </c>
      <c r="S89" s="367"/>
      <c r="T89" s="367"/>
      <c r="U89" s="320"/>
      <c r="V89" s="367"/>
      <c r="W89" s="367"/>
      <c r="X89" s="367"/>
      <c r="Y89" s="320"/>
      <c r="Z89" s="367"/>
      <c r="AA89" s="367"/>
      <c r="AB89" s="367"/>
      <c r="AC89" s="367"/>
      <c r="AD89" s="367"/>
      <c r="AE89" s="367"/>
      <c r="AF89" s="367"/>
      <c r="AG89" s="367"/>
      <c r="AH89" s="367"/>
      <c r="AI89" s="367"/>
      <c r="AQ89" s="53"/>
      <c r="AT89" s="46"/>
      <c r="AU89" s="46"/>
      <c r="AV89" s="46"/>
    </row>
    <row r="90" spans="1:53" outlineLevel="1" x14ac:dyDescent="0.3">
      <c r="A90" s="141" t="s">
        <v>208</v>
      </c>
      <c r="J90" s="182">
        <f>J91/J81</f>
        <v>0.64155618052765495</v>
      </c>
      <c r="P90" s="365"/>
      <c r="Q90" s="365"/>
      <c r="R90" s="224">
        <f>1-R88</f>
        <v>0.47</v>
      </c>
      <c r="S90" s="368"/>
      <c r="T90" s="368"/>
      <c r="U90" s="321"/>
      <c r="V90" s="368"/>
      <c r="W90" s="368"/>
      <c r="X90" s="368"/>
      <c r="Y90" s="321"/>
      <c r="Z90" s="368"/>
      <c r="AA90" s="368"/>
      <c r="AB90" s="368"/>
      <c r="AC90" s="368"/>
      <c r="AD90" s="368"/>
      <c r="AE90" s="368"/>
      <c r="AF90" s="368"/>
      <c r="AG90" s="368"/>
      <c r="AH90" s="368"/>
      <c r="AI90" s="368"/>
      <c r="AQ90" s="53"/>
      <c r="AT90" s="46"/>
      <c r="AU90" s="46"/>
      <c r="AV90" s="46"/>
    </row>
    <row r="91" spans="1:53" outlineLevel="1" x14ac:dyDescent="0.3">
      <c r="A91" s="141"/>
      <c r="J91" s="221">
        <f>J81-J89</f>
        <v>50.426315789473676</v>
      </c>
      <c r="P91" s="365"/>
      <c r="Q91" s="365"/>
      <c r="R91" s="225">
        <f>R90*R81</f>
        <v>47.47</v>
      </c>
      <c r="S91" s="369"/>
      <c r="T91" s="369"/>
      <c r="U91" s="322"/>
      <c r="V91" s="369"/>
      <c r="W91" s="369"/>
      <c r="X91" s="369"/>
      <c r="Y91" s="322"/>
      <c r="Z91" s="369"/>
      <c r="AA91" s="369"/>
      <c r="AB91" s="369"/>
      <c r="AC91" s="369"/>
      <c r="AD91" s="369"/>
      <c r="AE91" s="369"/>
      <c r="AF91" s="369"/>
      <c r="AG91" s="369"/>
      <c r="AH91" s="369"/>
      <c r="AI91" s="369"/>
      <c r="AQ91" s="53"/>
      <c r="AT91" s="46"/>
      <c r="AU91" s="46"/>
      <c r="AV91" s="46"/>
    </row>
    <row r="92" spans="1:53" s="156" customFormat="1" x14ac:dyDescent="0.3">
      <c r="A92" s="103" t="s">
        <v>209</v>
      </c>
      <c r="J92" s="216"/>
      <c r="N92" s="216"/>
      <c r="Q92" s="356"/>
      <c r="R92" s="213"/>
      <c r="S92" s="356"/>
      <c r="T92" s="356"/>
      <c r="U92" s="306"/>
      <c r="V92" s="356">
        <f>V87/R87-1</f>
        <v>2.3952095808366103E-4</v>
      </c>
      <c r="W92" s="356"/>
      <c r="X92" s="356"/>
      <c r="Y92" s="306"/>
      <c r="Z92" s="356"/>
      <c r="AA92" s="356"/>
      <c r="AB92" s="356"/>
      <c r="AC92" s="356"/>
      <c r="AD92" s="356"/>
      <c r="AE92" s="356"/>
      <c r="AF92" s="356"/>
      <c r="AG92" s="356"/>
      <c r="AH92" s="356"/>
      <c r="AI92" s="356"/>
      <c r="AQ92" s="108"/>
      <c r="AT92" s="94">
        <v>0.2</v>
      </c>
      <c r="AU92" s="94">
        <v>0.3</v>
      </c>
      <c r="AV92" s="94">
        <v>0.3</v>
      </c>
    </row>
    <row r="93" spans="1:53" x14ac:dyDescent="0.3">
      <c r="A93" s="103"/>
      <c r="AQ93" s="53"/>
      <c r="AT93" s="46"/>
      <c r="AU93" s="46"/>
      <c r="AV93" s="46"/>
    </row>
    <row r="94" spans="1:53" s="156" customFormat="1" x14ac:dyDescent="0.3">
      <c r="A94" s="93" t="s">
        <v>210</v>
      </c>
      <c r="J94" s="216"/>
      <c r="N94" s="216"/>
      <c r="R94" s="216"/>
      <c r="U94" s="313"/>
      <c r="Y94" s="313"/>
      <c r="AQ94" s="108"/>
      <c r="AT94" s="342">
        <v>764000</v>
      </c>
      <c r="AU94" s="342">
        <v>1418000</v>
      </c>
      <c r="AV94" s="342">
        <v>2713000</v>
      </c>
    </row>
    <row r="95" spans="1:53" s="156" customFormat="1" x14ac:dyDescent="0.3">
      <c r="A95" s="93" t="s">
        <v>211</v>
      </c>
      <c r="J95" s="216"/>
      <c r="N95" s="216"/>
      <c r="R95" s="216"/>
      <c r="U95" s="313"/>
      <c r="Y95" s="313"/>
      <c r="AQ95" s="108"/>
      <c r="AT95" s="342">
        <v>-122000</v>
      </c>
      <c r="AU95" s="342">
        <v>-193000</v>
      </c>
      <c r="AV95" s="342">
        <v>-356000</v>
      </c>
    </row>
    <row r="96" spans="1:53" s="93" customFormat="1" x14ac:dyDescent="0.3">
      <c r="A96" s="93" t="s">
        <v>212</v>
      </c>
      <c r="J96" s="212"/>
      <c r="N96" s="212"/>
      <c r="R96" s="212"/>
      <c r="U96" s="305"/>
      <c r="Y96" s="305"/>
      <c r="AQ96" s="65"/>
      <c r="AT96" s="347">
        <f>SUM(AT94:AT95)</f>
        <v>642000</v>
      </c>
      <c r="AU96" s="347">
        <f>SUM(AU94:AU95)</f>
        <v>1225000</v>
      </c>
      <c r="AV96" s="347">
        <f>SUM(AV94:AV95)</f>
        <v>2357000</v>
      </c>
    </row>
    <row r="97" spans="1:55" x14ac:dyDescent="0.3">
      <c r="A97" s="103"/>
      <c r="P97" s="348"/>
      <c r="AQ97" s="53"/>
      <c r="AT97" s="46"/>
      <c r="AU97" s="46"/>
      <c r="AV97" s="46"/>
    </row>
    <row r="98" spans="1:55" x14ac:dyDescent="0.3">
      <c r="A98" s="103" t="s">
        <v>213</v>
      </c>
      <c r="AQ98" s="53"/>
      <c r="AT98" s="46"/>
      <c r="AU98" s="46"/>
      <c r="AV98" s="46"/>
    </row>
    <row r="99" spans="1:55" s="93" customFormat="1" x14ac:dyDescent="0.3">
      <c r="A99" s="90" t="s">
        <v>214</v>
      </c>
      <c r="J99" s="212"/>
      <c r="N99" s="212"/>
      <c r="R99" s="212"/>
      <c r="U99" s="305"/>
      <c r="Y99" s="305"/>
      <c r="AQ99" s="65"/>
      <c r="AR99" s="373"/>
      <c r="AT99" s="347"/>
      <c r="AU99" s="373">
        <f t="shared" ref="AU99:AW100" si="49">AU80/AT80-1</f>
        <v>0.62038964901844129</v>
      </c>
      <c r="AV99" s="373">
        <f t="shared" si="49"/>
        <v>0.67642604745078239</v>
      </c>
      <c r="AW99" s="373">
        <f t="shared" si="49"/>
        <v>-1</v>
      </c>
      <c r="AX99" s="373"/>
      <c r="AY99" s="373"/>
      <c r="AZ99" s="373"/>
    </row>
    <row r="100" spans="1:55" s="93" customFormat="1" x14ac:dyDescent="0.3">
      <c r="A100" s="90" t="s">
        <v>215</v>
      </c>
      <c r="D100" s="373"/>
      <c r="E100" s="373"/>
      <c r="F100" s="373"/>
      <c r="G100" s="373"/>
      <c r="H100" s="373">
        <f t="shared" ref="H100:U100" si="50">IFERROR(H81/D81-1,"")</f>
        <v>0.34929078014184389</v>
      </c>
      <c r="I100" s="373">
        <f t="shared" si="50"/>
        <v>0.25675675675675702</v>
      </c>
      <c r="J100" s="228">
        <f t="shared" si="50"/>
        <v>0.29702970297029707</v>
      </c>
      <c r="K100" s="373">
        <f t="shared" si="50"/>
        <v>0.28943758573388201</v>
      </c>
      <c r="L100" s="373">
        <f t="shared" si="50"/>
        <v>0.44283837056504605</v>
      </c>
      <c r="M100" s="373">
        <f t="shared" si="50"/>
        <v>0.47849462365591378</v>
      </c>
      <c r="N100" s="228">
        <f t="shared" si="50"/>
        <v>-0.45547073791348602</v>
      </c>
      <c r="O100" s="373">
        <f t="shared" si="50"/>
        <v>-0.17021276595744683</v>
      </c>
      <c r="P100" s="373">
        <f t="shared" si="50"/>
        <v>3.7340619307832501E-2</v>
      </c>
      <c r="Q100" s="373">
        <f t="shared" si="50"/>
        <v>8.8181818181818139E-2</v>
      </c>
      <c r="R100" s="228">
        <f t="shared" si="50"/>
        <v>1.3598130841121496</v>
      </c>
      <c r="S100" s="355">
        <f t="shared" si="50"/>
        <v>0.80512820512820538</v>
      </c>
      <c r="T100" s="355">
        <f t="shared" si="50"/>
        <v>5.1799824407374739E-2</v>
      </c>
      <c r="U100" s="278">
        <f t="shared" si="50"/>
        <v>-3.6758563074352546E-2</v>
      </c>
      <c r="V100" s="355"/>
      <c r="W100" s="355"/>
      <c r="X100" s="355"/>
      <c r="Y100" s="278"/>
      <c r="Z100" s="355"/>
      <c r="AA100" s="355"/>
      <c r="AB100" s="355"/>
      <c r="AC100" s="355"/>
      <c r="AD100" s="355"/>
      <c r="AE100" s="355"/>
      <c r="AF100" s="355"/>
      <c r="AG100" s="355"/>
      <c r="AH100" s="373"/>
      <c r="AI100" s="373"/>
      <c r="AJ100" s="373"/>
      <c r="AQ100" s="65"/>
      <c r="AR100" s="373">
        <f>AR81/AQ81-1</f>
        <v>0.43758573388202993</v>
      </c>
      <c r="AT100" s="347"/>
      <c r="AU100" s="373">
        <f t="shared" si="49"/>
        <v>0.60975609756097571</v>
      </c>
      <c r="AV100" s="373">
        <f t="shared" si="49"/>
        <v>0.55303030303030298</v>
      </c>
      <c r="AW100" s="373">
        <f t="shared" si="49"/>
        <v>0.3848780487804877</v>
      </c>
      <c r="AX100" s="373">
        <f>AX81/AW81-1</f>
        <v>0.38252905952800287</v>
      </c>
      <c r="AY100" s="373">
        <f>AY81/AX81-1</f>
        <v>-9.68152866242038E-2</v>
      </c>
      <c r="AZ100" s="373">
        <f>AZ81/AY81-1</f>
        <v>0.34527503526093084</v>
      </c>
    </row>
    <row r="101" spans="1:55" s="93" customFormat="1" x14ac:dyDescent="0.3">
      <c r="A101" s="90" t="s">
        <v>216</v>
      </c>
      <c r="J101" s="212"/>
      <c r="N101" s="212"/>
      <c r="R101" s="212"/>
      <c r="U101" s="305"/>
      <c r="Y101" s="305"/>
      <c r="AQ101" s="65"/>
      <c r="AT101" s="347"/>
      <c r="AU101" s="373">
        <f>AU83/AT83-1</f>
        <v>6.6056910569105565E-3</v>
      </c>
      <c r="AV101" s="373">
        <f>AV83/AU83-1</f>
        <v>7.9454820797576931E-2</v>
      </c>
      <c r="AW101" s="373">
        <f>AW83/AV83-1</f>
        <v>-1</v>
      </c>
      <c r="AX101" s="373"/>
      <c r="AY101" s="373"/>
      <c r="AZ101" s="373"/>
    </row>
    <row r="102" spans="1:55" s="93" customFormat="1" x14ac:dyDescent="0.3">
      <c r="A102" s="90" t="s">
        <v>217</v>
      </c>
      <c r="J102" s="212"/>
      <c r="N102" s="212"/>
      <c r="R102" s="212"/>
      <c r="U102" s="305"/>
      <c r="Y102" s="305"/>
      <c r="AQ102" s="65"/>
      <c r="AT102" s="347"/>
      <c r="AU102" s="373">
        <f>AU94/AT94-1</f>
        <v>0.85602094240837689</v>
      </c>
      <c r="AV102" s="373">
        <f>AV94/AU94-1</f>
        <v>0.9132581100141044</v>
      </c>
      <c r="AW102" s="373">
        <f>AW94/AV94-1</f>
        <v>-1</v>
      </c>
      <c r="AX102" s="373"/>
      <c r="AY102" s="373"/>
      <c r="AZ102" s="373"/>
    </row>
    <row r="103" spans="1:55" x14ac:dyDescent="0.3">
      <c r="A103" s="103"/>
      <c r="AQ103" s="53"/>
      <c r="AT103" s="46"/>
      <c r="AU103" s="46"/>
      <c r="AV103" s="46"/>
    </row>
    <row r="104" spans="1:55" s="93" customFormat="1" x14ac:dyDescent="0.3">
      <c r="A104" s="103" t="s">
        <v>218</v>
      </c>
      <c r="J104" s="212"/>
      <c r="N104" s="212"/>
      <c r="R104" s="212"/>
      <c r="U104" s="305"/>
      <c r="Y104" s="305"/>
      <c r="AQ104" s="65"/>
      <c r="AT104" s="151">
        <f>AT94/1000000/AT80</f>
        <v>5.6811421772754313E-2</v>
      </c>
      <c r="AU104" s="151">
        <f>AU94/1000000/AU80</f>
        <v>6.5072736450828325E-2</v>
      </c>
      <c r="AV104" s="151">
        <f>AV94/1000000/AV80</f>
        <v>7.4265692151871024E-2</v>
      </c>
    </row>
    <row r="105" spans="1:55" s="93" customFormat="1" x14ac:dyDescent="0.3">
      <c r="A105" s="103" t="s">
        <v>219</v>
      </c>
      <c r="J105" s="212"/>
      <c r="N105" s="212"/>
      <c r="R105" s="212"/>
      <c r="U105" s="305"/>
      <c r="Y105" s="305"/>
      <c r="AQ105" s="65"/>
      <c r="AT105" s="373">
        <f>AT96/AT94</f>
        <v>0.84031413612565442</v>
      </c>
      <c r="AU105" s="373">
        <f>AU96/AU94</f>
        <v>0.86389280677009872</v>
      </c>
      <c r="AV105" s="373">
        <f>AV96/AV94</f>
        <v>0.86877994839660888</v>
      </c>
    </row>
    <row r="106" spans="1:55" x14ac:dyDescent="0.3">
      <c r="A106" s="103"/>
      <c r="AQ106" s="53"/>
      <c r="AT106" s="46"/>
      <c r="AU106" s="46"/>
      <c r="AV106" s="46"/>
    </row>
    <row r="107" spans="1:55" x14ac:dyDescent="0.3">
      <c r="A107" s="71" t="s">
        <v>220</v>
      </c>
      <c r="B107" s="337"/>
      <c r="C107" s="337"/>
      <c r="D107" s="337"/>
      <c r="E107" s="337"/>
      <c r="F107" s="337"/>
      <c r="G107" s="337"/>
      <c r="H107" s="337"/>
      <c r="I107" s="337"/>
      <c r="J107" s="199"/>
      <c r="K107" s="337"/>
      <c r="L107" s="337"/>
      <c r="M107" s="337"/>
      <c r="N107" s="199"/>
      <c r="O107" s="337"/>
      <c r="P107" s="337"/>
      <c r="Q107" s="337"/>
      <c r="R107" s="199"/>
      <c r="S107" s="337"/>
      <c r="T107" s="337"/>
      <c r="U107" s="287"/>
      <c r="V107" s="337"/>
      <c r="W107" s="337"/>
      <c r="X107" s="337"/>
      <c r="Y107" s="287"/>
      <c r="Z107" s="337"/>
      <c r="AA107" s="337"/>
      <c r="AB107" s="337"/>
      <c r="AC107" s="337"/>
      <c r="AD107" s="337"/>
      <c r="AE107" s="337"/>
      <c r="AF107" s="337"/>
      <c r="AG107" s="337"/>
      <c r="AJ107" s="337"/>
      <c r="AK107" s="61"/>
      <c r="AL107" s="337"/>
      <c r="AM107" s="337"/>
      <c r="AN107" s="337"/>
      <c r="AO107" s="337"/>
      <c r="AP107" s="337"/>
      <c r="AQ107" s="337"/>
      <c r="AR107" s="337"/>
      <c r="AS107" s="337"/>
      <c r="AT107" s="337"/>
      <c r="AU107" s="337"/>
      <c r="AV107" s="337"/>
      <c r="AW107" s="62"/>
      <c r="AX107" s="337"/>
      <c r="AY107" s="337"/>
      <c r="AZ107" s="337"/>
      <c r="BA107" s="337"/>
      <c r="BB107" s="337"/>
    </row>
    <row r="108" spans="1:55" s="156" customFormat="1" x14ac:dyDescent="0.3">
      <c r="A108" s="103" t="s">
        <v>168</v>
      </c>
      <c r="B108" s="94"/>
      <c r="C108" s="94"/>
      <c r="D108" s="94">
        <v>9</v>
      </c>
      <c r="E108" s="94">
        <f>AV108-AJ108-D108</f>
        <v>7.1999999999999993</v>
      </c>
      <c r="F108" s="94">
        <f>AL108-G108</f>
        <v>13.399999999999999</v>
      </c>
      <c r="G108" s="94">
        <v>13</v>
      </c>
      <c r="H108" s="94">
        <v>16.399999999999999</v>
      </c>
      <c r="I108" s="94">
        <v>13.1</v>
      </c>
      <c r="J108" s="216">
        <v>16.399999999999999</v>
      </c>
      <c r="K108" s="156">
        <v>14.8</v>
      </c>
      <c r="L108" s="156">
        <v>18.8</v>
      </c>
      <c r="M108" s="156">
        <v>17.399999999999999</v>
      </c>
      <c r="N108" s="216"/>
      <c r="R108" s="216"/>
      <c r="U108" s="313"/>
      <c r="Y108" s="313"/>
      <c r="AJ108" s="156">
        <v>11.8</v>
      </c>
      <c r="AK108" s="81">
        <f>AV108-AJ108</f>
        <v>16.2</v>
      </c>
      <c r="AL108" s="156">
        <v>26.4</v>
      </c>
      <c r="AM108" s="81">
        <f>AW108-AL108</f>
        <v>29.6</v>
      </c>
      <c r="AN108" s="81">
        <v>31.2</v>
      </c>
      <c r="AO108" s="81"/>
      <c r="AQ108" s="447">
        <f>AJ108+D108</f>
        <v>20.8</v>
      </c>
      <c r="AR108" s="447">
        <f>AL108+H108</f>
        <v>42.8</v>
      </c>
      <c r="AT108" s="91">
        <v>18</v>
      </c>
      <c r="AU108" s="91">
        <v>19.5</v>
      </c>
      <c r="AV108" s="91">
        <v>28</v>
      </c>
      <c r="AW108" s="91">
        <v>56</v>
      </c>
      <c r="AX108" s="156">
        <v>67.3</v>
      </c>
    </row>
    <row r="109" spans="1:55" x14ac:dyDescent="0.3">
      <c r="A109" s="103"/>
      <c r="AT109" s="55"/>
      <c r="AU109" s="55"/>
      <c r="AV109" s="55"/>
    </row>
    <row r="110" spans="1:55" s="156" customFormat="1" x14ac:dyDescent="0.3">
      <c r="A110" s="93" t="s">
        <v>170</v>
      </c>
      <c r="B110" s="342"/>
      <c r="C110" s="342"/>
      <c r="D110" s="342"/>
      <c r="E110" s="342"/>
      <c r="F110" s="342"/>
      <c r="G110" s="342"/>
      <c r="H110" s="342"/>
      <c r="I110" s="342"/>
      <c r="J110" s="203"/>
      <c r="K110" s="342"/>
      <c r="N110" s="202">
        <v>1039479</v>
      </c>
      <c r="O110" s="340">
        <v>1099492</v>
      </c>
      <c r="P110" s="340">
        <v>1555759</v>
      </c>
      <c r="Q110" s="340">
        <v>1733424</v>
      </c>
      <c r="R110" s="202">
        <v>1828163</v>
      </c>
      <c r="S110" s="340">
        <v>2193767</v>
      </c>
      <c r="T110" s="340">
        <v>2211138</v>
      </c>
      <c r="U110" s="291">
        <v>2325479</v>
      </c>
      <c r="V110" s="340">
        <v>2282426</v>
      </c>
      <c r="W110" s="340"/>
      <c r="X110" s="340"/>
      <c r="Y110" s="291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>
        <v>154656</v>
      </c>
      <c r="AK110" s="370">
        <f>AV110-AJ110</f>
        <v>434540</v>
      </c>
      <c r="AL110" s="340">
        <v>1013523</v>
      </c>
      <c r="AM110" s="370">
        <f>AW110-AL110</f>
        <v>1237215</v>
      </c>
      <c r="AN110" s="340">
        <v>1794030</v>
      </c>
      <c r="AO110" s="340"/>
      <c r="AP110" s="340"/>
      <c r="AQ110" s="340"/>
      <c r="AR110" s="340"/>
      <c r="AS110" s="340"/>
      <c r="AT110" s="340">
        <v>0</v>
      </c>
      <c r="AU110" s="340">
        <v>152143</v>
      </c>
      <c r="AV110" s="340">
        <v>589196</v>
      </c>
      <c r="AW110" s="340">
        <v>2250738</v>
      </c>
      <c r="AX110" s="340">
        <v>4200064</v>
      </c>
      <c r="AY110" s="340">
        <v>5428154</v>
      </c>
      <c r="AZ110" s="340">
        <v>8558547</v>
      </c>
      <c r="BA110" s="159"/>
      <c r="BB110" s="340"/>
      <c r="BC110" s="340"/>
    </row>
    <row r="111" spans="1:55" s="361" customFormat="1" x14ac:dyDescent="0.3">
      <c r="A111" s="93" t="s">
        <v>174</v>
      </c>
      <c r="B111" s="342"/>
      <c r="C111" s="342"/>
      <c r="D111" s="342"/>
      <c r="E111" s="342"/>
      <c r="F111" s="342"/>
      <c r="G111" s="342"/>
      <c r="H111" s="342"/>
      <c r="I111" s="342"/>
      <c r="J111" s="203"/>
      <c r="K111" s="342"/>
      <c r="L111" s="156"/>
      <c r="M111" s="156"/>
      <c r="N111" s="202">
        <v>58059</v>
      </c>
      <c r="O111" s="340">
        <v>81966</v>
      </c>
      <c r="P111" s="340">
        <v>104697</v>
      </c>
      <c r="Q111" s="340">
        <v>79875</v>
      </c>
      <c r="R111" s="202">
        <v>157168</v>
      </c>
      <c r="S111" s="340">
        <v>216821</v>
      </c>
      <c r="T111" s="340">
        <v>285837</v>
      </c>
      <c r="U111" s="291">
        <v>322990</v>
      </c>
      <c r="V111" s="340">
        <v>316088</v>
      </c>
      <c r="W111" s="340"/>
      <c r="X111" s="340"/>
      <c r="Y111" s="291"/>
      <c r="Z111" s="340"/>
      <c r="AA111" s="340"/>
      <c r="AB111" s="340"/>
      <c r="AC111" s="340"/>
      <c r="AD111" s="340"/>
      <c r="AE111" s="340"/>
      <c r="AF111" s="340"/>
      <c r="AG111" s="340"/>
      <c r="AH111" s="340"/>
      <c r="AI111" s="340"/>
      <c r="AJ111" s="340">
        <v>201185</v>
      </c>
      <c r="AK111" s="370">
        <f>AV111-AJ111</f>
        <v>140291</v>
      </c>
      <c r="AL111" s="340">
        <v>163086</v>
      </c>
      <c r="AM111" s="370">
        <f>AW111-AL111</f>
        <v>158420</v>
      </c>
      <c r="AN111" s="340">
        <v>90818</v>
      </c>
      <c r="AO111" s="340"/>
      <c r="AP111" s="340"/>
      <c r="AQ111" s="340"/>
      <c r="AR111" s="340"/>
      <c r="AS111" s="340"/>
      <c r="AT111" s="340">
        <v>31739</v>
      </c>
      <c r="AU111" s="340">
        <v>268918</v>
      </c>
      <c r="AV111" s="340">
        <v>341476</v>
      </c>
      <c r="AW111" s="340">
        <v>321506</v>
      </c>
      <c r="AX111" s="340">
        <v>219856</v>
      </c>
      <c r="AY111" s="340">
        <v>324597</v>
      </c>
      <c r="AZ111" s="340">
        <v>982816</v>
      </c>
      <c r="BA111" s="159"/>
      <c r="BB111" s="147"/>
      <c r="BC111" s="147"/>
    </row>
    <row r="112" spans="1:55" s="44" customFormat="1" x14ac:dyDescent="0.3">
      <c r="A112" s="104" t="s">
        <v>173</v>
      </c>
      <c r="B112" s="46"/>
      <c r="C112" s="46"/>
      <c r="D112" s="46"/>
      <c r="E112" s="46"/>
      <c r="F112" s="46"/>
      <c r="G112" s="46"/>
      <c r="H112" s="46"/>
      <c r="I112" s="46"/>
      <c r="J112" s="236"/>
      <c r="K112" s="46"/>
      <c r="N112" s="182">
        <f t="shared" ref="N112:V112" si="51">N111/N114</f>
        <v>1.3928078443828287E-2</v>
      </c>
      <c r="O112" s="371">
        <f t="shared" si="51"/>
        <v>1.4549075572974355E-2</v>
      </c>
      <c r="P112" s="371">
        <f t="shared" si="51"/>
        <v>1.2720785459932145E-2</v>
      </c>
      <c r="Q112" s="371">
        <f t="shared" si="51"/>
        <v>8.6405913182583723E-3</v>
      </c>
      <c r="R112" s="182">
        <f t="shared" si="51"/>
        <v>1.5945682735415887E-2</v>
      </c>
      <c r="S112" s="371">
        <f t="shared" si="51"/>
        <v>1.8020408795933567E-2</v>
      </c>
      <c r="T112" s="371">
        <f t="shared" si="51"/>
        <v>2.0828440534302033E-2</v>
      </c>
      <c r="U112" s="324">
        <f t="shared" si="51"/>
        <v>2.2010942434833158E-2</v>
      </c>
      <c r="V112" s="371">
        <f t="shared" si="51"/>
        <v>2.181342937035468E-2</v>
      </c>
      <c r="W112" s="371"/>
      <c r="X112" s="371"/>
      <c r="Y112" s="324"/>
      <c r="Z112" s="371"/>
      <c r="AA112" s="371"/>
      <c r="AB112" s="371"/>
      <c r="AC112" s="371"/>
      <c r="AD112" s="371"/>
      <c r="AE112" s="371"/>
      <c r="AF112" s="371"/>
      <c r="AG112" s="371"/>
      <c r="AH112" s="371"/>
      <c r="AI112" s="371"/>
      <c r="AJ112" s="371">
        <f>AJ111/AJ114</f>
        <v>0.29221745969727386</v>
      </c>
      <c r="AK112" s="371">
        <f>AK111/AK114</f>
        <v>0.1035535999917329</v>
      </c>
      <c r="AL112" s="371">
        <f>AL111/AL114</f>
        <v>4.5643996641477752E-2</v>
      </c>
      <c r="AM112" s="371">
        <f>AM111/AM114</f>
        <v>2.0652252414796096E-2</v>
      </c>
      <c r="AN112" s="371">
        <f>AN111/AN114</f>
        <v>1.0574106769859429E-2</v>
      </c>
      <c r="AO112" s="371"/>
      <c r="AQ112" s="46"/>
      <c r="AR112" s="46"/>
      <c r="AT112" s="371">
        <f t="shared" ref="AT112:AZ112" si="52">AT111/AT114</f>
        <v>0.45030077748141423</v>
      </c>
      <c r="AU112" s="371">
        <f t="shared" si="52"/>
        <v>0.40290841751043538</v>
      </c>
      <c r="AV112" s="371">
        <f t="shared" si="52"/>
        <v>0.16712443545655831</v>
      </c>
      <c r="AW112" s="371">
        <f t="shared" si="52"/>
        <v>2.8593983155567753E-2</v>
      </c>
      <c r="AX112" s="371">
        <f t="shared" si="52"/>
        <v>1.0772051578614918E-2</v>
      </c>
      <c r="AY112" s="371">
        <f t="shared" si="52"/>
        <v>1.1900115970378189E-2</v>
      </c>
      <c r="AZ112" s="371">
        <f t="shared" si="52"/>
        <v>1.9544566514020811E-2</v>
      </c>
    </row>
    <row r="113" spans="1:55" s="361" customFormat="1" x14ac:dyDescent="0.3">
      <c r="A113" s="344" t="s">
        <v>175</v>
      </c>
      <c r="B113" s="342"/>
      <c r="C113" s="342"/>
      <c r="D113" s="342"/>
      <c r="E113" s="342"/>
      <c r="F113" s="342"/>
      <c r="G113" s="342"/>
      <c r="H113" s="342"/>
      <c r="I113" s="342"/>
      <c r="J113" s="203"/>
      <c r="K113" s="342"/>
      <c r="L113" s="375"/>
      <c r="M113" s="375"/>
      <c r="N113" s="204">
        <v>3070948</v>
      </c>
      <c r="O113" s="343">
        <v>4452302</v>
      </c>
      <c r="P113" s="343">
        <v>6569932</v>
      </c>
      <c r="Q113" s="343">
        <v>7430860</v>
      </c>
      <c r="R113" s="204">
        <v>7871130</v>
      </c>
      <c r="S113" s="343">
        <v>9621381</v>
      </c>
      <c r="T113" s="343">
        <v>11226424</v>
      </c>
      <c r="U113" s="294">
        <v>12025596</v>
      </c>
      <c r="V113" s="343">
        <v>11892009</v>
      </c>
      <c r="W113" s="343"/>
      <c r="X113" s="343"/>
      <c r="Y113" s="294"/>
      <c r="Z113" s="343"/>
      <c r="AA113" s="343"/>
      <c r="AB113" s="343"/>
      <c r="AC113" s="343"/>
      <c r="AD113" s="343"/>
      <c r="AE113" s="343"/>
      <c r="AF113" s="343"/>
      <c r="AG113" s="343"/>
      <c r="AH113" s="343"/>
      <c r="AI113" s="343"/>
      <c r="AJ113" s="340">
        <v>332636</v>
      </c>
      <c r="AK113" s="370">
        <f>AV113-AJ113</f>
        <v>779936</v>
      </c>
      <c r="AL113" s="340">
        <v>2396391</v>
      </c>
      <c r="AM113" s="370">
        <f>AW113-AL113</f>
        <v>6275199</v>
      </c>
      <c r="AN113" s="340">
        <v>6703868</v>
      </c>
      <c r="AO113" s="340"/>
      <c r="AP113" s="343"/>
      <c r="AQ113" s="340"/>
      <c r="AR113" s="340"/>
      <c r="AS113" s="343"/>
      <c r="AT113" s="340">
        <v>38745</v>
      </c>
      <c r="AU113" s="340">
        <v>246381</v>
      </c>
      <c r="AV113" s="340">
        <v>1112572</v>
      </c>
      <c r="AW113" s="340">
        <v>8671590</v>
      </c>
      <c r="AX113" s="340">
        <v>15989934</v>
      </c>
      <c r="AY113" s="340">
        <v>21524042</v>
      </c>
      <c r="AZ113" s="340">
        <v>40744531</v>
      </c>
      <c r="BA113" s="159"/>
      <c r="BB113" s="147"/>
    </row>
    <row r="114" spans="1:55" s="156" customFormat="1" x14ac:dyDescent="0.3">
      <c r="A114" s="103" t="s">
        <v>176</v>
      </c>
      <c r="B114" s="342"/>
      <c r="C114" s="342"/>
      <c r="D114" s="342">
        <v>606996</v>
      </c>
      <c r="E114" s="342">
        <v>747771</v>
      </c>
      <c r="F114" s="342">
        <v>1080897</v>
      </c>
      <c r="G114" s="342">
        <f>AL114-F114</f>
        <v>2492103</v>
      </c>
      <c r="H114" s="342">
        <v>3467791</v>
      </c>
      <c r="I114" s="342">
        <v>4203043</v>
      </c>
      <c r="J114" s="203">
        <v>3975607</v>
      </c>
      <c r="K114" s="342">
        <v>4613109</v>
      </c>
      <c r="L114" s="156">
        <v>5735540</v>
      </c>
      <c r="M114" s="156">
        <v>6085598</v>
      </c>
      <c r="N114" s="202">
        <v>4168486</v>
      </c>
      <c r="O114" s="340">
        <v>5633760</v>
      </c>
      <c r="P114" s="340">
        <v>8230388</v>
      </c>
      <c r="Q114" s="340">
        <v>9244159</v>
      </c>
      <c r="R114" s="202">
        <v>9856461</v>
      </c>
      <c r="S114" s="340">
        <v>12031969</v>
      </c>
      <c r="T114" s="340">
        <v>13723399</v>
      </c>
      <c r="U114" s="291">
        <v>14674065</v>
      </c>
      <c r="V114" s="340">
        <v>14490523</v>
      </c>
      <c r="W114" s="340"/>
      <c r="X114" s="340"/>
      <c r="Y114" s="291"/>
      <c r="Z114" s="340"/>
      <c r="AA114" s="340"/>
      <c r="AB114" s="340"/>
      <c r="AC114" s="340"/>
      <c r="AD114" s="340"/>
      <c r="AE114" s="340"/>
      <c r="AF114" s="340"/>
      <c r="AG114" s="340"/>
      <c r="AH114" s="340"/>
      <c r="AI114" s="340"/>
      <c r="AJ114" s="370">
        <f>SUM(AJ110,AJ111,AJ113)</f>
        <v>688477</v>
      </c>
      <c r="AK114" s="370">
        <f>SUM(AK110,AK111,AK113)</f>
        <v>1354767</v>
      </c>
      <c r="AL114" s="370">
        <f>SUM(AL110,AL111,AL113)</f>
        <v>3573000</v>
      </c>
      <c r="AM114" s="370">
        <f>SUM(AM110,AM111,AM113)</f>
        <v>7670834</v>
      </c>
      <c r="AN114" s="370">
        <f>SUM(AN110,AN111,AN113)</f>
        <v>8588716</v>
      </c>
      <c r="AO114" s="370"/>
      <c r="AP114" s="340"/>
      <c r="AQ114" s="340">
        <f>AJ114+D114</f>
        <v>1295473</v>
      </c>
      <c r="AR114" s="340">
        <f>AL114+H114</f>
        <v>7040791</v>
      </c>
      <c r="AS114" s="340"/>
      <c r="AT114" s="340">
        <f>SUM(AT110,AT111,AT113)</f>
        <v>70484</v>
      </c>
      <c r="AU114" s="340">
        <f>SUM(AU110,AU111,AU113)</f>
        <v>667442</v>
      </c>
      <c r="AV114" s="340">
        <f>SUM(AV110,AV111,AV113)</f>
        <v>2043244</v>
      </c>
      <c r="AW114" s="340">
        <v>11243834</v>
      </c>
      <c r="AX114" s="340">
        <v>20409854</v>
      </c>
      <c r="AY114" s="340">
        <v>27276793</v>
      </c>
      <c r="AZ114" s="340">
        <v>50285894</v>
      </c>
      <c r="BA114" s="159"/>
      <c r="BB114" s="340"/>
    </row>
    <row r="115" spans="1:55" s="156" customFormat="1" x14ac:dyDescent="0.3">
      <c r="A115" s="103" t="s">
        <v>177</v>
      </c>
      <c r="B115" s="342"/>
      <c r="C115" s="342"/>
      <c r="D115" s="373">
        <f t="shared" ref="D115:V115" si="53">D114/D143</f>
        <v>6.2746413093681119E-2</v>
      </c>
      <c r="E115" s="373">
        <f t="shared" si="53"/>
        <v>7.1383677037716448E-2</v>
      </c>
      <c r="F115" s="373">
        <f t="shared" si="53"/>
        <v>9.5866160570455355E-2</v>
      </c>
      <c r="G115" s="373">
        <f t="shared" si="53"/>
        <v>0.16533815562958459</v>
      </c>
      <c r="H115" s="373">
        <f t="shared" si="53"/>
        <v>0.18178817266660582</v>
      </c>
      <c r="I115" s="373">
        <f t="shared" si="53"/>
        <v>0.21223789670608942</v>
      </c>
      <c r="J115" s="228">
        <f t="shared" si="53"/>
        <v>0.20734891969713218</v>
      </c>
      <c r="K115" s="373">
        <f t="shared" si="53"/>
        <v>0.20319258083145073</v>
      </c>
      <c r="L115" s="373">
        <f t="shared" si="53"/>
        <v>0.20861342094926791</v>
      </c>
      <c r="M115" s="373">
        <f t="shared" si="53"/>
        <v>0.21612129133153254</v>
      </c>
      <c r="N115" s="228">
        <f t="shared" si="53"/>
        <v>0.24880709772006937</v>
      </c>
      <c r="O115" s="373">
        <f t="shared" si="53"/>
        <v>0.22788597789072065</v>
      </c>
      <c r="P115" s="373">
        <f t="shared" si="53"/>
        <v>0.23248841666242481</v>
      </c>
      <c r="Q115" s="373">
        <f t="shared" si="53"/>
        <v>0.2437966117179021</v>
      </c>
      <c r="R115" s="228">
        <f t="shared" si="53"/>
        <v>0.26627380690141</v>
      </c>
      <c r="S115" s="373">
        <f t="shared" si="53"/>
        <v>0.27495841334692528</v>
      </c>
      <c r="T115" s="373">
        <f t="shared" si="53"/>
        <v>0.28104804546935586</v>
      </c>
      <c r="U115" s="326">
        <f t="shared" si="53"/>
        <v>0.29630728330535955</v>
      </c>
      <c r="V115" s="373">
        <f t="shared" si="53"/>
        <v>0.3131816128007251</v>
      </c>
      <c r="W115" s="373"/>
      <c r="X115" s="373"/>
      <c r="Y115" s="326"/>
      <c r="Z115" s="373"/>
      <c r="AA115" s="373"/>
      <c r="AB115" s="373"/>
      <c r="AC115" s="373"/>
      <c r="AD115" s="373"/>
      <c r="AE115" s="373"/>
      <c r="AF115" s="373"/>
      <c r="AG115" s="373"/>
      <c r="AH115" s="373"/>
      <c r="AI115" s="373"/>
      <c r="AJ115" s="373">
        <f>AJ114/AJ143</f>
        <v>4.9966350512195792E-2</v>
      </c>
      <c r="AK115" s="373">
        <f>AK114/AK143</f>
        <v>6.7236850503152146E-2</v>
      </c>
      <c r="AL115" s="373">
        <f>AL114/AL143</f>
        <v>0.13560890619177057</v>
      </c>
      <c r="AM115" s="373">
        <f>AM114/AM143</f>
        <v>0.19729789908813269</v>
      </c>
      <c r="AN115" s="373">
        <f>AN114/AN143</f>
        <v>0.20509558919100715</v>
      </c>
      <c r="AO115" s="373"/>
      <c r="AP115" s="373"/>
      <c r="AQ115" s="373">
        <f>AQ114/AQ143</f>
        <v>5.5237905514051763E-2</v>
      </c>
      <c r="AR115" s="373">
        <f>AR114/AR143</f>
        <v>0.15500215679762422</v>
      </c>
      <c r="AS115" s="373"/>
      <c r="AT115" s="373">
        <f t="shared" ref="AT115:AZ115" si="54">AT114/AT143</f>
        <v>1.7537874857643486E-2</v>
      </c>
      <c r="AU115" s="373">
        <f t="shared" si="54"/>
        <v>5.1388823765057753E-2</v>
      </c>
      <c r="AV115" s="373">
        <f t="shared" si="54"/>
        <v>6.0222965777486301E-2</v>
      </c>
      <c r="AW115" s="373">
        <f t="shared" si="54"/>
        <v>0.17237932265087008</v>
      </c>
      <c r="AX115" s="373">
        <f t="shared" si="54"/>
        <v>0.20927059795456163</v>
      </c>
      <c r="AY115" s="373">
        <f t="shared" si="54"/>
        <v>0.23761408973303688</v>
      </c>
      <c r="AZ115" s="373">
        <f t="shared" si="54"/>
        <v>0.28072604418169206</v>
      </c>
    </row>
    <row r="116" spans="1:55" s="375" customFormat="1" x14ac:dyDescent="0.3">
      <c r="A116" s="344" t="s">
        <v>180</v>
      </c>
      <c r="B116" s="342"/>
      <c r="C116" s="342"/>
      <c r="D116" s="342">
        <v>-326747</v>
      </c>
      <c r="E116" s="342">
        <v>-533081</v>
      </c>
      <c r="F116" s="342">
        <f>F117-F114</f>
        <v>-1159978</v>
      </c>
      <c r="G116" s="342">
        <f>AL116-F116</f>
        <v>-4395678</v>
      </c>
      <c r="H116" s="342">
        <v>-4764744</v>
      </c>
      <c r="I116" s="342">
        <v>-5182028</v>
      </c>
      <c r="J116" s="208">
        <f>J117-J114</f>
        <v>-4415397</v>
      </c>
      <c r="K116" s="347">
        <f>K117-K114</f>
        <v>-4192017</v>
      </c>
      <c r="L116" s="347">
        <f>L117-L114</f>
        <v>-4664695</v>
      </c>
      <c r="M116" s="347">
        <v>-4796900</v>
      </c>
      <c r="N116" s="226"/>
      <c r="O116" s="370"/>
      <c r="P116" s="370"/>
      <c r="Q116" s="370"/>
      <c r="R116" s="226"/>
      <c r="S116" s="370"/>
      <c r="T116" s="370"/>
      <c r="U116" s="323"/>
      <c r="V116" s="370"/>
      <c r="W116" s="370"/>
      <c r="X116" s="370"/>
      <c r="Y116" s="323"/>
      <c r="Z116" s="370"/>
      <c r="AA116" s="370"/>
      <c r="AB116" s="370"/>
      <c r="AC116" s="370"/>
      <c r="AD116" s="370"/>
      <c r="AE116" s="370"/>
      <c r="AF116" s="370"/>
      <c r="AG116" s="370"/>
      <c r="AH116" s="370"/>
      <c r="AI116" s="370"/>
      <c r="AJ116" s="340">
        <v>-242810</v>
      </c>
      <c r="AK116" s="370">
        <f>AV116-AJ116</f>
        <v>-859828</v>
      </c>
      <c r="AL116" s="340">
        <v>-5555656</v>
      </c>
      <c r="AM116" s="370">
        <f>AW116-AL116</f>
        <v>-9946772</v>
      </c>
      <c r="AN116" s="340">
        <v>-8607414</v>
      </c>
      <c r="AO116" s="340"/>
      <c r="AP116" s="343"/>
      <c r="AQ116" s="340"/>
      <c r="AR116" s="340"/>
      <c r="AS116" s="343"/>
      <c r="AT116" s="340">
        <v>-107828</v>
      </c>
      <c r="AU116" s="340">
        <v>-259380</v>
      </c>
      <c r="AV116" s="340">
        <v>-1102638</v>
      </c>
      <c r="AW116" s="340">
        <v>-15502428</v>
      </c>
      <c r="AX116" s="343">
        <v>-18069009</v>
      </c>
      <c r="AY116" s="340"/>
      <c r="AZ116" s="340"/>
      <c r="BA116" s="343"/>
      <c r="BB116" s="343"/>
      <c r="BC116" s="343"/>
    </row>
    <row r="117" spans="1:55" s="93" customFormat="1" x14ac:dyDescent="0.3">
      <c r="A117" s="103" t="s">
        <v>181</v>
      </c>
      <c r="B117" s="347"/>
      <c r="C117" s="347"/>
      <c r="D117" s="347">
        <f>SUM(D114,D116)</f>
        <v>280249</v>
      </c>
      <c r="E117" s="347">
        <f>SUM(E114,E116)</f>
        <v>214690</v>
      </c>
      <c r="F117" s="347">
        <v>-79081</v>
      </c>
      <c r="G117" s="347">
        <f>AL117-F117</f>
        <v>-1903575</v>
      </c>
      <c r="H117" s="347">
        <f>SUM(H114,H116)</f>
        <v>-1296953</v>
      </c>
      <c r="I117" s="347">
        <f>SUM(I114,I116)</f>
        <v>-978985</v>
      </c>
      <c r="J117" s="203">
        <v>-439790</v>
      </c>
      <c r="K117" s="342">
        <v>421092</v>
      </c>
      <c r="L117" s="93">
        <v>1070845</v>
      </c>
      <c r="M117" s="347">
        <f>SUM(M114,M116)</f>
        <v>1288698</v>
      </c>
      <c r="N117" s="226"/>
      <c r="O117" s="370"/>
      <c r="P117" s="370"/>
      <c r="Q117" s="370"/>
      <c r="R117" s="226"/>
      <c r="S117" s="370"/>
      <c r="T117" s="370"/>
      <c r="U117" s="323"/>
      <c r="V117" s="370"/>
      <c r="W117" s="370"/>
      <c r="X117" s="370"/>
      <c r="Y117" s="323"/>
      <c r="Z117" s="370"/>
      <c r="AA117" s="370"/>
      <c r="AB117" s="370"/>
      <c r="AC117" s="370"/>
      <c r="AD117" s="370"/>
      <c r="AE117" s="370"/>
      <c r="AF117" s="370"/>
      <c r="AG117" s="370"/>
      <c r="AH117" s="370"/>
      <c r="AI117" s="370"/>
      <c r="AJ117" s="370">
        <f>SUM(AJ114,AJ116)</f>
        <v>445667</v>
      </c>
      <c r="AK117" s="370">
        <f>SUM(AK114,AK116)</f>
        <v>494939</v>
      </c>
      <c r="AL117" s="370">
        <f>SUM(AL114,AL116)</f>
        <v>-1982656</v>
      </c>
      <c r="AM117" s="370">
        <f>SUM(AM114,AM116)</f>
        <v>-2275938</v>
      </c>
      <c r="AN117" s="370">
        <f>SUM(AN114,AN116)</f>
        <v>-18698</v>
      </c>
      <c r="AO117" s="370"/>
      <c r="AP117" s="370"/>
      <c r="AQ117" s="370">
        <f>AJ117+D117</f>
        <v>725916</v>
      </c>
      <c r="AR117" s="370">
        <f>AL117+H117</f>
        <v>-3279609</v>
      </c>
      <c r="AS117" s="370"/>
      <c r="AT117" s="370">
        <f>SUM(AT114,AT116)</f>
        <v>-37344</v>
      </c>
      <c r="AU117" s="370">
        <f>SUM(AU114,AU116)</f>
        <v>408062</v>
      </c>
      <c r="AV117" s="370">
        <f>SUM(AV114,AV116)</f>
        <v>940606</v>
      </c>
      <c r="AW117" s="370">
        <f>SUM(AW114,AW116)</f>
        <v>-4258594</v>
      </c>
      <c r="AX117" s="370">
        <f>SUM(AX114,AX116)</f>
        <v>2340845</v>
      </c>
      <c r="AY117" s="370"/>
      <c r="AZ117" s="370"/>
      <c r="BA117" s="370"/>
      <c r="BB117" s="370"/>
      <c r="BC117" s="370"/>
    </row>
    <row r="118" spans="1:55" s="93" customFormat="1" x14ac:dyDescent="0.3">
      <c r="A118" s="103"/>
      <c r="B118" s="347"/>
      <c r="C118" s="347"/>
      <c r="D118" s="347"/>
      <c r="E118" s="347"/>
      <c r="F118" s="347"/>
      <c r="G118" s="347"/>
      <c r="H118" s="347"/>
      <c r="I118" s="347"/>
      <c r="J118" s="203"/>
      <c r="M118" s="347"/>
      <c r="N118" s="208"/>
      <c r="O118" s="347"/>
      <c r="P118" s="347"/>
      <c r="Q118" s="347"/>
      <c r="R118" s="208"/>
      <c r="S118" s="347"/>
      <c r="T118" s="347"/>
      <c r="U118" s="298"/>
      <c r="V118" s="347"/>
      <c r="W118" s="347"/>
      <c r="X118" s="347"/>
      <c r="Y118" s="298"/>
      <c r="Z118" s="347"/>
      <c r="AA118" s="347"/>
      <c r="AB118" s="347"/>
      <c r="AC118" s="347"/>
      <c r="AD118" s="347"/>
      <c r="AE118" s="347"/>
      <c r="AF118" s="347"/>
      <c r="AG118" s="347"/>
      <c r="AH118" s="347"/>
      <c r="AI118" s="347"/>
      <c r="AJ118" s="347"/>
      <c r="AK118" s="347"/>
      <c r="AL118" s="347"/>
      <c r="AM118" s="347"/>
      <c r="AN118" s="347"/>
      <c r="AO118" s="347"/>
      <c r="AQ118" s="448"/>
      <c r="AR118" s="448"/>
      <c r="AT118" s="347"/>
      <c r="AU118" s="347"/>
      <c r="AV118" s="347"/>
      <c r="AW118" s="347"/>
      <c r="AX118" s="347"/>
    </row>
    <row r="119" spans="1:55" s="93" customFormat="1" x14ac:dyDescent="0.3">
      <c r="A119" s="103" t="s">
        <v>199</v>
      </c>
      <c r="B119" s="347"/>
      <c r="C119" s="347"/>
      <c r="D119" s="347"/>
      <c r="E119" s="347"/>
      <c r="F119" s="347"/>
      <c r="G119" s="347"/>
      <c r="H119" s="347"/>
      <c r="I119" s="347"/>
      <c r="J119" s="203">
        <v>-2583124</v>
      </c>
      <c r="K119" s="342">
        <v>-1645735</v>
      </c>
      <c r="L119" s="93">
        <v>-1201845</v>
      </c>
      <c r="M119" s="347">
        <v>-1318445</v>
      </c>
      <c r="N119" s="208">
        <v>-1363717</v>
      </c>
      <c r="O119" s="347">
        <v>-1459539</v>
      </c>
      <c r="P119" s="347">
        <v>-2028909</v>
      </c>
      <c r="Q119" s="347">
        <v>-6002831</v>
      </c>
      <c r="R119" s="208">
        <v>-8044445</v>
      </c>
      <c r="S119" s="347">
        <v>-9238125</v>
      </c>
      <c r="T119" s="347">
        <v>-10906087</v>
      </c>
      <c r="U119" s="298">
        <v>-10205238</v>
      </c>
      <c r="V119" s="347">
        <v>-9024754</v>
      </c>
      <c r="W119" s="347"/>
      <c r="X119" s="347"/>
      <c r="Y119" s="298"/>
      <c r="Z119" s="347"/>
      <c r="AA119" s="347"/>
      <c r="AB119" s="347"/>
      <c r="AC119" s="347"/>
      <c r="AD119" s="347"/>
      <c r="AE119" s="347"/>
      <c r="AF119" s="347"/>
      <c r="AG119" s="347"/>
      <c r="AH119" s="347"/>
      <c r="AI119" s="347"/>
      <c r="AJ119" s="347"/>
      <c r="AK119" s="347"/>
      <c r="AL119" s="347"/>
      <c r="AM119" s="347"/>
      <c r="AN119" s="347"/>
      <c r="AO119" s="347"/>
      <c r="AQ119" s="448"/>
      <c r="AR119" s="448"/>
      <c r="AT119" s="347"/>
      <c r="AU119" s="347"/>
      <c r="AV119" s="347"/>
      <c r="AW119" s="347"/>
      <c r="AX119" s="347">
        <v>-6749149</v>
      </c>
      <c r="AY119" s="347">
        <v>-10854996</v>
      </c>
      <c r="AZ119" s="347">
        <v>-38393895</v>
      </c>
      <c r="BA119" s="159"/>
    </row>
    <row r="120" spans="1:55" x14ac:dyDescent="0.3">
      <c r="J120" s="182">
        <f t="shared" ref="J120:V120" si="55">J119/J114</f>
        <v>-0.64974329706130407</v>
      </c>
      <c r="K120" s="371">
        <f t="shared" si="55"/>
        <v>-0.35675181314813936</v>
      </c>
      <c r="L120" s="371">
        <f t="shared" si="55"/>
        <v>-0.20954347803345458</v>
      </c>
      <c r="M120" s="371">
        <f t="shared" si="55"/>
        <v>-0.21665003176351774</v>
      </c>
      <c r="N120" s="182">
        <f t="shared" si="55"/>
        <v>-0.32714923355865894</v>
      </c>
      <c r="O120" s="371">
        <f t="shared" si="55"/>
        <v>-0.25907014143307489</v>
      </c>
      <c r="P120" s="371">
        <f t="shared" si="55"/>
        <v>-0.24651438061000283</v>
      </c>
      <c r="Q120" s="371">
        <f t="shared" si="55"/>
        <v>-0.64936475021686668</v>
      </c>
      <c r="R120" s="182">
        <f t="shared" si="55"/>
        <v>-0.81615957289335395</v>
      </c>
      <c r="S120" s="371">
        <f t="shared" si="55"/>
        <v>-0.76779827142174317</v>
      </c>
      <c r="T120" s="371">
        <f t="shared" si="55"/>
        <v>-0.79470741905850006</v>
      </c>
      <c r="U120" s="324">
        <f t="shared" si="55"/>
        <v>-0.6954608692274431</v>
      </c>
      <c r="V120" s="371">
        <f t="shared" si="55"/>
        <v>-0.62280388361413874</v>
      </c>
      <c r="W120" s="371"/>
      <c r="X120" s="371"/>
      <c r="Y120" s="324"/>
      <c r="Z120" s="371"/>
      <c r="AA120" s="371"/>
      <c r="AB120" s="371"/>
      <c r="AC120" s="371"/>
      <c r="AD120" s="371"/>
      <c r="AE120" s="371"/>
      <c r="AF120" s="371"/>
      <c r="AG120" s="371"/>
      <c r="AH120" s="371"/>
      <c r="AI120" s="371"/>
      <c r="AX120" s="371">
        <f>AX119/AX114</f>
        <v>-0.3306809054097104</v>
      </c>
      <c r="AY120" s="371">
        <f>AY119/AY114</f>
        <v>-0.39795719386806211</v>
      </c>
      <c r="AZ120" s="371">
        <f>AZ119/AZ114</f>
        <v>-0.76351222869777358</v>
      </c>
    </row>
    <row r="121" spans="1:55" x14ac:dyDescent="0.3">
      <c r="A121" s="102" t="s">
        <v>136</v>
      </c>
      <c r="B121" s="349"/>
      <c r="C121" s="349"/>
      <c r="D121" s="349"/>
      <c r="E121" s="349"/>
      <c r="F121" s="349"/>
      <c r="G121" s="349"/>
      <c r="H121" s="349"/>
      <c r="I121" s="349"/>
      <c r="J121" s="210"/>
      <c r="K121" s="349"/>
      <c r="L121" s="349"/>
      <c r="M121" s="349"/>
      <c r="N121" s="210"/>
      <c r="O121" s="349"/>
      <c r="P121" s="349"/>
      <c r="Q121" s="349"/>
      <c r="R121" s="210"/>
      <c r="S121" s="349"/>
      <c r="T121" s="349"/>
      <c r="U121" s="300"/>
      <c r="V121" s="349"/>
      <c r="W121" s="349"/>
      <c r="X121" s="349"/>
      <c r="Y121" s="300"/>
      <c r="Z121" s="349"/>
      <c r="AA121" s="349"/>
      <c r="AB121" s="349"/>
      <c r="AC121" s="349"/>
      <c r="AD121" s="349"/>
      <c r="AE121" s="349"/>
      <c r="AF121" s="349"/>
      <c r="AG121" s="349"/>
      <c r="AH121" s="254"/>
      <c r="AI121" s="254"/>
      <c r="AJ121" s="349"/>
      <c r="AK121" s="349"/>
      <c r="AL121" s="349"/>
      <c r="AM121" s="349"/>
      <c r="AN121" s="349"/>
      <c r="AO121" s="349"/>
      <c r="AP121" s="349"/>
      <c r="AQ121" s="349"/>
      <c r="AR121" s="349"/>
      <c r="AS121" s="349"/>
      <c r="AT121" s="349"/>
      <c r="AU121" s="349"/>
      <c r="AV121" s="349"/>
      <c r="AW121" s="349"/>
      <c r="AX121" s="349"/>
      <c r="AY121" s="349"/>
      <c r="AZ121" s="349"/>
      <c r="BA121" s="349"/>
      <c r="BB121" s="349"/>
    </row>
    <row r="122" spans="1:55" s="353" customFormat="1" x14ac:dyDescent="0.3">
      <c r="A122" s="84" t="s">
        <v>185</v>
      </c>
      <c r="B122" s="352" t="str">
        <f>IFERROR(B108/#REF!,"")</f>
        <v/>
      </c>
      <c r="C122" s="352" t="str">
        <f>IFERROR(C108/#REF!,"")</f>
        <v/>
      </c>
      <c r="D122" s="352"/>
      <c r="E122" s="352"/>
      <c r="F122" s="352"/>
      <c r="G122" s="352"/>
      <c r="H122" s="352">
        <f t="shared" ref="H122:M122" si="56">IFERROR(H108/D108-1,"")</f>
        <v>0.82222222222222197</v>
      </c>
      <c r="I122" s="352">
        <f t="shared" si="56"/>
        <v>0.81944444444444464</v>
      </c>
      <c r="J122" s="189">
        <f t="shared" si="56"/>
        <v>0.22388059701492535</v>
      </c>
      <c r="K122" s="352">
        <f t="shared" si="56"/>
        <v>0.13846153846153841</v>
      </c>
      <c r="L122" s="352">
        <f t="shared" si="56"/>
        <v>0.14634146341463428</v>
      </c>
      <c r="M122" s="352">
        <f t="shared" si="56"/>
        <v>0.3282442748091603</v>
      </c>
      <c r="N122" s="189"/>
      <c r="O122" s="352"/>
      <c r="P122" s="352"/>
      <c r="Q122" s="352"/>
      <c r="R122" s="189"/>
      <c r="S122" s="352"/>
      <c r="T122" s="352"/>
      <c r="U122" s="275"/>
      <c r="V122" s="352"/>
      <c r="W122" s="352"/>
      <c r="X122" s="352"/>
      <c r="Y122" s="275"/>
      <c r="Z122" s="352"/>
      <c r="AA122" s="352"/>
      <c r="AB122" s="352"/>
      <c r="AC122" s="352"/>
      <c r="AD122" s="352"/>
      <c r="AE122" s="352"/>
      <c r="AF122" s="352"/>
      <c r="AG122" s="352"/>
      <c r="AH122" s="352"/>
      <c r="AI122" s="352"/>
      <c r="AJ122" s="352" t="str">
        <f>IFERROR(AJ108/#REF!,"")</f>
        <v/>
      </c>
      <c r="AL122" s="352">
        <f>IFERROR(AL108/AJ108-1,"")</f>
        <v>1.2372881355932202</v>
      </c>
      <c r="AM122" s="352">
        <f>IFERROR(AM108/AK108-1,"")</f>
        <v>0.82716049382716061</v>
      </c>
      <c r="AN122" s="352">
        <f>IFERROR(AN108/AL108-1,"")</f>
        <v>0.18181818181818188</v>
      </c>
      <c r="AO122" s="352"/>
      <c r="AQ122" s="352"/>
      <c r="AR122" s="352">
        <f>IFERROR(AR108/AQ108-1,"")</f>
        <v>1.0576923076923075</v>
      </c>
      <c r="AT122" s="352"/>
      <c r="AU122" s="352" t="str">
        <f>IFERROR(AU109/AT109-1,"")</f>
        <v/>
      </c>
      <c r="AV122" s="352">
        <f>IFERROR(AV108/AU108-1,"")</f>
        <v>0.4358974358974359</v>
      </c>
      <c r="AW122" s="352">
        <f>IFERROR(AW108/AV108-1,"")</f>
        <v>1</v>
      </c>
      <c r="AX122" s="352">
        <f>IFERROR(AX108/AW108-1,"")</f>
        <v>0.20178571428571423</v>
      </c>
      <c r="AY122" s="352"/>
      <c r="AZ122" s="352"/>
    </row>
    <row r="123" spans="1:55" s="353" customFormat="1" x14ac:dyDescent="0.3">
      <c r="A123" s="84" t="s">
        <v>221</v>
      </c>
      <c r="B123" s="352"/>
      <c r="C123" s="352"/>
      <c r="D123" s="352"/>
      <c r="E123" s="352">
        <f t="shared" ref="E123:M123" si="57">IFERROR(E108/D108-1,"")</f>
        <v>-0.20000000000000007</v>
      </c>
      <c r="F123" s="352">
        <f t="shared" si="57"/>
        <v>0.86111111111111116</v>
      </c>
      <c r="G123" s="352">
        <f t="shared" si="57"/>
        <v>-2.9850746268656581E-2</v>
      </c>
      <c r="H123" s="352">
        <f t="shared" si="57"/>
        <v>0.2615384615384615</v>
      </c>
      <c r="I123" s="352">
        <f t="shared" si="57"/>
        <v>-0.20121951219512191</v>
      </c>
      <c r="J123" s="189">
        <f t="shared" si="57"/>
        <v>0.25190839694656475</v>
      </c>
      <c r="K123" s="352">
        <f t="shared" si="57"/>
        <v>-9.7560975609755962E-2</v>
      </c>
      <c r="L123" s="352">
        <f t="shared" si="57"/>
        <v>0.27027027027027017</v>
      </c>
      <c r="M123" s="352">
        <f t="shared" si="57"/>
        <v>-7.4468085106383142E-2</v>
      </c>
      <c r="N123" s="189"/>
      <c r="O123" s="352"/>
      <c r="P123" s="352"/>
      <c r="Q123" s="352"/>
      <c r="R123" s="189"/>
      <c r="S123" s="352"/>
      <c r="T123" s="352"/>
      <c r="U123" s="275"/>
      <c r="V123" s="352"/>
      <c r="W123" s="352"/>
      <c r="X123" s="352"/>
      <c r="Y123" s="275"/>
      <c r="Z123" s="352"/>
      <c r="AA123" s="352"/>
      <c r="AB123" s="352"/>
      <c r="AC123" s="352"/>
      <c r="AD123" s="352"/>
      <c r="AE123" s="352"/>
      <c r="AF123" s="352"/>
      <c r="AG123" s="352"/>
      <c r="AH123" s="352"/>
      <c r="AI123" s="352"/>
      <c r="AJ123" s="352"/>
      <c r="AL123" s="352"/>
      <c r="AM123" s="352"/>
      <c r="AN123" s="352"/>
      <c r="AO123" s="352"/>
      <c r="AQ123" s="352"/>
      <c r="AR123" s="352"/>
      <c r="AT123" s="352"/>
      <c r="AU123" s="352"/>
      <c r="AV123" s="352"/>
      <c r="AW123" s="352"/>
      <c r="AX123" s="352"/>
      <c r="AY123" s="352"/>
      <c r="AZ123" s="352"/>
    </row>
    <row r="124" spans="1:55" s="353" customFormat="1" x14ac:dyDescent="0.3">
      <c r="A124" s="353" t="s">
        <v>188</v>
      </c>
      <c r="B124" s="352" t="str">
        <f>IFERROR(B110/#REF!,"")</f>
        <v/>
      </c>
      <c r="C124" s="352" t="str">
        <f>IFERROR(C110/#REF!,"")</f>
        <v/>
      </c>
      <c r="D124" s="352" t="str">
        <f>IFERROR(D110/#REF!,"")</f>
        <v/>
      </c>
      <c r="E124" s="352"/>
      <c r="F124" s="352" t="str">
        <f>IFERROR(F110/#REF!,"")</f>
        <v/>
      </c>
      <c r="G124" s="352"/>
      <c r="H124" s="352"/>
      <c r="I124" s="92"/>
      <c r="J124" s="240"/>
      <c r="K124" s="92"/>
      <c r="N124" s="190"/>
      <c r="R124" s="190"/>
      <c r="U124" s="276"/>
      <c r="Y124" s="276"/>
      <c r="AJ124" s="352"/>
      <c r="AL124" s="352">
        <f t="shared" ref="AL124:AN125" si="58">IFERROR(AL110/AJ110-1,"")</f>
        <v>5.553402389819988</v>
      </c>
      <c r="AM124" s="352">
        <f t="shared" si="58"/>
        <v>1.8471832282413585</v>
      </c>
      <c r="AN124" s="352">
        <f t="shared" si="58"/>
        <v>0.77009303192922118</v>
      </c>
      <c r="AO124" s="352"/>
      <c r="AQ124" s="352"/>
      <c r="AR124" s="352"/>
      <c r="AT124" s="352"/>
      <c r="AU124" s="352" t="str">
        <f t="shared" ref="AU124:AZ125" si="59">IFERROR(AU110/AT110-1,"")</f>
        <v/>
      </c>
      <c r="AV124" s="352">
        <f t="shared" si="59"/>
        <v>2.872646128970771</v>
      </c>
      <c r="AW124" s="352">
        <f t="shared" si="59"/>
        <v>2.8200157502766481</v>
      </c>
      <c r="AX124" s="352">
        <f t="shared" si="59"/>
        <v>0.86608303587534397</v>
      </c>
      <c r="AY124" s="352">
        <f t="shared" si="59"/>
        <v>0.29239792536494691</v>
      </c>
      <c r="AZ124" s="352">
        <f t="shared" si="59"/>
        <v>0.57669568696835061</v>
      </c>
    </row>
    <row r="125" spans="1:55" s="353" customFormat="1" x14ac:dyDescent="0.3">
      <c r="A125" s="353" t="s">
        <v>189</v>
      </c>
      <c r="B125" s="352" t="str">
        <f>IFERROR(B111/#REF!,"")</f>
        <v/>
      </c>
      <c r="C125" s="352" t="str">
        <f>IFERROR(C111/#REF!,"")</f>
        <v/>
      </c>
      <c r="D125" s="352" t="str">
        <f>IFERROR(D111/#REF!,"")</f>
        <v/>
      </c>
      <c r="E125" s="352"/>
      <c r="F125" s="352" t="str">
        <f>IFERROR(F111/#REF!,"")</f>
        <v/>
      </c>
      <c r="G125" s="352"/>
      <c r="H125" s="352"/>
      <c r="I125" s="352"/>
      <c r="J125" s="189"/>
      <c r="K125" s="352"/>
      <c r="N125" s="190"/>
      <c r="R125" s="190"/>
      <c r="U125" s="276"/>
      <c r="Y125" s="276"/>
      <c r="AJ125" s="352"/>
      <c r="AL125" s="352">
        <f t="shared" si="58"/>
        <v>-0.18937296518130076</v>
      </c>
      <c r="AM125" s="352">
        <f t="shared" si="58"/>
        <v>0.12922425529791637</v>
      </c>
      <c r="AN125" s="352">
        <f t="shared" si="58"/>
        <v>-0.4431281655077689</v>
      </c>
      <c r="AO125" s="352"/>
      <c r="AQ125" s="352"/>
      <c r="AR125" s="352"/>
      <c r="AT125" s="352"/>
      <c r="AU125" s="352">
        <f t="shared" si="59"/>
        <v>7.4727937238098239</v>
      </c>
      <c r="AV125" s="352">
        <f t="shared" si="59"/>
        <v>0.26981459032121324</v>
      </c>
      <c r="AW125" s="352">
        <f t="shared" si="59"/>
        <v>-5.8481415970668471E-2</v>
      </c>
      <c r="AX125" s="352">
        <f t="shared" si="59"/>
        <v>-0.31616828301804634</v>
      </c>
      <c r="AY125" s="352">
        <f t="shared" si="59"/>
        <v>0.47640728476821192</v>
      </c>
      <c r="AZ125" s="352">
        <f t="shared" si="59"/>
        <v>2.0278037073663651</v>
      </c>
    </row>
    <row r="126" spans="1:55" s="353" customFormat="1" x14ac:dyDescent="0.3">
      <c r="A126" s="353" t="s">
        <v>190</v>
      </c>
      <c r="B126" s="352" t="str">
        <f>IFERROR(B113/#REF!,"")</f>
        <v/>
      </c>
      <c r="C126" s="352" t="str">
        <f>IFERROR(C113/#REF!,"")</f>
        <v/>
      </c>
      <c r="D126" s="352" t="str">
        <f>IFERROR(D113/#REF!,"")</f>
        <v/>
      </c>
      <c r="E126" s="352"/>
      <c r="F126" s="352" t="str">
        <f>IFERROR(F113/#REF!,"")</f>
        <v/>
      </c>
      <c r="G126" s="352"/>
      <c r="H126" s="352"/>
      <c r="I126" s="352"/>
      <c r="J126" s="189"/>
      <c r="K126" s="352"/>
      <c r="N126" s="190"/>
      <c r="R126" s="190"/>
      <c r="U126" s="276"/>
      <c r="Y126" s="276"/>
      <c r="AJ126" s="352"/>
      <c r="AL126" s="352">
        <f t="shared" ref="AL126:AN127" si="60">IFERROR(AL113/AJ113-1,"")</f>
        <v>6.2042442790317347</v>
      </c>
      <c r="AM126" s="352">
        <f t="shared" si="60"/>
        <v>7.0457870902227882</v>
      </c>
      <c r="AN126" s="352">
        <f t="shared" si="60"/>
        <v>1.7974850514794958</v>
      </c>
      <c r="AO126" s="352"/>
      <c r="AQ126" s="352"/>
      <c r="AR126" s="352"/>
      <c r="AT126" s="352"/>
      <c r="AU126" s="352">
        <f t="shared" ref="AU126:AZ127" si="61">IFERROR(AU113/AT113-1,"")</f>
        <v>5.3590398761130471</v>
      </c>
      <c r="AV126" s="352">
        <f t="shared" si="61"/>
        <v>3.5156566456017311</v>
      </c>
      <c r="AW126" s="352">
        <f t="shared" si="61"/>
        <v>6.7941832079182287</v>
      </c>
      <c r="AX126" s="352">
        <f t="shared" si="61"/>
        <v>0.84394488208044893</v>
      </c>
      <c r="AY126" s="352">
        <f t="shared" si="61"/>
        <v>0.34609948984154659</v>
      </c>
      <c r="AZ126" s="352">
        <f t="shared" si="61"/>
        <v>0.89297767584731536</v>
      </c>
    </row>
    <row r="127" spans="1:55" s="353" customFormat="1" x14ac:dyDescent="0.3">
      <c r="A127" s="353" t="s">
        <v>191</v>
      </c>
      <c r="B127" s="92" t="str">
        <f>IFERROR(B114/#REF!,"")</f>
        <v/>
      </c>
      <c r="C127" s="92" t="str">
        <f>IFERROR(C114/#REF!,"")</f>
        <v/>
      </c>
      <c r="D127" s="92"/>
      <c r="E127" s="92"/>
      <c r="F127" s="92"/>
      <c r="G127" s="92"/>
      <c r="H127" s="352">
        <f t="shared" ref="H127:V127" si="62">H114/D114-1</f>
        <v>4.7130376476945486</v>
      </c>
      <c r="I127" s="352">
        <f t="shared" si="62"/>
        <v>4.6207622387067699</v>
      </c>
      <c r="J127" s="189">
        <f t="shared" si="62"/>
        <v>2.6780627571359714</v>
      </c>
      <c r="K127" s="352">
        <f t="shared" si="62"/>
        <v>0.85109082570022188</v>
      </c>
      <c r="L127" s="352">
        <f t="shared" si="62"/>
        <v>0.65394627300203512</v>
      </c>
      <c r="M127" s="352">
        <f t="shared" si="62"/>
        <v>0.44790286466257889</v>
      </c>
      <c r="N127" s="189">
        <f t="shared" si="62"/>
        <v>4.8515610320637892E-2</v>
      </c>
      <c r="O127" s="352">
        <f t="shared" si="62"/>
        <v>0.22125013738023536</v>
      </c>
      <c r="P127" s="352">
        <f t="shared" si="62"/>
        <v>0.43498049006719497</v>
      </c>
      <c r="Q127" s="352">
        <f t="shared" si="62"/>
        <v>0.51902228836015785</v>
      </c>
      <c r="R127" s="189">
        <f t="shared" si="62"/>
        <v>1.3645181967745605</v>
      </c>
      <c r="S127" s="352">
        <f t="shared" si="62"/>
        <v>1.1356907287495384</v>
      </c>
      <c r="T127" s="352">
        <f t="shared" si="62"/>
        <v>0.66740608097698439</v>
      </c>
      <c r="U127" s="275">
        <f t="shared" si="62"/>
        <v>0.58738777643266404</v>
      </c>
      <c r="V127" s="352">
        <f t="shared" si="62"/>
        <v>0.47015475432815079</v>
      </c>
      <c r="W127" s="352"/>
      <c r="X127" s="352"/>
      <c r="Y127" s="275"/>
      <c r="Z127" s="352"/>
      <c r="AA127" s="352"/>
      <c r="AB127" s="352"/>
      <c r="AC127" s="352"/>
      <c r="AD127" s="352"/>
      <c r="AE127" s="352"/>
      <c r="AF127" s="352"/>
      <c r="AG127" s="352"/>
      <c r="AH127" s="352"/>
      <c r="AI127" s="352"/>
      <c r="AJ127" s="352"/>
      <c r="AL127" s="352">
        <f t="shared" si="60"/>
        <v>4.1897158510741823</v>
      </c>
      <c r="AM127" s="352">
        <f t="shared" si="60"/>
        <v>4.6621057347868673</v>
      </c>
      <c r="AN127" s="352">
        <f t="shared" si="60"/>
        <v>1.4037828155611529</v>
      </c>
      <c r="AO127" s="352"/>
      <c r="AQ127" s="352"/>
      <c r="AR127" s="352"/>
      <c r="AT127" s="352"/>
      <c r="AU127" s="352">
        <f t="shared" si="61"/>
        <v>8.469411497644856</v>
      </c>
      <c r="AV127" s="352">
        <f t="shared" si="61"/>
        <v>2.0613057014691911</v>
      </c>
      <c r="AW127" s="352">
        <f t="shared" si="61"/>
        <v>4.5029325915064478</v>
      </c>
      <c r="AX127" s="352">
        <f t="shared" si="61"/>
        <v>0.81520413766336297</v>
      </c>
      <c r="AY127" s="352">
        <f t="shared" si="61"/>
        <v>0.33645213728623435</v>
      </c>
      <c r="AZ127" s="352">
        <f t="shared" si="61"/>
        <v>0.84354128434380105</v>
      </c>
    </row>
    <row r="128" spans="1:55" s="353" customFormat="1" x14ac:dyDescent="0.3">
      <c r="A128" s="103" t="s">
        <v>199</v>
      </c>
      <c r="B128" s="92"/>
      <c r="C128" s="92"/>
      <c r="D128" s="92"/>
      <c r="E128" s="92"/>
      <c r="F128" s="92"/>
      <c r="G128" s="92"/>
      <c r="H128" s="352"/>
      <c r="I128" s="352"/>
      <c r="J128" s="189"/>
      <c r="K128" s="352"/>
      <c r="L128" s="352"/>
      <c r="M128" s="352"/>
      <c r="N128" s="189">
        <f t="shared" ref="N128:V128" si="63">N119/J119-1</f>
        <v>-0.47206676876526255</v>
      </c>
      <c r="O128" s="352">
        <f t="shared" si="63"/>
        <v>-0.11313850650317336</v>
      </c>
      <c r="P128" s="352">
        <f t="shared" si="63"/>
        <v>0.68816195100033695</v>
      </c>
      <c r="Q128" s="352">
        <f t="shared" si="63"/>
        <v>3.552962770536503</v>
      </c>
      <c r="R128" s="189">
        <f t="shared" si="63"/>
        <v>4.8989108444054006</v>
      </c>
      <c r="S128" s="352">
        <f t="shared" si="63"/>
        <v>5.3294814321508364</v>
      </c>
      <c r="T128" s="352">
        <f t="shared" si="63"/>
        <v>4.3753455674946489</v>
      </c>
      <c r="U128" s="275">
        <f t="shared" si="63"/>
        <v>0.70007084990398694</v>
      </c>
      <c r="V128" s="352">
        <f t="shared" si="63"/>
        <v>0.12186160760624265</v>
      </c>
      <c r="W128" s="352"/>
      <c r="X128" s="352"/>
      <c r="Y128" s="275"/>
      <c r="Z128" s="352"/>
      <c r="AA128" s="352"/>
      <c r="AB128" s="352"/>
      <c r="AC128" s="352"/>
      <c r="AD128" s="352"/>
      <c r="AE128" s="352"/>
      <c r="AF128" s="352"/>
      <c r="AG128" s="352"/>
      <c r="AH128" s="352"/>
      <c r="AI128" s="352"/>
      <c r="AJ128" s="352"/>
      <c r="AL128" s="352"/>
      <c r="AM128" s="352"/>
      <c r="AN128" s="352"/>
      <c r="AO128" s="352"/>
      <c r="AQ128" s="352"/>
      <c r="AR128" s="352"/>
      <c r="AT128" s="352"/>
      <c r="AU128" s="352"/>
      <c r="AV128" s="352"/>
      <c r="AW128" s="352"/>
      <c r="AX128" s="352"/>
      <c r="AY128" s="352">
        <f>AY119/AX119-1</f>
        <v>0.60835032683379797</v>
      </c>
      <c r="AZ128" s="352">
        <f>AZ119/AY119-1</f>
        <v>2.5369791937279387</v>
      </c>
    </row>
    <row r="129" spans="1:56" x14ac:dyDescent="0.3">
      <c r="B129" s="54"/>
      <c r="C129" s="54"/>
      <c r="D129" s="54"/>
      <c r="E129" s="54"/>
      <c r="F129" s="54"/>
      <c r="G129" s="54"/>
      <c r="H129" s="54"/>
      <c r="I129" s="54"/>
      <c r="J129" s="237"/>
      <c r="K129" s="54"/>
      <c r="AJ129" s="54"/>
      <c r="AL129" s="54"/>
      <c r="AM129" s="54"/>
      <c r="AN129" s="54"/>
      <c r="AO129" s="54"/>
      <c r="AQ129" s="54"/>
      <c r="AR129" s="54"/>
      <c r="AT129" s="54"/>
      <c r="AU129" s="54"/>
      <c r="AV129" s="54"/>
      <c r="AW129" s="54"/>
    </row>
    <row r="130" spans="1:56" x14ac:dyDescent="0.3">
      <c r="A130" s="102" t="s">
        <v>194</v>
      </c>
      <c r="B130" s="349"/>
      <c r="C130" s="349"/>
      <c r="D130" s="349"/>
      <c r="E130" s="349"/>
      <c r="F130" s="349"/>
      <c r="G130" s="349"/>
      <c r="H130" s="349"/>
      <c r="I130" s="349"/>
      <c r="J130" s="210"/>
      <c r="K130" s="349"/>
      <c r="L130" s="349"/>
      <c r="M130" s="349"/>
      <c r="N130" s="210"/>
      <c r="O130" s="349"/>
      <c r="P130" s="349"/>
      <c r="Q130" s="359">
        <f t="shared" ref="Q130:V130" si="64">Q119/M119-1</f>
        <v>3.552962770536503</v>
      </c>
      <c r="R130" s="245">
        <f t="shared" si="64"/>
        <v>4.8989108444054006</v>
      </c>
      <c r="S130" s="359">
        <f t="shared" si="64"/>
        <v>5.3294814321508364</v>
      </c>
      <c r="T130" s="359">
        <f t="shared" si="64"/>
        <v>4.3753455674946489</v>
      </c>
      <c r="U130" s="311">
        <f t="shared" si="64"/>
        <v>0.70007084990398694</v>
      </c>
      <c r="V130" s="359">
        <f t="shared" si="64"/>
        <v>0.12186160760624265</v>
      </c>
      <c r="W130" s="359"/>
      <c r="X130" s="359"/>
      <c r="Y130" s="311"/>
      <c r="Z130" s="359"/>
      <c r="AA130" s="359"/>
      <c r="AB130" s="359"/>
      <c r="AC130" s="359"/>
      <c r="AD130" s="359"/>
      <c r="AE130" s="359"/>
      <c r="AF130" s="359"/>
      <c r="AG130" s="359"/>
      <c r="AH130" s="254"/>
      <c r="AI130" s="254"/>
      <c r="AJ130" s="349"/>
      <c r="AK130" s="349"/>
      <c r="AL130" s="349"/>
      <c r="AM130" s="349"/>
      <c r="AN130" s="349"/>
      <c r="AO130" s="349"/>
      <c r="AP130" s="349"/>
      <c r="AQ130" s="349"/>
      <c r="AR130" s="349"/>
      <c r="AS130" s="349"/>
      <c r="AT130" s="349"/>
      <c r="AU130" s="349"/>
      <c r="AV130" s="349"/>
      <c r="AW130" s="349"/>
      <c r="AX130" s="349"/>
      <c r="AY130" s="349"/>
      <c r="AZ130" s="349"/>
      <c r="BA130" s="349"/>
      <c r="BB130" s="349"/>
    </row>
    <row r="131" spans="1:56" s="93" customFormat="1" x14ac:dyDescent="0.3">
      <c r="A131" s="83" t="s">
        <v>195</v>
      </c>
      <c r="B131" s="373" t="str">
        <f>IFERROR(B110/B108,"")</f>
        <v/>
      </c>
      <c r="C131" s="373" t="str">
        <f>IFERROR(C110/C108,"")</f>
        <v/>
      </c>
      <c r="D131" s="373"/>
      <c r="E131" s="373"/>
      <c r="F131" s="373">
        <f>IFERROR(F110/F108,"")</f>
        <v>0</v>
      </c>
      <c r="G131" s="373"/>
      <c r="H131" s="373"/>
      <c r="I131" s="373"/>
      <c r="J131" s="228"/>
      <c r="K131" s="373"/>
      <c r="N131" s="212"/>
      <c r="R131" s="212"/>
      <c r="U131" s="305"/>
      <c r="Y131" s="305"/>
      <c r="AJ131" s="373">
        <f>IFERROR(AJ110/AJ108/1000000,"")</f>
        <v>1.31064406779661E-2</v>
      </c>
      <c r="AK131" s="373">
        <f>IFERROR(AK110/AK108/1000000,"")</f>
        <v>2.6823456790123459E-2</v>
      </c>
      <c r="AL131" s="373">
        <f>IFERROR(AL110/AL108/1000000,"")</f>
        <v>3.8391022727272725E-2</v>
      </c>
      <c r="AM131" s="373">
        <f>IFERROR(AM110/AM108/1000000,"")</f>
        <v>4.1797804054054054E-2</v>
      </c>
      <c r="AN131" s="373">
        <f>IFERROR(AN110/AN108/1000000,"")</f>
        <v>5.7500961538461542E-2</v>
      </c>
      <c r="AO131" s="373"/>
      <c r="AQ131" s="373"/>
      <c r="AR131" s="373"/>
      <c r="AT131" s="373">
        <f>IFERROR(AT110/AT108/1000000,"")</f>
        <v>0</v>
      </c>
      <c r="AU131" s="373">
        <f>IFERROR(AU110/AU108/1000000,"")</f>
        <v>7.8022051282051284E-3</v>
      </c>
      <c r="AV131" s="373">
        <f>IFERROR(AV110/AV108/1000000,"")</f>
        <v>2.1042714285714286E-2</v>
      </c>
      <c r="AW131" s="373">
        <f>IFERROR(AW110/AW108/1000000,"")</f>
        <v>4.0191749999999998E-2</v>
      </c>
      <c r="AX131" s="373">
        <f>IFERROR(AX110/AX108/1000000,"")</f>
        <v>6.2408083209509663E-2</v>
      </c>
      <c r="AY131" s="373"/>
      <c r="AZ131" s="373"/>
    </row>
    <row r="132" spans="1:56" s="93" customFormat="1" x14ac:dyDescent="0.3">
      <c r="A132" s="83" t="s">
        <v>196</v>
      </c>
      <c r="B132" s="373"/>
      <c r="C132" s="373"/>
      <c r="D132" s="373">
        <f t="shared" ref="D132:N132" si="65">IFERROR(D114/(D108*1000000),"")</f>
        <v>6.7444000000000004E-2</v>
      </c>
      <c r="E132" s="373">
        <f t="shared" si="65"/>
        <v>0.10385708333333335</v>
      </c>
      <c r="F132" s="373">
        <f t="shared" si="65"/>
        <v>8.0663955223880604E-2</v>
      </c>
      <c r="G132" s="373">
        <f t="shared" si="65"/>
        <v>0.19170023076923076</v>
      </c>
      <c r="H132" s="373">
        <f t="shared" si="65"/>
        <v>0.21145067073170734</v>
      </c>
      <c r="I132" s="373">
        <f t="shared" si="65"/>
        <v>0.32084297709923665</v>
      </c>
      <c r="J132" s="228">
        <f t="shared" si="65"/>
        <v>0.24241506097560978</v>
      </c>
      <c r="K132" s="373">
        <f t="shared" si="65"/>
        <v>0.31169655405405405</v>
      </c>
      <c r="L132" s="373">
        <f t="shared" si="65"/>
        <v>0.30508191489361702</v>
      </c>
      <c r="M132" s="373">
        <f t="shared" si="65"/>
        <v>0.34974701149425286</v>
      </c>
      <c r="N132" s="228" t="str">
        <f t="shared" si="65"/>
        <v/>
      </c>
      <c r="O132" s="373"/>
      <c r="P132" s="373"/>
      <c r="Q132" s="373"/>
      <c r="R132" s="228"/>
      <c r="S132" s="373"/>
      <c r="T132" s="373"/>
      <c r="U132" s="326"/>
      <c r="V132" s="373"/>
      <c r="W132" s="373"/>
      <c r="X132" s="373"/>
      <c r="Y132" s="326"/>
      <c r="Z132" s="373"/>
      <c r="AA132" s="373"/>
      <c r="AB132" s="373"/>
      <c r="AC132" s="373"/>
      <c r="AD132" s="373"/>
      <c r="AE132" s="373"/>
      <c r="AF132" s="373"/>
      <c r="AG132" s="373"/>
      <c r="AH132" s="373"/>
      <c r="AI132" s="373"/>
      <c r="AJ132" s="373">
        <f>IFERROR(AJ114/(AJ108*1000000),"")</f>
        <v>5.8345508474576271E-2</v>
      </c>
      <c r="AK132" s="373">
        <f>IFERROR(AK114/(AK108*1000000),"")</f>
        <v>8.3627592592592587E-2</v>
      </c>
      <c r="AL132" s="373">
        <f>IFERROR(AL114/(AL108*1000000),"")</f>
        <v>0.1353409090909091</v>
      </c>
      <c r="AM132" s="373">
        <f>IFERROR(AM114/(AM108*1000000),"")</f>
        <v>0.25914979729729731</v>
      </c>
      <c r="AN132" s="373">
        <f>IFERROR(AN114/(AN108*1000000),"")</f>
        <v>0.27527935897435896</v>
      </c>
      <c r="AO132" s="373"/>
      <c r="AQ132" s="373"/>
      <c r="AR132" s="373"/>
      <c r="AT132" s="373">
        <f>IFERROR(AT114/(AT108*1000000),"")</f>
        <v>3.9157777777777776E-3</v>
      </c>
      <c r="AU132" s="373">
        <f>IFERROR(AU114/(AU108*1000000),"")</f>
        <v>3.4227794871794871E-2</v>
      </c>
      <c r="AV132" s="373">
        <f>IFERROR(AV114/(AV108*1000000),"")</f>
        <v>7.2972999999999996E-2</v>
      </c>
      <c r="AW132" s="373">
        <f>IFERROR(AW114/(AW108*1000000),"")</f>
        <v>0.20078275000000001</v>
      </c>
      <c r="AX132" s="373">
        <f>IFERROR(AX114/(AX108*1000000),"")</f>
        <v>0.30326677563150073</v>
      </c>
      <c r="AY132" s="373"/>
      <c r="AZ132" s="373"/>
    </row>
    <row r="133" spans="1:56" s="93" customFormat="1" x14ac:dyDescent="0.3">
      <c r="A133" s="93" t="s">
        <v>25</v>
      </c>
      <c r="B133" s="373" t="str">
        <f t="shared" ref="B133:M133" si="66">IFERROR(B117/B114,"")</f>
        <v/>
      </c>
      <c r="C133" s="373" t="str">
        <f t="shared" si="66"/>
        <v/>
      </c>
      <c r="D133" s="355">
        <f t="shared" si="66"/>
        <v>0.46169826489795651</v>
      </c>
      <c r="E133" s="355">
        <f t="shared" si="66"/>
        <v>0.2871066141907081</v>
      </c>
      <c r="F133" s="355">
        <f t="shared" si="66"/>
        <v>-7.316238272471845E-2</v>
      </c>
      <c r="G133" s="355">
        <f t="shared" si="66"/>
        <v>-0.76384282672104642</v>
      </c>
      <c r="H133" s="355">
        <f t="shared" si="66"/>
        <v>-0.37399975950107722</v>
      </c>
      <c r="I133" s="355">
        <f t="shared" si="66"/>
        <v>-0.23292290847369393</v>
      </c>
      <c r="J133" s="192">
        <f t="shared" si="66"/>
        <v>-0.11062210122881865</v>
      </c>
      <c r="K133" s="355">
        <f t="shared" si="66"/>
        <v>9.1281606396033568E-2</v>
      </c>
      <c r="L133" s="355">
        <f t="shared" si="66"/>
        <v>0.18670343158621508</v>
      </c>
      <c r="M133" s="355">
        <f t="shared" si="66"/>
        <v>0.21176193366699542</v>
      </c>
      <c r="N133" s="192"/>
      <c r="O133" s="355"/>
      <c r="P133" s="355"/>
      <c r="Q133" s="355"/>
      <c r="R133" s="192"/>
      <c r="S133" s="355"/>
      <c r="T133" s="355"/>
      <c r="U133" s="278"/>
      <c r="V133" s="355"/>
      <c r="W133" s="355"/>
      <c r="X133" s="355"/>
      <c r="Y133" s="278"/>
      <c r="Z133" s="355"/>
      <c r="AA133" s="355"/>
      <c r="AB133" s="355"/>
      <c r="AC133" s="355"/>
      <c r="AD133" s="355"/>
      <c r="AE133" s="355"/>
      <c r="AF133" s="355"/>
      <c r="AG133" s="355"/>
      <c r="AH133" s="355"/>
      <c r="AI133" s="355"/>
      <c r="AJ133" s="355">
        <f>IFERROR(AJ117/AJ114,"")</f>
        <v>0.64732300425431788</v>
      </c>
      <c r="AK133" s="355">
        <f>IFERROR(AK117/AK114,"")</f>
        <v>0.36533145551965762</v>
      </c>
      <c r="AL133" s="355">
        <f>IFERROR(AL117/AL114,"")</f>
        <v>-0.55489952420934785</v>
      </c>
      <c r="AM133" s="355">
        <f>IFERROR(AM117/AM114,"")</f>
        <v>-0.29670020235087868</v>
      </c>
      <c r="AN133" s="355">
        <f>IFERROR(AN117/AN114,"")</f>
        <v>-2.1770425288250303E-3</v>
      </c>
      <c r="AO133" s="355"/>
      <c r="AP133" s="112"/>
      <c r="AQ133" s="355"/>
      <c r="AR133" s="355"/>
      <c r="AS133" s="112"/>
      <c r="AT133" s="355">
        <f>IFERROR(AT117/AT114,"")</f>
        <v>-0.52982237103456109</v>
      </c>
      <c r="AU133" s="355">
        <f>IFERROR(AU117/AU114,"")</f>
        <v>0.61138196277729007</v>
      </c>
      <c r="AV133" s="355">
        <f>IFERROR(AV117/AV114,"")</f>
        <v>0.46034932685474667</v>
      </c>
      <c r="AW133" s="355">
        <f>IFERROR(AW117/AW114,"")</f>
        <v>-0.37874927715937462</v>
      </c>
      <c r="AX133" s="373">
        <f>IFERROR(AX117/AX114,"")</f>
        <v>0.11469190323458463</v>
      </c>
      <c r="AY133" s="373"/>
      <c r="AZ133" s="373"/>
    </row>
    <row r="134" spans="1:56" x14ac:dyDescent="0.3">
      <c r="A134" s="344" t="s">
        <v>183</v>
      </c>
      <c r="J134" s="182">
        <f t="shared" ref="J134:V134" si="67">J119/J114</f>
        <v>-0.64974329706130407</v>
      </c>
      <c r="K134" s="371">
        <f t="shared" si="67"/>
        <v>-0.35675181314813936</v>
      </c>
      <c r="L134" s="371">
        <f t="shared" si="67"/>
        <v>-0.20954347803345458</v>
      </c>
      <c r="M134" s="371">
        <f t="shared" si="67"/>
        <v>-0.21665003176351774</v>
      </c>
      <c r="N134" s="182">
        <f t="shared" si="67"/>
        <v>-0.32714923355865894</v>
      </c>
      <c r="O134" s="371">
        <f t="shared" si="67"/>
        <v>-0.25907014143307489</v>
      </c>
      <c r="P134" s="371">
        <f t="shared" si="67"/>
        <v>-0.24651438061000283</v>
      </c>
      <c r="Q134" s="371">
        <f t="shared" si="67"/>
        <v>-0.64936475021686668</v>
      </c>
      <c r="R134" s="182">
        <f t="shared" si="67"/>
        <v>-0.81615957289335395</v>
      </c>
      <c r="S134" s="371">
        <f t="shared" si="67"/>
        <v>-0.76779827142174317</v>
      </c>
      <c r="T134" s="371">
        <f t="shared" si="67"/>
        <v>-0.79470741905850006</v>
      </c>
      <c r="U134" s="324">
        <f t="shared" si="67"/>
        <v>-0.6954608692274431</v>
      </c>
      <c r="V134" s="371">
        <f t="shared" si="67"/>
        <v>-0.62280388361413874</v>
      </c>
      <c r="W134" s="371"/>
      <c r="X134" s="371"/>
      <c r="Y134" s="324"/>
      <c r="Z134" s="371"/>
      <c r="AA134" s="371"/>
      <c r="AB134" s="371"/>
      <c r="AC134" s="371"/>
      <c r="AD134" s="371"/>
      <c r="AE134" s="371"/>
      <c r="AF134" s="371"/>
      <c r="AG134" s="371"/>
      <c r="AH134" s="371"/>
      <c r="AI134" s="371"/>
      <c r="AX134" s="371">
        <f>AX119/AX114</f>
        <v>-0.3306809054097104</v>
      </c>
      <c r="AY134" s="371">
        <f>AY119/AY114</f>
        <v>-0.39795719386806211</v>
      </c>
      <c r="AZ134" s="371">
        <f>AZ119/AZ114</f>
        <v>-0.76351222869777358</v>
      </c>
    </row>
    <row r="135" spans="1:56" x14ac:dyDescent="0.3">
      <c r="A135" s="71" t="s">
        <v>222</v>
      </c>
      <c r="B135" s="337"/>
      <c r="C135" s="337"/>
      <c r="D135" s="337"/>
      <c r="E135" s="337"/>
      <c r="F135" s="337"/>
      <c r="G135" s="337"/>
      <c r="H135" s="337"/>
      <c r="I135" s="337"/>
      <c r="J135" s="199"/>
      <c r="K135" s="337"/>
      <c r="L135" s="337"/>
      <c r="M135" s="337"/>
      <c r="N135" s="199"/>
      <c r="O135" s="337"/>
      <c r="P135" s="337"/>
      <c r="Q135" s="337"/>
      <c r="R135" s="199"/>
      <c r="S135" s="337"/>
      <c r="T135" s="337"/>
      <c r="U135" s="287"/>
      <c r="V135" s="337"/>
      <c r="W135" s="337"/>
      <c r="X135" s="337"/>
      <c r="Y135" s="287"/>
      <c r="Z135" s="337"/>
      <c r="AA135" s="337"/>
      <c r="AB135" s="337"/>
      <c r="AC135" s="337"/>
      <c r="AD135" s="337"/>
      <c r="AE135" s="337"/>
      <c r="AF135" s="337"/>
      <c r="AG135" s="337"/>
      <c r="AJ135" s="337"/>
      <c r="AK135" s="61"/>
      <c r="AL135" s="337"/>
      <c r="AM135" s="337"/>
      <c r="AN135" s="337"/>
      <c r="AO135" s="337"/>
      <c r="AP135" s="337"/>
      <c r="AQ135" s="337"/>
      <c r="AR135" s="337"/>
      <c r="AS135" s="337"/>
      <c r="AT135" s="337"/>
      <c r="AU135" s="337"/>
      <c r="AV135" s="337"/>
      <c r="AW135" s="62"/>
      <c r="AX135" s="337"/>
      <c r="AY135" s="337"/>
      <c r="AZ135" s="337"/>
      <c r="BA135" s="337"/>
      <c r="BB135" s="337"/>
    </row>
    <row r="136" spans="1:56" s="156" customFormat="1" x14ac:dyDescent="0.3">
      <c r="A136" s="103" t="s">
        <v>168</v>
      </c>
      <c r="B136" s="80"/>
      <c r="C136" s="80"/>
      <c r="D136" s="80">
        <v>104.1</v>
      </c>
      <c r="E136" s="94">
        <f>AV136-AJ136-D136</f>
        <v>104.1</v>
      </c>
      <c r="F136" s="94">
        <f>AL136-G136</f>
        <v>108.2</v>
      </c>
      <c r="G136" s="80">
        <v>123.7</v>
      </c>
      <c r="H136" s="80">
        <v>145.69999999999999</v>
      </c>
      <c r="I136" s="80">
        <v>138</v>
      </c>
      <c r="J136" s="216">
        <v>138.4</v>
      </c>
      <c r="K136" s="156">
        <v>159.19999999999999</v>
      </c>
      <c r="L136" s="156">
        <v>194.6</v>
      </c>
      <c r="M136" s="156">
        <v>189.9</v>
      </c>
      <c r="N136" s="216"/>
      <c r="R136" s="216"/>
      <c r="U136" s="313"/>
      <c r="Y136" s="313"/>
      <c r="AJ136" s="80">
        <v>149</v>
      </c>
      <c r="AK136" s="87">
        <f>AV136-AJ136</f>
        <v>208.2</v>
      </c>
      <c r="AL136" s="80">
        <v>231.9</v>
      </c>
      <c r="AM136" s="87">
        <f>AW136-AL136</f>
        <v>283.70000000000005</v>
      </c>
      <c r="AN136" s="81">
        <v>297.60000000000002</v>
      </c>
      <c r="AO136" s="81"/>
      <c r="AQ136" s="447">
        <f>AJ136+D136</f>
        <v>253.1</v>
      </c>
      <c r="AR136" s="447">
        <f>AL136+H136</f>
        <v>377.6</v>
      </c>
      <c r="AT136" s="156">
        <v>161.1</v>
      </c>
      <c r="AU136" s="156">
        <v>236.6</v>
      </c>
      <c r="AV136" s="156">
        <v>357.2</v>
      </c>
      <c r="AW136" s="156">
        <v>515.6</v>
      </c>
      <c r="AX136" s="156">
        <v>682.1</v>
      </c>
    </row>
    <row r="137" spans="1:56" s="58" customFormat="1" ht="13" customHeight="1" x14ac:dyDescent="0.3">
      <c r="A137" s="106" t="s">
        <v>223</v>
      </c>
      <c r="B137" s="372"/>
      <c r="C137" s="372"/>
      <c r="D137" s="372">
        <f t="shared" ref="D137:M137" si="68">D6+D49+D108</f>
        <v>104.1</v>
      </c>
      <c r="E137" s="372">
        <f t="shared" si="68"/>
        <v>104.1</v>
      </c>
      <c r="F137" s="372">
        <f t="shared" si="68"/>
        <v>108.19999999999999</v>
      </c>
      <c r="G137" s="372">
        <f t="shared" si="68"/>
        <v>123.7</v>
      </c>
      <c r="H137" s="372">
        <f t="shared" si="68"/>
        <v>145.70000000000002</v>
      </c>
      <c r="I137" s="372">
        <f t="shared" si="68"/>
        <v>138</v>
      </c>
      <c r="J137" s="227">
        <f t="shared" si="68"/>
        <v>138.4</v>
      </c>
      <c r="K137" s="372">
        <f t="shared" si="68"/>
        <v>159.19999999999999</v>
      </c>
      <c r="L137" s="372">
        <f t="shared" si="68"/>
        <v>194.60000000000002</v>
      </c>
      <c r="M137" s="372">
        <f t="shared" si="68"/>
        <v>189.9</v>
      </c>
      <c r="N137" s="227"/>
      <c r="O137" s="372"/>
      <c r="P137" s="372"/>
      <c r="Q137" s="372"/>
      <c r="R137" s="227"/>
      <c r="S137" s="372"/>
      <c r="T137" s="372"/>
      <c r="U137" s="325"/>
      <c r="V137" s="372"/>
      <c r="W137" s="372"/>
      <c r="X137" s="372"/>
      <c r="Y137" s="325"/>
      <c r="Z137" s="372"/>
      <c r="AA137" s="372"/>
      <c r="AB137" s="372"/>
      <c r="AC137" s="372"/>
      <c r="AD137" s="372"/>
      <c r="AE137" s="372"/>
      <c r="AF137" s="372"/>
      <c r="AG137" s="372"/>
      <c r="AH137" s="372"/>
      <c r="AI137" s="372"/>
      <c r="AJ137" s="372">
        <f>AJ6+AJ49+AJ108</f>
        <v>149</v>
      </c>
      <c r="AL137" s="372">
        <f>AL6+AL49+AL108</f>
        <v>231.9</v>
      </c>
      <c r="AN137" s="372">
        <f>AN6+AN49+AN108</f>
        <v>297.59999999999997</v>
      </c>
      <c r="AO137" s="372"/>
      <c r="AQ137" s="59"/>
      <c r="AT137" s="372">
        <f>AT6+AT49+AT108</f>
        <v>161.1</v>
      </c>
      <c r="AU137" s="372">
        <f>AU6+AU49+AU108</f>
        <v>236.60000000000002</v>
      </c>
      <c r="AV137" s="372">
        <f>AV6+AV49+AV108</f>
        <v>357.2</v>
      </c>
      <c r="AW137" s="372">
        <f>AW6+AW49+AW108</f>
        <v>515.6</v>
      </c>
      <c r="AX137" s="372">
        <f>AX6+AX49+AX108</f>
        <v>682.09999999999991</v>
      </c>
    </row>
    <row r="138" spans="1:56" x14ac:dyDescent="0.3">
      <c r="A138" s="103"/>
      <c r="B138" s="46"/>
      <c r="C138" s="46"/>
      <c r="D138" s="46"/>
      <c r="E138" s="46"/>
      <c r="F138" s="46"/>
      <c r="G138" s="46"/>
      <c r="H138" s="46"/>
      <c r="AJ138" s="46"/>
      <c r="AL138" s="46"/>
      <c r="AQ138" s="46"/>
      <c r="AT138" s="55"/>
      <c r="AU138" s="55"/>
      <c r="AV138" s="55"/>
    </row>
    <row r="139" spans="1:56" s="156" customFormat="1" x14ac:dyDescent="0.3">
      <c r="A139" s="93" t="s">
        <v>170</v>
      </c>
      <c r="B139" s="342"/>
      <c r="C139" s="342"/>
      <c r="D139" s="342">
        <v>7947397</v>
      </c>
      <c r="E139" s="342">
        <v>8548567</v>
      </c>
      <c r="F139" s="342">
        <v>9211226</v>
      </c>
      <c r="G139" s="342">
        <f>AL139-F139</f>
        <v>11082513</v>
      </c>
      <c r="H139" s="342">
        <v>13568388</v>
      </c>
      <c r="I139" s="342">
        <v>13150122</v>
      </c>
      <c r="J139" s="203">
        <v>13164718</v>
      </c>
      <c r="K139" s="342">
        <v>15429574</v>
      </c>
      <c r="L139" s="156">
        <v>18573968</v>
      </c>
      <c r="M139" s="156">
        <v>18357737</v>
      </c>
      <c r="N139" s="202">
        <v>10800101</v>
      </c>
      <c r="O139" s="340">
        <v>15911364</v>
      </c>
      <c r="P139" s="340">
        <v>23128278</v>
      </c>
      <c r="Q139" s="340">
        <v>24373609</v>
      </c>
      <c r="R139" s="202">
        <v>23454460</v>
      </c>
      <c r="S139" s="340">
        <v>26900050</v>
      </c>
      <c r="T139" s="340">
        <v>29558524</v>
      </c>
      <c r="U139" s="291">
        <f>14254546+14160298</f>
        <v>28414844</v>
      </c>
      <c r="V139" s="340">
        <f>13500013+13032079</f>
        <v>26532092</v>
      </c>
      <c r="W139" s="340"/>
      <c r="X139" s="340"/>
      <c r="Y139" s="291"/>
      <c r="Z139" s="340"/>
      <c r="AA139" s="340"/>
      <c r="AB139" s="340"/>
      <c r="AC139" s="340"/>
      <c r="AD139" s="340"/>
      <c r="AE139" s="340"/>
      <c r="AF139" s="340"/>
      <c r="AG139" s="340"/>
      <c r="AH139" s="340"/>
      <c r="AI139" s="340"/>
      <c r="AJ139" s="340">
        <v>11513166</v>
      </c>
      <c r="AK139" s="370">
        <f>AV139-AJ139</f>
        <v>16495964</v>
      </c>
      <c r="AL139" s="340">
        <v>20293739</v>
      </c>
      <c r="AM139" s="370">
        <f>AW139-AL139</f>
        <v>26718510</v>
      </c>
      <c r="AN139" s="340">
        <v>28594292</v>
      </c>
      <c r="AO139" s="340"/>
      <c r="AP139" s="340"/>
      <c r="AQ139" s="340">
        <f>AJ139+D139</f>
        <v>19460563</v>
      </c>
      <c r="AR139" s="340">
        <f>AL139+H139</f>
        <v>33862127</v>
      </c>
      <c r="AS139" s="340"/>
      <c r="AT139" s="340">
        <v>3600810</v>
      </c>
      <c r="AU139" s="340">
        <v>10230712</v>
      </c>
      <c r="AV139" s="340">
        <v>28009130</v>
      </c>
      <c r="AW139" s="340">
        <v>47012249</v>
      </c>
      <c r="AX139" s="340">
        <v>65525997</v>
      </c>
      <c r="AY139" s="340">
        <v>74213352</v>
      </c>
      <c r="AZ139" s="340">
        <f>54203640+52904757</f>
        <v>107108397</v>
      </c>
      <c r="BA139" s="159"/>
      <c r="BB139" s="340"/>
      <c r="BC139" s="340"/>
      <c r="BD139" s="340"/>
    </row>
    <row r="140" spans="1:56" s="156" customFormat="1" x14ac:dyDescent="0.3">
      <c r="A140" s="93" t="s">
        <v>174</v>
      </c>
      <c r="B140" s="342"/>
      <c r="C140" s="342"/>
      <c r="D140" s="342">
        <v>1329013</v>
      </c>
      <c r="E140" s="342">
        <v>1488935</v>
      </c>
      <c r="F140" s="342">
        <v>1496028</v>
      </c>
      <c r="G140" s="342">
        <f>AL140-F140</f>
        <v>2099972</v>
      </c>
      <c r="H140" s="342">
        <v>2724333</v>
      </c>
      <c r="I140" s="342">
        <v>3071073</v>
      </c>
      <c r="J140" s="203">
        <v>2860807</v>
      </c>
      <c r="K140" s="342">
        <v>3632236</v>
      </c>
      <c r="L140" s="156">
        <v>4409272</v>
      </c>
      <c r="M140" s="156">
        <v>4937769</v>
      </c>
      <c r="N140" s="202">
        <v>2864409</v>
      </c>
      <c r="O140" s="340">
        <v>4323011</v>
      </c>
      <c r="P140" s="340">
        <v>5659942</v>
      </c>
      <c r="Q140" s="340">
        <v>6060683</v>
      </c>
      <c r="R140" s="202">
        <v>5665135</v>
      </c>
      <c r="S140" s="340">
        <v>7215696</v>
      </c>
      <c r="T140" s="340">
        <v>8021710</v>
      </c>
      <c r="U140" s="291">
        <v>8182629</v>
      </c>
      <c r="V140" s="340">
        <v>7018882</v>
      </c>
      <c r="W140" s="340"/>
      <c r="X140" s="340"/>
      <c r="Y140" s="291"/>
      <c r="Z140" s="340"/>
      <c r="AA140" s="340"/>
      <c r="AB140" s="340"/>
      <c r="AC140" s="340"/>
      <c r="AD140" s="340"/>
      <c r="AE140" s="340"/>
      <c r="AF140" s="340"/>
      <c r="AG140" s="340"/>
      <c r="AH140" s="340"/>
      <c r="AI140" s="340"/>
      <c r="AJ140" s="340">
        <v>1883727</v>
      </c>
      <c r="AK140" s="370">
        <f>AV140-AJ140</f>
        <v>2817948</v>
      </c>
      <c r="AL140" s="340">
        <v>3596000</v>
      </c>
      <c r="AM140" s="370">
        <f>AW140-AL140</f>
        <v>5795406</v>
      </c>
      <c r="AN140" s="340">
        <v>6493037</v>
      </c>
      <c r="AO140" s="340"/>
      <c r="AP140" s="340"/>
      <c r="AQ140" s="340">
        <f>AJ140+D140</f>
        <v>3212740</v>
      </c>
      <c r="AR140" s="340">
        <f>AL140+H140</f>
        <v>6320333</v>
      </c>
      <c r="AS140" s="340"/>
      <c r="AT140" s="340">
        <v>376998</v>
      </c>
      <c r="AU140" s="340">
        <v>2464999</v>
      </c>
      <c r="AV140" s="340">
        <v>4701675</v>
      </c>
      <c r="AW140" s="340">
        <v>9391406</v>
      </c>
      <c r="AX140" s="340">
        <v>15840078</v>
      </c>
      <c r="AY140" s="340">
        <v>18908045</v>
      </c>
      <c r="AZ140" s="340">
        <v>29085170</v>
      </c>
      <c r="BA140" s="159"/>
      <c r="BB140" s="340"/>
      <c r="BC140" s="340"/>
      <c r="BD140" s="340"/>
    </row>
    <row r="141" spans="1:56" x14ac:dyDescent="0.3">
      <c r="A141" s="107" t="s">
        <v>224</v>
      </c>
      <c r="B141" s="46"/>
      <c r="C141" s="46"/>
      <c r="D141" s="371">
        <f t="shared" ref="D141:V141" si="69">D140/D143</f>
        <v>0.13738278127841438</v>
      </c>
      <c r="E141" s="371">
        <f t="shared" si="69"/>
        <v>0.14213663697863696</v>
      </c>
      <c r="F141" s="371">
        <f t="shared" si="69"/>
        <v>0.132684668812937</v>
      </c>
      <c r="G141" s="371">
        <f t="shared" si="69"/>
        <v>0.13932229019176576</v>
      </c>
      <c r="H141" s="371">
        <f t="shared" si="69"/>
        <v>0.14281469610058167</v>
      </c>
      <c r="I141" s="371">
        <f t="shared" si="69"/>
        <v>0.15507766019782815</v>
      </c>
      <c r="J141" s="182">
        <f t="shared" si="69"/>
        <v>0.14920620697971243</v>
      </c>
      <c r="K141" s="371">
        <f t="shared" si="69"/>
        <v>0.15998828708120821</v>
      </c>
      <c r="L141" s="371">
        <f t="shared" si="69"/>
        <v>0.16037431799199733</v>
      </c>
      <c r="M141" s="371">
        <f t="shared" si="69"/>
        <v>0.17535778941967742</v>
      </c>
      <c r="N141" s="182">
        <f t="shared" si="69"/>
        <v>0.17096981733253902</v>
      </c>
      <c r="O141" s="371">
        <f t="shared" si="69"/>
        <v>0.1748660910594953</v>
      </c>
      <c r="P141" s="371">
        <f t="shared" si="69"/>
        <v>0.15987957724242868</v>
      </c>
      <c r="Q141" s="371">
        <f t="shared" si="69"/>
        <v>0.15983865921132362</v>
      </c>
      <c r="R141" s="182">
        <f t="shared" si="69"/>
        <v>0.15304449163451458</v>
      </c>
      <c r="S141" s="371">
        <f t="shared" si="69"/>
        <v>0.16489539852984622</v>
      </c>
      <c r="T141" s="371">
        <f t="shared" si="69"/>
        <v>0.16428043204325593</v>
      </c>
      <c r="U141" s="324">
        <f t="shared" si="69"/>
        <v>0.16522841961553603</v>
      </c>
      <c r="V141" s="371">
        <f t="shared" si="69"/>
        <v>0.1516980984618691</v>
      </c>
      <c r="W141" s="371"/>
      <c r="X141" s="371"/>
      <c r="Y141" s="324"/>
      <c r="Z141" s="371"/>
      <c r="AA141" s="371"/>
      <c r="AB141" s="371"/>
      <c r="AC141" s="371"/>
      <c r="AD141" s="371"/>
      <c r="AE141" s="371"/>
      <c r="AF141" s="371"/>
      <c r="AG141" s="371"/>
      <c r="AH141" s="371"/>
      <c r="AI141" s="371"/>
      <c r="AJ141" s="371">
        <f>AJ140/AJ143</f>
        <v>0.13671184883632573</v>
      </c>
      <c r="AK141" s="371">
        <f>AK140/AK143</f>
        <v>0.13985426896407763</v>
      </c>
      <c r="AL141" s="371">
        <f>AL140/AL143</f>
        <v>0.13648184345524966</v>
      </c>
      <c r="AM141" s="371">
        <f>AM140/AM143</f>
        <v>0.14906090109142744</v>
      </c>
      <c r="AN141" s="371">
        <f>AN140/AN143</f>
        <v>0.15505149421101005</v>
      </c>
      <c r="AO141" s="371"/>
      <c r="AQ141" s="450"/>
      <c r="AR141" s="450"/>
      <c r="AT141" s="371">
        <f t="shared" ref="AT141:AZ141" si="70">AT140/AT143</f>
        <v>9.3804888280771215E-2</v>
      </c>
      <c r="AU141" s="371">
        <f t="shared" si="70"/>
        <v>0.18978937374639834</v>
      </c>
      <c r="AV141" s="371">
        <f t="shared" si="70"/>
        <v>0.13857807125427157</v>
      </c>
      <c r="AW141" s="371">
        <f t="shared" si="70"/>
        <v>0.14397973191522725</v>
      </c>
      <c r="AX141" s="371">
        <f t="shared" si="70"/>
        <v>0.16241481172314592</v>
      </c>
      <c r="AY141" s="371">
        <f t="shared" si="70"/>
        <v>0.16471210165015732</v>
      </c>
      <c r="AZ141" s="371">
        <f t="shared" si="70"/>
        <v>0.16237087717784285</v>
      </c>
    </row>
    <row r="142" spans="1:56" s="375" customFormat="1" x14ac:dyDescent="0.3">
      <c r="A142" s="344" t="s">
        <v>175</v>
      </c>
      <c r="B142" s="342"/>
      <c r="C142" s="342"/>
      <c r="D142" s="342">
        <v>397386</v>
      </c>
      <c r="E142" s="342">
        <v>437876</v>
      </c>
      <c r="F142" s="342">
        <v>567809</v>
      </c>
      <c r="G142" s="342">
        <f>AL142-F142</f>
        <v>1890279</v>
      </c>
      <c r="H142" s="342">
        <v>2783278</v>
      </c>
      <c r="I142" s="342">
        <v>3582257</v>
      </c>
      <c r="J142" s="203">
        <v>3147993</v>
      </c>
      <c r="K142" s="342">
        <v>3641327</v>
      </c>
      <c r="L142" s="375">
        <v>4510389</v>
      </c>
      <c r="M142" s="375">
        <v>4862747</v>
      </c>
      <c r="N142" s="204">
        <v>3089377</v>
      </c>
      <c r="O142" s="343">
        <v>4487462</v>
      </c>
      <c r="P142" s="343">
        <v>6613062</v>
      </c>
      <c r="Q142" s="343">
        <v>7483212</v>
      </c>
      <c r="R142" s="204">
        <v>7721345</v>
      </c>
      <c r="S142" s="343">
        <v>9643486</v>
      </c>
      <c r="T142" s="343">
        <v>11249136</v>
      </c>
      <c r="U142" s="294">
        <v>12925660</v>
      </c>
      <c r="V142" s="343">
        <v>12717780</v>
      </c>
      <c r="W142" s="343"/>
      <c r="X142" s="343"/>
      <c r="Y142" s="294"/>
      <c r="Z142" s="343"/>
      <c r="AA142" s="343"/>
      <c r="AB142" s="343"/>
      <c r="AC142" s="343"/>
      <c r="AD142" s="343"/>
      <c r="AE142" s="343"/>
      <c r="AF142" s="343"/>
      <c r="AG142" s="343"/>
      <c r="AH142" s="343"/>
      <c r="AI142" s="343"/>
      <c r="AJ142" s="340">
        <v>381920</v>
      </c>
      <c r="AK142" s="370">
        <f>AV142-AJ142</f>
        <v>835262</v>
      </c>
      <c r="AL142" s="340">
        <v>2458088</v>
      </c>
      <c r="AM142" s="370">
        <f>AW142-AL142</f>
        <v>6365535</v>
      </c>
      <c r="AN142" s="340">
        <v>6789320</v>
      </c>
      <c r="AO142" s="340"/>
      <c r="AP142" s="343"/>
      <c r="AQ142" s="340">
        <f>AJ142+D142</f>
        <v>779306</v>
      </c>
      <c r="AR142" s="340">
        <f>AL142+H142</f>
        <v>5241366</v>
      </c>
      <c r="AS142" s="343"/>
      <c r="AT142" s="340">
        <v>41151</v>
      </c>
      <c r="AU142" s="340">
        <v>292366</v>
      </c>
      <c r="AV142" s="340">
        <v>1217182</v>
      </c>
      <c r="AW142" s="340">
        <v>8823623</v>
      </c>
      <c r="AX142" s="343">
        <v>16162456</v>
      </c>
      <c r="AY142" s="343">
        <v>21673113</v>
      </c>
      <c r="AZ142" s="343">
        <v>42934430</v>
      </c>
      <c r="BA142" s="340"/>
      <c r="BB142" s="343"/>
    </row>
    <row r="143" spans="1:56" s="93" customFormat="1" x14ac:dyDescent="0.3">
      <c r="A143" s="103" t="s">
        <v>176</v>
      </c>
      <c r="B143" s="347"/>
      <c r="C143" s="347"/>
      <c r="D143" s="347">
        <f t="shared" ref="D143:P143" si="71">D114+D56+D16</f>
        <v>9673796</v>
      </c>
      <c r="E143" s="347">
        <f t="shared" si="71"/>
        <v>10475378</v>
      </c>
      <c r="F143" s="347">
        <f t="shared" si="71"/>
        <v>11275063</v>
      </c>
      <c r="G143" s="347">
        <f t="shared" si="71"/>
        <v>15072764</v>
      </c>
      <c r="H143" s="347">
        <f t="shared" si="71"/>
        <v>19075999</v>
      </c>
      <c r="I143" s="347">
        <f t="shared" si="71"/>
        <v>19803452</v>
      </c>
      <c r="J143" s="208">
        <f t="shared" si="71"/>
        <v>19173512</v>
      </c>
      <c r="K143" s="347">
        <f t="shared" si="71"/>
        <v>22703137</v>
      </c>
      <c r="L143" s="347">
        <f t="shared" si="71"/>
        <v>27493629</v>
      </c>
      <c r="M143" s="347">
        <f t="shared" si="71"/>
        <v>28158253</v>
      </c>
      <c r="N143" s="208">
        <f t="shared" si="71"/>
        <v>16753887</v>
      </c>
      <c r="O143" s="347">
        <f t="shared" si="71"/>
        <v>24721837</v>
      </c>
      <c r="P143" s="347">
        <f t="shared" si="71"/>
        <v>35401282</v>
      </c>
      <c r="Q143" s="347">
        <v>37917504</v>
      </c>
      <c r="R143" s="208">
        <v>37016262</v>
      </c>
      <c r="S143" s="347">
        <v>43759232</v>
      </c>
      <c r="T143" s="347">
        <f>'Key Financial Data'!T5</f>
        <v>48829370</v>
      </c>
      <c r="U143" s="298">
        <v>49523133</v>
      </c>
      <c r="V143" s="347">
        <v>46268754</v>
      </c>
      <c r="W143" s="347">
        <f>'Key Financial Data'!W5</f>
        <v>50938363</v>
      </c>
      <c r="X143" s="347">
        <f>'Key Financial Data'!X5</f>
        <v>62618892</v>
      </c>
      <c r="Y143" s="298">
        <f>'Key Financial Data'!Y5</f>
        <v>60128939</v>
      </c>
      <c r="Z143" s="347">
        <f>'Key Financial Data'!Z5</f>
        <v>58617472</v>
      </c>
      <c r="AA143" s="347">
        <f>'Key Financial Data'!AA5</f>
        <v>67964624</v>
      </c>
      <c r="AB143" s="298">
        <f>'Key Financial Data'!AB5</f>
        <v>76466907</v>
      </c>
      <c r="AC143" s="347">
        <f>'Key Financial Data'!AC5</f>
        <v>73695951</v>
      </c>
      <c r="AD143" s="347">
        <f>'Key Financial Data'!AD5</f>
        <v>73275884</v>
      </c>
      <c r="AE143" s="347">
        <f>'Key Financial Data'!AE5</f>
        <v>82251077</v>
      </c>
      <c r="AF143" s="347">
        <f>'Key Financial Data'!AF5</f>
        <v>93577319</v>
      </c>
      <c r="AG143" s="347">
        <f>'Key Financial Data'!AG5</f>
        <v>88487296</v>
      </c>
      <c r="AH143" s="347"/>
      <c r="AI143" s="347"/>
      <c r="AJ143" s="347">
        <f>SUM(AJ139,AJ140,AJ142)</f>
        <v>13778813</v>
      </c>
      <c r="AK143" s="347">
        <f>SUM(AK139,AK140,AK142)</f>
        <v>20149174</v>
      </c>
      <c r="AL143" s="347">
        <f>SUM(AL139,AL140,AL142)</f>
        <v>26347827</v>
      </c>
      <c r="AM143" s="347">
        <f>SUM(AM139,AM140,AM142)</f>
        <v>38879451</v>
      </c>
      <c r="AN143" s="347">
        <f>SUM(AN139,AN140,AN142)</f>
        <v>41876649</v>
      </c>
      <c r="AO143" s="347"/>
      <c r="AQ143" s="448">
        <f>AJ143+D143</f>
        <v>23452609</v>
      </c>
      <c r="AR143" s="448">
        <f>AL143+H143</f>
        <v>45423826</v>
      </c>
      <c r="AT143" s="347">
        <f t="shared" ref="AT143:AY143" si="72">SUM(AT139,AT140,AT142)</f>
        <v>4018959</v>
      </c>
      <c r="AU143" s="347">
        <f t="shared" si="72"/>
        <v>12988077</v>
      </c>
      <c r="AV143" s="347">
        <f t="shared" si="72"/>
        <v>33927987</v>
      </c>
      <c r="AW143" s="347">
        <f t="shared" si="72"/>
        <v>65227278</v>
      </c>
      <c r="AX143" s="347">
        <f t="shared" si="72"/>
        <v>97528531</v>
      </c>
      <c r="AY143" s="347">
        <f t="shared" si="72"/>
        <v>114794510</v>
      </c>
      <c r="AZ143" s="347">
        <v>179127997</v>
      </c>
      <c r="BA143" s="159"/>
    </row>
    <row r="144" spans="1:56" x14ac:dyDescent="0.3">
      <c r="B144" s="46"/>
      <c r="C144" s="46"/>
      <c r="D144" s="46"/>
      <c r="E144" s="46"/>
      <c r="F144" s="46"/>
      <c r="G144" s="46"/>
      <c r="H144" s="46"/>
      <c r="I144" s="46"/>
      <c r="J144" s="236"/>
      <c r="K144" s="46"/>
      <c r="AJ144" s="46"/>
      <c r="AL144" s="46"/>
      <c r="AM144" s="46"/>
      <c r="AN144" s="46"/>
      <c r="AO144" s="46"/>
      <c r="AQ144" s="46"/>
      <c r="AR144" s="46"/>
      <c r="AT144" s="46"/>
      <c r="AU144" s="46"/>
      <c r="AV144" s="46"/>
      <c r="AW144" s="46"/>
    </row>
    <row r="145" spans="1:55" s="344" customFormat="1" x14ac:dyDescent="0.3">
      <c r="A145" s="344" t="s">
        <v>180</v>
      </c>
      <c r="B145" s="347"/>
      <c r="C145" s="347"/>
      <c r="D145" s="347">
        <f t="shared" ref="D145:M145" si="73">D116+D59+D21</f>
        <v>-6240679</v>
      </c>
      <c r="E145" s="347">
        <f t="shared" si="73"/>
        <v>-7123869</v>
      </c>
      <c r="F145" s="347">
        <f t="shared" si="73"/>
        <v>-8063090</v>
      </c>
      <c r="G145" s="347">
        <f t="shared" si="73"/>
        <v>-12232014</v>
      </c>
      <c r="H145" s="347">
        <f t="shared" si="73"/>
        <v>-14504758</v>
      </c>
      <c r="I145" s="347">
        <f t="shared" si="73"/>
        <v>-15322458</v>
      </c>
      <c r="J145" s="208">
        <f t="shared" si="73"/>
        <v>-14104172</v>
      </c>
      <c r="K145" s="347">
        <f t="shared" si="73"/>
        <v>-14762502</v>
      </c>
      <c r="L145" s="347">
        <f t="shared" si="73"/>
        <v>-17901345</v>
      </c>
      <c r="M145" s="347">
        <f t="shared" si="73"/>
        <v>-18440124</v>
      </c>
      <c r="N145" s="226"/>
      <c r="O145" s="370"/>
      <c r="P145" s="370"/>
      <c r="Q145" s="370"/>
      <c r="R145" s="226"/>
      <c r="S145" s="370"/>
      <c r="T145" s="370"/>
      <c r="U145" s="323"/>
      <c r="V145" s="370"/>
      <c r="W145" s="370"/>
      <c r="X145" s="370"/>
      <c r="Y145" s="323"/>
      <c r="Z145" s="370"/>
      <c r="AA145" s="370"/>
      <c r="AB145" s="370"/>
      <c r="AC145" s="370"/>
      <c r="AD145" s="370"/>
      <c r="AE145" s="370"/>
      <c r="AF145" s="370"/>
      <c r="AG145" s="370"/>
      <c r="AH145" s="370"/>
      <c r="AI145" s="370"/>
      <c r="AJ145" s="340">
        <v>-8343935</v>
      </c>
      <c r="AK145" s="370">
        <f>AV145-AJ145</f>
        <v>-13364548</v>
      </c>
      <c r="AL145" s="340">
        <v>-20295104</v>
      </c>
      <c r="AM145" s="370">
        <f>AW145-AL145</f>
        <v>-29827216</v>
      </c>
      <c r="AN145" s="370">
        <v>-28866674</v>
      </c>
      <c r="AO145" s="370"/>
      <c r="AP145" s="367"/>
      <c r="AQ145" s="370"/>
      <c r="AR145" s="370"/>
      <c r="AS145" s="367"/>
      <c r="AT145" s="370">
        <v>-1239504</v>
      </c>
      <c r="AU145" s="370">
        <v>-7046841</v>
      </c>
      <c r="AV145" s="370">
        <v>-21708483</v>
      </c>
      <c r="AW145" s="370">
        <v>-50122320</v>
      </c>
      <c r="AX145" s="370">
        <v>-50122319</v>
      </c>
      <c r="AY145" s="367"/>
      <c r="AZ145" s="367"/>
      <c r="BA145" s="367"/>
      <c r="BB145" s="367"/>
      <c r="BC145" s="367"/>
    </row>
    <row r="146" spans="1:55" s="344" customFormat="1" x14ac:dyDescent="0.3">
      <c r="A146" s="103" t="s">
        <v>181</v>
      </c>
      <c r="B146" s="347">
        <f t="shared" ref="B146:M146" si="74">SUM(B143,B145)</f>
        <v>0</v>
      </c>
      <c r="C146" s="347">
        <f t="shared" si="74"/>
        <v>0</v>
      </c>
      <c r="D146" s="347">
        <f t="shared" si="74"/>
        <v>3433117</v>
      </c>
      <c r="E146" s="347">
        <f t="shared" si="74"/>
        <v>3351509</v>
      </c>
      <c r="F146" s="347">
        <f t="shared" si="74"/>
        <v>3211973</v>
      </c>
      <c r="G146" s="347">
        <f t="shared" si="74"/>
        <v>2840750</v>
      </c>
      <c r="H146" s="347">
        <f t="shared" si="74"/>
        <v>4571241</v>
      </c>
      <c r="I146" s="347">
        <f t="shared" si="74"/>
        <v>4480994</v>
      </c>
      <c r="J146" s="208">
        <f t="shared" si="74"/>
        <v>5069340</v>
      </c>
      <c r="K146" s="347">
        <f t="shared" si="74"/>
        <v>7940635</v>
      </c>
      <c r="L146" s="347">
        <f t="shared" si="74"/>
        <v>9592284</v>
      </c>
      <c r="M146" s="347">
        <f t="shared" si="74"/>
        <v>9718129</v>
      </c>
      <c r="N146" s="226"/>
      <c r="O146" s="370"/>
      <c r="P146" s="370"/>
      <c r="Q146" s="370"/>
      <c r="R146" s="226"/>
      <c r="S146" s="370"/>
      <c r="T146" s="370"/>
      <c r="U146" s="323"/>
      <c r="V146" s="370"/>
      <c r="W146" s="370"/>
      <c r="X146" s="370"/>
      <c r="Y146" s="323"/>
      <c r="Z146" s="370"/>
      <c r="AA146" s="370"/>
      <c r="AB146" s="370"/>
      <c r="AC146" s="370"/>
      <c r="AD146" s="370"/>
      <c r="AE146" s="370"/>
      <c r="AF146" s="370"/>
      <c r="AG146" s="370"/>
      <c r="AH146" s="370"/>
      <c r="AI146" s="370"/>
      <c r="AJ146" s="370">
        <f>SUM(AJ143,AJ145)</f>
        <v>5434878</v>
      </c>
      <c r="AK146" s="370">
        <f>SUM(AK143,AK145)</f>
        <v>6784626</v>
      </c>
      <c r="AL146" s="370">
        <f>SUM(AL143,AL145)</f>
        <v>6052723</v>
      </c>
      <c r="AM146" s="370">
        <f>SUM(AM143,AM145)</f>
        <v>9052235</v>
      </c>
      <c r="AN146" s="370">
        <f>SUM(AN143,AN145)</f>
        <v>13009975</v>
      </c>
      <c r="AO146" s="370"/>
      <c r="AP146" s="370"/>
      <c r="AQ146" s="370">
        <f>AJ146+D146</f>
        <v>8867995</v>
      </c>
      <c r="AR146" s="370">
        <f>AL146+H146</f>
        <v>10623964</v>
      </c>
      <c r="AS146" s="370"/>
      <c r="AT146" s="370">
        <f>SUM(AT143,AT145)</f>
        <v>2779455</v>
      </c>
      <c r="AU146" s="370">
        <f>SUM(AU143,AU145)</f>
        <v>5941236</v>
      </c>
      <c r="AV146" s="370">
        <f>SUM(AV143,AV145)</f>
        <v>12219504</v>
      </c>
      <c r="AW146" s="370">
        <f>SUM(AW143,AW145)</f>
        <v>15104958</v>
      </c>
      <c r="AX146" s="370">
        <f>SUM(AX143,AX145)</f>
        <v>47406212</v>
      </c>
      <c r="AY146" s="367"/>
      <c r="AZ146" s="367"/>
      <c r="BA146" s="367"/>
      <c r="BB146" s="367"/>
      <c r="BC146" s="367"/>
    </row>
    <row r="147" spans="1:55" s="344" customFormat="1" x14ac:dyDescent="0.3">
      <c r="A147" s="103"/>
      <c r="B147" s="347"/>
      <c r="C147" s="347"/>
      <c r="D147" s="347"/>
      <c r="E147" s="347"/>
      <c r="F147" s="347"/>
      <c r="G147" s="347"/>
      <c r="H147" s="347"/>
      <c r="I147" s="347"/>
      <c r="J147" s="208"/>
      <c r="K147" s="347"/>
      <c r="L147" s="347"/>
      <c r="M147" s="347"/>
      <c r="N147" s="208"/>
      <c r="O147" s="347"/>
      <c r="P147" s="347"/>
      <c r="Q147" s="347"/>
      <c r="R147" s="208"/>
      <c r="S147" s="347"/>
      <c r="T147" s="347"/>
      <c r="U147" s="298"/>
      <c r="V147" s="347"/>
      <c r="W147" s="347"/>
      <c r="X147" s="347"/>
      <c r="Y147" s="298"/>
      <c r="Z147" s="347"/>
      <c r="AA147" s="347"/>
      <c r="AB147" s="347"/>
      <c r="AC147" s="347"/>
      <c r="AD147" s="347"/>
      <c r="AE147" s="347"/>
      <c r="AF147" s="347"/>
      <c r="AG147" s="347"/>
      <c r="AH147" s="347"/>
      <c r="AI147" s="347"/>
      <c r="AJ147" s="347"/>
      <c r="AK147" s="347"/>
      <c r="AL147" s="347"/>
      <c r="AM147" s="347"/>
      <c r="AN147" s="347"/>
      <c r="AO147" s="347"/>
      <c r="AP147" s="93"/>
      <c r="AQ147" s="448"/>
      <c r="AR147" s="448"/>
      <c r="AS147" s="93"/>
      <c r="AT147" s="347"/>
      <c r="AU147" s="347"/>
      <c r="AV147" s="347"/>
      <c r="AW147" s="347"/>
      <c r="AX147" s="347"/>
    </row>
    <row r="148" spans="1:55" s="344" customFormat="1" x14ac:dyDescent="0.3">
      <c r="A148" s="103" t="s">
        <v>225</v>
      </c>
      <c r="B148" s="347"/>
      <c r="C148" s="347"/>
      <c r="D148" s="347"/>
      <c r="E148" s="347"/>
      <c r="F148" s="347"/>
      <c r="G148" s="347"/>
      <c r="H148" s="347"/>
      <c r="I148" s="347"/>
      <c r="J148" s="202">
        <v>-159193</v>
      </c>
      <c r="K148" s="340">
        <v>-145533</v>
      </c>
      <c r="L148" s="340">
        <v>-13637</v>
      </c>
      <c r="M148" s="340">
        <v>-71801</v>
      </c>
      <c r="N148" s="202">
        <v>-961111</v>
      </c>
      <c r="O148" s="340">
        <v>489200</v>
      </c>
      <c r="P148" s="367">
        <v>5196859</v>
      </c>
      <c r="Q148" s="367">
        <v>-554152</v>
      </c>
      <c r="R148" s="202">
        <v>-586652</v>
      </c>
      <c r="S148" s="340">
        <v>-124474</v>
      </c>
      <c r="T148" s="340">
        <v>-3856721</v>
      </c>
      <c r="U148" s="291">
        <v>-433211</v>
      </c>
      <c r="V148" s="340">
        <v>-1610177</v>
      </c>
      <c r="W148" s="340"/>
      <c r="X148" s="340"/>
      <c r="Y148" s="291"/>
      <c r="Z148" s="340"/>
      <c r="AA148" s="340"/>
      <c r="AB148" s="340"/>
      <c r="AC148" s="340"/>
      <c r="AD148" s="340"/>
      <c r="AE148" s="340"/>
      <c r="AF148" s="340"/>
      <c r="AG148" s="340"/>
      <c r="AH148" s="340"/>
      <c r="AI148" s="340"/>
      <c r="AJ148" s="347"/>
      <c r="AK148" s="347"/>
      <c r="AL148" s="347"/>
      <c r="AM148" s="347"/>
      <c r="AN148" s="347"/>
      <c r="AO148" s="347"/>
      <c r="AP148" s="93"/>
      <c r="AQ148" s="448"/>
      <c r="AR148" s="448"/>
      <c r="AS148" s="93"/>
      <c r="AT148" s="347"/>
      <c r="AU148" s="347"/>
      <c r="AV148" s="347"/>
      <c r="AW148" s="347"/>
      <c r="AX148" s="347">
        <v>-390164</v>
      </c>
      <c r="AY148" s="148">
        <v>4170796</v>
      </c>
      <c r="AZ148" s="148">
        <v>-5001058</v>
      </c>
      <c r="BA148" s="159"/>
    </row>
    <row r="149" spans="1:55" s="344" customFormat="1" x14ac:dyDescent="0.3">
      <c r="A149" s="103" t="s">
        <v>199</v>
      </c>
      <c r="B149" s="347"/>
      <c r="C149" s="347"/>
      <c r="D149" s="347"/>
      <c r="E149" s="347"/>
      <c r="F149" s="347"/>
      <c r="G149" s="347"/>
      <c r="H149" s="347"/>
      <c r="I149" s="347"/>
      <c r="J149" s="226">
        <f t="shared" ref="J149:V149" si="75">J119+J62+J24+J148</f>
        <v>-1303642</v>
      </c>
      <c r="K149" s="370">
        <f t="shared" si="75"/>
        <v>1112578</v>
      </c>
      <c r="L149" s="370">
        <f t="shared" si="75"/>
        <v>1447064</v>
      </c>
      <c r="M149" s="370">
        <f t="shared" si="75"/>
        <v>1423860</v>
      </c>
      <c r="N149" s="226">
        <f t="shared" si="75"/>
        <v>-1715530</v>
      </c>
      <c r="O149" s="370">
        <f t="shared" si="75"/>
        <v>2174645</v>
      </c>
      <c r="P149" s="370">
        <f t="shared" si="75"/>
        <v>6723683</v>
      </c>
      <c r="Q149" s="370">
        <f t="shared" si="75"/>
        <v>-2852696</v>
      </c>
      <c r="R149" s="226">
        <f t="shared" si="75"/>
        <v>-4767007</v>
      </c>
      <c r="S149" s="370">
        <f t="shared" si="75"/>
        <v>-3251705</v>
      </c>
      <c r="T149" s="370">
        <f t="shared" si="75"/>
        <v>-10102631</v>
      </c>
      <c r="U149" s="323">
        <f t="shared" si="75"/>
        <v>-5005856</v>
      </c>
      <c r="V149" s="370">
        <f t="shared" si="75"/>
        <v>-5584242</v>
      </c>
      <c r="W149" s="370"/>
      <c r="X149" s="370"/>
      <c r="Y149" s="323"/>
      <c r="Z149" s="370"/>
      <c r="AA149" s="370"/>
      <c r="AB149" s="370"/>
      <c r="AC149" s="370"/>
      <c r="AD149" s="370"/>
      <c r="AE149" s="370"/>
      <c r="AF149" s="370"/>
      <c r="AG149" s="370"/>
      <c r="AH149" s="370"/>
      <c r="AI149" s="370"/>
      <c r="AJ149" s="370">
        <f t="shared" ref="AJ149:AR149" si="76">AJ119+AJ62+AJ24+AJ148</f>
        <v>0</v>
      </c>
      <c r="AK149" s="370">
        <f t="shared" si="76"/>
        <v>0</v>
      </c>
      <c r="AL149" s="370">
        <f t="shared" si="76"/>
        <v>0</v>
      </c>
      <c r="AM149" s="370">
        <f t="shared" si="76"/>
        <v>0</v>
      </c>
      <c r="AN149" s="370">
        <f t="shared" si="76"/>
        <v>0</v>
      </c>
      <c r="AO149" s="370">
        <f t="shared" si="76"/>
        <v>0</v>
      </c>
      <c r="AP149" s="370">
        <f t="shared" si="76"/>
        <v>0</v>
      </c>
      <c r="AQ149" s="370">
        <f t="shared" si="76"/>
        <v>0</v>
      </c>
      <c r="AR149" s="370">
        <f t="shared" si="76"/>
        <v>0</v>
      </c>
      <c r="AS149" s="93"/>
      <c r="AT149" s="347"/>
      <c r="AU149" s="347"/>
      <c r="AV149" s="347"/>
      <c r="AW149" s="347"/>
      <c r="AX149" s="370">
        <f>AX119+AX62+AX24+AX148</f>
        <v>2679860</v>
      </c>
      <c r="AY149" s="370">
        <f>AY119+AY62+AY24+AY148</f>
        <v>4330102</v>
      </c>
      <c r="AZ149" s="370">
        <f>AZ119+AZ62+AZ24+AZ148</f>
        <v>-23127199</v>
      </c>
      <c r="BA149" s="159"/>
    </row>
    <row r="150" spans="1:55" x14ac:dyDescent="0.3">
      <c r="A150" s="344" t="s">
        <v>183</v>
      </c>
      <c r="J150" s="182">
        <f t="shared" ref="J150:V150" si="77">J149/J143</f>
        <v>-6.7991821216686857E-2</v>
      </c>
      <c r="K150" s="371">
        <f t="shared" si="77"/>
        <v>4.9005474441703806E-2</v>
      </c>
      <c r="L150" s="371">
        <f t="shared" si="77"/>
        <v>5.2632702652676368E-2</v>
      </c>
      <c r="M150" s="371">
        <f t="shared" si="77"/>
        <v>5.0566347280138438E-2</v>
      </c>
      <c r="N150" s="182">
        <f t="shared" si="77"/>
        <v>-0.10239593952137793</v>
      </c>
      <c r="O150" s="371">
        <f t="shared" si="77"/>
        <v>8.7964539204752459E-2</v>
      </c>
      <c r="P150" s="371">
        <f t="shared" si="77"/>
        <v>0.18992766985105228</v>
      </c>
      <c r="Q150" s="371">
        <f t="shared" si="77"/>
        <v>-7.5234277024141677E-2</v>
      </c>
      <c r="R150" s="209">
        <f t="shared" si="77"/>
        <v>-0.12878142585007638</v>
      </c>
      <c r="S150" s="348">
        <f t="shared" si="77"/>
        <v>-7.4309005240311352E-2</v>
      </c>
      <c r="T150" s="348">
        <f t="shared" si="77"/>
        <v>-0.20689660751306027</v>
      </c>
      <c r="U150" s="299">
        <f t="shared" si="77"/>
        <v>-0.10108116544242061</v>
      </c>
      <c r="V150" s="348">
        <f t="shared" si="77"/>
        <v>-0.12069142817202295</v>
      </c>
      <c r="W150" s="348"/>
      <c r="X150" s="348"/>
      <c r="Y150" s="299"/>
      <c r="Z150" s="348"/>
      <c r="AA150" s="348"/>
      <c r="AB150" s="348"/>
      <c r="AC150" s="348"/>
      <c r="AD150" s="348"/>
      <c r="AE150" s="348"/>
      <c r="AF150" s="348"/>
      <c r="AG150" s="348"/>
      <c r="AH150" s="371"/>
      <c r="AI150" s="371"/>
      <c r="AX150" s="371">
        <f>AX149/AX143</f>
        <v>2.7477702909315838E-2</v>
      </c>
      <c r="AY150" s="371">
        <f>AY149/AY143</f>
        <v>3.772046241584201E-2</v>
      </c>
      <c r="AZ150" s="371">
        <f>AZ149/AZ143</f>
        <v>-0.12910990681149637</v>
      </c>
    </row>
    <row r="151" spans="1:55" x14ac:dyDescent="0.3">
      <c r="A151" s="102" t="s">
        <v>136</v>
      </c>
      <c r="B151" s="349"/>
      <c r="C151" s="349"/>
      <c r="D151" s="349"/>
      <c r="E151" s="349"/>
      <c r="F151" s="349"/>
      <c r="G151" s="349"/>
      <c r="H151" s="349"/>
      <c r="I151" s="349"/>
      <c r="J151" s="210"/>
      <c r="K151" s="349"/>
      <c r="L151" s="349"/>
      <c r="M151" s="349"/>
      <c r="N151" s="234"/>
      <c r="O151" s="349"/>
      <c r="P151" s="349"/>
      <c r="Q151" s="349"/>
      <c r="R151" s="210"/>
      <c r="S151" s="349"/>
      <c r="T151" s="349"/>
      <c r="U151" s="300"/>
      <c r="V151" s="349"/>
      <c r="W151" s="349"/>
      <c r="X151" s="349"/>
      <c r="Y151" s="300"/>
      <c r="Z151" s="349"/>
      <c r="AA151" s="349"/>
      <c r="AB151" s="349"/>
      <c r="AC151" s="349"/>
      <c r="AD151" s="349"/>
      <c r="AE151" s="349"/>
      <c r="AF151" s="349"/>
      <c r="AG151" s="349"/>
      <c r="AH151" s="254"/>
      <c r="AI151" s="254"/>
      <c r="AJ151" s="349"/>
      <c r="AK151" s="349"/>
      <c r="AL151" s="349"/>
      <c r="AM151" s="349"/>
      <c r="AN151" s="349"/>
      <c r="AO151" s="349"/>
      <c r="AP151" s="349"/>
      <c r="AQ151" s="349"/>
      <c r="AR151" s="349"/>
      <c r="AS151" s="349"/>
      <c r="AT151" s="349"/>
      <c r="AU151" s="349"/>
      <c r="AV151" s="349"/>
      <c r="AW151" s="349"/>
      <c r="AX151" s="349"/>
      <c r="AY151" s="349"/>
      <c r="AZ151" s="349"/>
      <c r="BA151" s="349"/>
      <c r="BB151" s="349"/>
    </row>
    <row r="152" spans="1:55" s="353" customFormat="1" x14ac:dyDescent="0.3">
      <c r="A152" s="86" t="s">
        <v>185</v>
      </c>
      <c r="B152" s="352" t="str">
        <f>IFERROR(B136/#REF!,"")</f>
        <v/>
      </c>
      <c r="C152" s="352" t="str">
        <f>IFERROR(C136/#REF!,"")</f>
        <v/>
      </c>
      <c r="D152" s="352"/>
      <c r="E152" s="352"/>
      <c r="F152" s="352"/>
      <c r="G152" s="352"/>
      <c r="H152" s="352">
        <f t="shared" ref="H152:M152" si="78">H136/D136-1</f>
        <v>0.39961575408261285</v>
      </c>
      <c r="I152" s="352">
        <f t="shared" si="78"/>
        <v>0.32564841498559094</v>
      </c>
      <c r="J152" s="189">
        <f t="shared" si="78"/>
        <v>0.27911275415896486</v>
      </c>
      <c r="K152" s="352">
        <f t="shared" si="78"/>
        <v>0.28698464025869019</v>
      </c>
      <c r="L152" s="352">
        <f t="shared" si="78"/>
        <v>0.33562113932738513</v>
      </c>
      <c r="M152" s="352">
        <f t="shared" si="78"/>
        <v>0.37608695652173907</v>
      </c>
      <c r="N152" s="189"/>
      <c r="O152" s="352"/>
      <c r="P152" s="352"/>
      <c r="Q152" s="352"/>
      <c r="R152" s="189"/>
      <c r="S152" s="352"/>
      <c r="T152" s="352"/>
      <c r="U152" s="275"/>
      <c r="V152" s="352"/>
      <c r="W152" s="352"/>
      <c r="X152" s="352"/>
      <c r="Y152" s="275"/>
      <c r="Z152" s="352"/>
      <c r="AA152" s="352"/>
      <c r="AB152" s="352"/>
      <c r="AC152" s="352"/>
      <c r="AD152" s="352"/>
      <c r="AE152" s="352"/>
      <c r="AF152" s="352"/>
      <c r="AG152" s="352"/>
      <c r="AH152" s="352"/>
      <c r="AI152" s="352"/>
      <c r="AJ152" s="352" t="str">
        <f>IFERROR(AJ136/#REF!,"")</f>
        <v/>
      </c>
      <c r="AL152" s="352">
        <f>AL136/AJ136-1</f>
        <v>0.55637583892617459</v>
      </c>
      <c r="AM152" s="352"/>
      <c r="AN152" s="352">
        <f>AN136/AL136-1</f>
        <v>0.2833117723156533</v>
      </c>
      <c r="AO152" s="352"/>
      <c r="AQ152" s="352"/>
      <c r="AR152" s="352">
        <f>AR136/AQ136-1</f>
        <v>0.49190043461082578</v>
      </c>
      <c r="AT152" s="352"/>
      <c r="AU152" s="352">
        <f>AU136/AT136-1</f>
        <v>0.46865301055245201</v>
      </c>
      <c r="AV152" s="352">
        <f>AV136/AU136-1</f>
        <v>0.50972104818258668</v>
      </c>
      <c r="AW152" s="352">
        <f>AW136/AV136-1</f>
        <v>0.44344904815229569</v>
      </c>
      <c r="AX152" s="352">
        <f>AX136/AW136-1</f>
        <v>0.32292474786656311</v>
      </c>
      <c r="AY152" s="352">
        <f>AY136/AX136-1</f>
        <v>-1</v>
      </c>
      <c r="AZ152" s="352"/>
    </row>
    <row r="153" spans="1:55" s="353" customFormat="1" x14ac:dyDescent="0.3">
      <c r="A153" s="93" t="s">
        <v>188</v>
      </c>
      <c r="B153" s="352" t="str">
        <f>IFERROR(B139/#REF!,"")</f>
        <v/>
      </c>
      <c r="C153" s="352" t="str">
        <f>IFERROR(C139/#REF!,"")</f>
        <v/>
      </c>
      <c r="D153" s="352" t="str">
        <f>IFERROR(D139/#REF!,"")</f>
        <v/>
      </c>
      <c r="E153" s="352"/>
      <c r="F153" s="352" t="str">
        <f>IFERROR(F139/#REF!,"")</f>
        <v/>
      </c>
      <c r="G153" s="352"/>
      <c r="H153" s="352"/>
      <c r="I153" s="352"/>
      <c r="J153" s="189"/>
      <c r="K153" s="352"/>
      <c r="N153" s="190"/>
      <c r="R153" s="190"/>
      <c r="U153" s="276"/>
      <c r="Y153" s="276"/>
      <c r="AJ153" s="352"/>
      <c r="AL153" s="352">
        <f t="shared" ref="AL153:AN154" si="79">AL139/AJ139-1</f>
        <v>0.76265494651948917</v>
      </c>
      <c r="AM153" s="352">
        <f t="shared" si="79"/>
        <v>0.61969982475713459</v>
      </c>
      <c r="AN153" s="352">
        <f t="shared" si="79"/>
        <v>0.40902038801228291</v>
      </c>
      <c r="AO153" s="352"/>
      <c r="AQ153" s="352"/>
      <c r="AR153" s="352"/>
      <c r="AT153" s="352"/>
      <c r="AU153" s="352">
        <f t="shared" ref="AU153:AZ154" si="80">AU139/AT139-1</f>
        <v>1.8412251687814685</v>
      </c>
      <c r="AV153" s="352">
        <f t="shared" si="80"/>
        <v>1.7377498262095541</v>
      </c>
      <c r="AW153" s="352">
        <f t="shared" si="80"/>
        <v>0.67846159448722609</v>
      </c>
      <c r="AX153" s="352">
        <f t="shared" si="80"/>
        <v>0.39380689913388323</v>
      </c>
      <c r="AY153" s="352">
        <f t="shared" si="80"/>
        <v>0.13257875343735703</v>
      </c>
      <c r="AZ153" s="352">
        <f t="shared" si="80"/>
        <v>0.44324968639066453</v>
      </c>
    </row>
    <row r="154" spans="1:55" s="353" customFormat="1" x14ac:dyDescent="0.3">
      <c r="A154" s="93" t="s">
        <v>189</v>
      </c>
      <c r="B154" s="352" t="str">
        <f>IFERROR(B140/#REF!,"")</f>
        <v/>
      </c>
      <c r="C154" s="352" t="str">
        <f>IFERROR(C140/#REF!,"")</f>
        <v/>
      </c>
      <c r="D154" s="352" t="str">
        <f>IFERROR(D140/#REF!,"")</f>
        <v/>
      </c>
      <c r="E154" s="352"/>
      <c r="F154" s="352" t="str">
        <f>IFERROR(F140/#REF!,"")</f>
        <v/>
      </c>
      <c r="G154" s="352"/>
      <c r="H154" s="352"/>
      <c r="I154" s="352"/>
      <c r="J154" s="189"/>
      <c r="K154" s="352"/>
      <c r="N154" s="190"/>
      <c r="R154" s="190"/>
      <c r="U154" s="276"/>
      <c r="Y154" s="276"/>
      <c r="AJ154" s="352"/>
      <c r="AL154" s="352">
        <f t="shared" si="79"/>
        <v>0.90898150315836634</v>
      </c>
      <c r="AM154" s="352">
        <f t="shared" si="79"/>
        <v>1.0566050189712515</v>
      </c>
      <c r="AN154" s="352">
        <f t="shared" si="79"/>
        <v>0.80562764182424917</v>
      </c>
      <c r="AO154" s="352"/>
      <c r="AQ154" s="352"/>
      <c r="AR154" s="352"/>
      <c r="AT154" s="352"/>
      <c r="AU154" s="352">
        <f t="shared" si="80"/>
        <v>5.5384935729102009</v>
      </c>
      <c r="AV154" s="352">
        <f t="shared" si="80"/>
        <v>0.90737399893468518</v>
      </c>
      <c r="AW154" s="352">
        <f t="shared" si="80"/>
        <v>0.9974596287493287</v>
      </c>
      <c r="AX154" s="352">
        <f t="shared" si="80"/>
        <v>0.68665671572499365</v>
      </c>
      <c r="AY154" s="352">
        <f t="shared" si="80"/>
        <v>0.19368383160739477</v>
      </c>
      <c r="AZ154" s="352">
        <f t="shared" si="80"/>
        <v>0.53824311291833715</v>
      </c>
    </row>
    <row r="155" spans="1:55" s="353" customFormat="1" x14ac:dyDescent="0.3">
      <c r="A155" s="93" t="s">
        <v>190</v>
      </c>
      <c r="B155" s="352" t="str">
        <f>IFERROR(B142/#REF!,"")</f>
        <v/>
      </c>
      <c r="C155" s="352" t="str">
        <f>IFERROR(C142/#REF!,"")</f>
        <v/>
      </c>
      <c r="D155" s="352" t="str">
        <f>IFERROR(D142/#REF!,"")</f>
        <v/>
      </c>
      <c r="E155" s="352"/>
      <c r="F155" s="352" t="str">
        <f>IFERROR(F142/#REF!,"")</f>
        <v/>
      </c>
      <c r="G155" s="352"/>
      <c r="H155" s="352"/>
      <c r="I155" s="352"/>
      <c r="J155" s="189"/>
      <c r="K155" s="352"/>
      <c r="N155" s="190"/>
      <c r="R155" s="190"/>
      <c r="U155" s="276"/>
      <c r="Y155" s="276"/>
      <c r="AJ155" s="352"/>
      <c r="AL155" s="352">
        <f t="shared" ref="AL155:AN156" si="81">AL142/AJ142-1</f>
        <v>5.4361332216170926</v>
      </c>
      <c r="AM155" s="352">
        <f t="shared" si="81"/>
        <v>6.6210039484616807</v>
      </c>
      <c r="AN155" s="352">
        <f t="shared" si="81"/>
        <v>1.7620329296591497</v>
      </c>
      <c r="AO155" s="352"/>
      <c r="AQ155" s="352"/>
      <c r="AR155" s="352"/>
      <c r="AT155" s="352"/>
      <c r="AU155" s="352">
        <f t="shared" ref="AU155:AZ156" si="82">AU142/AT142-1</f>
        <v>6.1047119146557796</v>
      </c>
      <c r="AV155" s="352">
        <f t="shared" si="82"/>
        <v>3.1632132327288396</v>
      </c>
      <c r="AW155" s="352">
        <f t="shared" si="82"/>
        <v>6.2492223841627625</v>
      </c>
      <c r="AX155" s="352">
        <f t="shared" si="82"/>
        <v>0.83172558483063019</v>
      </c>
      <c r="AY155" s="352">
        <f t="shared" si="82"/>
        <v>0.34095418419081858</v>
      </c>
      <c r="AZ155" s="352">
        <f t="shared" si="82"/>
        <v>0.9809996838017685</v>
      </c>
    </row>
    <row r="156" spans="1:55" s="353" customFormat="1" x14ac:dyDescent="0.3">
      <c r="A156" s="93" t="s">
        <v>191</v>
      </c>
      <c r="B156" s="352" t="str">
        <f>IFERROR(B143/#REF!,"")</f>
        <v/>
      </c>
      <c r="C156" s="352" t="str">
        <f>IFERROR(C143/#REF!,"")</f>
        <v/>
      </c>
      <c r="D156" s="352" t="str">
        <f>IFERROR(D143/#REF!,"")</f>
        <v/>
      </c>
      <c r="E156" s="352"/>
      <c r="F156" s="352" t="str">
        <f>IFERROR(F143/#REF!,"")</f>
        <v/>
      </c>
      <c r="G156" s="352"/>
      <c r="H156" s="352">
        <f t="shared" ref="H156:V156" si="83">H143/D143-1</f>
        <v>0.97192487830010066</v>
      </c>
      <c r="I156" s="352">
        <f t="shared" si="83"/>
        <v>0.89047612410740684</v>
      </c>
      <c r="J156" s="189">
        <f t="shared" si="83"/>
        <v>0.70052371325996132</v>
      </c>
      <c r="K156" s="352">
        <f t="shared" si="83"/>
        <v>0.50623581713347332</v>
      </c>
      <c r="L156" s="352">
        <f t="shared" si="83"/>
        <v>0.44126810868463551</v>
      </c>
      <c r="M156" s="352">
        <f t="shared" si="83"/>
        <v>0.42188609339422234</v>
      </c>
      <c r="N156" s="189">
        <f t="shared" si="83"/>
        <v>-0.12619623363732213</v>
      </c>
      <c r="O156" s="352">
        <f t="shared" si="83"/>
        <v>8.8917227606035265E-2</v>
      </c>
      <c r="P156" s="352">
        <f t="shared" si="83"/>
        <v>0.28761765134751771</v>
      </c>
      <c r="Q156" s="352">
        <f t="shared" si="83"/>
        <v>0.34658581269228605</v>
      </c>
      <c r="R156" s="189">
        <f t="shared" si="83"/>
        <v>1.2094133737442543</v>
      </c>
      <c r="S156" s="352">
        <f t="shared" si="83"/>
        <v>0.77006393173775889</v>
      </c>
      <c r="T156" s="352">
        <f t="shared" si="83"/>
        <v>0.37931078315186428</v>
      </c>
      <c r="U156" s="275">
        <f t="shared" si="83"/>
        <v>0.30607576384774693</v>
      </c>
      <c r="V156" s="352">
        <f t="shared" si="83"/>
        <v>0.24995749165596459</v>
      </c>
      <c r="W156" s="352"/>
      <c r="X156" s="352"/>
      <c r="Y156" s="275"/>
      <c r="Z156" s="352"/>
      <c r="AA156" s="352"/>
      <c r="AB156" s="352"/>
      <c r="AC156" s="352"/>
      <c r="AD156" s="352"/>
      <c r="AE156" s="352"/>
      <c r="AF156" s="352"/>
      <c r="AG156" s="352"/>
      <c r="AH156" s="352"/>
      <c r="AI156" s="352"/>
      <c r="AJ156" s="352"/>
      <c r="AL156" s="352">
        <f t="shared" si="81"/>
        <v>0.91219860520641372</v>
      </c>
      <c r="AM156" s="352">
        <f t="shared" si="81"/>
        <v>0.92958038875439764</v>
      </c>
      <c r="AN156" s="352">
        <f t="shared" si="81"/>
        <v>0.58937771224928714</v>
      </c>
      <c r="AO156" s="352"/>
      <c r="AQ156" s="352"/>
      <c r="AR156" s="352">
        <f>AR143/AQ143-1</f>
        <v>0.9368346609112872</v>
      </c>
      <c r="AT156" s="352"/>
      <c r="AU156" s="352">
        <f t="shared" si="82"/>
        <v>2.2317017914340505</v>
      </c>
      <c r="AV156" s="352">
        <f t="shared" si="82"/>
        <v>1.6122409807086915</v>
      </c>
      <c r="AW156" s="352">
        <f t="shared" si="82"/>
        <v>0.92252130961969536</v>
      </c>
      <c r="AX156" s="352">
        <f t="shared" si="82"/>
        <v>0.49521080735578149</v>
      </c>
      <c r="AY156" s="352">
        <f t="shared" si="82"/>
        <v>0.17703515907565559</v>
      </c>
      <c r="AZ156" s="352">
        <f t="shared" si="82"/>
        <v>0.56042302894101814</v>
      </c>
    </row>
    <row r="157" spans="1:55" x14ac:dyDescent="0.3">
      <c r="B157" s="54"/>
      <c r="C157" s="54"/>
      <c r="D157" s="54"/>
      <c r="E157" s="54"/>
      <c r="F157" s="54"/>
      <c r="G157" s="54"/>
      <c r="H157" s="54"/>
      <c r="I157" s="54"/>
      <c r="J157" s="237"/>
      <c r="K157" s="54"/>
      <c r="AJ157" s="54"/>
      <c r="AL157" s="54"/>
      <c r="AM157" s="54"/>
      <c r="AN157" s="54"/>
      <c r="AO157" s="54"/>
      <c r="AQ157" s="54"/>
      <c r="AR157" s="54"/>
      <c r="AT157" s="54"/>
      <c r="AU157" s="54"/>
      <c r="AV157" s="54"/>
      <c r="AW157" s="54"/>
    </row>
    <row r="158" spans="1:55" x14ac:dyDescent="0.3">
      <c r="A158" s="102" t="s">
        <v>194</v>
      </c>
      <c r="B158" s="349"/>
      <c r="C158" s="349"/>
      <c r="D158" s="349"/>
      <c r="E158" s="349"/>
      <c r="F158" s="349"/>
      <c r="G158" s="349"/>
      <c r="H158" s="349"/>
      <c r="I158" s="349"/>
      <c r="J158" s="210"/>
      <c r="K158" s="349"/>
      <c r="L158" s="349"/>
      <c r="M158" s="349"/>
      <c r="N158" s="210"/>
      <c r="O158" s="349"/>
      <c r="P158" s="349"/>
      <c r="Q158" s="349"/>
      <c r="R158" s="210"/>
      <c r="S158" s="349"/>
      <c r="T158" s="349"/>
      <c r="U158" s="300"/>
      <c r="V158" s="349"/>
      <c r="W158" s="349"/>
      <c r="X158" s="349"/>
      <c r="Y158" s="300"/>
      <c r="Z158" s="349"/>
      <c r="AA158" s="349"/>
      <c r="AB158" s="349"/>
      <c r="AC158" s="349"/>
      <c r="AD158" s="349"/>
      <c r="AE158" s="349"/>
      <c r="AF158" s="349"/>
      <c r="AG158" s="349"/>
      <c r="AH158" s="254"/>
      <c r="AI158" s="254"/>
      <c r="AJ158" s="349"/>
      <c r="AK158" s="349"/>
      <c r="AL158" s="349"/>
      <c r="AM158" s="349"/>
      <c r="AN158" s="349"/>
      <c r="AO158" s="349"/>
      <c r="AP158" s="349"/>
      <c r="AQ158" s="349"/>
      <c r="AR158" s="349"/>
      <c r="AS158" s="349"/>
      <c r="AT158" s="349"/>
      <c r="AU158" s="349"/>
      <c r="AV158" s="349"/>
      <c r="AW158" s="349"/>
      <c r="AX158" s="349"/>
      <c r="AY158" s="349"/>
      <c r="AZ158" s="349"/>
      <c r="BA158" s="349"/>
      <c r="BB158" s="349"/>
    </row>
    <row r="159" spans="1:55" s="93" customFormat="1" x14ac:dyDescent="0.3">
      <c r="A159" s="83" t="s">
        <v>195</v>
      </c>
      <c r="B159" s="373" t="str">
        <f>IFERROR(B139/B136,"")</f>
        <v/>
      </c>
      <c r="C159" s="373" t="str">
        <f>IFERROR(C139/C136,"")</f>
        <v/>
      </c>
      <c r="D159" s="373">
        <f t="shared" ref="D159:N159" si="84">IFERROR(D139/D136/1000000,"")</f>
        <v>7.6343871277617686E-2</v>
      </c>
      <c r="E159" s="373">
        <f t="shared" si="84"/>
        <v>8.2118799231508166E-2</v>
      </c>
      <c r="F159" s="373">
        <f t="shared" si="84"/>
        <v>8.5131478743068395E-2</v>
      </c>
      <c r="G159" s="373">
        <f t="shared" si="84"/>
        <v>8.9591859337105895E-2</v>
      </c>
      <c r="H159" s="373">
        <f t="shared" si="84"/>
        <v>9.3125518188057657E-2</v>
      </c>
      <c r="I159" s="373">
        <f t="shared" si="84"/>
        <v>9.5290739130434787E-2</v>
      </c>
      <c r="J159" s="228">
        <f t="shared" si="84"/>
        <v>9.5120794797687869E-2</v>
      </c>
      <c r="K159" s="373">
        <f t="shared" si="84"/>
        <v>9.6919434673366833E-2</v>
      </c>
      <c r="L159" s="373">
        <f t="shared" si="84"/>
        <v>9.5446906474820153E-2</v>
      </c>
      <c r="M159" s="373">
        <f t="shared" si="84"/>
        <v>9.6670547656661387E-2</v>
      </c>
      <c r="N159" s="228" t="str">
        <f t="shared" si="84"/>
        <v/>
      </c>
      <c r="O159" s="373"/>
      <c r="P159" s="373"/>
      <c r="Q159" s="373"/>
      <c r="R159" s="228"/>
      <c r="S159" s="373"/>
      <c r="T159" s="373"/>
      <c r="U159" s="326"/>
      <c r="V159" s="373"/>
      <c r="W159" s="373"/>
      <c r="X159" s="373"/>
      <c r="Y159" s="326"/>
      <c r="Z159" s="373"/>
      <c r="AA159" s="373"/>
      <c r="AB159" s="373"/>
      <c r="AC159" s="373"/>
      <c r="AD159" s="373"/>
      <c r="AE159" s="373"/>
      <c r="AF159" s="373"/>
      <c r="AG159" s="373"/>
      <c r="AH159" s="373"/>
      <c r="AI159" s="373"/>
      <c r="AJ159" s="373">
        <f>IFERROR(AJ139/AJ136/1000000,"")</f>
        <v>7.7269570469798654E-2</v>
      </c>
      <c r="AK159" s="373">
        <f>IFERROR(AK139/AK136/1000000,"")</f>
        <v>7.9231335254562926E-2</v>
      </c>
      <c r="AL159" s="373">
        <f>IFERROR(AL139/AL136/1000000,"")</f>
        <v>8.751073307460111E-2</v>
      </c>
      <c r="AM159" s="373">
        <f>IFERROR(AM139/AM136/1000000,"")</f>
        <v>9.4178745153330967E-2</v>
      </c>
      <c r="AN159" s="373">
        <f>IFERROR(AN139/AN136/1000000,"")</f>
        <v>9.6082970430107523E-2</v>
      </c>
      <c r="AO159" s="373"/>
      <c r="AQ159" s="373">
        <f>IFERROR(AQ139/AQ136/1000000,"")</f>
        <v>7.6888830501777944E-2</v>
      </c>
      <c r="AR159" s="373">
        <f>IFERROR(AR139/AR136/1000000,"")</f>
        <v>8.9677243114406779E-2</v>
      </c>
      <c r="AT159" s="373">
        <f>IFERROR(AT139/AT136/1000000,"")</f>
        <v>2.2351396648044693E-2</v>
      </c>
      <c r="AU159" s="373">
        <f>IFERROR(AU139/AU136/1000000,"")</f>
        <v>4.3240540997464078E-2</v>
      </c>
      <c r="AV159" s="373">
        <f>IFERROR(AV139/AV136/1000000,"")</f>
        <v>7.841301791713326E-2</v>
      </c>
      <c r="AW159" s="373">
        <f>IFERROR(AW139/AW136/1000000,"")</f>
        <v>9.1179691621411943E-2</v>
      </c>
      <c r="AX159" s="373">
        <f>IFERROR(AX139/AX136/1000000,"")</f>
        <v>9.6065088696672046E-2</v>
      </c>
    </row>
    <row r="160" spans="1:55" s="112" customFormat="1" x14ac:dyDescent="0.3">
      <c r="A160" s="109" t="s">
        <v>196</v>
      </c>
      <c r="B160" s="355"/>
      <c r="C160" s="355"/>
      <c r="D160" s="355">
        <f t="shared" ref="D160:N160" si="85">IFERROR(D143/D136/1000000,"")</f>
        <v>9.2927915465898181E-2</v>
      </c>
      <c r="E160" s="355">
        <f t="shared" si="85"/>
        <v>0.1006280307396734</v>
      </c>
      <c r="F160" s="355">
        <f t="shared" si="85"/>
        <v>0.10420575785582255</v>
      </c>
      <c r="G160" s="355">
        <f t="shared" si="85"/>
        <v>0.12184934518997576</v>
      </c>
      <c r="H160" s="355">
        <f t="shared" si="85"/>
        <v>0.13092655456417296</v>
      </c>
      <c r="I160" s="355">
        <f t="shared" si="85"/>
        <v>0.14350327536231886</v>
      </c>
      <c r="J160" s="192">
        <f t="shared" si="85"/>
        <v>0.13853693641618497</v>
      </c>
      <c r="K160" s="355">
        <f t="shared" si="85"/>
        <v>0.14260764447236182</v>
      </c>
      <c r="L160" s="355">
        <f t="shared" si="85"/>
        <v>0.14128278006166498</v>
      </c>
      <c r="M160" s="355">
        <f t="shared" si="85"/>
        <v>0.14827937335439703</v>
      </c>
      <c r="N160" s="192" t="str">
        <f t="shared" si="85"/>
        <v/>
      </c>
      <c r="O160" s="355"/>
      <c r="P160" s="355"/>
      <c r="Q160" s="355"/>
      <c r="R160" s="192"/>
      <c r="S160" s="355"/>
      <c r="T160" s="355"/>
      <c r="U160" s="278"/>
      <c r="V160" s="355"/>
      <c r="W160" s="355"/>
      <c r="X160" s="355"/>
      <c r="Y160" s="278"/>
      <c r="Z160" s="355"/>
      <c r="AA160" s="355"/>
      <c r="AB160" s="355"/>
      <c r="AC160" s="355"/>
      <c r="AD160" s="355"/>
      <c r="AE160" s="355"/>
      <c r="AF160" s="355"/>
      <c r="AG160" s="355"/>
      <c r="AH160" s="355"/>
      <c r="AI160" s="355"/>
      <c r="AJ160" s="355">
        <f>IFERROR(AJ143/AJ136/1000000,"")</f>
        <v>9.2475255033557038E-2</v>
      </c>
      <c r="AK160" s="355">
        <f>IFERROR(AK143/AK136/1000000,"")</f>
        <v>9.6777973102785797E-2</v>
      </c>
      <c r="AL160" s="355">
        <f>IFERROR(AL143/AL136/1000000,"")</f>
        <v>0.11361719275549804</v>
      </c>
      <c r="AM160" s="355">
        <f>IFERROR(AM143/AM136/1000000,"")</f>
        <v>0.13704424039478322</v>
      </c>
      <c r="AN160" s="355">
        <f>IFERROR(AN143/AN136/1000000,"")</f>
        <v>0.14071454637096772</v>
      </c>
      <c r="AO160" s="355"/>
      <c r="AQ160" s="355">
        <f>IFERROR(AQ143/AQ136/1000000,"")</f>
        <v>9.2661434215725008E-2</v>
      </c>
      <c r="AR160" s="355">
        <f>IFERROR(AR143/AR136/1000000,"")</f>
        <v>0.12029614936440677</v>
      </c>
      <c r="AT160" s="355">
        <f>IFERROR(AT143/AT136/1000000,"")</f>
        <v>2.4946983240223465E-2</v>
      </c>
      <c r="AU160" s="355">
        <f>IFERROR(AU143/AU136/1000000,"")</f>
        <v>5.4894661876584955E-2</v>
      </c>
      <c r="AV160" s="355">
        <f>IFERROR(AV143/AV136/1000000,"")</f>
        <v>9.4983166293393068E-2</v>
      </c>
      <c r="AW160" s="355">
        <f>IFERROR(AW143/AW136/1000000,"")</f>
        <v>0.12650752133436771</v>
      </c>
      <c r="AX160" s="355">
        <f>IFERROR(AX143/AX136/1000000,"")</f>
        <v>0.14298274593168156</v>
      </c>
    </row>
    <row r="161" spans="1:54" s="93" customFormat="1" x14ac:dyDescent="0.3">
      <c r="A161" s="93" t="s">
        <v>25</v>
      </c>
      <c r="B161" s="373" t="str">
        <f t="shared" ref="B161:Q161" si="86">IFERROR(B146/B143,"")</f>
        <v/>
      </c>
      <c r="C161" s="373" t="str">
        <f t="shared" si="86"/>
        <v/>
      </c>
      <c r="D161" s="373">
        <f t="shared" si="86"/>
        <v>0.35488829824403989</v>
      </c>
      <c r="E161" s="373">
        <f t="shared" si="86"/>
        <v>0.31994158110571286</v>
      </c>
      <c r="F161" s="373">
        <f t="shared" si="86"/>
        <v>0.28487406234448537</v>
      </c>
      <c r="G161" s="373">
        <f t="shared" si="86"/>
        <v>0.18846908237931675</v>
      </c>
      <c r="H161" s="373">
        <f t="shared" si="86"/>
        <v>0.23963311174423946</v>
      </c>
      <c r="I161" s="373">
        <f t="shared" si="86"/>
        <v>0.22627337900483208</v>
      </c>
      <c r="J161" s="228">
        <f t="shared" si="86"/>
        <v>0.26439287700657033</v>
      </c>
      <c r="K161" s="373">
        <f t="shared" si="86"/>
        <v>0.34975937466262924</v>
      </c>
      <c r="L161" s="373">
        <f t="shared" si="86"/>
        <v>0.3488911558383217</v>
      </c>
      <c r="M161" s="373">
        <f t="shared" si="86"/>
        <v>0.34512542379671068</v>
      </c>
      <c r="N161" s="228">
        <f t="shared" si="86"/>
        <v>0</v>
      </c>
      <c r="O161" s="373">
        <f t="shared" si="86"/>
        <v>0</v>
      </c>
      <c r="P161" s="373">
        <f t="shared" si="86"/>
        <v>0</v>
      </c>
      <c r="Q161" s="373">
        <f t="shared" si="86"/>
        <v>0</v>
      </c>
      <c r="R161" s="228"/>
      <c r="S161" s="373"/>
      <c r="T161" s="373"/>
      <c r="U161" s="326"/>
      <c r="V161" s="373"/>
      <c r="W161" s="373"/>
      <c r="X161" s="373"/>
      <c r="Y161" s="326"/>
      <c r="Z161" s="373"/>
      <c r="AA161" s="373"/>
      <c r="AB161" s="373"/>
      <c r="AC161" s="373"/>
      <c r="AD161" s="373"/>
      <c r="AE161" s="373"/>
      <c r="AF161" s="373"/>
      <c r="AG161" s="373"/>
      <c r="AH161" s="373"/>
      <c r="AI161" s="373"/>
      <c r="AJ161" s="373">
        <f>IFERROR(AJ146/AJ143,"")</f>
        <v>0.39443731473821436</v>
      </c>
      <c r="AK161" s="373">
        <f>IFERROR(AK146/AK143,"")</f>
        <v>0.33671980796830681</v>
      </c>
      <c r="AL161" s="373">
        <f>IFERROR(AL146/AL143,"")</f>
        <v>0.22972380227029729</v>
      </c>
      <c r="AM161" s="373">
        <f>IFERROR(AM146/AM143,"")</f>
        <v>0.23282826190112613</v>
      </c>
      <c r="AN161" s="373">
        <f>IFERROR(AN146/AN143,"")</f>
        <v>0.31067373609574156</v>
      </c>
      <c r="AO161" s="373"/>
      <c r="AQ161" s="373">
        <f>IFERROR(AQ146/AQ143,"")</f>
        <v>0.37812402875944423</v>
      </c>
      <c r="AR161" s="373">
        <f>IFERROR(AR146/AR143,"")</f>
        <v>0.23388527421710359</v>
      </c>
      <c r="AT161" s="373">
        <f>IFERROR(AT146/AT143,"")</f>
        <v>0.69158580617518117</v>
      </c>
      <c r="AU161" s="373">
        <f>IFERROR(AU146/AU143,"")</f>
        <v>0.45743769458712019</v>
      </c>
      <c r="AV161" s="373">
        <f>IFERROR(AV146/AV143,"")</f>
        <v>0.36016000595614472</v>
      </c>
      <c r="AW161" s="373">
        <f>IFERROR(AW146/AW143,"")</f>
        <v>0.23157425026995607</v>
      </c>
      <c r="AX161" s="373">
        <f>IFERROR(AX146/AX143,"")</f>
        <v>0.48607532087200206</v>
      </c>
    </row>
    <row r="163" spans="1:54" x14ac:dyDescent="0.3">
      <c r="A163" s="71" t="s">
        <v>226</v>
      </c>
      <c r="B163" s="337"/>
      <c r="C163" s="337"/>
      <c r="D163" s="337"/>
      <c r="E163" s="337"/>
      <c r="F163" s="337"/>
      <c r="G163" s="337"/>
      <c r="H163" s="337"/>
      <c r="I163" s="337"/>
      <c r="J163" s="199"/>
      <c r="K163" s="337"/>
      <c r="L163" s="337"/>
      <c r="M163" s="337"/>
      <c r="N163" s="199"/>
      <c r="O163" s="337"/>
      <c r="P163" s="337"/>
      <c r="Q163" s="337"/>
      <c r="R163" s="199"/>
      <c r="S163" s="337"/>
      <c r="T163" s="337"/>
      <c r="U163" s="287"/>
      <c r="V163" s="337"/>
      <c r="W163" s="337"/>
      <c r="X163" s="337"/>
      <c r="Y163" s="287"/>
      <c r="Z163" s="337"/>
      <c r="AA163" s="337"/>
      <c r="AB163" s="337"/>
      <c r="AC163" s="337"/>
      <c r="AD163" s="337"/>
      <c r="AE163" s="337"/>
      <c r="AF163" s="337"/>
      <c r="AG163" s="337"/>
      <c r="AJ163" s="337"/>
      <c r="AK163" s="61"/>
      <c r="AL163" s="337"/>
      <c r="AM163" s="337"/>
      <c r="AN163" s="337"/>
      <c r="AO163" s="337"/>
      <c r="AP163" s="337"/>
      <c r="AQ163" s="337"/>
      <c r="AR163" s="337"/>
      <c r="AS163" s="337"/>
      <c r="AT163" s="337"/>
      <c r="AU163" s="337"/>
      <c r="AV163" s="337"/>
      <c r="AW163" s="62"/>
      <c r="AX163" s="337"/>
      <c r="AY163" s="337"/>
      <c r="AZ163" s="337"/>
      <c r="BA163" s="337"/>
      <c r="BB163" s="337"/>
    </row>
    <row r="164" spans="1:54" x14ac:dyDescent="0.3">
      <c r="A164" s="102" t="s">
        <v>227</v>
      </c>
      <c r="B164" s="349"/>
      <c r="C164" s="349"/>
      <c r="D164" s="349"/>
      <c r="E164" s="349"/>
      <c r="F164" s="349"/>
      <c r="G164" s="349"/>
      <c r="H164" s="349"/>
      <c r="I164" s="349"/>
      <c r="J164" s="210"/>
      <c r="K164" s="349"/>
      <c r="L164" s="349"/>
      <c r="M164" s="349"/>
      <c r="N164" s="210"/>
      <c r="O164" s="349"/>
      <c r="P164" s="349"/>
      <c r="Q164" s="349"/>
      <c r="R164" s="210"/>
      <c r="S164" s="349"/>
      <c r="T164" s="349"/>
      <c r="U164" s="300"/>
      <c r="V164" s="349"/>
      <c r="W164" s="349"/>
      <c r="X164" s="349"/>
      <c r="Y164" s="300"/>
      <c r="Z164" s="349"/>
      <c r="AA164" s="349"/>
      <c r="AB164" s="349"/>
      <c r="AC164" s="349"/>
      <c r="AD164" s="349"/>
      <c r="AE164" s="349"/>
      <c r="AF164" s="349"/>
      <c r="AG164" s="349"/>
      <c r="AH164" s="254"/>
      <c r="AI164" s="254"/>
      <c r="AJ164" s="349"/>
      <c r="AK164" s="349"/>
      <c r="AL164" s="349"/>
      <c r="AM164" s="349"/>
      <c r="AN164" s="349"/>
      <c r="AO164" s="349"/>
      <c r="AP164" s="349"/>
      <c r="AQ164" s="349"/>
      <c r="AR164" s="349"/>
      <c r="AS164" s="349"/>
      <c r="AT164" s="349"/>
      <c r="AU164" s="349"/>
      <c r="AV164" s="349"/>
      <c r="AW164" s="349"/>
      <c r="AX164" s="349"/>
      <c r="AY164" s="349"/>
      <c r="AZ164" s="349"/>
      <c r="BA164" s="349"/>
      <c r="BB164" s="349"/>
    </row>
    <row r="165" spans="1:54" x14ac:dyDescent="0.3">
      <c r="A165" s="344" t="s">
        <v>228</v>
      </c>
      <c r="B165" s="60"/>
      <c r="C165" s="60"/>
      <c r="D165" s="60"/>
      <c r="E165" s="60"/>
      <c r="F165" s="60"/>
      <c r="G165" s="60"/>
      <c r="H165" s="60"/>
      <c r="AJ165" s="60"/>
      <c r="AK165" s="60"/>
      <c r="AL165" s="60"/>
      <c r="AM165" s="55"/>
      <c r="AN165" s="55"/>
      <c r="AO165" s="55"/>
      <c r="AT165" s="57">
        <v>161</v>
      </c>
      <c r="AU165" s="57">
        <v>237</v>
      </c>
      <c r="AV165" s="57">
        <v>357</v>
      </c>
      <c r="AW165" s="57">
        <v>515.6</v>
      </c>
      <c r="AX165" s="57">
        <v>682.1</v>
      </c>
    </row>
    <row r="166" spans="1:54" x14ac:dyDescent="0.3">
      <c r="A166" s="344" t="s">
        <v>229</v>
      </c>
      <c r="AT166" s="57">
        <v>1.7</v>
      </c>
      <c r="AU166" s="57">
        <v>4.3</v>
      </c>
      <c r="AV166" s="57">
        <v>11.2</v>
      </c>
    </row>
    <row r="167" spans="1:54" x14ac:dyDescent="0.3">
      <c r="AT167" s="57"/>
      <c r="AU167" s="57"/>
      <c r="AV167" s="57"/>
    </row>
    <row r="168" spans="1:54" x14ac:dyDescent="0.3">
      <c r="A168" s="102" t="s">
        <v>136</v>
      </c>
      <c r="B168" s="349"/>
      <c r="C168" s="349"/>
      <c r="D168" s="349"/>
      <c r="E168" s="349"/>
      <c r="F168" s="349"/>
      <c r="G168" s="349"/>
      <c r="H168" s="349"/>
      <c r="I168" s="349"/>
      <c r="J168" s="210"/>
      <c r="K168" s="349"/>
      <c r="L168" s="349"/>
      <c r="M168" s="349"/>
      <c r="N168" s="210"/>
      <c r="O168" s="349"/>
      <c r="P168" s="349"/>
      <c r="Q168" s="349"/>
      <c r="R168" s="210"/>
      <c r="S168" s="349"/>
      <c r="T168" s="349"/>
      <c r="U168" s="300"/>
      <c r="V168" s="349"/>
      <c r="W168" s="349"/>
      <c r="X168" s="349"/>
      <c r="Y168" s="300"/>
      <c r="Z168" s="349"/>
      <c r="AA168" s="349"/>
      <c r="AB168" s="349"/>
      <c r="AC168" s="349"/>
      <c r="AD168" s="349"/>
      <c r="AE168" s="349"/>
      <c r="AF168" s="349"/>
      <c r="AG168" s="349"/>
      <c r="AH168" s="254"/>
      <c r="AI168" s="254"/>
      <c r="AJ168" s="349"/>
      <c r="AK168" s="349"/>
      <c r="AL168" s="349"/>
      <c r="AM168" s="349"/>
      <c r="AN168" s="349"/>
      <c r="AO168" s="349"/>
      <c r="AP168" s="349"/>
      <c r="AQ168" s="349"/>
      <c r="AR168" s="349"/>
      <c r="AS168" s="349"/>
      <c r="AT168" s="349"/>
      <c r="AU168" s="349"/>
      <c r="AV168" s="349"/>
      <c r="AW168" s="349"/>
      <c r="AX168" s="349"/>
      <c r="AY168" s="349"/>
      <c r="AZ168" s="349"/>
      <c r="BA168" s="349"/>
      <c r="BB168" s="349"/>
    </row>
    <row r="169" spans="1:54" s="353" customFormat="1" x14ac:dyDescent="0.3">
      <c r="A169" s="93" t="s">
        <v>228</v>
      </c>
      <c r="B169" s="352" t="str">
        <f>IFERROR(B156/#REF!,"")</f>
        <v/>
      </c>
      <c r="C169" s="352" t="str">
        <f>IFERROR(C156/#REF!,"")</f>
        <v/>
      </c>
      <c r="D169" s="352" t="str">
        <f>IFERROR(D156/#REF!,"")</f>
        <v/>
      </c>
      <c r="E169" s="352"/>
      <c r="F169" s="352" t="str">
        <f>IFERROR(F156/#REF!,"")</f>
        <v/>
      </c>
      <c r="G169" s="352"/>
      <c r="H169" s="352"/>
      <c r="I169" s="352"/>
      <c r="J169" s="189"/>
      <c r="K169" s="352"/>
      <c r="N169" s="190"/>
      <c r="R169" s="190"/>
      <c r="U169" s="276"/>
      <c r="Y169" s="276"/>
      <c r="AJ169" s="352" t="str">
        <f>IFERROR(AJ156/#REF!,"")</f>
        <v/>
      </c>
      <c r="AL169" s="352"/>
      <c r="AM169" s="352"/>
      <c r="AN169" s="352"/>
      <c r="AO169" s="352"/>
      <c r="AQ169" s="352"/>
      <c r="AR169" s="352"/>
      <c r="AS169" s="352" t="e">
        <f>AS165/AR165-1</f>
        <v>#DIV/0!</v>
      </c>
      <c r="AT169" s="352"/>
      <c r="AU169" s="352">
        <f>AU165/AT165-1</f>
        <v>0.47204968944099379</v>
      </c>
      <c r="AV169" s="352">
        <f>AV165/AU165-1</f>
        <v>0.50632911392405067</v>
      </c>
      <c r="AW169" s="352">
        <f>AW165/AV165-1</f>
        <v>0.44425770308123247</v>
      </c>
      <c r="AX169" s="352">
        <f>AX165/AW165-1</f>
        <v>0.32292474786656311</v>
      </c>
    </row>
    <row r="170" spans="1:54" x14ac:dyDescent="0.3">
      <c r="A170" s="83"/>
      <c r="B170" s="54"/>
      <c r="C170" s="374">
        <f t="shared" ref="C170:V170" si="87">C173-B173</f>
        <v>274.60000000000002</v>
      </c>
      <c r="D170" s="374">
        <f t="shared" si="87"/>
        <v>18.799999999999955</v>
      </c>
      <c r="E170" s="374">
        <f t="shared" si="87"/>
        <v>16.100000000000023</v>
      </c>
      <c r="F170" s="374">
        <f t="shared" si="87"/>
        <v>16.300000000000011</v>
      </c>
      <c r="G170" s="374">
        <f t="shared" si="87"/>
        <v>31.099999999999966</v>
      </c>
      <c r="H170" s="374">
        <f t="shared" si="87"/>
        <v>25.400000000000034</v>
      </c>
      <c r="I170" s="374">
        <f t="shared" si="87"/>
        <v>18.099999999999966</v>
      </c>
      <c r="J170" s="229">
        <f t="shared" si="87"/>
        <v>11.400000000000034</v>
      </c>
      <c r="K170" s="374">
        <f t="shared" si="87"/>
        <v>10.800000000000011</v>
      </c>
      <c r="L170" s="374">
        <f t="shared" si="87"/>
        <v>13.199999999999989</v>
      </c>
      <c r="M170" s="374">
        <f t="shared" si="87"/>
        <v>14.699999999999989</v>
      </c>
      <c r="N170" s="229">
        <f t="shared" si="87"/>
        <v>-1.8999999999999773</v>
      </c>
      <c r="O170" s="374">
        <f t="shared" si="87"/>
        <v>8.6999999999999886</v>
      </c>
      <c r="P170" s="374">
        <f t="shared" si="87"/>
        <v>19.199999999999989</v>
      </c>
      <c r="Q170" s="374">
        <f t="shared" si="87"/>
        <v>34.100000000000023</v>
      </c>
      <c r="R170" s="229">
        <f t="shared" si="87"/>
        <v>58.699999999999932</v>
      </c>
      <c r="S170" s="374">
        <f t="shared" si="87"/>
        <v>59.100000000000023</v>
      </c>
      <c r="T170" s="374">
        <f t="shared" si="87"/>
        <v>39.100000000000023</v>
      </c>
      <c r="U170" s="327">
        <f t="shared" si="87"/>
        <v>23</v>
      </c>
      <c r="V170" s="374">
        <f t="shared" si="87"/>
        <v>2.3999999999999773</v>
      </c>
      <c r="W170" s="374"/>
      <c r="X170" s="374"/>
      <c r="Y170" s="327"/>
      <c r="Z170" s="374"/>
      <c r="AA170" s="374"/>
      <c r="AB170" s="374"/>
      <c r="AC170" s="374"/>
      <c r="AD170" s="374"/>
      <c r="AE170" s="374"/>
      <c r="AF170" s="374"/>
      <c r="AG170" s="374"/>
      <c r="AH170" s="374"/>
      <c r="AI170" s="374"/>
      <c r="AJ170" s="54"/>
      <c r="AL170" s="54"/>
      <c r="AM170" s="54"/>
      <c r="AN170" s="54"/>
      <c r="AO170" s="54"/>
      <c r="AQ170" s="54"/>
      <c r="AR170" s="54"/>
      <c r="AT170" s="54"/>
      <c r="AU170" s="54"/>
      <c r="AV170" s="54"/>
      <c r="AW170" s="54"/>
    </row>
    <row r="171" spans="1:54" x14ac:dyDescent="0.3">
      <c r="A171" s="102" t="s">
        <v>230</v>
      </c>
      <c r="B171" s="349"/>
      <c r="C171" s="349"/>
      <c r="D171" s="349"/>
      <c r="E171" s="349"/>
      <c r="F171" s="349"/>
      <c r="G171" s="349"/>
      <c r="H171" s="349"/>
      <c r="I171" s="349"/>
      <c r="J171" s="210"/>
      <c r="K171" s="349"/>
      <c r="L171" s="349"/>
      <c r="M171" s="349"/>
      <c r="N171" s="210"/>
      <c r="O171" s="349"/>
      <c r="P171" s="349"/>
      <c r="Q171" s="349"/>
      <c r="R171" s="210"/>
      <c r="S171" s="349"/>
      <c r="T171" s="349"/>
      <c r="U171" s="300"/>
      <c r="V171" s="349"/>
      <c r="W171" s="349"/>
      <c r="X171" s="349"/>
      <c r="Y171" s="300"/>
      <c r="Z171" s="349"/>
      <c r="AA171" s="349"/>
      <c r="AB171" s="349"/>
      <c r="AC171" s="349"/>
      <c r="AD171" s="349"/>
      <c r="AE171" s="349"/>
      <c r="AF171" s="349"/>
      <c r="AG171" s="349"/>
      <c r="AH171" s="254"/>
      <c r="AI171" s="254"/>
      <c r="AJ171" s="349"/>
      <c r="AK171" s="349"/>
      <c r="AL171" s="349"/>
      <c r="AM171" s="349"/>
      <c r="AN171" s="349"/>
      <c r="AO171" s="349"/>
      <c r="AP171" s="349"/>
      <c r="AQ171" s="349"/>
      <c r="AR171" s="349"/>
      <c r="AS171" s="349"/>
      <c r="AT171" s="349"/>
      <c r="AU171" s="349"/>
      <c r="AV171" s="349"/>
      <c r="AW171" s="349"/>
      <c r="AX171" s="349"/>
      <c r="AY171" s="349"/>
      <c r="AZ171" s="349"/>
      <c r="BA171" s="349"/>
      <c r="BB171" s="349"/>
    </row>
    <row r="172" spans="1:54" s="375" customFormat="1" x14ac:dyDescent="0.3">
      <c r="A172" s="344" t="s">
        <v>231</v>
      </c>
      <c r="B172" s="94"/>
      <c r="C172" s="94">
        <v>3.4</v>
      </c>
      <c r="D172" s="94">
        <v>3.8</v>
      </c>
      <c r="E172" s="94">
        <v>4.4000000000000004</v>
      </c>
      <c r="F172" s="94">
        <v>4.5</v>
      </c>
      <c r="G172" s="94">
        <v>5.0999999999999996</v>
      </c>
      <c r="H172" s="94">
        <v>5.5</v>
      </c>
      <c r="I172" s="94">
        <v>5.8</v>
      </c>
      <c r="J172" s="230">
        <v>5.8</v>
      </c>
      <c r="K172" s="375">
        <v>5.9</v>
      </c>
      <c r="L172" s="375">
        <v>5.9</v>
      </c>
      <c r="M172" s="375">
        <v>6.2</v>
      </c>
      <c r="N172" s="230">
        <v>6.1</v>
      </c>
      <c r="O172" s="375">
        <v>6.3</v>
      </c>
      <c r="P172" s="375">
        <v>6.5</v>
      </c>
      <c r="Q172" s="375">
        <v>6.8</v>
      </c>
      <c r="R172" s="230">
        <v>7.1</v>
      </c>
      <c r="S172" s="375">
        <v>7.7</v>
      </c>
      <c r="T172" s="375">
        <v>8.3000000000000007</v>
      </c>
      <c r="U172" s="329">
        <v>8.8000000000000007</v>
      </c>
      <c r="V172" s="251">
        <v>9</v>
      </c>
      <c r="W172" s="251">
        <v>9.1999999999999993</v>
      </c>
      <c r="X172" s="251">
        <v>9.3000000000000007</v>
      </c>
      <c r="Y172" s="328">
        <v>9.3000000000000007</v>
      </c>
      <c r="Z172" s="251"/>
      <c r="AA172" s="251"/>
      <c r="AB172" s="251"/>
      <c r="AC172" s="251"/>
      <c r="AD172" s="251"/>
      <c r="AE172" s="251"/>
      <c r="AF172" s="251"/>
      <c r="AG172" s="251"/>
      <c r="AT172" s="95">
        <v>2</v>
      </c>
      <c r="AU172" s="95">
        <v>3</v>
      </c>
      <c r="AV172" s="95">
        <v>4.4000000000000004</v>
      </c>
      <c r="AW172" s="95">
        <v>5.8</v>
      </c>
      <c r="AX172" s="375">
        <v>6.2</v>
      </c>
      <c r="AY172" s="375">
        <v>6.8</v>
      </c>
      <c r="AZ172" s="375">
        <f>U172</f>
        <v>8.8000000000000007</v>
      </c>
    </row>
    <row r="173" spans="1:54" s="156" customFormat="1" x14ac:dyDescent="0.3">
      <c r="A173" s="93" t="s">
        <v>232</v>
      </c>
      <c r="B173" s="94"/>
      <c r="C173" s="94">
        <v>274.60000000000002</v>
      </c>
      <c r="D173" s="94">
        <v>293.39999999999998</v>
      </c>
      <c r="E173" s="94">
        <v>309.5</v>
      </c>
      <c r="F173" s="94">
        <v>325.8</v>
      </c>
      <c r="G173" s="94">
        <v>356.9</v>
      </c>
      <c r="H173" s="94">
        <v>382.3</v>
      </c>
      <c r="I173" s="94">
        <v>400.4</v>
      </c>
      <c r="J173" s="216">
        <v>411.8</v>
      </c>
      <c r="K173" s="156">
        <v>422.6</v>
      </c>
      <c r="L173" s="156">
        <v>435.8</v>
      </c>
      <c r="M173" s="156">
        <v>450.5</v>
      </c>
      <c r="N173" s="216">
        <v>448.6</v>
      </c>
      <c r="O173" s="156">
        <v>457.3</v>
      </c>
      <c r="P173" s="156">
        <v>476.5</v>
      </c>
      <c r="Q173" s="156">
        <v>510.6</v>
      </c>
      <c r="R173" s="216">
        <v>569.29999999999995</v>
      </c>
      <c r="S173" s="375">
        <v>628.4</v>
      </c>
      <c r="T173" s="375">
        <v>667.5</v>
      </c>
      <c r="U173" s="329">
        <v>690.5</v>
      </c>
      <c r="V173" s="375">
        <v>692.9</v>
      </c>
      <c r="W173" s="375">
        <v>684.7</v>
      </c>
      <c r="X173" s="375">
        <v>687.1</v>
      </c>
      <c r="Y173" s="329">
        <v>677.9</v>
      </c>
      <c r="Z173" s="375"/>
      <c r="AA173" s="375"/>
      <c r="AB173" s="375"/>
      <c r="AC173" s="375"/>
      <c r="AD173" s="375"/>
      <c r="AE173" s="375"/>
      <c r="AF173" s="375"/>
      <c r="AG173" s="375"/>
      <c r="AJ173" s="375"/>
      <c r="AK173" s="375"/>
      <c r="AL173" s="375"/>
      <c r="AT173" s="95">
        <v>206</v>
      </c>
      <c r="AU173" s="95">
        <v>259</v>
      </c>
      <c r="AV173" s="95">
        <v>310</v>
      </c>
      <c r="AW173" s="95">
        <v>400.4</v>
      </c>
      <c r="AX173" s="156">
        <v>450.5</v>
      </c>
      <c r="AY173" s="156">
        <v>510.6</v>
      </c>
      <c r="AZ173" s="156">
        <f>U173</f>
        <v>690.5</v>
      </c>
    </row>
    <row r="174" spans="1:54" s="375" customFormat="1" x14ac:dyDescent="0.3">
      <c r="A174" s="344" t="s">
        <v>233</v>
      </c>
      <c r="B174" s="94"/>
      <c r="C174" s="94">
        <v>15.5</v>
      </c>
      <c r="D174" s="94">
        <v>17.100000000000001</v>
      </c>
      <c r="E174" s="94">
        <v>18.8</v>
      </c>
      <c r="F174" s="94">
        <v>20.100000000000001</v>
      </c>
      <c r="G174" s="94">
        <v>21.4</v>
      </c>
      <c r="H174" s="94">
        <v>22.7</v>
      </c>
      <c r="I174" s="94">
        <v>23.8</v>
      </c>
      <c r="J174" s="230">
        <v>24.8</v>
      </c>
      <c r="K174" s="375">
        <v>25.5</v>
      </c>
      <c r="L174" s="375">
        <v>26.5</v>
      </c>
      <c r="M174" s="375">
        <v>27.4</v>
      </c>
      <c r="N174" s="230">
        <v>26.2</v>
      </c>
      <c r="O174" s="375">
        <v>25.7</v>
      </c>
      <c r="P174" s="375">
        <v>26.8</v>
      </c>
      <c r="Q174" s="375">
        <v>28.1</v>
      </c>
      <c r="R174" s="230">
        <v>30.5</v>
      </c>
      <c r="S174" s="375">
        <v>32.799999999999997</v>
      </c>
      <c r="T174" s="375">
        <v>34.4</v>
      </c>
      <c r="U174" s="329">
        <v>35.799999999999997</v>
      </c>
      <c r="V174" s="375">
        <v>37.200000000000003</v>
      </c>
      <c r="W174" s="375">
        <v>38.1</v>
      </c>
      <c r="X174" s="375">
        <v>39.5</v>
      </c>
      <c r="Y174" s="329">
        <v>40.799999999999997</v>
      </c>
      <c r="AT174" s="95">
        <v>10.4</v>
      </c>
      <c r="AU174" s="95">
        <v>12.9</v>
      </c>
      <c r="AV174" s="95">
        <v>18.8</v>
      </c>
      <c r="AW174" s="95">
        <v>23.8</v>
      </c>
      <c r="AX174" s="375">
        <v>27.4</v>
      </c>
      <c r="AY174" s="375">
        <v>28.1</v>
      </c>
      <c r="AZ174" s="375">
        <f>U174</f>
        <v>35.799999999999997</v>
      </c>
    </row>
    <row r="175" spans="1:54" s="375" customFormat="1" x14ac:dyDescent="0.3">
      <c r="A175" s="344" t="s">
        <v>234</v>
      </c>
      <c r="J175" s="230"/>
      <c r="N175" s="230"/>
      <c r="R175" s="230"/>
      <c r="U175" s="329"/>
      <c r="Y175" s="329"/>
      <c r="AT175" s="95">
        <v>168</v>
      </c>
      <c r="AU175" s="95">
        <v>200</v>
      </c>
      <c r="AV175" s="95">
        <v>289</v>
      </c>
    </row>
    <row r="176" spans="1:54" s="375" customFormat="1" x14ac:dyDescent="0.3">
      <c r="A176" s="344" t="s">
        <v>235</v>
      </c>
      <c r="C176" s="113"/>
      <c r="D176" s="113"/>
      <c r="E176" s="113"/>
      <c r="F176" s="113"/>
      <c r="G176" s="376">
        <f t="shared" ref="G176:M176" si="88">SUM(D136:G136)*1000/G173</f>
        <v>1233.1185205940039</v>
      </c>
      <c r="H176" s="376">
        <f t="shared" si="88"/>
        <v>1260.0052314935913</v>
      </c>
      <c r="I176" s="376">
        <f t="shared" si="88"/>
        <v>1287.7122877122879</v>
      </c>
      <c r="J176" s="231">
        <f t="shared" si="88"/>
        <v>1325.4006799417193</v>
      </c>
      <c r="K176" s="376">
        <f t="shared" si="88"/>
        <v>1375.5324183625178</v>
      </c>
      <c r="L176" s="376">
        <f t="shared" si="88"/>
        <v>1446.0761817347404</v>
      </c>
      <c r="M176" s="376">
        <f t="shared" si="88"/>
        <v>1514.0954495005549</v>
      </c>
      <c r="N176" s="231"/>
      <c r="O176" s="376"/>
      <c r="P176" s="376"/>
      <c r="Q176" s="376"/>
      <c r="R176" s="231"/>
      <c r="S176" s="376"/>
      <c r="T176" s="376"/>
      <c r="U176" s="330"/>
      <c r="V176" s="376"/>
      <c r="W176" s="376"/>
      <c r="X176" s="376"/>
      <c r="Y176" s="330"/>
      <c r="Z176" s="376"/>
      <c r="AA176" s="376"/>
      <c r="AB176" s="376"/>
      <c r="AC176" s="376"/>
      <c r="AD176" s="376"/>
      <c r="AE176" s="376"/>
      <c r="AF176" s="376"/>
      <c r="AG176" s="376"/>
      <c r="AH176" s="376"/>
      <c r="AI176" s="376"/>
      <c r="AT176" s="376">
        <f>AT136*1000/AT173</f>
        <v>782.03883495145635</v>
      </c>
      <c r="AU176" s="376">
        <f>AU136*1000/AU173</f>
        <v>913.51351351351354</v>
      </c>
      <c r="AV176" s="376">
        <f>AV136*1000/AV173</f>
        <v>1152.258064516129</v>
      </c>
      <c r="AW176" s="376">
        <f>AW136*1000/AW173</f>
        <v>1287.7122877122879</v>
      </c>
      <c r="AX176" s="376">
        <f>AX136*1000/AX173</f>
        <v>1514.0954495005549</v>
      </c>
    </row>
    <row r="177" spans="1:54" x14ac:dyDescent="0.3">
      <c r="A177" s="107" t="s">
        <v>136</v>
      </c>
      <c r="AU177" s="371">
        <f>AU176/AT176-1</f>
        <v>0.16811783850889994</v>
      </c>
      <c r="AV177" s="371">
        <f>AV176/AU176-1</f>
        <v>0.26134758541706438</v>
      </c>
      <c r="AW177" s="371">
        <f>AW176/AV176-1</f>
        <v>0.11755545686116808</v>
      </c>
      <c r="AX177" s="371">
        <f>AX176/AW176-1</f>
        <v>0.17580259499616391</v>
      </c>
    </row>
    <row r="178" spans="1:54" x14ac:dyDescent="0.3">
      <c r="A178" s="102" t="s">
        <v>136</v>
      </c>
      <c r="B178" s="349"/>
      <c r="C178" s="349"/>
      <c r="D178" s="349"/>
      <c r="E178" s="349"/>
      <c r="F178" s="349"/>
      <c r="G178" s="349"/>
      <c r="H178" s="349"/>
      <c r="I178" s="349"/>
      <c r="J178" s="210"/>
      <c r="K178" s="349"/>
      <c r="L178" s="349"/>
      <c r="M178" s="349"/>
      <c r="N178" s="210"/>
      <c r="O178" s="349"/>
      <c r="P178" s="349"/>
      <c r="Q178" s="349"/>
      <c r="R178" s="210"/>
      <c r="S178" s="349"/>
      <c r="T178" s="349"/>
      <c r="U178" s="300"/>
      <c r="V178" s="349"/>
      <c r="W178" s="349"/>
      <c r="X178" s="349"/>
      <c r="Y178" s="300"/>
      <c r="Z178" s="349"/>
      <c r="AA178" s="349"/>
      <c r="AB178" s="349"/>
      <c r="AC178" s="349"/>
      <c r="AD178" s="349"/>
      <c r="AE178" s="349"/>
      <c r="AF178" s="349"/>
      <c r="AG178" s="349"/>
      <c r="AH178" s="254"/>
      <c r="AI178" s="254"/>
      <c r="AJ178" s="349"/>
      <c r="AK178" s="349"/>
      <c r="AL178" s="349"/>
      <c r="AM178" s="349"/>
      <c r="AN178" s="349"/>
      <c r="AO178" s="349"/>
      <c r="AP178" s="349"/>
      <c r="AQ178" s="349"/>
      <c r="AR178" s="349"/>
      <c r="AS178" s="349"/>
      <c r="AT178" s="349"/>
      <c r="AU178" s="349"/>
      <c r="AV178" s="349"/>
      <c r="AW178" s="349"/>
      <c r="AX178" s="349"/>
      <c r="AY178" s="349"/>
      <c r="AZ178" s="349"/>
      <c r="BA178" s="349"/>
      <c r="BB178" s="349"/>
    </row>
    <row r="179" spans="1:54" s="353" customFormat="1" x14ac:dyDescent="0.3">
      <c r="A179" s="93" t="s">
        <v>236</v>
      </c>
      <c r="B179" s="352" t="str">
        <f>IFERROR(B165/#REF!,"")</f>
        <v/>
      </c>
      <c r="C179" s="352"/>
      <c r="D179" s="352"/>
      <c r="E179" s="352"/>
      <c r="F179" s="352"/>
      <c r="G179" s="352">
        <f t="shared" ref="G179:R181" si="89">G172/C172-1</f>
        <v>0.5</v>
      </c>
      <c r="H179" s="352">
        <f t="shared" si="89"/>
        <v>0.44736842105263164</v>
      </c>
      <c r="I179" s="352">
        <f t="shared" si="89"/>
        <v>0.31818181818181812</v>
      </c>
      <c r="J179" s="189">
        <f t="shared" si="89"/>
        <v>0.28888888888888875</v>
      </c>
      <c r="K179" s="352">
        <f t="shared" si="89"/>
        <v>0.15686274509803932</v>
      </c>
      <c r="L179" s="352">
        <f t="shared" si="89"/>
        <v>7.2727272727272751E-2</v>
      </c>
      <c r="M179" s="352">
        <f t="shared" si="89"/>
        <v>6.8965517241379448E-2</v>
      </c>
      <c r="N179" s="189">
        <f t="shared" si="89"/>
        <v>5.1724137931034475E-2</v>
      </c>
      <c r="O179" s="352">
        <f t="shared" si="89"/>
        <v>6.7796610169491345E-2</v>
      </c>
      <c r="P179" s="352">
        <f t="shared" si="89"/>
        <v>0.10169491525423724</v>
      </c>
      <c r="Q179" s="352">
        <f t="shared" si="89"/>
        <v>9.6774193548387011E-2</v>
      </c>
      <c r="R179" s="232">
        <f t="shared" si="89"/>
        <v>0.16393442622950816</v>
      </c>
      <c r="S179" s="350">
        <v>0.23499999999999999</v>
      </c>
      <c r="T179" s="350">
        <v>0.28199999999999997</v>
      </c>
      <c r="U179" s="301">
        <v>0.29199999999999998</v>
      </c>
      <c r="V179" s="350">
        <v>0.26600000000000001</v>
      </c>
      <c r="W179" s="350">
        <f t="shared" ref="W179:Y181" si="90">W172/S172-1</f>
        <v>0.19480519480519476</v>
      </c>
      <c r="X179" s="350">
        <f t="shared" si="90"/>
        <v>0.12048192771084332</v>
      </c>
      <c r="Y179" s="301">
        <f t="shared" si="90"/>
        <v>5.6818181818181879E-2</v>
      </c>
      <c r="Z179" s="350">
        <v>0.3</v>
      </c>
      <c r="AA179" s="350"/>
      <c r="AB179" s="350"/>
      <c r="AC179" s="350"/>
      <c r="AD179" s="350"/>
      <c r="AE179" s="350"/>
      <c r="AF179" s="350"/>
      <c r="AG179" s="350"/>
      <c r="AH179" s="352"/>
      <c r="AI179" s="352"/>
      <c r="AJ179" s="352" t="str">
        <f>IFERROR(AJ165/#REF!,"")</f>
        <v/>
      </c>
      <c r="AL179" s="352"/>
      <c r="AM179" s="352"/>
      <c r="AN179" s="352"/>
      <c r="AO179" s="352"/>
      <c r="AQ179" s="352"/>
      <c r="AR179" s="352"/>
      <c r="AS179" s="352" t="e">
        <f>AS174/AR174-1</f>
        <v>#DIV/0!</v>
      </c>
      <c r="AT179" s="352"/>
      <c r="AU179" s="352">
        <f t="shared" ref="AU179:AY181" si="91">AU172/AT172-1</f>
        <v>0.5</v>
      </c>
      <c r="AV179" s="352">
        <f t="shared" si="91"/>
        <v>0.46666666666666679</v>
      </c>
      <c r="AW179" s="352">
        <f t="shared" si="91"/>
        <v>0.31818181818181812</v>
      </c>
      <c r="AX179" s="352">
        <f t="shared" si="91"/>
        <v>6.8965517241379448E-2</v>
      </c>
      <c r="AY179" s="352">
        <f t="shared" si="91"/>
        <v>9.6774193548387011E-2</v>
      </c>
      <c r="AZ179" s="350">
        <f>U179</f>
        <v>0.29199999999999998</v>
      </c>
    </row>
    <row r="180" spans="1:54" s="353" customFormat="1" x14ac:dyDescent="0.3">
      <c r="A180" s="93" t="s">
        <v>237</v>
      </c>
      <c r="B180" s="352" t="str">
        <f>IFERROR(B166/#REF!,"")</f>
        <v/>
      </c>
      <c r="C180" s="352"/>
      <c r="D180" s="352"/>
      <c r="E180" s="352"/>
      <c r="F180" s="352"/>
      <c r="G180" s="352">
        <f t="shared" si="89"/>
        <v>0.29970866715222133</v>
      </c>
      <c r="H180" s="352">
        <f t="shared" si="89"/>
        <v>0.30299931833674187</v>
      </c>
      <c r="I180" s="352">
        <f t="shared" si="89"/>
        <v>0.29369951534733429</v>
      </c>
      <c r="J180" s="189">
        <f t="shared" si="89"/>
        <v>0.26396562308164517</v>
      </c>
      <c r="K180" s="352">
        <f t="shared" si="89"/>
        <v>0.18408517792098644</v>
      </c>
      <c r="L180" s="352">
        <f t="shared" si="89"/>
        <v>0.13994245357049429</v>
      </c>
      <c r="M180" s="352">
        <f t="shared" si="89"/>
        <v>0.12512487512487525</v>
      </c>
      <c r="N180" s="189">
        <f t="shared" si="89"/>
        <v>8.9363768819815448E-2</v>
      </c>
      <c r="O180" s="352">
        <f t="shared" si="89"/>
        <v>8.2110743019403687E-2</v>
      </c>
      <c r="P180" s="352">
        <f t="shared" si="89"/>
        <v>9.3391463974300093E-2</v>
      </c>
      <c r="Q180" s="352">
        <f t="shared" si="89"/>
        <v>0.13340732519422871</v>
      </c>
      <c r="R180" s="232">
        <f t="shared" si="89"/>
        <v>0.26905929558626829</v>
      </c>
      <c r="S180" s="350">
        <v>0.374</v>
      </c>
      <c r="T180" s="350">
        <v>0.40100000000000002</v>
      </c>
      <c r="U180" s="301">
        <v>0.35199999999999998</v>
      </c>
      <c r="V180" s="350">
        <v>0.217</v>
      </c>
      <c r="W180" s="350">
        <f t="shared" si="90"/>
        <v>8.9592616168046035E-2</v>
      </c>
      <c r="X180" s="350">
        <f t="shared" si="90"/>
        <v>2.9363295880149742E-2</v>
      </c>
      <c r="Y180" s="301">
        <f t="shared" si="90"/>
        <v>-1.8247646632874814E-2</v>
      </c>
      <c r="Z180" s="350"/>
      <c r="AA180" s="350"/>
      <c r="AB180" s="350"/>
      <c r="AC180" s="350"/>
      <c r="AD180" s="350"/>
      <c r="AE180" s="350"/>
      <c r="AF180" s="350"/>
      <c r="AG180" s="350"/>
      <c r="AH180" s="352"/>
      <c r="AI180" s="352"/>
      <c r="AJ180" s="352" t="str">
        <f>IFERROR(AJ166/#REF!,"")</f>
        <v/>
      </c>
      <c r="AL180" s="352"/>
      <c r="AM180" s="352"/>
      <c r="AN180" s="352"/>
      <c r="AO180" s="352"/>
      <c r="AQ180" s="352"/>
      <c r="AR180" s="352"/>
      <c r="AS180" s="352" t="e">
        <f>AS175/AR175-1</f>
        <v>#DIV/0!</v>
      </c>
      <c r="AT180" s="352"/>
      <c r="AU180" s="352">
        <f t="shared" si="91"/>
        <v>0.25728155339805836</v>
      </c>
      <c r="AV180" s="352">
        <f t="shared" si="91"/>
        <v>0.19691119691119696</v>
      </c>
      <c r="AW180" s="352">
        <f t="shared" si="91"/>
        <v>0.29161290322580635</v>
      </c>
      <c r="AX180" s="352">
        <f t="shared" si="91"/>
        <v>0.12512487512487525</v>
      </c>
      <c r="AY180" s="352">
        <f t="shared" si="91"/>
        <v>0.13340732519422871</v>
      </c>
      <c r="AZ180" s="350">
        <f>U180</f>
        <v>0.35199999999999998</v>
      </c>
    </row>
    <row r="181" spans="1:54" x14ac:dyDescent="0.3">
      <c r="A181" s="344" t="s">
        <v>233</v>
      </c>
      <c r="G181" s="352">
        <f t="shared" si="89"/>
        <v>0.38064516129032255</v>
      </c>
      <c r="H181" s="352">
        <f t="shared" si="89"/>
        <v>0.32748538011695882</v>
      </c>
      <c r="I181" s="352">
        <f t="shared" si="89"/>
        <v>0.26595744680851063</v>
      </c>
      <c r="J181" s="189">
        <f t="shared" si="89"/>
        <v>0.23383084577114421</v>
      </c>
      <c r="K181" s="352">
        <f t="shared" si="89"/>
        <v>0.19158878504672905</v>
      </c>
      <c r="L181" s="352">
        <f t="shared" si="89"/>
        <v>0.16740088105726869</v>
      </c>
      <c r="M181" s="352">
        <f t="shared" si="89"/>
        <v>0.15126050420168058</v>
      </c>
      <c r="N181" s="189">
        <f t="shared" si="89"/>
        <v>5.6451612903225756E-2</v>
      </c>
      <c r="O181" s="352">
        <f t="shared" si="89"/>
        <v>7.8431372549019329E-3</v>
      </c>
      <c r="P181" s="352">
        <f t="shared" si="89"/>
        <v>1.132075471698113E-2</v>
      </c>
      <c r="Q181" s="352">
        <f t="shared" si="89"/>
        <v>2.5547445255474477E-2</v>
      </c>
      <c r="R181" s="232">
        <f t="shared" si="89"/>
        <v>0.16412213740458026</v>
      </c>
      <c r="S181" s="350">
        <v>0.27800000000000002</v>
      </c>
      <c r="T181" s="350">
        <v>0.28499999999999998</v>
      </c>
      <c r="U181" s="301">
        <v>0.27200000000000002</v>
      </c>
      <c r="V181" s="350">
        <v>0.219</v>
      </c>
      <c r="W181" s="350">
        <f t="shared" si="90"/>
        <v>0.16158536585365879</v>
      </c>
      <c r="X181" s="350">
        <f t="shared" si="90"/>
        <v>0.14825581395348841</v>
      </c>
      <c r="Y181" s="301">
        <f t="shared" si="90"/>
        <v>0.13966480446927365</v>
      </c>
      <c r="Z181" s="350"/>
      <c r="AA181" s="350"/>
      <c r="AB181" s="350"/>
      <c r="AC181" s="350"/>
      <c r="AD181" s="350"/>
      <c r="AE181" s="350"/>
      <c r="AF181" s="350"/>
      <c r="AG181" s="350"/>
      <c r="AH181" s="352"/>
      <c r="AI181" s="352"/>
      <c r="AJ181" s="352">
        <f>AJ174/O174-1</f>
        <v>-1</v>
      </c>
      <c r="AK181" s="352">
        <f>AK174/P174-1</f>
        <v>-1</v>
      </c>
      <c r="AL181" s="352">
        <f>AL174/Q174-1</f>
        <v>-1</v>
      </c>
      <c r="AM181" s="352">
        <f>AM174/R174-1</f>
        <v>-1</v>
      </c>
      <c r="AN181" s="352" t="e">
        <f>AN174/AJ174-1</f>
        <v>#DIV/0!</v>
      </c>
      <c r="AO181" s="352" t="e">
        <f>AO174/AK174-1</f>
        <v>#DIV/0!</v>
      </c>
      <c r="AP181" s="352" t="e">
        <f>AP174/AL174-1</f>
        <v>#DIV/0!</v>
      </c>
      <c r="AQ181" s="352" t="e">
        <f>AQ174/AM174-1</f>
        <v>#DIV/0!</v>
      </c>
      <c r="AR181" s="352" t="e">
        <f>AR174/AN174-1</f>
        <v>#DIV/0!</v>
      </c>
      <c r="AU181" s="352">
        <f t="shared" si="91"/>
        <v>0.24038461538461542</v>
      </c>
      <c r="AV181" s="352">
        <f t="shared" si="91"/>
        <v>0.45736434108527124</v>
      </c>
      <c r="AW181" s="352">
        <f t="shared" si="91"/>
        <v>0.26595744680851063</v>
      </c>
      <c r="AX181" s="352">
        <f t="shared" si="91"/>
        <v>0.15126050420168058</v>
      </c>
      <c r="AY181" s="352">
        <f t="shared" si="91"/>
        <v>2.5547445255474477E-2</v>
      </c>
      <c r="AZ181" s="350">
        <f>U181</f>
        <v>0.27200000000000002</v>
      </c>
    </row>
    <row r="182" spans="1:54" x14ac:dyDescent="0.3">
      <c r="AV182">
        <f>AV136*1000/AV173</f>
        <v>1152.258064516129</v>
      </c>
      <c r="AW182">
        <f>AW136*1000/AW173</f>
        <v>1287.7122877122879</v>
      </c>
      <c r="AX182">
        <f>AX136*1000/AX173</f>
        <v>1514.0954495005549</v>
      </c>
    </row>
    <row r="183" spans="1:54" x14ac:dyDescent="0.3">
      <c r="AW183" s="348">
        <f>AW182/AV182-1</f>
        <v>0.11755545686116808</v>
      </c>
      <c r="AX183" s="348">
        <f>AX182/AW182-1</f>
        <v>0.17580259499616391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"/>
  <sheetViews>
    <sheetView workbookViewId="0">
      <selection activeCell="L15" sqref="L15"/>
    </sheetView>
  </sheetViews>
  <sheetFormatPr defaultRowHeight="14" x14ac:dyDescent="0.3"/>
  <cols>
    <col min="2" max="2" width="10.4140625" style="262" customWidth="1"/>
  </cols>
  <sheetData>
    <row r="2" spans="2:12" x14ac:dyDescent="0.3">
      <c r="L2" t="s">
        <v>238</v>
      </c>
    </row>
    <row r="3" spans="2:12" x14ac:dyDescent="0.3">
      <c r="B3" s="66"/>
      <c r="C3" s="385" t="s">
        <v>58</v>
      </c>
      <c r="D3" s="385" t="s">
        <v>59</v>
      </c>
      <c r="E3" s="385" t="s">
        <v>60</v>
      </c>
      <c r="F3" s="385" t="s">
        <v>61</v>
      </c>
      <c r="G3" s="385" t="s">
        <v>62</v>
      </c>
      <c r="H3" s="385" t="s">
        <v>63</v>
      </c>
      <c r="I3" s="385" t="s">
        <v>67</v>
      </c>
      <c r="J3" s="385" t="s">
        <v>69</v>
      </c>
      <c r="K3" s="386" t="s">
        <v>71</v>
      </c>
      <c r="L3" s="398" t="s">
        <v>72</v>
      </c>
    </row>
    <row r="4" spans="2:12" x14ac:dyDescent="0.3">
      <c r="B4" s="66" t="s">
        <v>206</v>
      </c>
      <c r="C4" s="388">
        <v>0.13</v>
      </c>
      <c r="D4" s="388">
        <v>0.15</v>
      </c>
      <c r="E4" s="388">
        <v>0.15</v>
      </c>
      <c r="F4" s="388">
        <v>0.15</v>
      </c>
      <c r="G4" s="388">
        <v>0.15</v>
      </c>
      <c r="H4" s="388">
        <v>0.16700000000000001</v>
      </c>
      <c r="I4" s="387">
        <v>0.17399999999999999</v>
      </c>
      <c r="J4" s="388">
        <v>0.15</v>
      </c>
      <c r="K4" s="388">
        <v>0.19</v>
      </c>
      <c r="L4" s="399">
        <v>0.15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V50"/>
  <sheetViews>
    <sheetView zoomScaleNormal="100" workbookViewId="0">
      <pane xSplit="1" topLeftCell="L1" activePane="topRight" state="frozen"/>
      <selection pane="topRight" activeCell="S28" sqref="S28"/>
    </sheetView>
  </sheetViews>
  <sheetFormatPr defaultRowHeight="14" x14ac:dyDescent="0.3"/>
  <cols>
    <col min="1" max="1" width="31.08203125" style="262" customWidth="1"/>
    <col min="2" max="2" width="13.6640625" style="262" bestFit="1" customWidth="1"/>
    <col min="3" max="3" width="13.6640625" style="262" customWidth="1"/>
    <col min="4" max="4" width="13.6640625" style="266" customWidth="1"/>
    <col min="5" max="5" width="13.6640625" style="262" customWidth="1"/>
    <col min="6" max="6" width="13.6640625" style="262" bestFit="1" customWidth="1"/>
    <col min="7" max="7" width="13.6640625" style="262" customWidth="1"/>
    <col min="8" max="8" width="13.6640625" style="266" customWidth="1"/>
    <col min="9" max="13" width="13.6640625" style="262" customWidth="1"/>
    <col min="14" max="16" width="12" style="262" bestFit="1" customWidth="1"/>
    <col min="17" max="17" width="14.25" style="262" bestFit="1" customWidth="1"/>
    <col min="18" max="19" width="14.25" style="262" customWidth="1"/>
    <col min="20" max="22" width="13" style="262" customWidth="1"/>
  </cols>
  <sheetData>
    <row r="2" spans="1:22" s="337" customFormat="1" x14ac:dyDescent="0.3">
      <c r="A2" s="381" t="s">
        <v>239</v>
      </c>
      <c r="B2" s="381" t="s">
        <v>64</v>
      </c>
      <c r="C2" s="381" t="s">
        <v>65</v>
      </c>
      <c r="D2" s="314" t="s">
        <v>66</v>
      </c>
      <c r="E2" s="381" t="s">
        <v>67</v>
      </c>
      <c r="F2" s="381" t="s">
        <v>68</v>
      </c>
      <c r="G2" s="381" t="s">
        <v>69</v>
      </c>
      <c r="H2" s="314" t="s">
        <v>70</v>
      </c>
      <c r="I2" s="381" t="s">
        <v>71</v>
      </c>
      <c r="J2" s="381" t="s">
        <v>72</v>
      </c>
      <c r="K2" s="381" t="s">
        <v>73</v>
      </c>
      <c r="L2" s="381" t="s">
        <v>74</v>
      </c>
      <c r="M2" s="381" t="s">
        <v>75</v>
      </c>
      <c r="N2" s="381" t="s">
        <v>76</v>
      </c>
      <c r="O2" s="381" t="s">
        <v>77</v>
      </c>
      <c r="P2" s="381" t="s">
        <v>78</v>
      </c>
      <c r="Q2" s="381" t="s">
        <v>79</v>
      </c>
      <c r="R2" s="381" t="s">
        <v>80</v>
      </c>
      <c r="S2" s="381" t="s">
        <v>81</v>
      </c>
      <c r="T2" s="381" t="s">
        <v>82</v>
      </c>
      <c r="U2" s="381" t="s">
        <v>83</v>
      </c>
      <c r="V2" s="381" t="s">
        <v>84</v>
      </c>
    </row>
    <row r="3" spans="1:22" x14ac:dyDescent="0.3">
      <c r="A3" s="44" t="s">
        <v>22</v>
      </c>
      <c r="B3" s="371"/>
      <c r="C3" s="371"/>
      <c r="D3" s="324"/>
      <c r="E3" s="371"/>
      <c r="F3" s="371"/>
      <c r="G3" s="348">
        <f>G8/C8-1</f>
        <v>0.24640999708034483</v>
      </c>
      <c r="H3" s="299">
        <f>H8/D8-1</f>
        <v>0.17386331927033871</v>
      </c>
      <c r="I3" s="348"/>
      <c r="J3" s="371"/>
      <c r="K3" s="371"/>
      <c r="L3" s="371"/>
      <c r="M3" s="371"/>
    </row>
    <row r="4" spans="1:22" x14ac:dyDescent="0.3">
      <c r="A4" s="253" t="s">
        <v>240</v>
      </c>
      <c r="B4" s="12">
        <v>13861207</v>
      </c>
      <c r="C4" s="12">
        <v>15392015</v>
      </c>
      <c r="D4" s="377">
        <v>14990397</v>
      </c>
      <c r="E4" s="12">
        <v>14233209</v>
      </c>
      <c r="F4" s="12">
        <v>15950770</v>
      </c>
      <c r="G4" s="12">
        <v>20107197</v>
      </c>
      <c r="H4" s="377">
        <v>19772732</v>
      </c>
      <c r="I4" s="12">
        <v>16905291</v>
      </c>
      <c r="J4" s="12">
        <v>20374970</v>
      </c>
      <c r="K4" s="12">
        <v>22983696</v>
      </c>
      <c r="L4" s="12">
        <v>21927023</v>
      </c>
      <c r="M4" s="12">
        <v>21065057</v>
      </c>
      <c r="N4" s="12">
        <v>23021272</v>
      </c>
      <c r="O4" s="12">
        <v>27784111</v>
      </c>
      <c r="P4" s="12">
        <v>26194820</v>
      </c>
      <c r="Q4" s="12">
        <v>25722683</v>
      </c>
      <c r="R4" s="12">
        <v>23655555</v>
      </c>
      <c r="S4" s="12">
        <v>23021931</v>
      </c>
      <c r="T4" s="12">
        <v>23594886</v>
      </c>
      <c r="U4" s="451">
        <v>24081149</v>
      </c>
      <c r="V4" s="451">
        <v>26781224</v>
      </c>
    </row>
    <row r="5" spans="1:22" x14ac:dyDescent="0.3">
      <c r="A5" s="253" t="s">
        <v>188</v>
      </c>
      <c r="B5" s="12">
        <v>12170487</v>
      </c>
      <c r="C5" s="12">
        <v>13191289</v>
      </c>
      <c r="D5" s="377">
        <v>12878761</v>
      </c>
      <c r="E5" s="12">
        <v>11948724</v>
      </c>
      <c r="F5" s="12">
        <v>12478501</v>
      </c>
      <c r="G5" s="12">
        <v>16079265</v>
      </c>
      <c r="H5" s="377">
        <v>14636518</v>
      </c>
      <c r="I5" s="12">
        <v>15815292</v>
      </c>
      <c r="J5" s="12">
        <v>18402189</v>
      </c>
      <c r="K5" s="12">
        <v>20986527</v>
      </c>
      <c r="L5" s="12">
        <v>19426729</v>
      </c>
      <c r="M5" s="12">
        <v>20034039</v>
      </c>
      <c r="N5" s="12">
        <v>22108369</v>
      </c>
      <c r="O5" s="12">
        <v>26889908</v>
      </c>
      <c r="P5" s="12">
        <v>24066077</v>
      </c>
      <c r="Q5" s="12">
        <v>24051420</v>
      </c>
      <c r="R5" s="12">
        <v>24950978</v>
      </c>
      <c r="S5" s="12">
        <v>26375119</v>
      </c>
      <c r="T5" s="12">
        <v>23778171</v>
      </c>
      <c r="U5" s="451">
        <v>35608836</v>
      </c>
      <c r="V5" s="451">
        <v>39630201</v>
      </c>
    </row>
    <row r="6" spans="1:22" x14ac:dyDescent="0.3">
      <c r="A6" s="253" t="s">
        <v>241</v>
      </c>
      <c r="B6" s="12">
        <v>7194528</v>
      </c>
      <c r="C6" s="12">
        <v>8001353</v>
      </c>
      <c r="D6" s="377">
        <v>8137460</v>
      </c>
      <c r="E6" s="12">
        <v>7004924</v>
      </c>
      <c r="F6" s="12">
        <v>7295796</v>
      </c>
      <c r="G6" s="12">
        <v>8637608</v>
      </c>
      <c r="H6" s="377">
        <v>7744751</v>
      </c>
      <c r="I6" s="12">
        <v>7746614</v>
      </c>
      <c r="J6" s="12">
        <v>10243600</v>
      </c>
      <c r="K6" s="12">
        <v>11369580</v>
      </c>
      <c r="L6" s="12">
        <v>10907096</v>
      </c>
      <c r="M6" s="12">
        <v>10307416</v>
      </c>
      <c r="N6" s="12">
        <v>12262733</v>
      </c>
      <c r="O6" s="12">
        <v>13423641</v>
      </c>
      <c r="P6" s="12">
        <v>12842276</v>
      </c>
      <c r="Q6" s="12">
        <v>11862473</v>
      </c>
      <c r="R6" s="12">
        <v>13547279</v>
      </c>
      <c r="S6" s="12">
        <v>14193343</v>
      </c>
      <c r="T6" s="12">
        <v>13136940</v>
      </c>
      <c r="U6" s="451"/>
      <c r="V6" s="451"/>
    </row>
    <row r="7" spans="1:22" x14ac:dyDescent="0.3">
      <c r="A7" s="253" t="s">
        <v>190</v>
      </c>
      <c r="B7" s="12">
        <v>468840</v>
      </c>
      <c r="C7" s="12">
        <v>584115</v>
      </c>
      <c r="D7" s="377">
        <v>1027220</v>
      </c>
      <c r="E7" s="12">
        <v>992729</v>
      </c>
      <c r="F7" s="12">
        <v>1054176</v>
      </c>
      <c r="G7" s="12">
        <v>1503459</v>
      </c>
      <c r="H7" s="377">
        <v>1318663</v>
      </c>
      <c r="I7" s="12">
        <v>2418139</v>
      </c>
      <c r="J7" s="12">
        <v>2179187</v>
      </c>
      <c r="K7" s="12">
        <v>2351205</v>
      </c>
      <c r="L7" s="12">
        <v>2869794</v>
      </c>
      <c r="M7" s="12">
        <v>3219195</v>
      </c>
      <c r="N7" s="12">
        <v>3289484</v>
      </c>
      <c r="O7" s="12">
        <v>2085212</v>
      </c>
      <c r="P7" s="12">
        <v>2463659</v>
      </c>
      <c r="Q7" s="12">
        <v>2688138</v>
      </c>
      <c r="R7" s="12">
        <v>3193471</v>
      </c>
      <c r="S7" s="12">
        <v>3856473</v>
      </c>
      <c r="T7" s="12">
        <v>4324636</v>
      </c>
      <c r="U7" s="451">
        <v>4373301</v>
      </c>
      <c r="V7" s="451">
        <v>5119130</v>
      </c>
    </row>
    <row r="8" spans="1:22" x14ac:dyDescent="0.3">
      <c r="A8" s="256" t="s">
        <v>242</v>
      </c>
      <c r="B8" s="382">
        <f>SUM(B4:B7)</f>
        <v>33695062</v>
      </c>
      <c r="C8" s="382">
        <f>SUM(C4:C7)</f>
        <v>37168772</v>
      </c>
      <c r="D8" s="378">
        <f>SUM(D4:D7)</f>
        <v>37033838</v>
      </c>
      <c r="E8" s="382">
        <v>34179586</v>
      </c>
      <c r="F8" s="257">
        <f>SUM(F4:F7)</f>
        <v>36779243</v>
      </c>
      <c r="G8" s="257">
        <f>SUM(G4:G7)</f>
        <v>46327529</v>
      </c>
      <c r="H8" s="380">
        <f>SUM(H4:H7)</f>
        <v>43472664</v>
      </c>
      <c r="I8" s="257">
        <v>42885336</v>
      </c>
      <c r="J8" s="257">
        <v>51199946</v>
      </c>
      <c r="K8" s="257">
        <v>57691008</v>
      </c>
      <c r="L8" s="257">
        <f>SUM(L4:L7)</f>
        <v>55130642</v>
      </c>
      <c r="M8" s="257">
        <v>54625707</v>
      </c>
      <c r="N8" s="257">
        <v>60681858</v>
      </c>
      <c r="O8" s="257">
        <v>69373099</v>
      </c>
      <c r="P8" s="257">
        <v>65566832</v>
      </c>
      <c r="Q8" s="257">
        <f t="shared" ref="Q8:V8" si="0">SUM(Q4:Q7)</f>
        <v>64324714</v>
      </c>
      <c r="R8" s="257">
        <f t="shared" si="0"/>
        <v>65347283</v>
      </c>
      <c r="S8" s="257">
        <f t="shared" si="0"/>
        <v>67446866</v>
      </c>
      <c r="T8" s="257">
        <f t="shared" si="0"/>
        <v>64834633</v>
      </c>
      <c r="U8" s="257">
        <f t="shared" si="0"/>
        <v>64063286</v>
      </c>
      <c r="V8" s="257">
        <f t="shared" si="0"/>
        <v>71530555</v>
      </c>
    </row>
    <row r="9" spans="1:22" x14ac:dyDescent="0.3">
      <c r="A9" s="254"/>
      <c r="B9" s="12"/>
      <c r="C9" s="12"/>
      <c r="D9" s="377"/>
      <c r="E9" s="12"/>
      <c r="F9" s="383"/>
      <c r="G9" s="383"/>
      <c r="H9" s="379"/>
      <c r="I9" s="383"/>
      <c r="J9" s="383"/>
      <c r="K9" s="383"/>
      <c r="L9" s="383"/>
      <c r="M9" s="383"/>
    </row>
    <row r="10" spans="1:22" ht="19.5" customHeight="1" x14ac:dyDescent="0.3">
      <c r="A10" s="258" t="s">
        <v>243</v>
      </c>
      <c r="B10" s="12"/>
      <c r="C10" s="12">
        <v>-33017764</v>
      </c>
      <c r="D10" s="377">
        <v>-31916464</v>
      </c>
      <c r="E10" s="12">
        <v>-29474445</v>
      </c>
      <c r="F10" s="383">
        <v>-28518250</v>
      </c>
      <c r="G10" s="383">
        <v>-37006236</v>
      </c>
      <c r="H10" s="379">
        <v>-36257422</v>
      </c>
      <c r="I10" s="383">
        <v>-33440266</v>
      </c>
      <c r="J10" s="383">
        <v>-40061425</v>
      </c>
      <c r="K10" s="383">
        <v>47595177</v>
      </c>
      <c r="L10" s="383">
        <v>47111217</v>
      </c>
      <c r="M10" s="383">
        <v>-44926860</v>
      </c>
      <c r="N10" s="46">
        <v>-45448273</v>
      </c>
      <c r="O10" s="46">
        <v>-54790696</v>
      </c>
      <c r="P10" s="46">
        <v>52666505</v>
      </c>
      <c r="Q10" s="12">
        <v>-50833234</v>
      </c>
      <c r="R10" s="12">
        <v>-61626153</v>
      </c>
      <c r="S10" s="12">
        <v>-81517876</v>
      </c>
      <c r="T10" s="12">
        <v>-74880316</v>
      </c>
      <c r="U10" s="451">
        <f>U12-U8</f>
        <v>-66093228</v>
      </c>
      <c r="V10" s="451">
        <f>V12-V8</f>
        <v>-65862280</v>
      </c>
    </row>
    <row r="11" spans="1:22" x14ac:dyDescent="0.3">
      <c r="A11" s="254"/>
      <c r="B11" s="12"/>
      <c r="C11" s="12"/>
      <c r="D11" s="377"/>
      <c r="E11" s="12"/>
      <c r="F11" s="383"/>
      <c r="G11" s="383"/>
      <c r="H11" s="379"/>
      <c r="I11" s="383"/>
      <c r="J11" s="383"/>
      <c r="K11" s="383"/>
      <c r="L11" s="383"/>
      <c r="M11" s="383"/>
    </row>
    <row r="12" spans="1:22" x14ac:dyDescent="0.3">
      <c r="A12" s="254" t="s">
        <v>182</v>
      </c>
      <c r="B12" s="12">
        <v>5914471</v>
      </c>
      <c r="C12" s="383">
        <f>C8+C10</f>
        <v>4151008</v>
      </c>
      <c r="D12" s="379">
        <f>D8+D10</f>
        <v>5117374</v>
      </c>
      <c r="E12" s="383">
        <v>4705141</v>
      </c>
      <c r="F12" s="383">
        <v>8260993</v>
      </c>
      <c r="G12" s="383">
        <f>G8+G10</f>
        <v>9321293</v>
      </c>
      <c r="H12" s="379">
        <f>H8+H10</f>
        <v>7215242</v>
      </c>
      <c r="I12" s="383">
        <v>9445070</v>
      </c>
      <c r="J12" s="383">
        <v>11138521</v>
      </c>
      <c r="K12" s="383">
        <v>10095831</v>
      </c>
      <c r="L12" s="383">
        <f>L8-L10</f>
        <v>8019425</v>
      </c>
      <c r="M12" s="383">
        <v>9698847</v>
      </c>
      <c r="N12" s="383">
        <v>15233585</v>
      </c>
      <c r="O12" s="383">
        <v>14582403</v>
      </c>
      <c r="P12" s="383">
        <v>12900327</v>
      </c>
      <c r="Q12" s="383">
        <v>13491480</v>
      </c>
      <c r="R12" s="383">
        <v>3721130</v>
      </c>
      <c r="S12" s="383">
        <v>-14071010</v>
      </c>
      <c r="T12" s="383">
        <v>-10045683</v>
      </c>
      <c r="U12" s="451">
        <v>-2029942</v>
      </c>
      <c r="V12" s="451">
        <v>5668275</v>
      </c>
    </row>
    <row r="13" spans="1:22" x14ac:dyDescent="0.3">
      <c r="A13" t="s">
        <v>183</v>
      </c>
      <c r="B13" s="348">
        <f t="shared" ref="B13:V13" si="1">B12/B8</f>
        <v>0.17552931049659443</v>
      </c>
      <c r="C13" s="348">
        <f t="shared" si="1"/>
        <v>0.11167998770580852</v>
      </c>
      <c r="D13" s="299">
        <f t="shared" si="1"/>
        <v>0.13818103324856582</v>
      </c>
      <c r="E13" s="348">
        <f t="shared" si="1"/>
        <v>0.1376593911933281</v>
      </c>
      <c r="F13" s="348">
        <f t="shared" si="1"/>
        <v>0.22461019657201753</v>
      </c>
      <c r="G13" s="348">
        <f t="shared" si="1"/>
        <v>0.20120419114086571</v>
      </c>
      <c r="H13" s="299">
        <f t="shared" si="1"/>
        <v>0.16597193123476398</v>
      </c>
      <c r="I13" s="348">
        <f t="shared" si="1"/>
        <v>0.22024008392985425</v>
      </c>
      <c r="J13" s="348">
        <f t="shared" si="1"/>
        <v>0.21754946772795425</v>
      </c>
      <c r="K13" s="348">
        <f t="shared" si="1"/>
        <v>0.17499834636274686</v>
      </c>
      <c r="L13" s="348">
        <f t="shared" si="1"/>
        <v>0.14546220956396627</v>
      </c>
      <c r="M13" s="348">
        <f t="shared" si="1"/>
        <v>0.17755096515272561</v>
      </c>
      <c r="N13" s="348">
        <f t="shared" si="1"/>
        <v>0.25104018733243139</v>
      </c>
      <c r="O13" s="348">
        <f t="shared" si="1"/>
        <v>0.2102025599288854</v>
      </c>
      <c r="P13" s="348">
        <f t="shared" si="1"/>
        <v>0.19675080534621531</v>
      </c>
      <c r="Q13" s="348">
        <f t="shared" si="1"/>
        <v>0.20974022519556013</v>
      </c>
      <c r="R13" s="348">
        <f t="shared" si="1"/>
        <v>5.6943913031548686E-2</v>
      </c>
      <c r="S13" s="348">
        <f t="shared" si="1"/>
        <v>-0.20862362974730361</v>
      </c>
      <c r="T13" s="348">
        <f t="shared" si="1"/>
        <v>-0.15494316131935226</v>
      </c>
      <c r="U13" s="452">
        <f t="shared" si="1"/>
        <v>-3.1686510741893568E-2</v>
      </c>
      <c r="V13" s="452">
        <f t="shared" si="1"/>
        <v>7.924270963646235E-2</v>
      </c>
    </row>
    <row r="14" spans="1:22" x14ac:dyDescent="0.3">
      <c r="A14" s="432" t="s">
        <v>244</v>
      </c>
      <c r="L14" s="348">
        <f>L8/H8-1</f>
        <v>0.26816801473220053</v>
      </c>
      <c r="O14" s="348">
        <f t="shared" ref="O14:V14" si="2">O8/K8-1</f>
        <v>0.20249413912129954</v>
      </c>
      <c r="P14" s="348">
        <f t="shared" si="2"/>
        <v>0.1892992648262648</v>
      </c>
      <c r="Q14" s="348">
        <f t="shared" si="2"/>
        <v>0.17755389417660083</v>
      </c>
      <c r="R14" s="348">
        <f t="shared" si="2"/>
        <v>7.6883357790396012E-2</v>
      </c>
      <c r="S14" s="348">
        <f t="shared" si="2"/>
        <v>-2.7766281566865003E-2</v>
      </c>
      <c r="T14" s="348">
        <f t="shared" si="2"/>
        <v>-1.1167216375499112E-2</v>
      </c>
      <c r="U14" s="452">
        <f t="shared" si="2"/>
        <v>-4.0641921859146946E-3</v>
      </c>
      <c r="V14" s="452">
        <f t="shared" si="2"/>
        <v>9.4621715182863886E-2</v>
      </c>
    </row>
    <row r="15" spans="1:22" x14ac:dyDescent="0.3">
      <c r="S15" s="8">
        <f>S13-O13</f>
        <v>-0.41882618967618901</v>
      </c>
      <c r="T15" s="8">
        <f>T13-P13</f>
        <v>-0.35169396666556757</v>
      </c>
      <c r="U15" s="452">
        <f>U13-Q13</f>
        <v>-0.2414267359374537</v>
      </c>
      <c r="V15" s="452">
        <f>V13-R13</f>
        <v>2.2298796604913663E-2</v>
      </c>
    </row>
    <row r="16" spans="1:22" s="337" customFormat="1" x14ac:dyDescent="0.3">
      <c r="A16" s="381" t="s">
        <v>245</v>
      </c>
      <c r="B16" s="381" t="s">
        <v>64</v>
      </c>
      <c r="C16" s="381" t="s">
        <v>65</v>
      </c>
      <c r="D16" s="314" t="s">
        <v>66</v>
      </c>
      <c r="E16" s="381" t="s">
        <v>67</v>
      </c>
      <c r="F16" s="381" t="s">
        <v>68</v>
      </c>
      <c r="G16" s="381" t="s">
        <v>69</v>
      </c>
      <c r="H16" s="314" t="s">
        <v>70</v>
      </c>
      <c r="I16" s="381" t="s">
        <v>71</v>
      </c>
      <c r="J16" s="381" t="s">
        <v>72</v>
      </c>
      <c r="K16" s="381" t="s">
        <v>73</v>
      </c>
      <c r="L16" s="381" t="s">
        <v>74</v>
      </c>
      <c r="M16" s="381" t="s">
        <v>75</v>
      </c>
      <c r="N16" s="381" t="s">
        <v>76</v>
      </c>
      <c r="O16" s="381" t="s">
        <v>77</v>
      </c>
      <c r="P16" s="381" t="s">
        <v>78</v>
      </c>
      <c r="Q16" s="381" t="s">
        <v>79</v>
      </c>
      <c r="R16" s="381" t="s">
        <v>80</v>
      </c>
      <c r="S16" s="381" t="s">
        <v>81</v>
      </c>
      <c r="T16" s="381" t="s">
        <v>82</v>
      </c>
      <c r="U16" s="381" t="s">
        <v>83</v>
      </c>
      <c r="V16" s="381" t="s">
        <v>84</v>
      </c>
    </row>
    <row r="17" spans="1:22" x14ac:dyDescent="0.3">
      <c r="A17" s="253" t="s">
        <v>188</v>
      </c>
      <c r="B17" s="12">
        <v>418123</v>
      </c>
      <c r="C17" s="12">
        <v>410618</v>
      </c>
      <c r="D17" s="377">
        <v>438259</v>
      </c>
      <c r="E17" s="12">
        <v>350159</v>
      </c>
      <c r="F17" s="12">
        <v>315518</v>
      </c>
      <c r="G17" s="12">
        <v>403673</v>
      </c>
      <c r="H17" s="377">
        <v>297341</v>
      </c>
      <c r="I17" s="12">
        <v>427765</v>
      </c>
      <c r="J17" s="12">
        <v>510284</v>
      </c>
      <c r="K17" s="12">
        <v>550181</v>
      </c>
      <c r="L17" s="12">
        <v>569576</v>
      </c>
      <c r="M17" s="12">
        <v>623234</v>
      </c>
      <c r="N17" s="12">
        <v>716909</v>
      </c>
      <c r="O17" s="12">
        <v>809773</v>
      </c>
      <c r="P17" s="12">
        <v>902420</v>
      </c>
      <c r="Q17" s="12">
        <v>1155584</v>
      </c>
      <c r="R17" s="12">
        <v>1520537</v>
      </c>
      <c r="S17" s="12">
        <v>1627723</v>
      </c>
      <c r="T17" s="12">
        <v>1939056</v>
      </c>
      <c r="U17" s="451">
        <v>2450084</v>
      </c>
      <c r="V17" s="451">
        <v>2753081</v>
      </c>
    </row>
    <row r="18" spans="1:22" x14ac:dyDescent="0.3">
      <c r="A18" s="253" t="s">
        <v>241</v>
      </c>
      <c r="B18" s="12">
        <v>21168</v>
      </c>
      <c r="C18" s="12">
        <v>20357</v>
      </c>
      <c r="D18" s="377">
        <v>45169</v>
      </c>
      <c r="E18" s="12">
        <v>13958</v>
      </c>
      <c r="F18" s="12">
        <v>20891</v>
      </c>
      <c r="G18" s="338">
        <v>25821</v>
      </c>
      <c r="H18" s="377">
        <v>24841</v>
      </c>
      <c r="I18" s="12">
        <v>36203</v>
      </c>
      <c r="J18" s="12">
        <v>63577</v>
      </c>
      <c r="K18" s="12">
        <v>69641</v>
      </c>
      <c r="L18" s="12">
        <v>76905</v>
      </c>
      <c r="M18" s="12">
        <v>83482</v>
      </c>
      <c r="N18" s="12">
        <v>97115</v>
      </c>
      <c r="O18" s="12">
        <v>115499</v>
      </c>
      <c r="P18" s="12">
        <v>108230</v>
      </c>
      <c r="Q18" s="12">
        <v>84548</v>
      </c>
      <c r="R18" s="12">
        <v>102478</v>
      </c>
      <c r="S18" s="12">
        <v>133193</v>
      </c>
      <c r="T18" s="12">
        <v>138186</v>
      </c>
      <c r="U18" s="451"/>
      <c r="V18" s="451"/>
    </row>
    <row r="19" spans="1:22" x14ac:dyDescent="0.3">
      <c r="A19" s="253" t="s">
        <v>190</v>
      </c>
      <c r="B19" s="12">
        <v>9624879</v>
      </c>
      <c r="C19" s="12">
        <v>11229623</v>
      </c>
      <c r="D19" s="377">
        <v>12005867</v>
      </c>
      <c r="E19" s="12">
        <v>11725051</v>
      </c>
      <c r="F19" s="12">
        <v>13822711</v>
      </c>
      <c r="G19" s="12">
        <v>15861869</v>
      </c>
      <c r="H19" s="377">
        <v>16334093</v>
      </c>
      <c r="I19" s="12">
        <v>15268168</v>
      </c>
      <c r="J19" s="12">
        <v>16190817</v>
      </c>
      <c r="K19" s="12">
        <v>18156077</v>
      </c>
      <c r="L19" s="12">
        <v>17918828</v>
      </c>
      <c r="M19" s="12">
        <v>17943461</v>
      </c>
      <c r="N19" s="12">
        <v>20755195</v>
      </c>
      <c r="O19" s="12">
        <v>23278948</v>
      </c>
      <c r="P19" s="12">
        <v>21909814</v>
      </c>
      <c r="Q19" s="12">
        <v>20992280</v>
      </c>
      <c r="R19" s="12">
        <v>24870182</v>
      </c>
      <c r="S19" s="12">
        <v>26280331</v>
      </c>
      <c r="T19" s="12">
        <v>25184554</v>
      </c>
      <c r="U19" s="451">
        <v>24525536</v>
      </c>
      <c r="V19" s="451">
        <v>30359408</v>
      </c>
    </row>
    <row r="20" spans="1:22" x14ac:dyDescent="0.3">
      <c r="A20" s="256" t="s">
        <v>242</v>
      </c>
      <c r="B20" s="382">
        <f>SUM(B17:B19)</f>
        <v>10064170</v>
      </c>
      <c r="C20" s="382">
        <f>SUM(C17:C19)</f>
        <v>11660598</v>
      </c>
      <c r="D20" s="378">
        <f>SUM(D17:D19)</f>
        <v>12489295</v>
      </c>
      <c r="E20" s="382">
        <v>12089168</v>
      </c>
      <c r="F20" s="382">
        <f>SUM(F17:F19)</f>
        <v>14159120</v>
      </c>
      <c r="G20" s="382">
        <f>SUM(G17:G19)</f>
        <v>16291363</v>
      </c>
      <c r="H20" s="378">
        <f>SUM(H17:H19)</f>
        <v>16656275</v>
      </c>
      <c r="I20" s="382">
        <v>15732136</v>
      </c>
      <c r="J20" s="382">
        <v>16764678</v>
      </c>
      <c r="K20" s="382">
        <v>18775899</v>
      </c>
      <c r="L20" s="382">
        <f>SUM(L17:L19)</f>
        <v>18565309</v>
      </c>
      <c r="M20" s="382">
        <v>18650177</v>
      </c>
      <c r="N20" s="382">
        <v>21569219</v>
      </c>
      <c r="O20" s="382">
        <f>24204220</f>
        <v>24204220</v>
      </c>
      <c r="P20" s="382">
        <v>22920464</v>
      </c>
      <c r="Q20" s="425">
        <v>22232412</v>
      </c>
      <c r="R20" s="382">
        <v>26493197</v>
      </c>
      <c r="S20" s="382">
        <v>28041247</v>
      </c>
      <c r="T20" s="382">
        <f>SUM(T17:T19)</f>
        <v>27261796</v>
      </c>
      <c r="U20" s="257">
        <f>SUM(U17:U19)</f>
        <v>26975620</v>
      </c>
      <c r="V20" s="257">
        <f>SUM(V17:V19)</f>
        <v>33112489</v>
      </c>
    </row>
    <row r="21" spans="1:22" x14ac:dyDescent="0.3">
      <c r="A21" s="254"/>
      <c r="B21" s="12"/>
      <c r="C21" s="12"/>
      <c r="D21" s="377"/>
      <c r="E21" s="12"/>
      <c r="F21" s="12"/>
      <c r="G21" s="12"/>
      <c r="H21" s="377"/>
      <c r="I21" s="12"/>
      <c r="J21" s="12"/>
      <c r="K21" s="12"/>
      <c r="L21" s="12"/>
      <c r="M21" s="12"/>
      <c r="N21" s="12"/>
      <c r="O21" s="12"/>
      <c r="P21" s="12"/>
    </row>
    <row r="22" spans="1:22" ht="29" customHeight="1" x14ac:dyDescent="0.3">
      <c r="A22" s="255" t="s">
        <v>243</v>
      </c>
      <c r="B22" s="12"/>
      <c r="C22" s="12">
        <v>-21688827</v>
      </c>
      <c r="D22" s="288">
        <v>-21850963</v>
      </c>
      <c r="E22" s="383">
        <v>-20542452</v>
      </c>
      <c r="F22" s="383">
        <v>-20948666</v>
      </c>
      <c r="G22" s="383">
        <v>-23062723</v>
      </c>
      <c r="H22" s="379">
        <v>-23021295</v>
      </c>
      <c r="I22" s="383">
        <v>-20761030</v>
      </c>
      <c r="J22" s="383">
        <v>-21957600</v>
      </c>
      <c r="K22" s="383">
        <v>23887875</v>
      </c>
      <c r="L22" s="383">
        <v>23398001</v>
      </c>
      <c r="M22" s="383">
        <v>-21407076</v>
      </c>
      <c r="N22" s="383">
        <v>-22883578</v>
      </c>
      <c r="O22" s="383">
        <v>-25230262</v>
      </c>
      <c r="P22" s="383">
        <v>-25096478</v>
      </c>
      <c r="Q22" s="12">
        <v>-24505679</v>
      </c>
      <c r="R22" s="12">
        <v>-28374515</v>
      </c>
      <c r="S22" s="12">
        <v>-29319156</v>
      </c>
      <c r="T22" s="12">
        <v>-31911642</v>
      </c>
      <c r="U22" s="451">
        <f>U24-U20</f>
        <v>-29091435</v>
      </c>
      <c r="V22" s="451">
        <f>V24-V20</f>
        <v>-34851404</v>
      </c>
    </row>
    <row r="24" spans="1:22" x14ac:dyDescent="0.3">
      <c r="A24" s="254" t="s">
        <v>182</v>
      </c>
      <c r="B24" s="12">
        <v>-8785436</v>
      </c>
      <c r="C24" s="12">
        <f>C20+C22</f>
        <v>-10028229</v>
      </c>
      <c r="D24" s="377">
        <f>D20+D22</f>
        <v>-9361668</v>
      </c>
      <c r="E24" s="12">
        <v>-8453284</v>
      </c>
      <c r="F24" s="12">
        <f>F20+F22</f>
        <v>-6789546</v>
      </c>
      <c r="G24" s="12">
        <f>G20+G22</f>
        <v>-6771360</v>
      </c>
      <c r="H24" s="377">
        <f>H20+H22</f>
        <v>-6365020</v>
      </c>
      <c r="I24" s="12">
        <v>-5028894</v>
      </c>
      <c r="J24" s="12">
        <v>-5192922</v>
      </c>
      <c r="K24" s="12">
        <v>-5111976</v>
      </c>
      <c r="L24" s="12">
        <f>L20-L22</f>
        <v>-4832692</v>
      </c>
      <c r="M24" s="12">
        <v>-2756899</v>
      </c>
      <c r="N24" s="12">
        <v>-1314359</v>
      </c>
      <c r="O24" s="12">
        <v>-1026042</v>
      </c>
      <c r="P24" s="12">
        <v>-2176014</v>
      </c>
      <c r="Q24" s="12">
        <v>-2273267</v>
      </c>
      <c r="R24" s="12">
        <v>-1881318</v>
      </c>
      <c r="S24" s="12">
        <v>-1277909</v>
      </c>
      <c r="T24" s="12">
        <f>T20+T22</f>
        <v>-4649846</v>
      </c>
      <c r="U24" s="451">
        <v>-2115815</v>
      </c>
      <c r="V24" s="451">
        <v>-1738915</v>
      </c>
    </row>
    <row r="25" spans="1:22" x14ac:dyDescent="0.3">
      <c r="A25" t="s">
        <v>183</v>
      </c>
      <c r="B25" s="348">
        <f t="shared" ref="B25:V25" si="3">B24/B20</f>
        <v>-0.87294193162476386</v>
      </c>
      <c r="C25" s="348">
        <f t="shared" si="3"/>
        <v>-0.86000983826043909</v>
      </c>
      <c r="D25" s="299">
        <f t="shared" si="3"/>
        <v>-0.74957537635230809</v>
      </c>
      <c r="E25" s="348">
        <f t="shared" si="3"/>
        <v>-0.69924448067890199</v>
      </c>
      <c r="F25" s="348">
        <f t="shared" si="3"/>
        <v>-0.47951751238777551</v>
      </c>
      <c r="G25" s="348">
        <f t="shared" si="3"/>
        <v>-0.41564109767856749</v>
      </c>
      <c r="H25" s="299">
        <f t="shared" si="3"/>
        <v>-0.38213946395577642</v>
      </c>
      <c r="I25" s="348">
        <f t="shared" si="3"/>
        <v>-0.31965741969176975</v>
      </c>
      <c r="J25" s="348">
        <f t="shared" si="3"/>
        <v>-0.30975375727466997</v>
      </c>
      <c r="K25" s="348">
        <f t="shared" si="3"/>
        <v>-0.27226264904812281</v>
      </c>
      <c r="L25" s="348">
        <f t="shared" si="3"/>
        <v>-0.26030765229924263</v>
      </c>
      <c r="M25" s="348">
        <f t="shared" si="3"/>
        <v>-0.14782159976283335</v>
      </c>
      <c r="N25" s="348">
        <f t="shared" si="3"/>
        <v>-6.0936791452671515E-2</v>
      </c>
      <c r="O25" s="348">
        <f t="shared" si="3"/>
        <v>-4.2391037595923359E-2</v>
      </c>
      <c r="P25" s="348">
        <f t="shared" si="3"/>
        <v>-9.4937606847749684E-2</v>
      </c>
      <c r="Q25" s="348">
        <f t="shared" si="3"/>
        <v>-0.10225012922574482</v>
      </c>
      <c r="R25" s="348">
        <f t="shared" si="3"/>
        <v>-7.1011361897924216E-2</v>
      </c>
      <c r="S25" s="348">
        <f t="shared" si="3"/>
        <v>-4.5572474005881408E-2</v>
      </c>
      <c r="T25" s="348">
        <f t="shared" si="3"/>
        <v>-0.17056271714453441</v>
      </c>
      <c r="U25" s="452">
        <f t="shared" si="3"/>
        <v>-7.8434341824210163E-2</v>
      </c>
      <c r="V25" s="452">
        <f t="shared" si="3"/>
        <v>-5.251538173406415E-2</v>
      </c>
    </row>
    <row r="26" spans="1:22" x14ac:dyDescent="0.3">
      <c r="T26" s="8">
        <f>T25-P25</f>
        <v>-7.5625110296784731E-2</v>
      </c>
      <c r="U26" s="452">
        <f>U25-Q25</f>
        <v>2.3815787401534658E-2</v>
      </c>
      <c r="V26" s="452">
        <f>V25-R25</f>
        <v>1.8495980163860067E-2</v>
      </c>
    </row>
    <row r="27" spans="1:22" x14ac:dyDescent="0.3">
      <c r="A27" t="s">
        <v>246</v>
      </c>
      <c r="G27" s="348">
        <f t="shared" ref="G27:V27" si="4">G20/C20-1</f>
        <v>0.39712928959561089</v>
      </c>
      <c r="H27" s="299">
        <f t="shared" si="4"/>
        <v>0.3336441328353601</v>
      </c>
      <c r="I27" s="348">
        <f t="shared" si="4"/>
        <v>0.3013414984389331</v>
      </c>
      <c r="J27" s="348">
        <f t="shared" si="4"/>
        <v>0.18401976959020061</v>
      </c>
      <c r="K27" s="348">
        <f t="shared" si="4"/>
        <v>0.15250633111545064</v>
      </c>
      <c r="L27" s="348">
        <f t="shared" si="4"/>
        <v>0.1146135015181966</v>
      </c>
      <c r="M27" s="348">
        <f t="shared" si="4"/>
        <v>0.18548282318434062</v>
      </c>
      <c r="N27" s="348">
        <f t="shared" si="4"/>
        <v>0.28658713278000336</v>
      </c>
      <c r="O27" s="348">
        <f t="shared" si="4"/>
        <v>0.28911110993939615</v>
      </c>
      <c r="P27" s="348">
        <f t="shared" si="4"/>
        <v>0.23458564573312524</v>
      </c>
      <c r="Q27" s="348">
        <f t="shared" si="4"/>
        <v>0.19207512078839795</v>
      </c>
      <c r="R27" s="348">
        <f t="shared" si="4"/>
        <v>0.22828726436501934</v>
      </c>
      <c r="S27" s="348">
        <f t="shared" si="4"/>
        <v>0.15852719071302435</v>
      </c>
      <c r="T27" s="348">
        <f t="shared" si="4"/>
        <v>0.18940855647599464</v>
      </c>
      <c r="U27" s="452">
        <f t="shared" si="4"/>
        <v>0.2133465320811796</v>
      </c>
      <c r="V27" s="452">
        <f t="shared" si="4"/>
        <v>0.24984874418893277</v>
      </c>
    </row>
    <row r="29" spans="1:22" x14ac:dyDescent="0.3">
      <c r="A29" s="381" t="s">
        <v>239</v>
      </c>
    </row>
    <row r="30" spans="1:22" x14ac:dyDescent="0.3">
      <c r="A30" s="44" t="s">
        <v>22</v>
      </c>
    </row>
    <row r="31" spans="1:22" x14ac:dyDescent="0.3">
      <c r="A31" s="253" t="s">
        <v>240</v>
      </c>
      <c r="P31" s="115">
        <f t="shared" ref="P31:Q35" si="5">P4/$P$8</f>
        <v>0.39951327829900335</v>
      </c>
      <c r="Q31" s="403">
        <f t="shared" si="5"/>
        <v>0.39231242711253761</v>
      </c>
      <c r="R31" s="115">
        <f t="shared" ref="R31:V35" si="6">R4/R$8</f>
        <v>0.36199752941526275</v>
      </c>
      <c r="S31" s="115">
        <f t="shared" si="6"/>
        <v>0.34133433271754982</v>
      </c>
      <c r="T31" s="115">
        <f t="shared" si="6"/>
        <v>0.36392410827713023</v>
      </c>
      <c r="U31" s="437">
        <f t="shared" si="6"/>
        <v>0.3758962504670772</v>
      </c>
      <c r="V31" s="437">
        <f t="shared" si="6"/>
        <v>0.37440257523515652</v>
      </c>
    </row>
    <row r="32" spans="1:22" x14ac:dyDescent="0.3">
      <c r="A32" s="253" t="s">
        <v>188</v>
      </c>
      <c r="P32" s="115">
        <f t="shared" si="5"/>
        <v>0.36704651217554629</v>
      </c>
      <c r="Q32" s="403">
        <f t="shared" si="5"/>
        <v>0.36682296927202462</v>
      </c>
      <c r="R32" s="115">
        <f t="shared" si="6"/>
        <v>0.38182119981943241</v>
      </c>
      <c r="S32" s="115">
        <f t="shared" si="6"/>
        <v>0.39105032693439012</v>
      </c>
      <c r="T32" s="115">
        <f t="shared" si="6"/>
        <v>0.36675106960195181</v>
      </c>
      <c r="U32" s="437">
        <f t="shared" si="6"/>
        <v>0.55583842514728332</v>
      </c>
      <c r="V32" s="437">
        <f t="shared" si="6"/>
        <v>0.55403178403970166</v>
      </c>
    </row>
    <row r="33" spans="1:22" x14ac:dyDescent="0.3">
      <c r="A33" s="253" t="s">
        <v>241</v>
      </c>
      <c r="P33" s="115">
        <f t="shared" si="5"/>
        <v>0.19586543391329322</v>
      </c>
      <c r="Q33" s="403">
        <f t="shared" si="5"/>
        <v>0.18092185695352797</v>
      </c>
      <c r="R33" s="115">
        <f t="shared" si="6"/>
        <v>0.20731204692932681</v>
      </c>
      <c r="S33" s="115">
        <f t="shared" si="6"/>
        <v>0.21043739823285487</v>
      </c>
      <c r="T33" s="115">
        <f t="shared" si="6"/>
        <v>0.20262226208637596</v>
      </c>
      <c r="U33" s="437">
        <f t="shared" si="6"/>
        <v>0</v>
      </c>
      <c r="V33" s="437">
        <f t="shared" si="6"/>
        <v>0</v>
      </c>
    </row>
    <row r="34" spans="1:22" x14ac:dyDescent="0.3">
      <c r="A34" s="253" t="s">
        <v>190</v>
      </c>
      <c r="P34" s="115">
        <f t="shared" si="5"/>
        <v>3.7574775612157073E-2</v>
      </c>
      <c r="Q34" s="403">
        <f t="shared" si="5"/>
        <v>4.0998442627211272E-2</v>
      </c>
      <c r="R34" s="115">
        <f t="shared" si="6"/>
        <v>4.8869223835977998E-2</v>
      </c>
      <c r="S34" s="115">
        <f t="shared" si="6"/>
        <v>5.7177942115205174E-2</v>
      </c>
      <c r="T34" s="115">
        <f t="shared" si="6"/>
        <v>6.670256003454203E-2</v>
      </c>
      <c r="U34" s="437">
        <f t="shared" si="6"/>
        <v>6.8265324385639536E-2</v>
      </c>
      <c r="V34" s="437">
        <f t="shared" si="6"/>
        <v>7.1565640725141863E-2</v>
      </c>
    </row>
    <row r="35" spans="1:22" x14ac:dyDescent="0.3">
      <c r="A35" s="256" t="s">
        <v>242</v>
      </c>
      <c r="P35" s="115">
        <f t="shared" si="5"/>
        <v>1</v>
      </c>
      <c r="Q35" s="403">
        <f t="shared" si="5"/>
        <v>0.98105569596530151</v>
      </c>
      <c r="R35" s="115">
        <f t="shared" si="6"/>
        <v>1</v>
      </c>
      <c r="S35" s="115">
        <f t="shared" si="6"/>
        <v>1</v>
      </c>
      <c r="T35" s="115">
        <f t="shared" si="6"/>
        <v>1</v>
      </c>
      <c r="U35" s="437">
        <f t="shared" si="6"/>
        <v>1</v>
      </c>
      <c r="V35" s="437">
        <f t="shared" si="6"/>
        <v>1</v>
      </c>
    </row>
    <row r="36" spans="1:22" x14ac:dyDescent="0.3">
      <c r="A36" s="258" t="s">
        <v>5</v>
      </c>
    </row>
    <row r="37" spans="1:22" x14ac:dyDescent="0.3">
      <c r="A37" s="253" t="s">
        <v>240</v>
      </c>
      <c r="P37" s="115">
        <f t="shared" ref="P37:V41" si="7">P4/L4-1</f>
        <v>0.19463640823471562</v>
      </c>
      <c r="Q37" s="115">
        <f t="shared" si="7"/>
        <v>0.22110673614602616</v>
      </c>
      <c r="R37" s="115">
        <f t="shared" si="7"/>
        <v>2.7552039696155717E-2</v>
      </c>
      <c r="S37" s="115">
        <f t="shared" si="7"/>
        <v>-0.17139940162202782</v>
      </c>
      <c r="T37" s="115">
        <f t="shared" si="7"/>
        <v>-9.9253745587868147E-2</v>
      </c>
      <c r="U37" s="437">
        <f t="shared" si="7"/>
        <v>-6.3816593315712877E-2</v>
      </c>
      <c r="V37" s="437">
        <f t="shared" si="7"/>
        <v>0.13213255829339032</v>
      </c>
    </row>
    <row r="38" spans="1:22" x14ac:dyDescent="0.3">
      <c r="A38" s="253" t="s">
        <v>188</v>
      </c>
      <c r="P38" s="115">
        <f t="shared" si="7"/>
        <v>0.23881261739946025</v>
      </c>
      <c r="Q38" s="115">
        <f t="shared" si="7"/>
        <v>0.20052776177584564</v>
      </c>
      <c r="R38" s="115">
        <f t="shared" si="7"/>
        <v>0.12857615141125978</v>
      </c>
      <c r="S38" s="115">
        <f t="shared" si="7"/>
        <v>-1.914431986900067E-2</v>
      </c>
      <c r="T38" s="115">
        <f t="shared" si="7"/>
        <v>-1.1963146299249328E-2</v>
      </c>
      <c r="U38" s="437">
        <f t="shared" si="7"/>
        <v>0.48052946561990928</v>
      </c>
      <c r="V38" s="437">
        <f t="shared" si="7"/>
        <v>0.58832254992169042</v>
      </c>
    </row>
    <row r="39" spans="1:22" x14ac:dyDescent="0.3">
      <c r="A39" s="253" t="s">
        <v>241</v>
      </c>
      <c r="P39" s="115">
        <f t="shared" si="7"/>
        <v>0.17742394492539537</v>
      </c>
      <c r="Q39" s="115">
        <f t="shared" si="7"/>
        <v>0.15086778296325676</v>
      </c>
      <c r="R39" s="115">
        <f t="shared" si="7"/>
        <v>0.10475201572112836</v>
      </c>
      <c r="S39" s="115">
        <f t="shared" si="7"/>
        <v>5.733928671066213E-2</v>
      </c>
      <c r="T39" s="115">
        <f t="shared" si="7"/>
        <v>2.2944842487421901E-2</v>
      </c>
      <c r="U39" s="437">
        <f t="shared" si="7"/>
        <v>-1</v>
      </c>
      <c r="V39" s="437">
        <f t="shared" si="7"/>
        <v>-1</v>
      </c>
    </row>
    <row r="40" spans="1:22" x14ac:dyDescent="0.3">
      <c r="A40" s="253" t="s">
        <v>190</v>
      </c>
      <c r="P40" s="115">
        <f t="shared" si="7"/>
        <v>-0.14152061088705326</v>
      </c>
      <c r="Q40" s="115">
        <f t="shared" si="7"/>
        <v>-0.16496577560539205</v>
      </c>
      <c r="R40" s="115">
        <f t="shared" si="7"/>
        <v>-2.9187860466869608E-2</v>
      </c>
      <c r="S40" s="115">
        <f t="shared" si="7"/>
        <v>0.84943928962618664</v>
      </c>
      <c r="T40" s="115">
        <f t="shared" si="7"/>
        <v>0.75537117758585914</v>
      </c>
      <c r="U40" s="437">
        <f t="shared" si="7"/>
        <v>0.62688857491691286</v>
      </c>
      <c r="V40" s="437">
        <f t="shared" si="7"/>
        <v>0.6029987433735895</v>
      </c>
    </row>
    <row r="41" spans="1:22" x14ac:dyDescent="0.3">
      <c r="A41" s="256" t="s">
        <v>242</v>
      </c>
      <c r="P41" s="8">
        <f t="shared" si="7"/>
        <v>0.1892992648262648</v>
      </c>
      <c r="Q41" s="8">
        <f t="shared" si="7"/>
        <v>0.17755389417660083</v>
      </c>
      <c r="R41" s="8">
        <f t="shared" si="7"/>
        <v>7.6883357790396012E-2</v>
      </c>
      <c r="S41" s="8">
        <f t="shared" si="7"/>
        <v>-2.7766281566865003E-2</v>
      </c>
      <c r="T41" s="8">
        <f t="shared" si="7"/>
        <v>-1.1167216375499112E-2</v>
      </c>
      <c r="U41" s="452">
        <f t="shared" si="7"/>
        <v>-4.0641921859146946E-3</v>
      </c>
      <c r="V41" s="452">
        <f t="shared" si="7"/>
        <v>9.4621715182863886E-2</v>
      </c>
    </row>
    <row r="42" spans="1:22" x14ac:dyDescent="0.3">
      <c r="A42" s="381" t="s">
        <v>245</v>
      </c>
    </row>
    <row r="43" spans="1:22" x14ac:dyDescent="0.3">
      <c r="A43" s="253" t="s">
        <v>188</v>
      </c>
      <c r="O43" s="115">
        <f t="shared" ref="O43:V45" si="8">O17/K17-1</f>
        <v>0.47183017952273887</v>
      </c>
      <c r="P43" s="115">
        <f t="shared" si="8"/>
        <v>0.58437153250839224</v>
      </c>
      <c r="Q43" s="115">
        <f t="shared" si="8"/>
        <v>0.85417355279076568</v>
      </c>
      <c r="R43" s="115">
        <f t="shared" si="8"/>
        <v>1.1209623536599485</v>
      </c>
      <c r="S43" s="115">
        <f t="shared" si="8"/>
        <v>1.0100978916313585</v>
      </c>
      <c r="T43" s="115">
        <f t="shared" si="8"/>
        <v>1.1487289732053809</v>
      </c>
      <c r="U43" s="437">
        <f t="shared" si="8"/>
        <v>1.1202128101462119</v>
      </c>
      <c r="V43" s="437">
        <f t="shared" si="8"/>
        <v>0.81059783484387427</v>
      </c>
    </row>
    <row r="44" spans="1:22" x14ac:dyDescent="0.3">
      <c r="A44" s="253" t="s">
        <v>241</v>
      </c>
      <c r="O44" s="115">
        <f t="shared" si="8"/>
        <v>0.6584914059246707</v>
      </c>
      <c r="P44" s="115">
        <f t="shared" si="8"/>
        <v>0.40732072036928679</v>
      </c>
      <c r="Q44" s="115">
        <f t="shared" si="8"/>
        <v>1.2769219712033708E-2</v>
      </c>
      <c r="R44" s="115">
        <f t="shared" si="8"/>
        <v>5.5223189002728823E-2</v>
      </c>
      <c r="S44" s="115">
        <f t="shared" si="8"/>
        <v>0.15319613156823864</v>
      </c>
      <c r="T44" s="115">
        <f t="shared" si="8"/>
        <v>0.27678092950198652</v>
      </c>
      <c r="U44" s="437">
        <f t="shared" si="8"/>
        <v>-1</v>
      </c>
      <c r="V44" s="437">
        <f t="shared" si="8"/>
        <v>-1</v>
      </c>
    </row>
    <row r="45" spans="1:22" x14ac:dyDescent="0.3">
      <c r="A45" s="253" t="s">
        <v>190</v>
      </c>
      <c r="O45" s="115">
        <f t="shared" si="8"/>
        <v>0.28215737353394132</v>
      </c>
      <c r="P45" s="115">
        <f t="shared" si="8"/>
        <v>0.22272583898902321</v>
      </c>
      <c r="Q45" s="115">
        <f t="shared" si="8"/>
        <v>0.16991253805494932</v>
      </c>
      <c r="R45" s="115">
        <f t="shared" si="8"/>
        <v>0.19826298909742834</v>
      </c>
      <c r="S45" s="115">
        <f t="shared" si="8"/>
        <v>0.12893121287095965</v>
      </c>
      <c r="T45" s="115">
        <f t="shared" si="8"/>
        <v>0.14946452763131624</v>
      </c>
      <c r="U45" s="437">
        <f t="shared" si="8"/>
        <v>0.16831216047042052</v>
      </c>
      <c r="V45" s="437">
        <f t="shared" si="8"/>
        <v>0.22071515198401048</v>
      </c>
    </row>
    <row r="46" spans="1:22" x14ac:dyDescent="0.3">
      <c r="A46" s="256" t="s">
        <v>242</v>
      </c>
      <c r="P46" s="8">
        <f t="shared" ref="P46:V46" si="9">P20/L20-1</f>
        <v>0.23458564573312524</v>
      </c>
      <c r="Q46" s="8">
        <f t="shared" si="9"/>
        <v>0.19207512078839795</v>
      </c>
      <c r="R46" s="8">
        <f t="shared" si="9"/>
        <v>0.22828726436501934</v>
      </c>
      <c r="S46" s="8">
        <f t="shared" si="9"/>
        <v>0.15852719071302435</v>
      </c>
      <c r="T46" s="8">
        <f t="shared" si="9"/>
        <v>0.18940855647599464</v>
      </c>
      <c r="U46" s="452">
        <f t="shared" si="9"/>
        <v>0.2133465320811796</v>
      </c>
      <c r="V46" s="452">
        <f t="shared" si="9"/>
        <v>0.24984874418893277</v>
      </c>
    </row>
    <row r="47" spans="1:22" x14ac:dyDescent="0.3">
      <c r="P47" s="115"/>
    </row>
    <row r="48" spans="1:22" x14ac:dyDescent="0.3">
      <c r="P48" s="115"/>
    </row>
    <row r="49" spans="16:16" x14ac:dyDescent="0.3">
      <c r="P49" s="115"/>
    </row>
    <row r="50" spans="16:16" x14ac:dyDescent="0.3">
      <c r="P50" s="115"/>
    </row>
  </sheetData>
  <phoneticPr fontId="8" type="noConversion"/>
  <pageMargins left="0.7" right="0.7" top="0.75" bottom="0.75" header="0.3" footer="0.3"/>
  <pageSetup paperSize="9" orientation="portrait" verticalDpi="599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P26:P67"/>
  <sheetViews>
    <sheetView topLeftCell="A48" zoomScale="145" zoomScaleNormal="145" workbookViewId="0">
      <selection activeCell="I62" sqref="I62"/>
    </sheetView>
  </sheetViews>
  <sheetFormatPr defaultRowHeight="14" x14ac:dyDescent="0.3"/>
  <sheetData>
    <row r="26" ht="13.5" customHeight="1" x14ac:dyDescent="0.3"/>
    <row r="34" spans="16:16" x14ac:dyDescent="0.3">
      <c r="P34" s="337"/>
    </row>
    <row r="67" spans="16:16" x14ac:dyDescent="0.3">
      <c r="P67" s="337"/>
    </row>
  </sheetData>
  <phoneticPr fontId="8" type="noConversion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F7:I11"/>
  <sheetViews>
    <sheetView workbookViewId="0">
      <selection activeCell="G19" sqref="G19"/>
    </sheetView>
  </sheetViews>
  <sheetFormatPr defaultRowHeight="14" x14ac:dyDescent="0.3"/>
  <cols>
    <col min="6" max="6" width="13.33203125" style="262" bestFit="1" customWidth="1"/>
    <col min="7" max="7" width="33.75" style="262" customWidth="1"/>
    <col min="8" max="9" width="11.4140625" style="435" customWidth="1"/>
  </cols>
  <sheetData>
    <row r="7" spans="6:9" x14ac:dyDescent="0.3">
      <c r="F7" s="68"/>
      <c r="G7" s="68" t="s">
        <v>247</v>
      </c>
      <c r="H7" s="69" t="s">
        <v>248</v>
      </c>
      <c r="I7" s="69" t="s">
        <v>249</v>
      </c>
    </row>
    <row r="8" spans="6:9" x14ac:dyDescent="0.3">
      <c r="F8" s="66" t="s">
        <v>250</v>
      </c>
      <c r="G8" s="66" t="s">
        <v>251</v>
      </c>
      <c r="H8" s="453">
        <v>5685</v>
      </c>
      <c r="I8" s="67">
        <f>106/H8</f>
        <v>1.8645558487247142E-2</v>
      </c>
    </row>
    <row r="9" spans="6:9" x14ac:dyDescent="0.3">
      <c r="F9" s="66" t="s">
        <v>252</v>
      </c>
      <c r="G9" s="66" t="s">
        <v>253</v>
      </c>
      <c r="H9" s="453">
        <v>1400</v>
      </c>
      <c r="I9" s="67">
        <f>106/H9</f>
        <v>7.571428571428572E-2</v>
      </c>
    </row>
    <row r="10" spans="6:9" x14ac:dyDescent="0.3">
      <c r="F10" s="66" t="s">
        <v>252</v>
      </c>
      <c r="G10" s="66" t="s">
        <v>254</v>
      </c>
      <c r="H10" s="453">
        <v>642</v>
      </c>
      <c r="I10" s="67">
        <f>106/H10</f>
        <v>0.16510903426791276</v>
      </c>
    </row>
    <row r="11" spans="6:9" x14ac:dyDescent="0.3">
      <c r="F11" t="s">
        <v>255</v>
      </c>
      <c r="G11" t="s">
        <v>256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activeCell="H14" sqref="H14"/>
    </sheetView>
  </sheetViews>
  <sheetFormatPr defaultRowHeight="14" x14ac:dyDescent="0.3"/>
  <cols>
    <col min="1" max="1" width="15.4140625" style="262" bestFit="1" customWidth="1"/>
    <col min="2" max="2" width="9.83203125" style="262" bestFit="1" customWidth="1"/>
    <col min="3" max="3" width="10.4140625" style="262" bestFit="1" customWidth="1"/>
    <col min="6" max="7" width="8.08203125" style="262" bestFit="1" customWidth="1"/>
  </cols>
  <sheetData>
    <row r="1" spans="1:7" x14ac:dyDescent="0.3">
      <c r="A1" s="381" t="s">
        <v>257</v>
      </c>
    </row>
    <row r="2" spans="1:7" x14ac:dyDescent="0.3">
      <c r="B2" s="44" t="s">
        <v>258</v>
      </c>
      <c r="C2" s="44" t="s">
        <v>259</v>
      </c>
      <c r="D2" s="44" t="s">
        <v>7</v>
      </c>
      <c r="E2" s="44" t="s">
        <v>260</v>
      </c>
      <c r="F2" s="44" t="s">
        <v>261</v>
      </c>
      <c r="G2" s="44" t="s">
        <v>262</v>
      </c>
    </row>
    <row r="3" spans="1:7" x14ac:dyDescent="0.3">
      <c r="A3" t="s">
        <v>17</v>
      </c>
      <c r="B3">
        <v>175</v>
      </c>
      <c r="C3">
        <v>187</v>
      </c>
      <c r="D3">
        <v>172</v>
      </c>
      <c r="E3">
        <v>192</v>
      </c>
      <c r="F3">
        <v>185</v>
      </c>
    </row>
    <row r="4" spans="1:7" x14ac:dyDescent="0.3">
      <c r="A4" t="s">
        <v>263</v>
      </c>
      <c r="B4" s="8">
        <v>7.1999999999999995E-2</v>
      </c>
      <c r="C4" s="8">
        <v>7.1999999999999995E-2</v>
      </c>
      <c r="E4" s="8">
        <v>8.5999999999999993E-2</v>
      </c>
      <c r="F4" s="8">
        <v>7.5999999999999998E-2</v>
      </c>
    </row>
    <row r="6" spans="1:7" x14ac:dyDescent="0.3">
      <c r="A6" t="s">
        <v>264</v>
      </c>
      <c r="C6" s="476" t="s">
        <v>265</v>
      </c>
      <c r="D6" s="474"/>
      <c r="E6" s="115">
        <v>0.12</v>
      </c>
      <c r="F6" s="115">
        <v>0.13</v>
      </c>
      <c r="G6" t="s">
        <v>266</v>
      </c>
    </row>
    <row r="7" spans="1:7" x14ac:dyDescent="0.3">
      <c r="A7" t="s">
        <v>267</v>
      </c>
      <c r="E7" s="115">
        <v>0.3</v>
      </c>
      <c r="F7" s="115">
        <v>0.25</v>
      </c>
    </row>
  </sheetData>
  <mergeCells count="1">
    <mergeCell ref="C6:D6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="90" zoomScaleNormal="90" workbookViewId="0">
      <selection activeCell="D15" sqref="D15"/>
    </sheetView>
  </sheetViews>
  <sheetFormatPr defaultRowHeight="14" x14ac:dyDescent="0.3"/>
  <cols>
    <col min="1" max="1" width="20.25" style="262" bestFit="1" customWidth="1"/>
    <col min="3" max="3" width="11.83203125" style="262" bestFit="1" customWidth="1"/>
    <col min="4" max="4" width="13.75" style="262" bestFit="1" customWidth="1"/>
  </cols>
  <sheetData>
    <row r="1" spans="1:6" x14ac:dyDescent="0.3">
      <c r="A1" s="116" t="s">
        <v>268</v>
      </c>
      <c r="B1" s="117" t="s">
        <v>54</v>
      </c>
      <c r="C1" s="117" t="s">
        <v>55</v>
      </c>
      <c r="D1" s="117" t="s">
        <v>56</v>
      </c>
      <c r="E1" s="117" t="s">
        <v>57</v>
      </c>
      <c r="F1" s="117" t="s">
        <v>58</v>
      </c>
    </row>
    <row r="2" spans="1:6" x14ac:dyDescent="0.3">
      <c r="A2" s="66" t="s">
        <v>269</v>
      </c>
      <c r="B2" s="119">
        <v>74.400000000000006</v>
      </c>
      <c r="C2" s="119">
        <v>78.599999999999994</v>
      </c>
      <c r="D2" s="119">
        <v>94</v>
      </c>
      <c r="E2" s="119">
        <v>109.8</v>
      </c>
      <c r="F2" s="119">
        <v>110</v>
      </c>
    </row>
    <row r="3" spans="1:6" x14ac:dyDescent="0.3">
      <c r="A3" s="118" t="s">
        <v>270</v>
      </c>
      <c r="B3" s="120">
        <v>0.25675675675675702</v>
      </c>
      <c r="C3" s="120">
        <v>0.29702970297029713</v>
      </c>
      <c r="D3" s="120">
        <v>0.28943758573388201</v>
      </c>
      <c r="E3" s="120">
        <v>0.44283837056504599</v>
      </c>
      <c r="F3" s="120">
        <v>0.47849462365591378</v>
      </c>
    </row>
    <row r="4" spans="1:6" x14ac:dyDescent="0.3">
      <c r="A4" s="66" t="s">
        <v>206</v>
      </c>
      <c r="B4" s="119" t="s">
        <v>271</v>
      </c>
      <c r="C4" s="119" t="s">
        <v>272</v>
      </c>
      <c r="D4" s="119" t="s">
        <v>273</v>
      </c>
      <c r="E4" s="119"/>
      <c r="F4" s="119" t="s">
        <v>274</v>
      </c>
    </row>
    <row r="6" spans="1:6" x14ac:dyDescent="0.3">
      <c r="A6" s="116" t="s">
        <v>275</v>
      </c>
      <c r="B6" s="117" t="s">
        <v>54</v>
      </c>
      <c r="C6" s="117" t="s">
        <v>55</v>
      </c>
      <c r="D6" s="117" t="s">
        <v>56</v>
      </c>
      <c r="E6" s="117" t="s">
        <v>57</v>
      </c>
      <c r="F6" s="117" t="s">
        <v>58</v>
      </c>
    </row>
    <row r="7" spans="1:6" x14ac:dyDescent="0.3">
      <c r="A7" s="66" t="s">
        <v>276</v>
      </c>
      <c r="B7" s="121">
        <v>2656.2350350000002</v>
      </c>
      <c r="C7" s="121">
        <v>3018.5690709999999</v>
      </c>
      <c r="D7" s="121">
        <v>3410.2566689999999</v>
      </c>
      <c r="E7" s="121">
        <v>4117.0544890000001</v>
      </c>
      <c r="F7" s="121">
        <v>2968.1219270000001</v>
      </c>
    </row>
    <row r="8" spans="1:6" x14ac:dyDescent="0.3">
      <c r="A8" s="118" t="s">
        <v>270</v>
      </c>
      <c r="B8" s="120">
        <v>0.21611721611721599</v>
      </c>
      <c r="C8" s="120">
        <v>0.21357506473405419</v>
      </c>
      <c r="D8" s="120">
        <v>0.21353860217483731</v>
      </c>
      <c r="E8" s="120">
        <v>0.13518335010361859</v>
      </c>
      <c r="F8" s="120">
        <v>0.1174169032071366</v>
      </c>
    </row>
    <row r="9" spans="1:6" x14ac:dyDescent="0.3">
      <c r="A9" s="66" t="s">
        <v>277</v>
      </c>
      <c r="B9" s="122">
        <v>0.5</v>
      </c>
      <c r="C9" s="119" t="s">
        <v>278</v>
      </c>
      <c r="D9" s="119" t="s">
        <v>279</v>
      </c>
      <c r="E9" s="119" t="s">
        <v>280</v>
      </c>
      <c r="F9" s="119" t="s">
        <v>281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J35"/>
  <sheetViews>
    <sheetView tabSelected="1" zoomScale="110" zoomScaleNormal="110" workbookViewId="0">
      <selection activeCell="D23" sqref="D23"/>
    </sheetView>
  </sheetViews>
  <sheetFormatPr defaultRowHeight="14" outlineLevelRow="1" x14ac:dyDescent="0.3"/>
  <cols>
    <col min="1" max="1" width="4.4140625" style="262" customWidth="1"/>
    <col min="2" max="2" width="14.1640625" style="262" bestFit="1" customWidth="1"/>
    <col min="3" max="3" width="9.6640625" style="262" customWidth="1"/>
    <col min="4" max="5" width="13" style="262" customWidth="1"/>
    <col min="6" max="6" width="9.6640625" style="262" customWidth="1"/>
    <col min="7" max="8" width="13" style="262" customWidth="1"/>
    <col min="9" max="11" width="9.6640625" style="262" customWidth="1"/>
    <col min="12" max="14" width="8.6640625" style="424" customWidth="1"/>
    <col min="15" max="15" width="8.6640625" style="262" bestFit="1" customWidth="1"/>
    <col min="16" max="16" width="8.1640625" style="262" bestFit="1" customWidth="1"/>
    <col min="17" max="17" width="5.1640625" style="262" bestFit="1" customWidth="1"/>
    <col min="18" max="18" width="7.4140625" style="262" bestFit="1" customWidth="1"/>
    <col min="19" max="19" width="8.1640625" style="262" bestFit="1" customWidth="1"/>
    <col min="20" max="20" width="5.1640625" style="262" bestFit="1" customWidth="1"/>
    <col min="21" max="21" width="7.4140625" style="262" bestFit="1" customWidth="1"/>
    <col min="22" max="22" width="8.4140625" style="262" bestFit="1" customWidth="1"/>
    <col min="23" max="23" width="7.1640625" style="262" bestFit="1" customWidth="1"/>
    <col min="24" max="24" width="7.4140625" style="262" bestFit="1" customWidth="1"/>
    <col min="25" max="25" width="8.4140625" style="262" bestFit="1" customWidth="1"/>
    <col min="26" max="26" width="7.1640625" style="262" bestFit="1" customWidth="1"/>
    <col min="27" max="27" width="7.4140625" style="262" bestFit="1" customWidth="1"/>
    <col min="28" max="28" width="8.1640625" style="262" bestFit="1" customWidth="1"/>
    <col min="29" max="29" width="7.1640625" style="262" bestFit="1" customWidth="1"/>
    <col min="30" max="30" width="7.4140625" style="262" bestFit="1" customWidth="1"/>
    <col min="31" max="31" width="8.1640625" style="262" bestFit="1" customWidth="1"/>
    <col min="32" max="32" width="7.1640625" style="262" bestFit="1" customWidth="1"/>
    <col min="33" max="33" width="7.4140625" style="262" bestFit="1" customWidth="1"/>
    <col min="34" max="34" width="8.1640625" style="262" bestFit="1" customWidth="1"/>
    <col min="35" max="35" width="7.1640625" style="262" bestFit="1" customWidth="1"/>
    <col min="36" max="36" width="7.4140625" style="262" bestFit="1" customWidth="1"/>
    <col min="37" max="37" width="8.1640625" style="262" bestFit="1" customWidth="1"/>
    <col min="38" max="38" width="7.1640625" style="262" bestFit="1" customWidth="1"/>
    <col min="39" max="39" width="7.4140625" style="262" customWidth="1"/>
    <col min="40" max="40" width="8.1640625" style="262" bestFit="1" customWidth="1"/>
    <col min="41" max="41" width="7.1640625" style="262" bestFit="1" customWidth="1"/>
    <col min="42" max="42" width="7.75" style="262" bestFit="1" customWidth="1"/>
    <col min="43" max="43" width="8.4140625" style="262" bestFit="1" customWidth="1"/>
    <col min="44" max="44" width="5.4140625" style="262" bestFit="1" customWidth="1"/>
    <col min="45" max="45" width="7.83203125" style="262" bestFit="1" customWidth="1"/>
    <col min="46" max="46" width="8.4140625" style="262" bestFit="1" customWidth="1"/>
    <col min="47" max="47" width="5.4140625" style="262" bestFit="1" customWidth="1"/>
    <col min="48" max="48" width="9.33203125" style="262" bestFit="1" customWidth="1"/>
    <col min="49" max="49" width="8.08203125" style="262" bestFit="1" customWidth="1"/>
    <col min="50" max="50" width="6.08203125" style="262" bestFit="1" customWidth="1"/>
    <col min="51" max="51" width="9.33203125" style="262" bestFit="1" customWidth="1"/>
    <col min="52" max="52" width="8.08203125" style="262" bestFit="1" customWidth="1"/>
    <col min="53" max="53" width="6.08203125" style="262" bestFit="1" customWidth="1"/>
    <col min="54" max="54" width="9.33203125" style="262" customWidth="1"/>
    <col min="55" max="55" width="8.08203125" style="262" customWidth="1"/>
    <col min="56" max="56" width="6.08203125" style="262" customWidth="1"/>
    <col min="57" max="58" width="9.33203125" style="262" bestFit="1" customWidth="1"/>
    <col min="60" max="60" width="9.33203125" style="262" customWidth="1"/>
  </cols>
  <sheetData>
    <row r="1" spans="1:62" x14ac:dyDescent="0.3">
      <c r="B1" s="131"/>
      <c r="C1" s="454"/>
      <c r="D1" s="454"/>
      <c r="E1" s="454"/>
      <c r="F1" s="131"/>
      <c r="G1" s="131"/>
      <c r="H1" s="131"/>
      <c r="I1" s="131"/>
      <c r="J1" s="131"/>
      <c r="K1" s="131"/>
      <c r="L1" s="131"/>
      <c r="M1" s="131"/>
      <c r="N1" s="131"/>
      <c r="O1" s="405"/>
      <c r="P1" s="405"/>
      <c r="Q1" s="405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 t="s">
        <v>282</v>
      </c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</row>
    <row r="2" spans="1:62" ht="39" customHeight="1" x14ac:dyDescent="0.3">
      <c r="A2" s="131"/>
      <c r="B2" s="136" t="s">
        <v>283</v>
      </c>
      <c r="C2" s="136" t="s">
        <v>284</v>
      </c>
      <c r="D2" s="137" t="s">
        <v>285</v>
      </c>
      <c r="E2" s="138" t="s">
        <v>286</v>
      </c>
      <c r="F2" s="136" t="s">
        <v>287</v>
      </c>
      <c r="G2" s="137" t="s">
        <v>288</v>
      </c>
      <c r="H2" s="138" t="s">
        <v>286</v>
      </c>
      <c r="I2" s="136" t="s">
        <v>289</v>
      </c>
      <c r="J2" s="137" t="s">
        <v>290</v>
      </c>
      <c r="K2" s="138" t="s">
        <v>286</v>
      </c>
      <c r="L2" s="136" t="s">
        <v>291</v>
      </c>
      <c r="M2" s="137" t="s">
        <v>292</v>
      </c>
      <c r="N2" s="138" t="s">
        <v>286</v>
      </c>
      <c r="O2" s="136" t="s">
        <v>293</v>
      </c>
      <c r="P2" s="137" t="s">
        <v>294</v>
      </c>
      <c r="Q2" s="138" t="s">
        <v>286</v>
      </c>
      <c r="R2" s="137" t="s">
        <v>295</v>
      </c>
      <c r="S2" s="137" t="s">
        <v>296</v>
      </c>
      <c r="T2" s="138" t="s">
        <v>286</v>
      </c>
      <c r="U2" s="136" t="s">
        <v>297</v>
      </c>
      <c r="V2" s="137" t="s">
        <v>298</v>
      </c>
      <c r="W2" s="138" t="s">
        <v>286</v>
      </c>
      <c r="X2" s="136" t="s">
        <v>299</v>
      </c>
      <c r="Y2" s="137" t="s">
        <v>300</v>
      </c>
      <c r="Z2" s="138" t="s">
        <v>286</v>
      </c>
      <c r="AA2" s="136" t="s">
        <v>301</v>
      </c>
      <c r="AB2" s="137" t="s">
        <v>302</v>
      </c>
      <c r="AC2" s="138" t="s">
        <v>286</v>
      </c>
      <c r="AD2" s="136" t="s">
        <v>303</v>
      </c>
      <c r="AE2" s="137" t="s">
        <v>304</v>
      </c>
      <c r="AF2" s="138" t="s">
        <v>286</v>
      </c>
      <c r="AG2" s="136" t="s">
        <v>305</v>
      </c>
      <c r="AH2" s="137" t="s">
        <v>306</v>
      </c>
      <c r="AI2" s="138" t="s">
        <v>286</v>
      </c>
      <c r="AJ2" s="136" t="s">
        <v>307</v>
      </c>
      <c r="AK2" s="137" t="s">
        <v>308</v>
      </c>
      <c r="AL2" s="138" t="s">
        <v>286</v>
      </c>
      <c r="AM2" s="136" t="s">
        <v>309</v>
      </c>
      <c r="AN2" s="137" t="s">
        <v>310</v>
      </c>
      <c r="AO2" s="138" t="s">
        <v>286</v>
      </c>
      <c r="AP2" s="136" t="s">
        <v>311</v>
      </c>
      <c r="AQ2" s="137" t="s">
        <v>312</v>
      </c>
      <c r="AR2" s="138" t="s">
        <v>286</v>
      </c>
      <c r="AS2" s="136" t="s">
        <v>313</v>
      </c>
      <c r="AT2" s="137" t="s">
        <v>314</v>
      </c>
      <c r="AU2" s="138" t="s">
        <v>286</v>
      </c>
      <c r="AV2" s="136" t="s">
        <v>315</v>
      </c>
      <c r="AW2" s="137" t="s">
        <v>316</v>
      </c>
      <c r="AX2" s="138" t="s">
        <v>286</v>
      </c>
      <c r="AY2" s="136" t="s">
        <v>317</v>
      </c>
      <c r="AZ2" s="137" t="s">
        <v>318</v>
      </c>
      <c r="BA2" s="138" t="s">
        <v>286</v>
      </c>
      <c r="BB2" s="136" t="s">
        <v>319</v>
      </c>
      <c r="BC2" s="137" t="s">
        <v>320</v>
      </c>
      <c r="BD2" s="138" t="s">
        <v>286</v>
      </c>
      <c r="BE2" s="136" t="s">
        <v>321</v>
      </c>
      <c r="BF2" s="137" t="s">
        <v>322</v>
      </c>
      <c r="BG2" s="138" t="s">
        <v>286</v>
      </c>
      <c r="BH2" s="131"/>
      <c r="BI2" s="131"/>
      <c r="BJ2" s="131"/>
    </row>
    <row r="3" spans="1:62" x14ac:dyDescent="0.3">
      <c r="A3" s="131"/>
      <c r="B3" s="123" t="s">
        <v>22</v>
      </c>
      <c r="C3" s="455">
        <v>104643.04399999999</v>
      </c>
      <c r="D3" s="456">
        <v>100793.4</v>
      </c>
      <c r="E3" s="457">
        <f>IFERROR(C3/D3-1,"")</f>
        <v>3.8193413457627168E-2</v>
      </c>
      <c r="F3" s="406">
        <v>91038.9</v>
      </c>
      <c r="G3" s="407">
        <v>91136.2</v>
      </c>
      <c r="H3" s="436">
        <f>F3/G3-1</f>
        <v>-1.0676328396400647E-3</v>
      </c>
      <c r="I3" s="406">
        <v>92096.429000000004</v>
      </c>
      <c r="J3" s="407">
        <v>92177.9</v>
      </c>
      <c r="K3" s="436">
        <f>I3/J3-1</f>
        <v>-8.8384526008933317E-4</v>
      </c>
      <c r="L3" s="406">
        <v>95488.1</v>
      </c>
      <c r="M3" s="407">
        <v>93154.7</v>
      </c>
      <c r="N3" s="436">
        <f>L3/M3-1</f>
        <v>2.5048655623387761E-2</v>
      </c>
      <c r="O3" s="406">
        <f>91840480/1000</f>
        <v>91840.48</v>
      </c>
      <c r="P3" s="407">
        <v>93689.4</v>
      </c>
      <c r="Q3" s="436">
        <f>O3/P3-1</f>
        <v>-1.9734569759225717E-2</v>
      </c>
      <c r="R3" s="124">
        <v>86557</v>
      </c>
      <c r="S3" s="124">
        <v>85443</v>
      </c>
      <c r="T3" s="125">
        <f>R3/S3-1</f>
        <v>1.3037931720562224E-2</v>
      </c>
      <c r="U3" s="161">
        <v>73696</v>
      </c>
      <c r="V3" s="124">
        <v>72276</v>
      </c>
      <c r="W3" s="125">
        <f>U3/V3-1</f>
        <v>1.9646909070784258E-2</v>
      </c>
      <c r="X3" s="161">
        <v>73696</v>
      </c>
      <c r="Y3" s="124">
        <v>72276</v>
      </c>
      <c r="Z3" s="125">
        <f>X3/Y3-1</f>
        <v>1.9646909070784258E-2</v>
      </c>
      <c r="AA3" s="161">
        <v>76746</v>
      </c>
      <c r="AB3" s="124">
        <v>76009</v>
      </c>
      <c r="AC3" s="125">
        <f>AA3/AB3-1</f>
        <v>9.6962201844519313E-3</v>
      </c>
      <c r="AD3" s="161">
        <v>67965</v>
      </c>
      <c r="AE3" s="124">
        <v>67200</v>
      </c>
      <c r="AF3" s="125">
        <f>AD3/AE3-1</f>
        <v>1.1383928571428559E-2</v>
      </c>
      <c r="AG3" s="161">
        <v>58617.472000000002</v>
      </c>
      <c r="AH3" s="124">
        <v>56481.4</v>
      </c>
      <c r="AI3" s="125">
        <f>AG3/AH3-1</f>
        <v>3.7819034230737847E-2</v>
      </c>
      <c r="AJ3" s="161">
        <v>60128.9</v>
      </c>
      <c r="AK3" s="124">
        <v>57923</v>
      </c>
      <c r="AL3" s="125">
        <f>AJ3/AK3-1</f>
        <v>3.8083317507725756E-2</v>
      </c>
      <c r="AM3" s="161">
        <v>62619</v>
      </c>
      <c r="AN3" s="124">
        <v>62390</v>
      </c>
      <c r="AO3" s="125">
        <f>AM3/AN3-1</f>
        <v>3.6704600096169049E-3</v>
      </c>
      <c r="AP3" s="161">
        <f>'Key Financial Data'!Z5/1000</f>
        <v>58617.472000000002</v>
      </c>
      <c r="AQ3" s="124">
        <v>48585</v>
      </c>
      <c r="AR3" s="125">
        <f>AP3/AQ3-1</f>
        <v>0.20649319748893702</v>
      </c>
      <c r="AS3" s="161">
        <f>'Key Financial Data'!Y5/1000</f>
        <v>60128.938999999998</v>
      </c>
      <c r="AT3" s="124">
        <v>45562</v>
      </c>
      <c r="AU3" s="125">
        <f>AS3/AT3-1</f>
        <v>0.3197168473728107</v>
      </c>
      <c r="AV3" s="161">
        <f>'Key Financial Data'!X5/1000</f>
        <v>62618.892</v>
      </c>
      <c r="AW3" s="124">
        <v>49236</v>
      </c>
      <c r="AX3" s="125">
        <f>AV3/AW3-1</f>
        <v>0.27181111381915679</v>
      </c>
      <c r="AY3" s="161">
        <f>'Key Financial Data'!W5/1000</f>
        <v>50938.362999999998</v>
      </c>
      <c r="AZ3" s="124">
        <v>48361</v>
      </c>
      <c r="BA3" s="125">
        <f>AY3/AZ3-1</f>
        <v>5.3294245362998982E-2</v>
      </c>
      <c r="BB3" s="161">
        <f>'Key Financial Data'!V5/1000</f>
        <v>46268.754000000001</v>
      </c>
      <c r="BC3" s="124">
        <v>42357</v>
      </c>
      <c r="BD3" s="125">
        <f>BB3/BC3-1</f>
        <v>9.2352007932573255E-2</v>
      </c>
      <c r="BE3" s="161">
        <v>37016</v>
      </c>
      <c r="BF3" s="124">
        <v>35674</v>
      </c>
      <c r="BG3" s="125">
        <f>BE3/BF3-1</f>
        <v>3.7618433593092915E-2</v>
      </c>
      <c r="BH3" s="131"/>
      <c r="BI3" s="131"/>
      <c r="BJ3" s="131"/>
    </row>
    <row r="4" spans="1:62" x14ac:dyDescent="0.3">
      <c r="A4" s="131"/>
      <c r="B4" s="123" t="s">
        <v>24</v>
      </c>
      <c r="C4" s="455">
        <v>35094.796999999999</v>
      </c>
      <c r="D4" s="456">
        <v>30368.7</v>
      </c>
      <c r="E4" s="457">
        <f>IFERROR(C4/D4-1,"")</f>
        <v>0.15562394834154891</v>
      </c>
      <c r="F4" s="406">
        <v>25970</v>
      </c>
      <c r="G4" s="407">
        <v>27027</v>
      </c>
      <c r="H4" s="436">
        <f>F4/G4-1</f>
        <v>-3.9109039109039068E-2</v>
      </c>
      <c r="I4" s="406">
        <v>24127.273000000001</v>
      </c>
      <c r="J4" s="407">
        <v>25113.599999999999</v>
      </c>
      <c r="K4" s="436">
        <f>I4/J4-1</f>
        <v>-3.9274616144240437E-2</v>
      </c>
      <c r="L4" s="406">
        <v>25181</v>
      </c>
      <c r="M4" s="407">
        <v>30709.200000000001</v>
      </c>
      <c r="N4" s="436">
        <f>L4/M4-1</f>
        <v>-0.18001771456110871</v>
      </c>
      <c r="O4" s="406"/>
      <c r="P4" s="407"/>
      <c r="Q4" s="436"/>
      <c r="R4" s="124"/>
      <c r="S4" s="124"/>
      <c r="T4" s="125"/>
      <c r="U4" s="161"/>
      <c r="V4" s="124"/>
      <c r="W4" s="125"/>
      <c r="X4" s="161"/>
      <c r="Y4" s="124"/>
      <c r="Z4" s="125"/>
      <c r="AA4" s="161"/>
      <c r="AB4" s="124"/>
      <c r="AC4" s="125"/>
      <c r="AD4" s="161"/>
      <c r="AE4" s="124"/>
      <c r="AF4" s="125" t="e">
        <f>AD4/AE4-1</f>
        <v>#DIV/0!</v>
      </c>
      <c r="AG4" s="161"/>
      <c r="AH4" s="124"/>
      <c r="AI4" s="125" t="e">
        <f>AG4/AH4-1</f>
        <v>#DIV/0!</v>
      </c>
      <c r="AJ4" s="161"/>
      <c r="AK4" s="124"/>
      <c r="AL4" s="125" t="e">
        <f>AJ4/AK4-1</f>
        <v>#DIV/0!</v>
      </c>
      <c r="AM4" s="161"/>
      <c r="AN4" s="124"/>
      <c r="AO4" s="125" t="e">
        <f>AM4/AN4-1</f>
        <v>#DIV/0!</v>
      </c>
      <c r="AP4" s="161">
        <f>'Key Financial Data'!Z8/1000</f>
        <v>19817.424999999999</v>
      </c>
      <c r="AQ4" s="124">
        <v>12415</v>
      </c>
      <c r="AR4" s="125">
        <f>AP4/AQ4-1</f>
        <v>0.59624848973016498</v>
      </c>
      <c r="AS4" s="161">
        <f>'Key Financial Data'!Y8/1000</f>
        <v>16933.396000000001</v>
      </c>
      <c r="AT4" s="124">
        <v>10476</v>
      </c>
      <c r="AU4" s="125">
        <f>AS4/AT4-1</f>
        <v>0.61639900725467744</v>
      </c>
      <c r="AV4" s="161">
        <f>'Key Financial Data'!X8/1000</f>
        <v>18504.867999999999</v>
      </c>
      <c r="AW4" s="124">
        <v>10930</v>
      </c>
      <c r="AX4" s="125">
        <f>AV4/AW4-1</f>
        <v>0.69303458371454707</v>
      </c>
      <c r="AY4" s="161">
        <f>'Key Financial Data'!W8/1000</f>
        <v>15574.428</v>
      </c>
      <c r="AZ4" s="124">
        <v>10326</v>
      </c>
      <c r="BA4" s="125">
        <f>AY4/AZ4-1</f>
        <v>0.5082730970366065</v>
      </c>
      <c r="BB4" s="161">
        <f>'Key Financial Data'!V8/1000</f>
        <v>10740.287</v>
      </c>
      <c r="BC4" s="124">
        <v>9700</v>
      </c>
      <c r="BD4" s="125">
        <f>BB4/BC4-1</f>
        <v>0.10724608247422673</v>
      </c>
      <c r="BE4" s="161">
        <v>7200</v>
      </c>
      <c r="BF4" s="124">
        <v>6956</v>
      </c>
      <c r="BG4" s="125">
        <f>BE4/BF4-1</f>
        <v>3.5077630822311745E-2</v>
      </c>
      <c r="BH4" s="131"/>
      <c r="BI4" s="131"/>
      <c r="BJ4" s="131"/>
    </row>
    <row r="5" spans="1:62" hidden="1" outlineLevel="1" x14ac:dyDescent="0.3">
      <c r="A5" s="131"/>
      <c r="B5" s="123" t="s">
        <v>323</v>
      </c>
      <c r="C5" s="455"/>
      <c r="D5" s="458"/>
      <c r="E5" s="457"/>
      <c r="F5" s="406"/>
      <c r="G5" s="415"/>
      <c r="H5" s="436"/>
      <c r="I5" s="406"/>
      <c r="J5" s="407"/>
      <c r="K5" s="436"/>
      <c r="L5" s="406"/>
      <c r="M5" s="407"/>
      <c r="N5" s="436"/>
      <c r="O5" s="406"/>
      <c r="P5" s="407"/>
      <c r="Q5" s="436"/>
      <c r="R5" s="124"/>
      <c r="S5" s="124"/>
      <c r="T5" s="125"/>
      <c r="U5" s="161"/>
      <c r="V5" s="124"/>
      <c r="W5" s="125"/>
      <c r="X5" s="161"/>
      <c r="Y5" s="124"/>
      <c r="Z5" s="125"/>
      <c r="AA5" s="161"/>
      <c r="AB5" s="124"/>
      <c r="AC5" s="125"/>
      <c r="AD5" s="161"/>
      <c r="AE5" s="124"/>
      <c r="AF5" s="125" t="e">
        <f>AD5/AE5-1</f>
        <v>#DIV/0!</v>
      </c>
      <c r="AG5" s="161"/>
      <c r="AH5" s="124"/>
      <c r="AI5" s="125" t="e">
        <f>AG5/AH5-1</f>
        <v>#DIV/0!</v>
      </c>
      <c r="AJ5" s="161"/>
      <c r="AK5" s="124"/>
      <c r="AL5" s="125" t="e">
        <f>AJ5/AK5-1</f>
        <v>#DIV/0!</v>
      </c>
      <c r="AM5" s="161"/>
      <c r="AN5" s="124"/>
      <c r="AO5" s="125" t="e">
        <f>AM5/AN5-1</f>
        <v>#DIV/0!</v>
      </c>
      <c r="AP5" s="161">
        <f>'Key Financial Data'!Z19/1000</f>
        <v>3841.0680000000002</v>
      </c>
      <c r="AQ5" s="124"/>
      <c r="AR5" s="125" t="e">
        <f>-(AP5/AQ5-1)</f>
        <v>#DIV/0!</v>
      </c>
      <c r="AS5" s="161">
        <f>'Key Financial Data'!Y19/1000</f>
        <v>-750.75800000000004</v>
      </c>
      <c r="AT5" s="124">
        <v>-5722</v>
      </c>
      <c r="AU5" s="125">
        <f>-(AS5/AT5-1)</f>
        <v>0.86879447745543514</v>
      </c>
      <c r="AV5" s="161">
        <f>'Key Financial Data'!X19/1000</f>
        <v>1272.2570000000001</v>
      </c>
      <c r="AW5" s="124">
        <v>-7622</v>
      </c>
      <c r="AX5" s="125">
        <f>-(AV5/AW5-1)</f>
        <v>1.1669190501180793</v>
      </c>
      <c r="AY5" s="161">
        <f>'Key Financial Data'!W19/1000</f>
        <v>-492.83800000000002</v>
      </c>
      <c r="AZ5" s="124">
        <v>-8246</v>
      </c>
      <c r="BA5" s="125">
        <f>-(AY5/AZ5-1)</f>
        <v>0.94023308270676687</v>
      </c>
      <c r="BB5" s="161">
        <f>'Key Financial Data'!V19/1000</f>
        <v>-5584.2420000000002</v>
      </c>
      <c r="BC5" s="124"/>
      <c r="BD5" s="125"/>
      <c r="BE5" s="161">
        <v>-4767</v>
      </c>
      <c r="BF5" s="124">
        <v>-4031</v>
      </c>
      <c r="BG5" s="125">
        <f>-(BE5/BF5-1)</f>
        <v>-0.18258496650955092</v>
      </c>
      <c r="BH5" s="131"/>
      <c r="BI5" s="131"/>
      <c r="BJ5" s="131"/>
    </row>
    <row r="6" spans="1:62" collapsed="1" x14ac:dyDescent="0.3">
      <c r="A6" s="131"/>
      <c r="B6" s="123" t="s">
        <v>182</v>
      </c>
      <c r="C6" s="455">
        <v>2691.1660000000002</v>
      </c>
      <c r="D6" s="456">
        <v>-965.2</v>
      </c>
      <c r="E6" s="457">
        <f>IFERROR((C6-D6)/ABS(D6),"")</f>
        <v>3.7881951927061746</v>
      </c>
      <c r="F6" s="406">
        <v>-6469.8</v>
      </c>
      <c r="G6" s="407">
        <v>-7902.5</v>
      </c>
      <c r="H6" s="436">
        <f>-(F6/G6-1)</f>
        <v>0.18129705789307182</v>
      </c>
      <c r="I6" s="406">
        <v>-16074.246999999999</v>
      </c>
      <c r="J6" s="407">
        <v>-12645.7</v>
      </c>
      <c r="K6" s="436">
        <f>-(I6/J6-1)</f>
        <v>-0.27112354397146854</v>
      </c>
      <c r="L6" s="406">
        <v>-19759</v>
      </c>
      <c r="M6" s="407">
        <v>-8870.6</v>
      </c>
      <c r="N6" s="436">
        <f>-(L6/M6-1)</f>
        <v>-1.2274705205961265</v>
      </c>
      <c r="O6" s="406">
        <v>226</v>
      </c>
      <c r="P6" s="407">
        <v>8277</v>
      </c>
      <c r="Q6" s="436">
        <f>O6/P6-1</f>
        <v>-0.97269542104627282</v>
      </c>
      <c r="R6" s="124">
        <v>11218</v>
      </c>
      <c r="S6" s="124">
        <v>9983</v>
      </c>
      <c r="T6" s="125">
        <f>R6/S6-1</f>
        <v>0.12371030752278878</v>
      </c>
      <c r="U6" s="161">
        <v>3187</v>
      </c>
      <c r="V6" s="124">
        <v>2015</v>
      </c>
      <c r="W6" s="125">
        <f>U6/V6-1</f>
        <v>0.58163771712158807</v>
      </c>
      <c r="X6" s="161">
        <v>3187</v>
      </c>
      <c r="Y6" s="124">
        <v>2015</v>
      </c>
      <c r="Z6" s="125">
        <f>X6/Y6-1</f>
        <v>0.58163771712158807</v>
      </c>
      <c r="AA6" s="161">
        <v>6189</v>
      </c>
      <c r="AB6" s="124">
        <v>7131</v>
      </c>
      <c r="AC6" s="125">
        <f>AA6/AB6-1</f>
        <v>-0.13209928481278921</v>
      </c>
      <c r="AD6" s="161">
        <v>7683</v>
      </c>
      <c r="AE6" s="124">
        <v>6663</v>
      </c>
      <c r="AF6" s="125">
        <f>AD6/AE6-1</f>
        <v>0.15308419630796943</v>
      </c>
      <c r="AG6" s="161">
        <v>6262.06</v>
      </c>
      <c r="AH6" s="124">
        <v>2861.1</v>
      </c>
      <c r="AI6" s="125">
        <f>AG6/AH6-1</f>
        <v>1.1886896648142327</v>
      </c>
      <c r="AJ6" s="161">
        <v>2960.8829999999998</v>
      </c>
      <c r="AK6" s="124">
        <v>2711</v>
      </c>
      <c r="AL6" s="125">
        <f>AJ6/AK6-1</f>
        <v>9.2173736628550218E-2</v>
      </c>
      <c r="AM6" s="161">
        <v>4802</v>
      </c>
      <c r="AN6" s="124">
        <v>2753</v>
      </c>
      <c r="AO6" s="125">
        <f>AM6/AN6-1</f>
        <v>0.74427896839811125</v>
      </c>
      <c r="AP6" s="161">
        <f>'Key Financial Data'!Z20/1000</f>
        <v>6262.06</v>
      </c>
      <c r="AQ6" s="124">
        <v>-108</v>
      </c>
      <c r="AR6" s="125" t="s">
        <v>324</v>
      </c>
      <c r="AS6" s="161">
        <f>'Key Financial Data'!Y20/1000</f>
        <v>2960.8829999999998</v>
      </c>
      <c r="AT6" s="124">
        <v>-2539</v>
      </c>
      <c r="AU6" s="125">
        <f>-(AS6/AT6-1)</f>
        <v>2.1661610870421426</v>
      </c>
      <c r="AV6" s="161">
        <f>'Key Financial Data'!X20/1000</f>
        <v>4801.7359999999999</v>
      </c>
      <c r="AW6" s="124">
        <v>-3930</v>
      </c>
      <c r="AX6" s="125">
        <f>-(AV6/AW6-1)</f>
        <v>2.2218157760814252</v>
      </c>
      <c r="AY6" s="161">
        <f>'Key Financial Data'!W20/1000</f>
        <v>3802.741</v>
      </c>
      <c r="AZ6" s="124">
        <v>-4509</v>
      </c>
      <c r="BA6" s="125">
        <f>-(AY6/AZ6-1)</f>
        <v>1.8433668219117321</v>
      </c>
      <c r="BB6" s="161">
        <f>'Key Financial Data'!V20/1000</f>
        <v>-1840.771</v>
      </c>
      <c r="BC6" s="124">
        <v>-2672</v>
      </c>
      <c r="BD6" s="125">
        <f>-(BB6/BC6-1)</f>
        <v>0.31108869760479041</v>
      </c>
      <c r="BE6" s="161">
        <v>-2383</v>
      </c>
      <c r="BF6" s="124">
        <v>-3500</v>
      </c>
      <c r="BG6" s="125">
        <f>-(BE6/BF6-1)</f>
        <v>0.31914285714285717</v>
      </c>
      <c r="BH6" s="131"/>
      <c r="BI6" s="131"/>
      <c r="BJ6" s="131"/>
    </row>
    <row r="7" spans="1:62" outlineLevel="1" x14ac:dyDescent="0.3">
      <c r="A7" s="131"/>
      <c r="B7" s="123" t="s">
        <v>325</v>
      </c>
      <c r="C7" s="455">
        <v>4098.05</v>
      </c>
      <c r="D7" s="456">
        <v>2982.3</v>
      </c>
      <c r="E7" s="457">
        <f>IFERROR((C7-D7)/ABS(D7),"")</f>
        <v>0.37412399825637926</v>
      </c>
      <c r="F7" s="406">
        <v>-3049.4</v>
      </c>
      <c r="G7" s="407">
        <v>-5191.6000000000004</v>
      </c>
      <c r="H7" s="436">
        <f>-(F7/G7-1)</f>
        <v>0.41262809153247559</v>
      </c>
      <c r="I7" s="406">
        <v>-14024.955</v>
      </c>
      <c r="J7" s="407">
        <v>-11724.1</v>
      </c>
      <c r="K7" s="436">
        <f>-(I7/J7-1)</f>
        <v>-0.19625003198539748</v>
      </c>
      <c r="L7" s="406">
        <v>-14841.9</v>
      </c>
      <c r="M7" s="407">
        <v>-5323.7</v>
      </c>
      <c r="N7" s="436">
        <f>-(L7/M7-1)</f>
        <v>-1.7878918797077219</v>
      </c>
      <c r="O7" s="406">
        <f>2781961/1000</f>
        <v>2781.9609999999998</v>
      </c>
      <c r="P7" s="407">
        <v>12221.1</v>
      </c>
      <c r="Q7" s="436">
        <f>O7/P7-1</f>
        <v>-0.77236410797718702</v>
      </c>
      <c r="R7" s="124"/>
      <c r="S7" s="124"/>
      <c r="T7" s="125"/>
      <c r="U7" s="161"/>
      <c r="V7" s="124"/>
      <c r="W7" s="125"/>
      <c r="X7" s="161"/>
      <c r="Y7" s="124"/>
      <c r="Z7" s="125"/>
      <c r="AA7" s="161"/>
      <c r="AB7" s="124"/>
      <c r="AC7" s="125"/>
      <c r="AD7" s="161"/>
      <c r="AE7" s="124"/>
      <c r="AF7" s="125"/>
      <c r="AG7" s="161"/>
      <c r="AH7" s="124"/>
      <c r="AI7" s="125"/>
      <c r="AJ7" s="161"/>
      <c r="AK7" s="124"/>
      <c r="AL7" s="125"/>
      <c r="AM7" s="161"/>
      <c r="AN7" s="124"/>
      <c r="AO7" s="125"/>
      <c r="AP7" s="161"/>
      <c r="AQ7" s="124"/>
      <c r="AR7" s="125"/>
      <c r="AS7" s="161"/>
      <c r="AT7" s="124"/>
      <c r="AU7" s="125"/>
      <c r="AV7" s="161"/>
      <c r="AW7" s="124"/>
      <c r="AX7" s="125"/>
      <c r="AY7" s="161"/>
      <c r="AZ7" s="124"/>
      <c r="BA7" s="125"/>
      <c r="BB7" s="161"/>
      <c r="BC7" s="124"/>
      <c r="BD7" s="125"/>
      <c r="BE7" s="161"/>
      <c r="BF7" s="124"/>
      <c r="BG7" s="125"/>
      <c r="BH7" s="131"/>
      <c r="BI7" s="131"/>
      <c r="BJ7" s="131"/>
    </row>
    <row r="8" spans="1:62" x14ac:dyDescent="0.3">
      <c r="A8" s="131"/>
      <c r="B8" s="123" t="s">
        <v>326</v>
      </c>
      <c r="C8" s="455">
        <v>2523.7159999999999</v>
      </c>
      <c r="D8" s="456">
        <v>208</v>
      </c>
      <c r="E8" s="457">
        <f>IFERROR((C8-D8)/ABS(D8),"")</f>
        <v>11.13325</v>
      </c>
      <c r="F8" s="406">
        <v>-4967.8999999999996</v>
      </c>
      <c r="G8" s="407">
        <v>-5706.9</v>
      </c>
      <c r="H8" s="436">
        <f>-(F8/G8-1)</f>
        <v>0.12949236888678617</v>
      </c>
      <c r="I8" s="406">
        <v>-15079.906000000001</v>
      </c>
      <c r="J8" s="407">
        <v>-12864</v>
      </c>
      <c r="K8" s="436">
        <f>-(I8/J8-1)</f>
        <v>-0.17225637437810959</v>
      </c>
      <c r="L8" s="406">
        <v>-16009.6</v>
      </c>
      <c r="M8" s="407">
        <v>-6019.8</v>
      </c>
      <c r="N8" s="436">
        <f>-(L8/M8-1)</f>
        <v>-1.6594903485165622</v>
      </c>
      <c r="O8" s="406">
        <f>1493035/1000</f>
        <v>1493.0350000000001</v>
      </c>
      <c r="P8" s="407">
        <v>9851</v>
      </c>
      <c r="Q8" s="436">
        <f>O8/P8-1</f>
        <v>-0.84843822962135818</v>
      </c>
      <c r="R8" s="124">
        <v>10949</v>
      </c>
      <c r="S8" s="124">
        <v>9727</v>
      </c>
      <c r="T8" s="125">
        <f>R8/S8-1</f>
        <v>0.12562969055207152</v>
      </c>
      <c r="U8" s="161">
        <v>4375</v>
      </c>
      <c r="V8" s="124">
        <v>2938</v>
      </c>
      <c r="W8" s="125">
        <f>U8/V8-1</f>
        <v>0.48910823689584748</v>
      </c>
      <c r="X8" s="161">
        <v>4375</v>
      </c>
      <c r="Y8" s="124">
        <v>2938</v>
      </c>
      <c r="Z8" s="125">
        <f>X8/Y8-1</f>
        <v>0.48910823689584748</v>
      </c>
      <c r="AA8" s="161">
        <v>5727</v>
      </c>
      <c r="AB8" s="124">
        <v>5289</v>
      </c>
      <c r="AC8" s="125">
        <f>AA8/AB8-1</f>
        <v>8.2813386273397516E-2</v>
      </c>
      <c r="AD8" s="161">
        <v>7660</v>
      </c>
      <c r="AE8" s="124">
        <v>4517</v>
      </c>
      <c r="AF8" s="125">
        <f>AD8/AE8-1</f>
        <v>0.69581580695151657</v>
      </c>
      <c r="AG8" s="161">
        <v>5491.44</v>
      </c>
      <c r="AH8" s="124">
        <v>1617</v>
      </c>
      <c r="AI8" s="125">
        <f>AG8/AH8-1</f>
        <v>2.3960667903525046</v>
      </c>
      <c r="AJ8" s="161">
        <v>829.1</v>
      </c>
      <c r="AK8" s="124">
        <v>544</v>
      </c>
      <c r="AL8" s="125">
        <f>AJ8/AK8-1</f>
        <v>0.52408088235294126</v>
      </c>
      <c r="AM8" s="161">
        <v>3527</v>
      </c>
      <c r="AN8" s="124">
        <v>838</v>
      </c>
      <c r="AO8" s="125">
        <f>AM8/AN8-1</f>
        <v>3.2088305489260147</v>
      </c>
      <c r="AP8" s="161">
        <v>2058</v>
      </c>
      <c r="AQ8" s="124">
        <v>-2173</v>
      </c>
      <c r="AR8" s="125" t="s">
        <v>324</v>
      </c>
      <c r="AS8" s="161">
        <v>-3586.252</v>
      </c>
      <c r="AT8" s="124">
        <v>-4133</v>
      </c>
      <c r="AU8" s="125">
        <f>-(AS8/AT8-1)</f>
        <v>0.13228841035567385</v>
      </c>
      <c r="AV8" s="161">
        <f>-3935732/1000</f>
        <v>-3935.732</v>
      </c>
      <c r="AW8" s="124">
        <v>-5771</v>
      </c>
      <c r="AX8" s="125">
        <f>-(AV8/AW8-1)</f>
        <v>0.3180155952174667</v>
      </c>
      <c r="AY8" s="161">
        <f>-5527</f>
        <v>-5527</v>
      </c>
      <c r="AZ8" s="124">
        <v>-5580</v>
      </c>
      <c r="BA8" s="125">
        <f>-(AY8/AZ8-1)</f>
        <v>9.4982078853046437E-3</v>
      </c>
      <c r="BB8" s="161">
        <f>-2217</f>
        <v>-2217</v>
      </c>
      <c r="BC8" s="124">
        <v>-4043</v>
      </c>
      <c r="BD8" s="125">
        <f>-(BB8/BC8-1)</f>
        <v>0.45164481820430369</v>
      </c>
      <c r="BE8" s="161">
        <v>-3892</v>
      </c>
      <c r="BF8" s="124">
        <v>-3972</v>
      </c>
      <c r="BG8" s="125">
        <f>-(BE8/BF8-1)</f>
        <v>2.0140986908358527E-2</v>
      </c>
      <c r="BH8" s="131"/>
      <c r="BI8" s="131"/>
      <c r="BJ8" s="131"/>
    </row>
    <row r="9" spans="1:62" x14ac:dyDescent="0.3">
      <c r="A9" s="131"/>
      <c r="B9" s="126" t="s">
        <v>327</v>
      </c>
      <c r="C9" s="459"/>
      <c r="D9" s="460"/>
      <c r="E9" s="461"/>
      <c r="F9" s="428"/>
      <c r="G9" s="429"/>
      <c r="H9" s="430"/>
      <c r="I9" s="428"/>
      <c r="J9" s="429"/>
      <c r="K9" s="430"/>
      <c r="L9" s="428"/>
      <c r="M9" s="429"/>
      <c r="N9" s="430"/>
      <c r="O9" s="408"/>
      <c r="P9" s="409"/>
      <c r="Q9" s="410"/>
      <c r="R9" s="175"/>
      <c r="S9" s="175"/>
      <c r="T9" s="177"/>
      <c r="U9" s="176"/>
      <c r="V9" s="175"/>
      <c r="W9" s="177"/>
      <c r="X9" s="176"/>
      <c r="Y9" s="175"/>
      <c r="Z9" s="177"/>
      <c r="AA9" s="176"/>
      <c r="AB9" s="175"/>
      <c r="AC9" s="177"/>
      <c r="AD9" s="176"/>
      <c r="AE9" s="175"/>
      <c r="AF9" s="177" t="s">
        <v>328</v>
      </c>
      <c r="AG9" s="176"/>
      <c r="AH9" s="175"/>
      <c r="AI9" s="177" t="s">
        <v>328</v>
      </c>
      <c r="AJ9" s="176"/>
      <c r="AK9" s="175"/>
      <c r="AL9" s="177" t="s">
        <v>328</v>
      </c>
      <c r="AM9" s="176"/>
      <c r="AN9" s="175"/>
      <c r="AO9" s="177" t="s">
        <v>328</v>
      </c>
      <c r="AP9" s="176"/>
      <c r="AQ9" s="175"/>
      <c r="AR9" s="177" t="s">
        <v>328</v>
      </c>
      <c r="AS9" s="176"/>
      <c r="AT9" s="175"/>
      <c r="AU9" s="177" t="s">
        <v>328</v>
      </c>
      <c r="AV9" s="176"/>
      <c r="AW9" s="175"/>
      <c r="AX9" s="177" t="s">
        <v>328</v>
      </c>
      <c r="AY9" s="176"/>
      <c r="AZ9" s="175"/>
      <c r="BA9" s="177" t="s">
        <v>328</v>
      </c>
      <c r="BB9" s="162"/>
      <c r="BC9" s="127"/>
      <c r="BD9" s="128" t="s">
        <v>328</v>
      </c>
      <c r="BE9" s="162"/>
      <c r="BF9" s="127"/>
      <c r="BG9" s="128" t="s">
        <v>328</v>
      </c>
      <c r="BH9" s="131"/>
      <c r="BI9" s="131"/>
      <c r="BJ9" s="131"/>
    </row>
    <row r="10" spans="1:62" x14ac:dyDescent="0.3">
      <c r="A10" s="131"/>
      <c r="B10" s="123" t="s">
        <v>24</v>
      </c>
      <c r="C10" s="462">
        <f>C4/C3</f>
        <v>0.33537630078880354</v>
      </c>
      <c r="D10" s="463">
        <f>IFERROR(D4/D3,"")</f>
        <v>0.301296513462191</v>
      </c>
      <c r="E10" s="464">
        <f>IFERROR((C10-D10)*100,"")</f>
        <v>3.4079787326612543</v>
      </c>
      <c r="F10" s="426">
        <f>F4/F3</f>
        <v>0.28526267342861128</v>
      </c>
      <c r="G10" s="427">
        <f>G4/G3</f>
        <v>0.29655614344245207</v>
      </c>
      <c r="H10" s="431">
        <f>28.5-29.7</f>
        <v>-1.1999999999999993</v>
      </c>
      <c r="I10" s="426">
        <f>I4/I3</f>
        <v>0.26197837703348953</v>
      </c>
      <c r="J10" s="427">
        <f>J4/J3</f>
        <v>0.27244708330304768</v>
      </c>
      <c r="K10" s="431">
        <f>26.2-27.2</f>
        <v>-1</v>
      </c>
      <c r="L10" s="426">
        <f>L4/L3</f>
        <v>0.26370825265137748</v>
      </c>
      <c r="M10" s="427">
        <f>M4/M3</f>
        <v>0.32965808488460596</v>
      </c>
      <c r="N10" s="431">
        <f>26.4-33</f>
        <v>-6.6000000000000014</v>
      </c>
      <c r="O10" s="411"/>
      <c r="P10" s="412"/>
      <c r="Q10" s="413"/>
      <c r="R10" s="172"/>
      <c r="S10" s="172"/>
      <c r="T10" s="173"/>
      <c r="U10" s="171"/>
      <c r="V10" s="172"/>
      <c r="W10" s="173"/>
      <c r="X10" s="171"/>
      <c r="Y10" s="172"/>
      <c r="Z10" s="173"/>
      <c r="AA10" s="171"/>
      <c r="AB10" s="172"/>
      <c r="AC10" s="173"/>
      <c r="AD10" s="171"/>
      <c r="AE10" s="172"/>
      <c r="AF10" s="173">
        <f>(AD10-AE10)*100</f>
        <v>0</v>
      </c>
      <c r="AG10" s="171">
        <f>AG4/AG3</f>
        <v>0</v>
      </c>
      <c r="AH10" s="172">
        <f>AH4/AH3</f>
        <v>0</v>
      </c>
      <c r="AI10" s="173">
        <f>(AG10-AH10)*100</f>
        <v>0</v>
      </c>
      <c r="AJ10" s="171">
        <f>AJ4/AJ3</f>
        <v>0</v>
      </c>
      <c r="AK10" s="172">
        <f>AK4/AK3</f>
        <v>0</v>
      </c>
      <c r="AL10" s="173">
        <f>(AJ10-AK10)*100</f>
        <v>0</v>
      </c>
      <c r="AM10" s="171">
        <f>AM4/AM3</f>
        <v>0</v>
      </c>
      <c r="AN10" s="172">
        <f>AN4/AN3</f>
        <v>0</v>
      </c>
      <c r="AO10" s="173">
        <f>(AM10-AN10)*100</f>
        <v>0</v>
      </c>
      <c r="AP10" s="171">
        <f>AP4/AP3</f>
        <v>0.33808051292283636</v>
      </c>
      <c r="AQ10" s="172">
        <f>AQ4/AQ3</f>
        <v>0.25553154265719874</v>
      </c>
      <c r="AR10" s="173">
        <f>(AP10-AQ10)*100</f>
        <v>8.2548970265637625</v>
      </c>
      <c r="AS10" s="171">
        <f>AS4/AS3</f>
        <v>0.28161807411901946</v>
      </c>
      <c r="AT10" s="172">
        <f>AT4/AT3</f>
        <v>0.22992844914621835</v>
      </c>
      <c r="AU10" s="173">
        <f>(AS10-AT10)*100</f>
        <v>5.1689624972801109</v>
      </c>
      <c r="AV10" s="171">
        <f>AV4/AV3</f>
        <v>0.29551573668853798</v>
      </c>
      <c r="AW10" s="172">
        <f>AW4/AW3</f>
        <v>0.22199203834592574</v>
      </c>
      <c r="AX10" s="173">
        <f>(AV10-AW10)*100</f>
        <v>7.352369834261224</v>
      </c>
      <c r="AY10" s="171">
        <f>AY4/AY3</f>
        <v>0.30575046159217956</v>
      </c>
      <c r="AZ10" s="172">
        <f>AZ4/AZ3</f>
        <v>0.21351915799921425</v>
      </c>
      <c r="BA10" s="173">
        <f>(AY10-AZ10)*100</f>
        <v>9.2231303592965297</v>
      </c>
      <c r="BB10" s="172">
        <f>BB4/BB3</f>
        <v>0.23212829547992583</v>
      </c>
      <c r="BC10" s="172">
        <f>BC4/BC3</f>
        <v>0.22900583138560332</v>
      </c>
      <c r="BD10" s="173">
        <f>(BB10-BC10)*100</f>
        <v>0.31224640943225135</v>
      </c>
      <c r="BE10" s="163">
        <f>BE4/BE3</f>
        <v>0.19451048195374973</v>
      </c>
      <c r="BF10" s="129">
        <f>BF4/BF3</f>
        <v>0.19498794640354319</v>
      </c>
      <c r="BG10" s="130">
        <v>0</v>
      </c>
      <c r="BH10" s="131"/>
      <c r="BI10" s="131"/>
      <c r="BJ10" s="131"/>
    </row>
    <row r="11" spans="1:62" ht="10" hidden="1" outlineLevel="1" x14ac:dyDescent="0.3">
      <c r="A11" s="131"/>
      <c r="B11" s="123" t="s">
        <v>329</v>
      </c>
      <c r="C11" s="465">
        <f>C6/C3</f>
        <v>2.5717581380755708E-2</v>
      </c>
      <c r="D11" s="458">
        <f>IFERROR(D6/D3,"")</f>
        <v>-9.5760238269569243E-3</v>
      </c>
      <c r="E11" s="466">
        <f>IFERROR((C11-D11)*100,"")</f>
        <v>3.5293605207712631</v>
      </c>
      <c r="F11" s="414"/>
      <c r="G11" s="415"/>
      <c r="H11" s="416"/>
      <c r="I11" s="414"/>
      <c r="J11" s="415"/>
      <c r="K11" s="416"/>
      <c r="L11" s="414"/>
      <c r="M11" s="415"/>
      <c r="N11" s="416"/>
      <c r="O11" s="414"/>
      <c r="P11" s="415"/>
      <c r="Q11" s="416"/>
      <c r="R11" s="129"/>
      <c r="S11" s="129"/>
      <c r="T11" s="170"/>
      <c r="U11" s="163"/>
      <c r="V11" s="129"/>
      <c r="W11" s="170"/>
      <c r="X11" s="163"/>
      <c r="Y11" s="129"/>
      <c r="Z11" s="170"/>
      <c r="AA11" s="163"/>
      <c r="AB11" s="129"/>
      <c r="AC11" s="170"/>
      <c r="AD11" s="163"/>
      <c r="AE11" s="129"/>
      <c r="AF11" s="170">
        <f>(AD11-AE11)*100</f>
        <v>0</v>
      </c>
      <c r="AG11" s="163">
        <f>AG5/AG3</f>
        <v>0</v>
      </c>
      <c r="AH11" s="129">
        <f>AH5/AH3</f>
        <v>0</v>
      </c>
      <c r="AI11" s="170">
        <f>(AG11-AH11)*100</f>
        <v>0</v>
      </c>
      <c r="AJ11" s="163">
        <f>AJ5/AJ3</f>
        <v>0</v>
      </c>
      <c r="AK11" s="129">
        <f>AK5/AK3</f>
        <v>0</v>
      </c>
      <c r="AL11" s="170">
        <f>(AJ11-AK11)*100</f>
        <v>0</v>
      </c>
      <c r="AM11" s="163">
        <f>AM5/AM3</f>
        <v>0</v>
      </c>
      <c r="AN11" s="129">
        <f>AN5/AN3</f>
        <v>0</v>
      </c>
      <c r="AO11" s="170">
        <f>(AM11-AN11)*100</f>
        <v>0</v>
      </c>
      <c r="AP11" s="163">
        <f>AP5/AP3</f>
        <v>6.5527697953265546E-2</v>
      </c>
      <c r="AQ11" s="129">
        <f>AQ5/AQ3</f>
        <v>0</v>
      </c>
      <c r="AR11" s="170">
        <f>(AP11-AQ11)*100</f>
        <v>6.5527697953265545</v>
      </c>
      <c r="AS11" s="163">
        <f>AS5/AS3</f>
        <v>-1.2485801553890716E-2</v>
      </c>
      <c r="AT11" s="129">
        <f>AT5/AT3</f>
        <v>-0.12558711206707343</v>
      </c>
      <c r="AU11" s="170">
        <f>(AS11-AT11)*100</f>
        <v>11.310131051318271</v>
      </c>
      <c r="AV11" s="163">
        <f>AV5/AV3</f>
        <v>2.0317462659671461E-2</v>
      </c>
      <c r="AW11" s="129">
        <f>AW5/AW3</f>
        <v>-0.15480542692338939</v>
      </c>
      <c r="AX11" s="170">
        <f>(AV11-AW11)*100</f>
        <v>17.512288958306087</v>
      </c>
      <c r="AY11" s="163">
        <f>AY5/AY3</f>
        <v>-9.6751833191027377E-3</v>
      </c>
      <c r="AZ11" s="129">
        <f>AZ5/AZ3</f>
        <v>-0.17050929467959719</v>
      </c>
      <c r="BA11" s="170">
        <f>(AY11-AZ11)*100</f>
        <v>16.083411136049445</v>
      </c>
      <c r="BB11" s="129">
        <f>BB5/BB3</f>
        <v>-0.12069142817202295</v>
      </c>
      <c r="BC11" s="129"/>
      <c r="BD11" s="170"/>
      <c r="BE11" s="163">
        <f>BE5/BE3</f>
        <v>-0.12878214826021181</v>
      </c>
      <c r="BF11" s="129">
        <f>BF5/BF3</f>
        <v>-0.11299545887761395</v>
      </c>
      <c r="BG11" s="130">
        <v>-2</v>
      </c>
      <c r="BH11" s="131"/>
      <c r="BI11" s="131"/>
      <c r="BJ11" s="131"/>
    </row>
    <row r="12" spans="1:62" collapsed="1" x14ac:dyDescent="0.3">
      <c r="A12" s="131"/>
      <c r="B12" s="123" t="s">
        <v>182</v>
      </c>
      <c r="C12" s="467">
        <f>C7/C3</f>
        <v>3.9162182629167402E-2</v>
      </c>
      <c r="D12" s="468">
        <f>IFERROR(D7/D3,"")</f>
        <v>2.9588246849496101E-2</v>
      </c>
      <c r="E12" s="469">
        <f>IFERROR((C12-D12)*100,"")</f>
        <v>0.9573935779671302</v>
      </c>
      <c r="F12" s="417">
        <f>F6/F3</f>
        <v>-7.1066324395395827E-2</v>
      </c>
      <c r="G12" s="418">
        <f>G6/G3</f>
        <v>-8.6710878882376052E-2</v>
      </c>
      <c r="H12" s="419">
        <f>-7.1+8.7</f>
        <v>1.5999999999999996</v>
      </c>
      <c r="I12" s="417">
        <f>I6/I3</f>
        <v>-0.17453713650504299</v>
      </c>
      <c r="J12" s="418">
        <f>J6/J3</f>
        <v>-0.13718798106704538</v>
      </c>
      <c r="K12" s="419">
        <f>-17.5+13.7</f>
        <v>-3.8000000000000007</v>
      </c>
      <c r="L12" s="417">
        <f>L6/L3</f>
        <v>-0.20692630809493537</v>
      </c>
      <c r="M12" s="418">
        <f>M6/M3</f>
        <v>-9.5224395548480112E-2</v>
      </c>
      <c r="N12" s="419">
        <f>-20.7+9.5</f>
        <v>-11.2</v>
      </c>
      <c r="O12" s="417">
        <f>O6/O3</f>
        <v>2.460788532464116E-3</v>
      </c>
      <c r="P12" s="418">
        <f>P6/P3</f>
        <v>8.8345106276697269E-2</v>
      </c>
      <c r="Q12" s="419">
        <f>0.2-8.8</f>
        <v>-8.6000000000000014</v>
      </c>
      <c r="R12" s="166">
        <f>R6/R3</f>
        <v>0.12960245849555785</v>
      </c>
      <c r="S12" s="166">
        <f>S6/S3</f>
        <v>0.11683812600213007</v>
      </c>
      <c r="T12" s="169">
        <f>13-11.7</f>
        <v>1.3000000000000007</v>
      </c>
      <c r="U12" s="165">
        <f>U6/U3</f>
        <v>4.3245223621363439E-2</v>
      </c>
      <c r="V12" s="166">
        <f>V6/V3</f>
        <v>2.787924068847197E-2</v>
      </c>
      <c r="W12" s="169">
        <f>4.3-2.8</f>
        <v>1.5</v>
      </c>
      <c r="X12" s="165">
        <f>X6/X3</f>
        <v>4.3245223621363439E-2</v>
      </c>
      <c r="Y12" s="166">
        <f>Y6/Y3</f>
        <v>2.787924068847197E-2</v>
      </c>
      <c r="Z12" s="169">
        <f>4.3-2.8</f>
        <v>1.5</v>
      </c>
      <c r="AA12" s="165">
        <v>8.1000000000000003E-2</v>
      </c>
      <c r="AB12" s="166">
        <v>9.4E-2</v>
      </c>
      <c r="AC12" s="169">
        <v>-1.3</v>
      </c>
      <c r="AD12" s="165">
        <f>AD6/AD3</f>
        <v>0.11304347826086956</v>
      </c>
      <c r="AE12" s="166">
        <f>AE6/AE3</f>
        <v>9.915178571428572E-2</v>
      </c>
      <c r="AF12" s="170">
        <f>(AD12-AE12)*100</f>
        <v>1.3891692546583845</v>
      </c>
      <c r="AG12" s="165">
        <f>AG6/AG3</f>
        <v>0.10682924026474565</v>
      </c>
      <c r="AH12" s="166">
        <f>AH6/AH3</f>
        <v>5.0655614060557984E-2</v>
      </c>
      <c r="AI12" s="170">
        <f>(AG12-AH12)*100</f>
        <v>5.6173626204187661</v>
      </c>
      <c r="AJ12" s="165">
        <f>AJ6/AJ3</f>
        <v>4.9242261208836346E-2</v>
      </c>
      <c r="AK12" s="166">
        <f>AK6/AK3</f>
        <v>4.6803515011308118E-2</v>
      </c>
      <c r="AL12" s="170">
        <f>(AJ12-AK12)*100</f>
        <v>0.24387461975282285</v>
      </c>
      <c r="AM12" s="165">
        <f>AM6/AM3</f>
        <v>7.6685989875277472E-2</v>
      </c>
      <c r="AN12" s="166">
        <f>AN6/AN3</f>
        <v>4.4125661163648022E-2</v>
      </c>
      <c r="AO12" s="170">
        <f>(AM12-AN12)*100</f>
        <v>3.2560328711629447</v>
      </c>
      <c r="AP12" s="165">
        <f>AP6/AP3</f>
        <v>0.10682924026474565</v>
      </c>
      <c r="AQ12" s="166">
        <f>AQ6/AQ3</f>
        <v>-2.2229083050324173E-3</v>
      </c>
      <c r="AR12" s="170">
        <f>(AP12-AQ12)*100</f>
        <v>10.905214856977805</v>
      </c>
      <c r="AS12" s="165">
        <f>AS6/AS3</f>
        <v>4.9242229270002581E-2</v>
      </c>
      <c r="AT12" s="166">
        <f>AT6/AT3</f>
        <v>-5.572626311399851E-2</v>
      </c>
      <c r="AU12" s="170">
        <f>(AS12-AT12)*100</f>
        <v>10.49684923840011</v>
      </c>
      <c r="AV12" s="165">
        <f>AV6/AV3</f>
        <v>7.6681906157010885E-2</v>
      </c>
      <c r="AW12" s="166">
        <f>AW6/AW3</f>
        <v>-7.9819644162807707E-2</v>
      </c>
      <c r="AX12" s="170">
        <f>(AV12-AW12)*100</f>
        <v>15.650155031981861</v>
      </c>
      <c r="AY12" s="165">
        <f>AY6/AY3</f>
        <v>7.4653773227851869E-2</v>
      </c>
      <c r="AZ12" s="166">
        <f>AZ6/AZ3</f>
        <v>-9.3236285436612151E-2</v>
      </c>
      <c r="BA12" s="170">
        <f>(AY12-AZ12)*100</f>
        <v>16.789005866446402</v>
      </c>
      <c r="BB12" s="166">
        <f>BB6/BB3</f>
        <v>-3.9784321834125898E-2</v>
      </c>
      <c r="BC12" s="166">
        <f>BC6/BC3</f>
        <v>-6.3082843449724951E-2</v>
      </c>
      <c r="BD12" s="169">
        <f>(BB12-BC12)*100</f>
        <v>2.3298521615599053</v>
      </c>
      <c r="BE12" s="163">
        <f>BE6/BE3</f>
        <v>-6.4377566457748003E-2</v>
      </c>
      <c r="BF12" s="129">
        <f>BF6/BF3</f>
        <v>-9.8110668834445261E-2</v>
      </c>
      <c r="BG12" s="130">
        <v>4</v>
      </c>
      <c r="BH12" s="131"/>
      <c r="BI12" s="131"/>
      <c r="BJ12" s="131"/>
    </row>
    <row r="13" spans="1:62" outlineLevel="1" x14ac:dyDescent="0.3">
      <c r="A13" s="131"/>
      <c r="B13" s="123" t="s">
        <v>325</v>
      </c>
      <c r="C13" s="467">
        <v>3.9E-2</v>
      </c>
      <c r="D13" s="468">
        <v>0.03</v>
      </c>
      <c r="E13" s="469">
        <v>0.9</v>
      </c>
      <c r="F13" s="417">
        <f>F7/F3</f>
        <v>-3.3495571673207832E-2</v>
      </c>
      <c r="G13" s="418">
        <f>G7/G3</f>
        <v>-5.6965289314235182E-2</v>
      </c>
      <c r="H13" s="419">
        <f>-3.3+5.7</f>
        <v>2.4000000000000004</v>
      </c>
      <c r="I13" s="417">
        <f>I7/I3</f>
        <v>-0.15228554627237501</v>
      </c>
      <c r="J13" s="418">
        <f>J7/J3</f>
        <v>-0.12718992296418122</v>
      </c>
      <c r="K13" s="419">
        <f>-15.2+12.7</f>
        <v>-2.5</v>
      </c>
      <c r="L13" s="417">
        <f>L7/L3</f>
        <v>-0.15543193340321987</v>
      </c>
      <c r="M13" s="418">
        <f>M7/M3</f>
        <v>-5.7149022003183954E-2</v>
      </c>
      <c r="N13" s="419">
        <f>-15.5+5.7</f>
        <v>-9.8000000000000007</v>
      </c>
      <c r="O13" s="417">
        <f>O7/O3</f>
        <v>3.0291228878594711E-2</v>
      </c>
      <c r="P13" s="418">
        <f>P7/P3</f>
        <v>0.13044271817302705</v>
      </c>
      <c r="Q13" s="419">
        <f>3-13</f>
        <v>-10</v>
      </c>
      <c r="R13" s="166"/>
      <c r="S13" s="166"/>
      <c r="T13" s="169"/>
      <c r="U13" s="165"/>
      <c r="V13" s="166"/>
      <c r="W13" s="169"/>
      <c r="X13" s="165"/>
      <c r="Y13" s="166"/>
      <c r="Z13" s="169"/>
      <c r="AA13" s="165"/>
      <c r="AB13" s="166"/>
      <c r="AC13" s="169"/>
      <c r="AD13" s="165"/>
      <c r="AE13" s="166"/>
      <c r="AF13" s="170"/>
      <c r="AG13" s="165"/>
      <c r="AH13" s="166"/>
      <c r="AI13" s="170"/>
      <c r="AJ13" s="165"/>
      <c r="AK13" s="166"/>
      <c r="AL13" s="170"/>
      <c r="AM13" s="165"/>
      <c r="AN13" s="166"/>
      <c r="AO13" s="170"/>
      <c r="AP13" s="165"/>
      <c r="AQ13" s="166"/>
      <c r="AR13" s="170"/>
      <c r="AS13" s="165"/>
      <c r="AT13" s="166"/>
      <c r="AU13" s="170"/>
      <c r="AV13" s="165"/>
      <c r="AW13" s="166"/>
      <c r="AX13" s="170"/>
      <c r="AY13" s="165"/>
      <c r="AZ13" s="166"/>
      <c r="BA13" s="170"/>
      <c r="BB13" s="166"/>
      <c r="BC13" s="166"/>
      <c r="BD13" s="169"/>
      <c r="BE13" s="163"/>
      <c r="BF13" s="129"/>
      <c r="BG13" s="130"/>
      <c r="BH13" s="131"/>
      <c r="BI13" s="131"/>
      <c r="BJ13" s="131"/>
    </row>
    <row r="14" spans="1:62" x14ac:dyDescent="0.3">
      <c r="A14" s="131"/>
      <c r="B14" s="132" t="s">
        <v>326</v>
      </c>
      <c r="C14" s="470">
        <f>C8/C3</f>
        <v>2.4117379460024117E-2</v>
      </c>
      <c r="D14" s="471">
        <f>IFERROR(D8/D3,"")</f>
        <v>2.0636271819385E-3</v>
      </c>
      <c r="E14" s="472">
        <f>IFERROR((C14-D14)*100,"")</f>
        <v>2.2053752278085614</v>
      </c>
      <c r="F14" s="420">
        <f>F8/F3</f>
        <v>-5.45689809520985E-2</v>
      </c>
      <c r="G14" s="421">
        <f>G8/G3</f>
        <v>-6.2619464054898058E-2</v>
      </c>
      <c r="H14" s="422">
        <f>-5.5+6.3</f>
        <v>0.79999999999999982</v>
      </c>
      <c r="I14" s="420">
        <f>I8/I3</f>
        <v>-0.1637403986641002</v>
      </c>
      <c r="J14" s="421">
        <f>J8/J3</f>
        <v>-0.13955622768581191</v>
      </c>
      <c r="K14" s="422">
        <f>-16.4+14</f>
        <v>-2.3999999999999986</v>
      </c>
      <c r="L14" s="420">
        <f>L8/L3</f>
        <v>-0.16766068232586048</v>
      </c>
      <c r="M14" s="421">
        <f>M8/M3</f>
        <v>-6.4621538151054106E-2</v>
      </c>
      <c r="N14" s="422">
        <f>-16.8+6.5</f>
        <v>-10.3</v>
      </c>
      <c r="O14" s="420">
        <f>O8/O3</f>
        <v>1.6256829232599832E-2</v>
      </c>
      <c r="P14" s="421">
        <f>P8/P3</f>
        <v>0.10514529925477162</v>
      </c>
      <c r="Q14" s="422">
        <f>1.6-10.5</f>
        <v>-8.9</v>
      </c>
      <c r="R14" s="168">
        <f>R8/R3</f>
        <v>0.12649467980637036</v>
      </c>
      <c r="S14" s="168">
        <f>S8/S3</f>
        <v>0.11384197652235993</v>
      </c>
      <c r="T14" s="174">
        <f>12.6-11.4</f>
        <v>1.1999999999999993</v>
      </c>
      <c r="U14" s="167">
        <f>U8/U3</f>
        <v>5.9365501519756836E-2</v>
      </c>
      <c r="V14" s="168">
        <f>V8/V3</f>
        <v>4.0649731584481708E-2</v>
      </c>
      <c r="W14" s="174">
        <f>5.9-4.1</f>
        <v>1.8000000000000007</v>
      </c>
      <c r="X14" s="167">
        <f>X8/X3</f>
        <v>5.9365501519756836E-2</v>
      </c>
      <c r="Y14" s="168">
        <f>Y8/Y3</f>
        <v>4.0649731584481708E-2</v>
      </c>
      <c r="Z14" s="174">
        <f>5.9-4.1</f>
        <v>1.8000000000000007</v>
      </c>
      <c r="AA14" s="167">
        <v>7.4999999999999997E-2</v>
      </c>
      <c r="AB14" s="168">
        <v>7.0000000000000007E-2</v>
      </c>
      <c r="AC14" s="174">
        <v>0.5</v>
      </c>
      <c r="AD14" s="167">
        <f>AD8/AD3</f>
        <v>0.11270506878540425</v>
      </c>
      <c r="AE14" s="168">
        <f>AE8/AE3</f>
        <v>6.7217261904761905E-2</v>
      </c>
      <c r="AF14" s="178">
        <v>4.5999999999999996</v>
      </c>
      <c r="AG14" s="167">
        <f>AG8/AG3</f>
        <v>9.3682648067797927E-2</v>
      </c>
      <c r="AH14" s="168">
        <f>AH8/AH3</f>
        <v>2.8628893759715588E-2</v>
      </c>
      <c r="AI14" s="178">
        <f>(AG14-AH14)*100</f>
        <v>6.5053754308082343</v>
      </c>
      <c r="AJ14" s="167">
        <f>AJ8/AJ3</f>
        <v>1.3788710586756119E-2</v>
      </c>
      <c r="AK14" s="168">
        <f>AK8/AK3</f>
        <v>9.3917787407420197E-3</v>
      </c>
      <c r="AL14" s="178">
        <f>(AJ14-AK14)*100</f>
        <v>0.43969318460140988</v>
      </c>
      <c r="AM14" s="167">
        <f>AM8/AM3</f>
        <v>5.6324757661412671E-2</v>
      </c>
      <c r="AN14" s="168">
        <f>AN8/AN3</f>
        <v>1.3431639685847091E-2</v>
      </c>
      <c r="AO14" s="178">
        <f>(AM14-AN14)*100</f>
        <v>4.2893117975565582</v>
      </c>
      <c r="AP14" s="167">
        <f>AP8/AP3</f>
        <v>3.5108985935115043E-2</v>
      </c>
      <c r="AQ14" s="168">
        <f>AQ8/AQ3</f>
        <v>-4.472573839662447E-2</v>
      </c>
      <c r="AR14" s="178">
        <f>(AP14-AQ14)*100</f>
        <v>7.9834724331739517</v>
      </c>
      <c r="AS14" s="167">
        <f>AS8/AS3</f>
        <v>-5.9642695508064759E-2</v>
      </c>
      <c r="AT14" s="168">
        <f>AT8/AT3</f>
        <v>-9.0711557877178356E-2</v>
      </c>
      <c r="AU14" s="178">
        <f>(AS14-AT14)*100</f>
        <v>3.1068862369113597</v>
      </c>
      <c r="AV14" s="167">
        <f>AV8/AV3</f>
        <v>-6.2852150114697011E-2</v>
      </c>
      <c r="AW14" s="168">
        <f>AW8/AW3</f>
        <v>-0.11721098383296774</v>
      </c>
      <c r="AX14" s="178">
        <f>(AV14-AW14)*100</f>
        <v>5.4358833718270727</v>
      </c>
      <c r="AY14" s="167">
        <f>AY8/AY3</f>
        <v>-0.10850368316704642</v>
      </c>
      <c r="AZ14" s="168">
        <f>AZ8/AZ3</f>
        <v>-0.11538222948243419</v>
      </c>
      <c r="BA14" s="178">
        <f>(AY14-AZ14)*100</f>
        <v>0.68785463153877702</v>
      </c>
      <c r="BB14" s="168">
        <f>BB8/BB3</f>
        <v>-4.7915705704977489E-2</v>
      </c>
      <c r="BC14" s="168">
        <f>BC8/BC3</f>
        <v>-9.5450574875463323E-2</v>
      </c>
      <c r="BD14" s="174">
        <f>(BB14-BC14)*100</f>
        <v>4.7534869170485834</v>
      </c>
      <c r="BE14" s="164">
        <f>BE8/BE3</f>
        <v>-0.10514372163388805</v>
      </c>
      <c r="BF14" s="133">
        <f>BF8/BF3</f>
        <v>-0.11134159331726187</v>
      </c>
      <c r="BG14" s="134">
        <v>0</v>
      </c>
      <c r="BH14" s="131"/>
      <c r="BI14" s="131"/>
      <c r="BJ14" s="131"/>
    </row>
    <row r="15" spans="1:62" x14ac:dyDescent="0.3">
      <c r="A15" s="131"/>
      <c r="B15" s="135"/>
      <c r="F15" s="135"/>
      <c r="G15" s="135"/>
      <c r="H15" s="135"/>
      <c r="I15" s="135"/>
      <c r="J15" s="135"/>
      <c r="K15" s="135"/>
      <c r="L15" s="135"/>
      <c r="M15" s="135"/>
      <c r="N15" s="135"/>
      <c r="O15" s="423"/>
      <c r="P15" s="423"/>
      <c r="Q15" s="423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1"/>
      <c r="BF15" s="131"/>
      <c r="BG15" s="131"/>
    </row>
    <row r="16" spans="1:62" x14ac:dyDescent="0.3">
      <c r="A16" s="131"/>
      <c r="B16" s="131"/>
      <c r="F16" s="131"/>
      <c r="G16" s="131"/>
      <c r="H16" s="131"/>
      <c r="I16" s="131"/>
      <c r="J16" s="131"/>
      <c r="K16" s="131"/>
      <c r="L16" s="131"/>
      <c r="M16" s="131"/>
      <c r="N16" s="131"/>
      <c r="O16" s="405"/>
      <c r="P16" s="405"/>
      <c r="Q16" s="405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</row>
    <row r="17" spans="1:59" x14ac:dyDescent="0.3">
      <c r="A17" s="131"/>
      <c r="B17" s="131"/>
      <c r="F17" s="131"/>
      <c r="G17" s="131"/>
      <c r="H17" s="131"/>
      <c r="I17" s="131"/>
      <c r="J17" s="131"/>
      <c r="K17" s="131"/>
      <c r="L17" s="131"/>
      <c r="M17" s="131"/>
      <c r="N17" s="131"/>
      <c r="O17" s="405"/>
      <c r="P17" s="405"/>
      <c r="Q17" s="405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</row>
    <row r="18" spans="1:59" x14ac:dyDescent="0.3">
      <c r="A18" s="131"/>
      <c r="B18" s="131"/>
      <c r="F18" s="131"/>
      <c r="G18" s="131"/>
      <c r="H18" s="131"/>
      <c r="I18" s="131"/>
      <c r="J18" s="131"/>
      <c r="K18" s="131"/>
      <c r="L18" s="131"/>
      <c r="M18" s="131"/>
      <c r="N18" s="131"/>
      <c r="O18" s="405"/>
      <c r="P18" s="405"/>
      <c r="Q18" s="405"/>
      <c r="R18" s="131"/>
      <c r="S18" s="131"/>
      <c r="T18" s="131"/>
      <c r="U18" s="131"/>
      <c r="W18" s="131"/>
      <c r="X18" s="131"/>
      <c r="Z18" s="131"/>
      <c r="AA18" s="131" t="s">
        <v>17</v>
      </c>
      <c r="AB18" s="131" t="s">
        <v>330</v>
      </c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</row>
    <row r="19" spans="1:59" x14ac:dyDescent="0.3">
      <c r="A19" s="131"/>
      <c r="B19" s="131"/>
      <c r="F19" s="131"/>
      <c r="G19" s="131"/>
      <c r="H19" s="131"/>
      <c r="I19" s="131"/>
      <c r="J19" s="131"/>
      <c r="K19" s="131"/>
      <c r="L19" s="131"/>
      <c r="M19" s="131"/>
      <c r="N19" s="131"/>
      <c r="O19" s="405"/>
      <c r="P19" s="405"/>
      <c r="Q19" s="405"/>
      <c r="R19" s="131"/>
      <c r="S19" s="131"/>
      <c r="T19" s="131"/>
      <c r="U19" s="131"/>
      <c r="V19" s="131"/>
      <c r="W19" s="131"/>
      <c r="X19" s="131" t="s">
        <v>331</v>
      </c>
      <c r="Y19" s="131">
        <v>16</v>
      </c>
      <c r="Z19" s="131"/>
      <c r="AA19" s="131">
        <v>420</v>
      </c>
      <c r="AB19" s="131">
        <f>Y19*AA19</f>
        <v>6720</v>
      </c>
      <c r="AC19" s="401">
        <f>AB19/AB21</f>
        <v>0.30769230769230771</v>
      </c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</row>
    <row r="20" spans="1:59" x14ac:dyDescent="0.3">
      <c r="A20" s="131"/>
      <c r="B20" s="131"/>
      <c r="F20" s="131"/>
      <c r="G20" s="131"/>
      <c r="H20" s="131"/>
      <c r="I20" s="131"/>
      <c r="J20" s="131"/>
      <c r="K20" s="131"/>
      <c r="L20" s="131"/>
      <c r="M20" s="131"/>
      <c r="N20" s="131"/>
      <c r="O20" s="405"/>
      <c r="P20" s="405"/>
      <c r="Q20" s="405"/>
      <c r="R20" s="131"/>
      <c r="S20" s="131"/>
      <c r="T20" s="131"/>
      <c r="U20" s="131"/>
      <c r="V20" s="131"/>
      <c r="W20" s="131"/>
      <c r="X20" s="131"/>
      <c r="Y20" s="131">
        <f>Y21-Y19</f>
        <v>84</v>
      </c>
      <c r="Z20" s="131"/>
      <c r="AA20" s="131">
        <v>180</v>
      </c>
      <c r="AB20" s="131">
        <f>Y20*AA20</f>
        <v>15120</v>
      </c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31"/>
      <c r="BB20" s="131"/>
      <c r="BC20" s="131"/>
      <c r="BD20" s="131"/>
      <c r="BE20" s="131"/>
      <c r="BF20" s="131"/>
      <c r="BG20" s="131"/>
    </row>
    <row r="21" spans="1:59" x14ac:dyDescent="0.3">
      <c r="A21" s="131"/>
      <c r="B21" s="131"/>
      <c r="F21" s="131"/>
      <c r="G21" s="131"/>
      <c r="H21" s="131"/>
      <c r="I21" s="131"/>
      <c r="J21" s="131"/>
      <c r="K21" s="131"/>
      <c r="L21" s="131"/>
      <c r="M21" s="131"/>
      <c r="N21" s="131"/>
      <c r="O21" s="405"/>
      <c r="P21" s="405"/>
      <c r="Q21" s="405"/>
      <c r="R21" s="131"/>
      <c r="S21" s="131"/>
      <c r="T21" s="131"/>
      <c r="U21" s="131"/>
      <c r="V21" s="131"/>
      <c r="W21" s="131"/>
      <c r="X21" s="131"/>
      <c r="Y21" s="131">
        <v>100</v>
      </c>
      <c r="Z21" s="131"/>
      <c r="AA21" s="131">
        <f>AB21/Y21</f>
        <v>218.4</v>
      </c>
      <c r="AB21" s="131">
        <f>AB20+AB19</f>
        <v>21840</v>
      </c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</row>
    <row r="22" spans="1:59" x14ac:dyDescent="0.3">
      <c r="A22" s="131"/>
      <c r="B22" s="131"/>
      <c r="F22" s="131"/>
      <c r="G22" s="131"/>
      <c r="H22" s="131"/>
      <c r="I22" s="131"/>
      <c r="J22" s="131"/>
      <c r="K22" s="131"/>
      <c r="L22" s="131"/>
      <c r="M22" s="131"/>
      <c r="N22" s="131"/>
      <c r="O22" s="405"/>
      <c r="P22" s="405"/>
      <c r="Q22" s="405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</row>
    <row r="23" spans="1:59" x14ac:dyDescent="0.3">
      <c r="A23" s="131"/>
      <c r="B23" s="131"/>
      <c r="F23" s="131"/>
      <c r="G23" s="131"/>
      <c r="H23" s="131"/>
      <c r="I23" s="131"/>
      <c r="J23" s="131"/>
      <c r="K23" s="131"/>
      <c r="L23" s="131"/>
      <c r="M23" s="131"/>
      <c r="N23" s="131"/>
      <c r="O23" s="405"/>
      <c r="P23" s="405"/>
      <c r="Q23" s="405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</row>
    <row r="24" spans="1:59" x14ac:dyDescent="0.3">
      <c r="A24" s="131"/>
      <c r="B24" s="131"/>
      <c r="F24" s="131"/>
      <c r="G24" s="131"/>
      <c r="H24" s="131"/>
      <c r="I24" s="131"/>
      <c r="J24" s="131"/>
      <c r="K24" s="131"/>
      <c r="L24" s="131"/>
      <c r="M24" s="131"/>
      <c r="N24" s="131"/>
      <c r="O24" s="405"/>
      <c r="P24" s="405"/>
      <c r="Q24" s="405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</row>
    <row r="35" spans="27:27" x14ac:dyDescent="0.3">
      <c r="AA35" s="371"/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</vt:lpstr>
      <vt:lpstr>Key Financial Data</vt:lpstr>
      <vt:lpstr>Segment Reporting</vt:lpstr>
      <vt:lpstr>Sheet5</vt:lpstr>
      <vt:lpstr>New Segment Reporting</vt:lpstr>
      <vt:lpstr>charts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Zeyi Chen (SME, 121090077)</cp:lastModifiedBy>
  <cp:lastPrinted>2019-05-23T14:33:25Z</cp:lastPrinted>
  <dcterms:created xsi:type="dcterms:W3CDTF">2018-09-08T00:25:54Z</dcterms:created>
  <dcterms:modified xsi:type="dcterms:W3CDTF">2026-08-28T11:37:52Z</dcterms:modified>
</cp:coreProperties>
</file>