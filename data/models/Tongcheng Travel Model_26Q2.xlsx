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xr:revisionPtr revIDLastSave="0" documentId="13_ncr:1_{06D119BF-BBC1-4FDE-AF11-25EBC7A4A1EA}" xr6:coauthVersionLast="47" xr6:coauthVersionMax="47" xr10:uidLastSave="{00000000-0000-0000-0000-000000000000}"/>
  <bookViews>
    <workbookView xWindow="-120" yWindow="-16320" windowWidth="29040" windowHeight="15720" tabRatio="656" activeTab="3" xr2:uid="{00000000-000D-0000-FFFF-FFFF00000000}"/>
  </bookViews>
  <sheets>
    <sheet name="Tongchengelong" sheetId="1" r:id="rId1"/>
    <sheet name="Sheet6" sheetId="14" state="hidden" r:id="rId2"/>
    <sheet name="Comp" sheetId="4" state="hidden" r:id="rId3"/>
    <sheet name="TCEL charts" sheetId="3" r:id="rId4"/>
    <sheet name="交通业务拆分" sheetId="8" r:id="rId5"/>
    <sheet name="Sheet8" sheetId="20" r:id="rId6"/>
    <sheet name="酒店业务国际拆分" sheetId="19" r:id="rId7"/>
    <sheet name="Summary" sheetId="16" r:id="rId8"/>
    <sheet name="intl business" sheetId="18" r:id="rId9"/>
    <sheet name="Sheet7" sheetId="15" state="hidden" r:id="rId10"/>
    <sheet name="Sheet4" sheetId="13" state="hidden" r:id="rId11"/>
    <sheet name="Sheet5" sheetId="12" state="hidden" r:id="rId12"/>
    <sheet name="Sheet3" sheetId="10" state="hidden" r:id="rId13"/>
    <sheet name="Sheet2" sheetId="9" state="hidden" r:id="rId14"/>
    <sheet name="Breakdown" sheetId="6" state="hidden" r:id="rId15"/>
    <sheet name="Guidance" sheetId="2" state="hidden" r:id="rId16"/>
    <sheet name="Reference from finance" sheetId="5" state="hidden" r:id="rId17"/>
    <sheet name="Sheet1" sheetId="7"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C107" i="1" l="1"/>
  <c r="BC106" i="1"/>
  <c r="BC116" i="1"/>
  <c r="BC115" i="1"/>
  <c r="BC111" i="1"/>
  <c r="BC117" i="1" s="1"/>
  <c r="BC95" i="1"/>
  <c r="BC94" i="1"/>
  <c r="BC93" i="1"/>
  <c r="BC91" i="1"/>
  <c r="BC89" i="1"/>
  <c r="BC87" i="1"/>
  <c r="BC84" i="1"/>
  <c r="BC82" i="1"/>
  <c r="BC52" i="1"/>
  <c r="BC49" i="1"/>
  <c r="BC50" i="1" s="1"/>
  <c r="BC45" i="1"/>
  <c r="BC37" i="1"/>
  <c r="BC22" i="1"/>
  <c r="BC110" i="1" s="1"/>
  <c r="BC20" i="1"/>
  <c r="BC17" i="1"/>
  <c r="AG97" i="8"/>
  <c r="AF7" i="16"/>
  <c r="AF30" i="16"/>
  <c r="AF34" i="16"/>
  <c r="AF37" i="16"/>
  <c r="AF42" i="16"/>
  <c r="AF60" i="16"/>
  <c r="AG79" i="8"/>
  <c r="AG80" i="8"/>
  <c r="AG81" i="8" s="1"/>
  <c r="AG78" i="8"/>
  <c r="AG74" i="8"/>
  <c r="AG75" i="8" s="1"/>
  <c r="AG112" i="8"/>
  <c r="AG108" i="8"/>
  <c r="AG106" i="8"/>
  <c r="AG110" i="8" s="1"/>
  <c r="AG119" i="8" s="1"/>
  <c r="AG77" i="8"/>
  <c r="AG76" i="8"/>
  <c r="AG82" i="8" l="1"/>
  <c r="AG107" i="8"/>
  <c r="AG111" i="8"/>
  <c r="AG114" i="8"/>
  <c r="BC112" i="1"/>
  <c r="BC113" i="1"/>
  <c r="BC114" i="1"/>
  <c r="AG6" i="8"/>
  <c r="AG62" i="8" l="1"/>
  <c r="AG56" i="8"/>
  <c r="AG57" i="8" s="1"/>
  <c r="AG58" i="8"/>
  <c r="AF66" i="16" s="1"/>
  <c r="AG61" i="8" l="1"/>
  <c r="AG63" i="8"/>
  <c r="AG64" i="8"/>
  <c r="AG60" i="8"/>
  <c r="AH60" i="8" s="1"/>
  <c r="AF71" i="16" l="1"/>
  <c r="AG30" i="8"/>
  <c r="AF4" i="16" s="1"/>
  <c r="AG14" i="8"/>
  <c r="BB37" i="1" l="1"/>
  <c r="BB116" i="1"/>
  <c r="BB115" i="1"/>
  <c r="BB111" i="1"/>
  <c r="BB117" i="1" s="1"/>
  <c r="BB97" i="1"/>
  <c r="BB95" i="1"/>
  <c r="BB94" i="1"/>
  <c r="BB93" i="1"/>
  <c r="BB91" i="1"/>
  <c r="BB89" i="1"/>
  <c r="BB87" i="1"/>
  <c r="BB84" i="1"/>
  <c r="BB82" i="1"/>
  <c r="BB52" i="1"/>
  <c r="BB49" i="1"/>
  <c r="BB103" i="1" s="1"/>
  <c r="BB45" i="1"/>
  <c r="BB101" i="1" s="1"/>
  <c r="BB22" i="1"/>
  <c r="BB110" i="1" s="1"/>
  <c r="BB20" i="1"/>
  <c r="BB17" i="1"/>
  <c r="AZ37" i="1"/>
  <c r="BA37" i="1"/>
  <c r="AE34" i="16"/>
  <c r="AE37" i="16"/>
  <c r="AE42" i="16"/>
  <c r="AE60" i="16"/>
  <c r="AE30" i="16"/>
  <c r="AE7" i="16"/>
  <c r="AF97" i="8"/>
  <c r="BB113" i="1" l="1"/>
  <c r="BB112" i="1"/>
  <c r="BB100" i="1"/>
  <c r="BB50" i="1"/>
  <c r="BB102" i="1"/>
  <c r="AF6" i="8"/>
  <c r="AF80" i="8"/>
  <c r="AF81" i="8" s="1"/>
  <c r="AF76" i="8"/>
  <c r="AF77" i="8" s="1"/>
  <c r="AF79" i="8"/>
  <c r="AF78" i="8"/>
  <c r="AF74" i="8"/>
  <c r="AF75" i="8" s="1"/>
  <c r="AF56" i="8"/>
  <c r="AF57" i="8" s="1"/>
  <c r="AF62" i="8"/>
  <c r="AF63" i="8" s="1"/>
  <c r="AF58" i="8"/>
  <c r="AE66" i="16" s="1"/>
  <c r="AF30" i="8"/>
  <c r="AE4" i="16" s="1"/>
  <c r="AF112" i="8"/>
  <c r="AF106" i="8"/>
  <c r="AF107" i="8" s="1"/>
  <c r="AF108" i="8"/>
  <c r="AF82" i="8" l="1"/>
  <c r="AF61" i="8"/>
  <c r="AF111" i="8"/>
  <c r="AF64" i="8"/>
  <c r="AF114" i="8"/>
  <c r="AF110" i="8"/>
  <c r="AF119" i="8" s="1"/>
  <c r="BB114" i="1"/>
  <c r="AF60" i="8"/>
  <c r="AE71" i="16" l="1"/>
  <c r="AF14" i="8"/>
  <c r="BA4" i="1"/>
  <c r="BA6" i="1" s="1"/>
  <c r="BA116" i="1"/>
  <c r="BA115" i="1"/>
  <c r="BA111" i="1"/>
  <c r="BA117" i="1" s="1"/>
  <c r="BA107" i="1"/>
  <c r="BA106" i="1"/>
  <c r="BA95" i="1"/>
  <c r="BA94" i="1"/>
  <c r="BA93" i="1"/>
  <c r="BA91" i="1"/>
  <c r="BA89" i="1"/>
  <c r="BA87" i="1"/>
  <c r="BA84" i="1"/>
  <c r="BA82" i="1"/>
  <c r="BA52" i="1"/>
  <c r="BA49" i="1"/>
  <c r="BA113" i="1" s="1"/>
  <c r="BA45" i="1"/>
  <c r="BA112" i="1" s="1"/>
  <c r="BA22" i="1"/>
  <c r="BA110" i="1" s="1"/>
  <c r="BA20" i="1"/>
  <c r="BA17" i="1"/>
  <c r="AZ107" i="1"/>
  <c r="AZ22" i="1"/>
  <c r="BA50" i="1" l="1"/>
  <c r="BA5" i="1"/>
  <c r="AF11" i="8" s="1"/>
  <c r="R66" i="16"/>
  <c r="N66" i="16"/>
  <c r="K66" i="16"/>
  <c r="J66" i="16"/>
  <c r="I66" i="16"/>
  <c r="H66" i="16"/>
  <c r="G66" i="16"/>
  <c r="F66" i="16"/>
  <c r="E66" i="16"/>
  <c r="D66" i="16"/>
  <c r="U66" i="16"/>
  <c r="AD66" i="16"/>
  <c r="AF18" i="8" l="1"/>
  <c r="AF42" i="8" s="1"/>
  <c r="AF94" i="8"/>
  <c r="AF5" i="8"/>
  <c r="BA114" i="1"/>
  <c r="BA7" i="1"/>
  <c r="AF13" i="8"/>
  <c r="AJ43" i="16"/>
  <c r="AK43" i="16" s="1"/>
  <c r="AD34" i="16"/>
  <c r="AD37" i="16"/>
  <c r="AD42" i="16"/>
  <c r="AD60" i="16"/>
  <c r="AD30" i="16"/>
  <c r="AF121" i="8" l="1"/>
  <c r="AF98" i="8"/>
  <c r="AF116" i="8"/>
  <c r="AF102" i="8"/>
  <c r="AF25" i="8"/>
  <c r="AE6" i="8"/>
  <c r="AF2" i="8" l="1"/>
  <c r="AF3" i="8" s="1"/>
  <c r="AF117" i="8"/>
  <c r="AF104" i="8"/>
  <c r="AF51" i="8"/>
  <c r="AF87" i="8"/>
  <c r="AE50" i="16" s="1"/>
  <c r="AF118" i="8"/>
  <c r="AF29" i="8"/>
  <c r="AF15" i="8"/>
  <c r="AF37" i="8"/>
  <c r="AD7" i="16"/>
  <c r="M5" i="19"/>
  <c r="M9" i="19"/>
  <c r="AE114" i="8"/>
  <c r="AE111" i="8"/>
  <c r="AE110" i="8"/>
  <c r="AE119" i="8" s="1"/>
  <c r="AE107" i="8"/>
  <c r="AE97" i="8"/>
  <c r="AE82" i="8"/>
  <c r="AE81" i="8"/>
  <c r="AE77" i="8"/>
  <c r="AE75" i="8"/>
  <c r="AE64" i="8"/>
  <c r="AD71" i="16" s="1"/>
  <c r="AE63" i="8"/>
  <c r="AE57" i="8"/>
  <c r="AE61" i="8"/>
  <c r="AE30" i="8"/>
  <c r="AD4" i="16" s="1"/>
  <c r="AE14" i="8"/>
  <c r="AZ4" i="1"/>
  <c r="AZ6" i="1" s="1"/>
  <c r="M3" i="19" s="1"/>
  <c r="BL16" i="1"/>
  <c r="AE40" i="16" l="1"/>
  <c r="AF88" i="8"/>
  <c r="AE51" i="16" s="1"/>
  <c r="AE10" i="16"/>
  <c r="AF36" i="8"/>
  <c r="AE12" i="16" s="1"/>
  <c r="AF70" i="8"/>
  <c r="AE21" i="16" s="1"/>
  <c r="AF122" i="8"/>
  <c r="AF123" i="8" s="1"/>
  <c r="AF4" i="8"/>
  <c r="AF7" i="8"/>
  <c r="AF69" i="8"/>
  <c r="AE20" i="16" s="1"/>
  <c r="AZ5" i="1"/>
  <c r="AE11" i="8" s="1"/>
  <c r="AE13" i="8" s="1"/>
  <c r="M8" i="19"/>
  <c r="AZ7" i="1" l="1"/>
  <c r="AE5" i="8"/>
  <c r="AE18" i="8"/>
  <c r="AE94" i="8"/>
  <c r="AE121" i="8" l="1"/>
  <c r="AE102" i="8"/>
  <c r="AE116" i="8"/>
  <c r="AE98" i="8"/>
  <c r="AE42" i="8"/>
  <c r="AE25" i="8"/>
  <c r="AE29" i="8"/>
  <c r="AE15" i="8" l="1"/>
  <c r="AE118" i="8"/>
  <c r="AE69" i="8"/>
  <c r="AD20" i="16" s="1"/>
  <c r="AE51" i="8"/>
  <c r="AE87" i="8"/>
  <c r="AD50" i="16" s="1"/>
  <c r="AE117" i="8"/>
  <c r="AE2" i="8"/>
  <c r="AE3" i="8" s="1"/>
  <c r="AE122" i="8" s="1"/>
  <c r="AE123" i="8" s="1"/>
  <c r="AE104" i="8"/>
  <c r="AZ168" i="1"/>
  <c r="AV168" i="1"/>
  <c r="AZ110" i="1"/>
  <c r="AZ82" i="1"/>
  <c r="AZ116" i="1"/>
  <c r="AZ115" i="1"/>
  <c r="AZ114" i="1"/>
  <c r="AZ111" i="1"/>
  <c r="AZ117" i="1" s="1"/>
  <c r="AZ106" i="1"/>
  <c r="AZ49" i="1"/>
  <c r="AZ45" i="1"/>
  <c r="AZ95" i="1"/>
  <c r="AZ94" i="1"/>
  <c r="AZ93" i="1"/>
  <c r="AZ91" i="1"/>
  <c r="AY93" i="1"/>
  <c r="AY94" i="1"/>
  <c r="AY95" i="1"/>
  <c r="AZ89" i="1"/>
  <c r="AZ87" i="1"/>
  <c r="AZ84" i="1"/>
  <c r="AY84" i="1"/>
  <c r="AY82" i="1"/>
  <c r="AW77" i="1"/>
  <c r="AZ52" i="1"/>
  <c r="AY52" i="1"/>
  <c r="AZ20" i="1"/>
  <c r="AY20" i="1"/>
  <c r="AW9" i="1"/>
  <c r="AY4" i="1"/>
  <c r="AZ17" i="1"/>
  <c r="AY17" i="1"/>
  <c r="BC18" i="1" s="1"/>
  <c r="AY22" i="1"/>
  <c r="BC92" i="1" s="1"/>
  <c r="BL22" i="1"/>
  <c r="BL26" i="1" s="1"/>
  <c r="BL31" i="1"/>
  <c r="BL32" i="1"/>
  <c r="BL33" i="1"/>
  <c r="BL34" i="1"/>
  <c r="BL39" i="1"/>
  <c r="BL59" i="1"/>
  <c r="BL69" i="1"/>
  <c r="BL82" i="1"/>
  <c r="BL84" i="1"/>
  <c r="BL87" i="1"/>
  <c r="BL91" i="1"/>
  <c r="BL93" i="1"/>
  <c r="BL94" i="1"/>
  <c r="BL95" i="1"/>
  <c r="BL98" i="1"/>
  <c r="BL99" i="1"/>
  <c r="BL106" i="1"/>
  <c r="BL122" i="1"/>
  <c r="BL132" i="1"/>
  <c r="BL134" i="1"/>
  <c r="BL135" i="1"/>
  <c r="BL138" i="1"/>
  <c r="BL142" i="1"/>
  <c r="BL144" i="1"/>
  <c r="AZ113" i="1" l="1"/>
  <c r="AY26" i="1"/>
  <c r="AZ112" i="1"/>
  <c r="AD40" i="16"/>
  <c r="AE88" i="8"/>
  <c r="AD51" i="16" s="1"/>
  <c r="AE4" i="8"/>
  <c r="AE7" i="8"/>
  <c r="AY6" i="1"/>
  <c r="AE37" i="8"/>
  <c r="AY5" i="1"/>
  <c r="BL110" i="1"/>
  <c r="BL49" i="1"/>
  <c r="BL45" i="1"/>
  <c r="BL111" i="1"/>
  <c r="BL35" i="1"/>
  <c r="AC60" i="16"/>
  <c r="AC42" i="16"/>
  <c r="AC37" i="16"/>
  <c r="AC34" i="16"/>
  <c r="AC30" i="16"/>
  <c r="AC7" i="16"/>
  <c r="AY45" i="1" l="1"/>
  <c r="BC100" i="1" s="1"/>
  <c r="BC96" i="1"/>
  <c r="AY7" i="1"/>
  <c r="AD10" i="16"/>
  <c r="AE70" i="8"/>
  <c r="AD21" i="16" s="1"/>
  <c r="AE36" i="8"/>
  <c r="AD12" i="16" s="1"/>
  <c r="BL116" i="1"/>
  <c r="BL40" i="1"/>
  <c r="BL100" i="1"/>
  <c r="BL112" i="1"/>
  <c r="BL50" i="1"/>
  <c r="BL113" i="1"/>
  <c r="AB97" i="8"/>
  <c r="BL114" i="1" l="1"/>
  <c r="X97" i="8"/>
  <c r="AC97" i="8"/>
  <c r="Y97" i="8"/>
  <c r="U97" i="8"/>
  <c r="H97" i="8"/>
  <c r="G97" i="8"/>
  <c r="F97" i="8"/>
  <c r="E97" i="8"/>
  <c r="AC108" i="8"/>
  <c r="AG109" i="8" s="1"/>
  <c r="AA5" i="1"/>
  <c r="Z5" i="1"/>
  <c r="AD5" i="1"/>
  <c r="AB5" i="1"/>
  <c r="AS9" i="1"/>
  <c r="AV9" i="1"/>
  <c r="AT9" i="1"/>
  <c r="AT5" i="1"/>
  <c r="AT7" i="1" s="1"/>
  <c r="AV5" i="1"/>
  <c r="AW5" i="1"/>
  <c r="AW7" i="1" s="1"/>
  <c r="Z6" i="8"/>
  <c r="Z97" i="8"/>
  <c r="AV7" i="1" l="1"/>
  <c r="AU6" i="1"/>
  <c r="AU5" i="1"/>
  <c r="AU7" i="1" l="1"/>
  <c r="AD97" i="8" l="1"/>
  <c r="AD6" i="8"/>
  <c r="AD30" i="8" l="1"/>
  <c r="AC4" i="16" s="1"/>
  <c r="AD80" i="8"/>
  <c r="AD79" i="8"/>
  <c r="AD78" i="8"/>
  <c r="AD76" i="8"/>
  <c r="AD74" i="8"/>
  <c r="AD62" i="8"/>
  <c r="AD60" i="8"/>
  <c r="AD58" i="8"/>
  <c r="AC66" i="16" s="1"/>
  <c r="AD56" i="8"/>
  <c r="AD112" i="8"/>
  <c r="AD108" i="8"/>
  <c r="U107" i="8"/>
  <c r="AD110" i="8" l="1"/>
  <c r="AD82" i="8"/>
  <c r="AD14" i="8"/>
  <c r="L16" i="19"/>
  <c r="L9" i="19"/>
  <c r="AD111" i="8"/>
  <c r="AD81" i="8"/>
  <c r="AD77" i="8"/>
  <c r="AD75" i="8"/>
  <c r="AD61" i="8"/>
  <c r="AD119" i="8" l="1"/>
  <c r="AD114" i="8"/>
  <c r="AD64" i="8"/>
  <c r="AC71" i="16" s="1"/>
  <c r="AY115" i="1" l="1"/>
  <c r="AY107" i="1"/>
  <c r="AX107" i="1"/>
  <c r="AW107" i="1"/>
  <c r="AV107" i="1"/>
  <c r="AY106" i="1"/>
  <c r="AY99" i="1"/>
  <c r="AY98" i="1"/>
  <c r="AY91" i="1"/>
  <c r="AY89" i="1"/>
  <c r="AY87" i="1"/>
  <c r="AY110" i="1"/>
  <c r="AC61" i="8"/>
  <c r="AC58" i="8" l="1"/>
  <c r="AG59" i="8" s="1"/>
  <c r="AC64" i="8" l="1"/>
  <c r="AB66" i="16"/>
  <c r="AF75" i="16" s="1"/>
  <c r="AY49" i="1"/>
  <c r="BC102" i="1" s="1"/>
  <c r="AY111" i="1"/>
  <c r="AY117" i="1" s="1"/>
  <c r="AY35" i="1"/>
  <c r="AY37" i="1" s="1"/>
  <c r="K9" i="19"/>
  <c r="AB71" i="16" l="1"/>
  <c r="AG65" i="8"/>
  <c r="AY112" i="1"/>
  <c r="AY116" i="1"/>
  <c r="AY40" i="1"/>
  <c r="BC97" i="1" s="1"/>
  <c r="AY50" i="1"/>
  <c r="BC104" i="1" s="1"/>
  <c r="AY113" i="1"/>
  <c r="AC6" i="8"/>
  <c r="AC112" i="8"/>
  <c r="AG113" i="8" s="1"/>
  <c r="AY114" i="1" l="1"/>
  <c r="AC114" i="8"/>
  <c r="AB60" i="16"/>
  <c r="AB42" i="16"/>
  <c r="AB37" i="16"/>
  <c r="AB34" i="16"/>
  <c r="AB30" i="16"/>
  <c r="AB7" i="16"/>
  <c r="AC77" i="8"/>
  <c r="AC75" i="8"/>
  <c r="AC81" i="8"/>
  <c r="AC109" i="8"/>
  <c r="AC30" i="8"/>
  <c r="AB4" i="16" s="1"/>
  <c r="AC110" i="8" l="1"/>
  <c r="AC119" i="8" s="1"/>
  <c r="AC111" i="8"/>
  <c r="F5" i="19" l="1"/>
  <c r="E5" i="19"/>
  <c r="D5" i="19"/>
  <c r="H5" i="19" s="1"/>
  <c r="H16" i="19"/>
  <c r="I16" i="19"/>
  <c r="J16" i="19"/>
  <c r="K16" i="19"/>
  <c r="D16" i="19"/>
  <c r="E16" i="19"/>
  <c r="F16" i="19"/>
  <c r="G16" i="19"/>
  <c r="C16" i="19"/>
  <c r="C5" i="19"/>
  <c r="D9" i="19"/>
  <c r="E9" i="19"/>
  <c r="F9" i="19"/>
  <c r="C9" i="19"/>
  <c r="H9" i="19"/>
  <c r="L10" i="19" s="1"/>
  <c r="I9" i="19"/>
  <c r="J9" i="19"/>
  <c r="G9" i="19"/>
  <c r="K10" i="19" s="1"/>
  <c r="AC82" i="8"/>
  <c r="AG83" i="8" s="1"/>
  <c r="E15" i="19" l="1"/>
  <c r="E26" i="19" s="1"/>
  <c r="I26" i="19" s="1"/>
  <c r="I15" i="19" s="1"/>
  <c r="F15" i="19"/>
  <c r="G10" i="19"/>
  <c r="I10" i="19"/>
  <c r="J10" i="19"/>
  <c r="F26" i="19"/>
  <c r="J26" i="19" s="1"/>
  <c r="J15" i="19" s="1"/>
  <c r="H10" i="19"/>
  <c r="C15" i="19"/>
  <c r="G15" i="19" s="1"/>
  <c r="D15" i="19"/>
  <c r="D26" i="19" s="1"/>
  <c r="H26" i="19" s="1"/>
  <c r="H15" i="19" l="1"/>
  <c r="L26" i="19"/>
  <c r="K15" i="19"/>
  <c r="G5" i="19"/>
  <c r="G26" i="19" s="1"/>
  <c r="K26" i="19" s="1"/>
  <c r="C26" i="19"/>
  <c r="AX4" i="1"/>
  <c r="BB4" i="1" s="1"/>
  <c r="BB6" i="1" l="1"/>
  <c r="BB5" i="1"/>
  <c r="AG11" i="8" s="1"/>
  <c r="AX9" i="1"/>
  <c r="H17" i="19"/>
  <c r="L15" i="19"/>
  <c r="L5" i="19" s="1"/>
  <c r="AX5" i="1"/>
  <c r="K3" i="19" s="1"/>
  <c r="K5" i="19"/>
  <c r="BB7" i="1" l="1"/>
  <c r="AG94" i="8"/>
  <c r="AG5" i="8"/>
  <c r="AG18" i="8"/>
  <c r="AG13" i="8"/>
  <c r="AX7" i="1"/>
  <c r="K8" i="19"/>
  <c r="AC11" i="8"/>
  <c r="AC94" i="8" s="1"/>
  <c r="AC102" i="8" s="1"/>
  <c r="AG121" i="8" l="1"/>
  <c r="AG42" i="8"/>
  <c r="AG25" i="8"/>
  <c r="AG29" i="8"/>
  <c r="AG12" i="8"/>
  <c r="AG116" i="8"/>
  <c r="AG95" i="8"/>
  <c r="AG98" i="8"/>
  <c r="AG102" i="8"/>
  <c r="AC18" i="8"/>
  <c r="AG19" i="8" s="1"/>
  <c r="AC13" i="8"/>
  <c r="AC5" i="8"/>
  <c r="AC121" i="8" s="1"/>
  <c r="AC98" i="8"/>
  <c r="AG104" i="8" l="1"/>
  <c r="AG117" i="8"/>
  <c r="AG2" i="8"/>
  <c r="AG3" i="8" s="1"/>
  <c r="AG103" i="8"/>
  <c r="AG99" i="8"/>
  <c r="AG118" i="8"/>
  <c r="AG69" i="8"/>
  <c r="AF20" i="16" s="1"/>
  <c r="AG15" i="8"/>
  <c r="AG87" i="8"/>
  <c r="AF50" i="16" s="1"/>
  <c r="AG51" i="8"/>
  <c r="AG37" i="8" s="1"/>
  <c r="AC118" i="8"/>
  <c r="AC116" i="8"/>
  <c r="AC42" i="8"/>
  <c r="AG44" i="8" s="1"/>
  <c r="AF58" i="16" s="1"/>
  <c r="AC25" i="8"/>
  <c r="AC2" i="8" s="1"/>
  <c r="AC3" i="8" s="1"/>
  <c r="AC122" i="8" s="1"/>
  <c r="AC123" i="8" s="1"/>
  <c r="AT52" i="1"/>
  <c r="AU52" i="1"/>
  <c r="AV52" i="1"/>
  <c r="AW52" i="1"/>
  <c r="AX52" i="1"/>
  <c r="AG26" i="8" l="1"/>
  <c r="AF10" i="16"/>
  <c r="AH37" i="8"/>
  <c r="AG36" i="8"/>
  <c r="AF12" i="16" s="1"/>
  <c r="AG70" i="8"/>
  <c r="AF21" i="16" s="1"/>
  <c r="AG122" i="8"/>
  <c r="AG123" i="8" s="1"/>
  <c r="AG4" i="8"/>
  <c r="AG7" i="8"/>
  <c r="AH50" i="8"/>
  <c r="AF40" i="16"/>
  <c r="AG88" i="8"/>
  <c r="AF51" i="16" s="1"/>
  <c r="AC29" i="8"/>
  <c r="AG31" i="8" s="1"/>
  <c r="AF28" i="16" s="1"/>
  <c r="AC51" i="8"/>
  <c r="AG52" i="8" s="1"/>
  <c r="AF59" i="16" s="1"/>
  <c r="AC15" i="8"/>
  <c r="AC87" i="8"/>
  <c r="AB50" i="16" s="1"/>
  <c r="AC4" i="8"/>
  <c r="AC117" i="8"/>
  <c r="AC104" i="8"/>
  <c r="AX20" i="1"/>
  <c r="AX106" i="1"/>
  <c r="AX115" i="1"/>
  <c r="AX91" i="1"/>
  <c r="AX93" i="1"/>
  <c r="AX94" i="1"/>
  <c r="AX95" i="1"/>
  <c r="AX98" i="1"/>
  <c r="AX99" i="1"/>
  <c r="AX89" i="1"/>
  <c r="AX87" i="1"/>
  <c r="AX84" i="1"/>
  <c r="AX82" i="1"/>
  <c r="AX22" i="1"/>
  <c r="BB92" i="1" s="1"/>
  <c r="AX17" i="1"/>
  <c r="BB18" i="1" s="1"/>
  <c r="AM80" i="8"/>
  <c r="AL80" i="8"/>
  <c r="AK80" i="8"/>
  <c r="AJ80" i="8"/>
  <c r="AI80" i="8"/>
  <c r="AC69" i="8" l="1"/>
  <c r="AB20" i="16" s="1"/>
  <c r="AX92" i="1"/>
  <c r="AX110" i="1"/>
  <c r="AX26" i="1"/>
  <c r="BB96" i="1" s="1"/>
  <c r="AB40" i="16"/>
  <c r="AF41" i="16" s="1"/>
  <c r="AC88" i="8"/>
  <c r="AB51" i="16" s="1"/>
  <c r="AC7" i="8"/>
  <c r="AC37" i="8"/>
  <c r="AG38" i="8" s="1"/>
  <c r="AF29" i="16" s="1"/>
  <c r="AM76" i="8"/>
  <c r="AM82" i="8" s="1"/>
  <c r="AL76" i="8"/>
  <c r="AL82" i="8" s="1"/>
  <c r="AK76" i="8"/>
  <c r="AK82" i="8" s="1"/>
  <c r="AJ76" i="8"/>
  <c r="AJ82" i="8" s="1"/>
  <c r="AI76" i="8"/>
  <c r="AI82" i="8" s="1"/>
  <c r="AM74" i="8"/>
  <c r="AL74" i="8"/>
  <c r="AK74" i="8"/>
  <c r="AJ74" i="8"/>
  <c r="AI74" i="8"/>
  <c r="AC36" i="8" l="1"/>
  <c r="AB12" i="16" s="1"/>
  <c r="AC70" i="8"/>
  <c r="AB21" i="16" s="1"/>
  <c r="AB10" i="16"/>
  <c r="AF11" i="16" s="1"/>
  <c r="AL78" i="8"/>
  <c r="AM78" i="8"/>
  <c r="AX45" i="1"/>
  <c r="AX49" i="1"/>
  <c r="BB104" i="1" s="1"/>
  <c r="AX111" i="1"/>
  <c r="AX117" i="1" s="1"/>
  <c r="AX35" i="1"/>
  <c r="AX37" i="1" s="1"/>
  <c r="AM79" i="8"/>
  <c r="AI78" i="8"/>
  <c r="AI79" i="8"/>
  <c r="AL79" i="8"/>
  <c r="AJ79" i="8"/>
  <c r="AJ78" i="8"/>
  <c r="AK78" i="8"/>
  <c r="AK79" i="8"/>
  <c r="AX113" i="1" l="1"/>
  <c r="AX50" i="1"/>
  <c r="BB106" i="1" s="1"/>
  <c r="AX112" i="1"/>
  <c r="AX40" i="1"/>
  <c r="AX116" i="1"/>
  <c r="C7" i="18"/>
  <c r="AX114" i="1" l="1"/>
  <c r="AA7" i="16"/>
  <c r="AA30" i="16"/>
  <c r="AA34" i="16"/>
  <c r="AA37" i="16"/>
  <c r="AA42" i="16"/>
  <c r="AA60" i="16"/>
  <c r="C13" i="18" l="1"/>
  <c r="C12" i="18" s="1"/>
  <c r="AB63" i="8"/>
  <c r="AB61" i="8"/>
  <c r="AB57" i="8"/>
  <c r="AB30" i="8"/>
  <c r="AA4" i="16" s="1"/>
  <c r="AB112" i="8"/>
  <c r="AF113" i="8" s="1"/>
  <c r="AB108" i="8"/>
  <c r="AB77" i="8"/>
  <c r="AB75" i="8"/>
  <c r="AB58" i="8"/>
  <c r="AF59" i="8" s="1"/>
  <c r="AB6" i="8"/>
  <c r="AB14" i="8"/>
  <c r="AS158" i="1"/>
  <c r="AS153" i="1"/>
  <c r="AS144" i="1"/>
  <c r="AS143" i="1"/>
  <c r="AS142" i="1"/>
  <c r="AS122" i="1"/>
  <c r="AS115" i="1"/>
  <c r="AS107" i="1"/>
  <c r="AS106" i="1"/>
  <c r="AS99" i="1"/>
  <c r="AS98" i="1"/>
  <c r="AS95" i="1"/>
  <c r="AS94" i="1"/>
  <c r="AS93" i="1"/>
  <c r="AS91" i="1"/>
  <c r="AS90" i="1"/>
  <c r="AS89" i="1"/>
  <c r="AS88" i="1"/>
  <c r="AS87" i="1"/>
  <c r="AS86" i="1"/>
  <c r="AS85" i="1"/>
  <c r="AS84" i="1"/>
  <c r="AS83" i="1"/>
  <c r="AS82" i="1"/>
  <c r="AS78" i="1"/>
  <c r="AS77" i="1"/>
  <c r="AS22" i="1"/>
  <c r="AS110" i="1" s="1"/>
  <c r="AS17" i="1"/>
  <c r="AS5" i="1"/>
  <c r="F3" i="19" s="1"/>
  <c r="F8" i="19" s="1"/>
  <c r="AW158" i="1"/>
  <c r="AW142" i="1"/>
  <c r="AW115" i="1"/>
  <c r="AW106" i="1"/>
  <c r="AW99" i="1"/>
  <c r="AW98" i="1"/>
  <c r="AW95" i="1"/>
  <c r="AW94" i="1"/>
  <c r="AW93" i="1"/>
  <c r="AW91" i="1"/>
  <c r="AW89" i="1"/>
  <c r="AW87" i="1"/>
  <c r="AW84" i="1"/>
  <c r="AW82" i="1"/>
  <c r="AW22" i="1"/>
  <c r="AW17" i="1"/>
  <c r="BA18" i="1" s="1"/>
  <c r="J3" i="19"/>
  <c r="AB109" i="8" l="1"/>
  <c r="AF109" i="8"/>
  <c r="AW92" i="1"/>
  <c r="BA92" i="1"/>
  <c r="AB64" i="8"/>
  <c r="AA66" i="16"/>
  <c r="AE75" i="16" s="1"/>
  <c r="AB110" i="8"/>
  <c r="AB119" i="8" s="1"/>
  <c r="J4" i="19"/>
  <c r="J8" i="19"/>
  <c r="AB11" i="8"/>
  <c r="AB111" i="8"/>
  <c r="AB114" i="8"/>
  <c r="AW18" i="1"/>
  <c r="C19" i="18"/>
  <c r="AW110" i="1"/>
  <c r="AW159" i="1"/>
  <c r="AB82" i="8"/>
  <c r="AF83" i="8" s="1"/>
  <c r="AB81" i="8"/>
  <c r="C16" i="18"/>
  <c r="AS124" i="1"/>
  <c r="AS123" i="1"/>
  <c r="AS26" i="1"/>
  <c r="AW19" i="1"/>
  <c r="AW26" i="1"/>
  <c r="BA96" i="1" s="1"/>
  <c r="U38" i="16"/>
  <c r="V38" i="16"/>
  <c r="W38" i="16"/>
  <c r="X38" i="16"/>
  <c r="Y38" i="16"/>
  <c r="Z38" i="16"/>
  <c r="T38" i="16"/>
  <c r="U34" i="16"/>
  <c r="V34" i="16"/>
  <c r="W34" i="16"/>
  <c r="X34" i="16"/>
  <c r="Y34" i="16"/>
  <c r="Z34" i="16"/>
  <c r="U42" i="16"/>
  <c r="V42" i="16"/>
  <c r="W42" i="16"/>
  <c r="X42" i="16"/>
  <c r="Y42" i="16"/>
  <c r="Z42" i="16"/>
  <c r="T42" i="16"/>
  <c r="T34" i="16"/>
  <c r="V33" i="8"/>
  <c r="U8" i="16" s="1"/>
  <c r="W33" i="8"/>
  <c r="V8" i="16" s="1"/>
  <c r="X33" i="8"/>
  <c r="W8" i="16" s="1"/>
  <c r="Y33" i="8"/>
  <c r="X8" i="16" s="1"/>
  <c r="Z33" i="8"/>
  <c r="Y8" i="16" s="1"/>
  <c r="AA33" i="8"/>
  <c r="Z8" i="16" s="1"/>
  <c r="U33" i="8"/>
  <c r="T8" i="16" s="1"/>
  <c r="V30" i="8"/>
  <c r="U4" i="16" s="1"/>
  <c r="W30" i="8"/>
  <c r="V4" i="16" s="1"/>
  <c r="X30" i="8"/>
  <c r="W4" i="16" s="1"/>
  <c r="Y30" i="8"/>
  <c r="X4" i="16" s="1"/>
  <c r="Z30" i="8"/>
  <c r="Y4" i="16" s="1"/>
  <c r="AA30" i="8"/>
  <c r="Z4" i="16" s="1"/>
  <c r="U30" i="8"/>
  <c r="T4" i="16" s="1"/>
  <c r="AA71" i="16" l="1"/>
  <c r="AF65" i="8"/>
  <c r="AB94" i="8"/>
  <c r="AF95" i="8" s="1"/>
  <c r="AF12" i="8"/>
  <c r="AB102" i="8"/>
  <c r="AF103" i="8" s="1"/>
  <c r="AB98" i="8"/>
  <c r="AB13" i="8"/>
  <c r="AB5" i="8"/>
  <c r="AB121" i="8" s="1"/>
  <c r="AB18" i="8"/>
  <c r="AS45" i="1"/>
  <c r="AS111" i="1"/>
  <c r="AS117" i="1" s="1"/>
  <c r="AS35" i="1"/>
  <c r="AS37" i="1" s="1"/>
  <c r="AS49" i="1"/>
  <c r="AW45" i="1"/>
  <c r="BA100" i="1" s="1"/>
  <c r="AW111" i="1"/>
  <c r="AW117" i="1" s="1"/>
  <c r="AW96" i="1"/>
  <c r="AW49" i="1"/>
  <c r="BA102" i="1" s="1"/>
  <c r="AW35" i="1"/>
  <c r="AW37" i="1" s="1"/>
  <c r="AA97" i="8"/>
  <c r="AA112" i="8"/>
  <c r="AE113" i="8" s="1"/>
  <c r="AA108" i="8"/>
  <c r="AE109" i="8" s="1"/>
  <c r="AA58" i="8"/>
  <c r="AB42" i="8" l="1"/>
  <c r="AF19" i="8"/>
  <c r="AB118" i="8"/>
  <c r="AF99" i="8"/>
  <c r="Z66" i="16"/>
  <c r="AE59" i="8"/>
  <c r="AB25" i="8"/>
  <c r="AB116" i="8"/>
  <c r="AA75" i="8"/>
  <c r="AA109" i="8"/>
  <c r="AA77" i="8"/>
  <c r="C4" i="18"/>
  <c r="AB87" i="8"/>
  <c r="AA50" i="16" s="1"/>
  <c r="AB29" i="8"/>
  <c r="AF31" i="8" s="1"/>
  <c r="AE28" i="16" s="1"/>
  <c r="AS113" i="1"/>
  <c r="AS50" i="1"/>
  <c r="AS40" i="1"/>
  <c r="AS116" i="1"/>
  <c r="AS112" i="1"/>
  <c r="AW50" i="1"/>
  <c r="BA104" i="1" s="1"/>
  <c r="AW113" i="1"/>
  <c r="AW102" i="1"/>
  <c r="AW40" i="1"/>
  <c r="BA97" i="1" s="1"/>
  <c r="AW116" i="1"/>
  <c r="AW100" i="1"/>
  <c r="AW112" i="1"/>
  <c r="AA114" i="8"/>
  <c r="AA110" i="8"/>
  <c r="AA119" i="8" s="1"/>
  <c r="AA82" i="8"/>
  <c r="AE83" i="8" s="1"/>
  <c r="AA64" i="8"/>
  <c r="AA81" i="8"/>
  <c r="AA61" i="8"/>
  <c r="AA111" i="8"/>
  <c r="AB2" i="8" l="1"/>
  <c r="AB3" i="8" s="1"/>
  <c r="AB122" i="8" s="1"/>
  <c r="AB123" i="8" s="1"/>
  <c r="AF26" i="8"/>
  <c r="AB51" i="8"/>
  <c r="AF52" i="8" s="1"/>
  <c r="AE59" i="16" s="1"/>
  <c r="AF44" i="8"/>
  <c r="AE58" i="16" s="1"/>
  <c r="Z71" i="16"/>
  <c r="AE65" i="8"/>
  <c r="AD75" i="16"/>
  <c r="AB15" i="8"/>
  <c r="AB4" i="8"/>
  <c r="AB117" i="8"/>
  <c r="AB104" i="8"/>
  <c r="AB7" i="8"/>
  <c r="AB69" i="8"/>
  <c r="AA20" i="16" s="1"/>
  <c r="AW97" i="1"/>
  <c r="AS114" i="1"/>
  <c r="AW114" i="1"/>
  <c r="AW104" i="1"/>
  <c r="AA6" i="8"/>
  <c r="AA14" i="8"/>
  <c r="AB37" i="8" l="1"/>
  <c r="AF38" i="8" s="1"/>
  <c r="AE29" i="16" s="1"/>
  <c r="AA40" i="16"/>
  <c r="AE41" i="16" s="1"/>
  <c r="AB88" i="8"/>
  <c r="AA51" i="16" s="1"/>
  <c r="AA10" i="16"/>
  <c r="AE11" i="16" s="1"/>
  <c r="AB36" i="8"/>
  <c r="AA12" i="16" s="1"/>
  <c r="AB70" i="8" l="1"/>
  <c r="AA21" i="16" s="1"/>
  <c r="AV78" i="1"/>
  <c r="AU107" i="1"/>
  <c r="AV22" i="1"/>
  <c r="AV158" i="1"/>
  <c r="AV143" i="1"/>
  <c r="AV142" i="1"/>
  <c r="AV115" i="1"/>
  <c r="AV106" i="1"/>
  <c r="AV99" i="1"/>
  <c r="AV98" i="1"/>
  <c r="AV95" i="1"/>
  <c r="AV94" i="1"/>
  <c r="AV93" i="1"/>
  <c r="AV91" i="1"/>
  <c r="AV89" i="1"/>
  <c r="AV87" i="1"/>
  <c r="AV84" i="1"/>
  <c r="AV82" i="1"/>
  <c r="AV77" i="1"/>
  <c r="AV17" i="1"/>
  <c r="AZ18" i="1" s="1"/>
  <c r="AV110" i="1" l="1"/>
  <c r="AZ92" i="1"/>
  <c r="I3" i="19"/>
  <c r="M4" i="19" s="1"/>
  <c r="AA11" i="8"/>
  <c r="AE12" i="8" s="1"/>
  <c r="AV26" i="1"/>
  <c r="AZ96" i="1" s="1"/>
  <c r="I8" i="19" l="1"/>
  <c r="AA18" i="8"/>
  <c r="AE19" i="8" s="1"/>
  <c r="AA94" i="8"/>
  <c r="AA5" i="8"/>
  <c r="AA13" i="8"/>
  <c r="AV35" i="1"/>
  <c r="AV37" i="1" s="1"/>
  <c r="AV49" i="1"/>
  <c r="AZ102" i="1" s="1"/>
  <c r="AV45" i="1"/>
  <c r="AZ100" i="1" s="1"/>
  <c r="AV111" i="1"/>
  <c r="AV117" i="1" s="1"/>
  <c r="AD107" i="8"/>
  <c r="Z112" i="8"/>
  <c r="AD113" i="8" s="1"/>
  <c r="Z108" i="8"/>
  <c r="AD109" i="8" s="1"/>
  <c r="Z56" i="8"/>
  <c r="AD57" i="8" s="1"/>
  <c r="Z62" i="8"/>
  <c r="AD63" i="8" s="1"/>
  <c r="Z58" i="8"/>
  <c r="AD59" i="8" l="1"/>
  <c r="Y66" i="16"/>
  <c r="AA116" i="8"/>
  <c r="AE95" i="8"/>
  <c r="AA121" i="8"/>
  <c r="Z59" i="8"/>
  <c r="Z107" i="8"/>
  <c r="Z109" i="8"/>
  <c r="AN108" i="8"/>
  <c r="Z77" i="8"/>
  <c r="AN76" i="8"/>
  <c r="Z75" i="8"/>
  <c r="AN74" i="8"/>
  <c r="Z81" i="8"/>
  <c r="AN80" i="8"/>
  <c r="Z114" i="8"/>
  <c r="AA98" i="8"/>
  <c r="AE99" i="8" s="1"/>
  <c r="AA102" i="8"/>
  <c r="AE103" i="8" s="1"/>
  <c r="AA25" i="8"/>
  <c r="AE26" i="8" s="1"/>
  <c r="AA42" i="8"/>
  <c r="AV50" i="1"/>
  <c r="AZ104" i="1" s="1"/>
  <c r="AV112" i="1"/>
  <c r="AV116" i="1"/>
  <c r="AV40" i="1"/>
  <c r="AZ97" i="1" s="1"/>
  <c r="AV113" i="1"/>
  <c r="Z82" i="8"/>
  <c r="AD83" i="8" s="1"/>
  <c r="Z64" i="8"/>
  <c r="Z60" i="8"/>
  <c r="Z63" i="8"/>
  <c r="Z57" i="8"/>
  <c r="Z61" i="8"/>
  <c r="Z111" i="8"/>
  <c r="Z110" i="8"/>
  <c r="Z14" i="8"/>
  <c r="AA87" i="8" l="1"/>
  <c r="Z50" i="16" s="1"/>
  <c r="AE44" i="8"/>
  <c r="AD58" i="16" s="1"/>
  <c r="Y75" i="16"/>
  <c r="AC75" i="16"/>
  <c r="AD65" i="8"/>
  <c r="Y71" i="16"/>
  <c r="AA117" i="8"/>
  <c r="AN78" i="8"/>
  <c r="AN79" i="8"/>
  <c r="AN82" i="8"/>
  <c r="AA118" i="8"/>
  <c r="AA2" i="8"/>
  <c r="AA3" i="8" s="1"/>
  <c r="AA122" i="8" s="1"/>
  <c r="AA123" i="8" s="1"/>
  <c r="AA104" i="8"/>
  <c r="AA51" i="8"/>
  <c r="AE52" i="8" s="1"/>
  <c r="AD59" i="16" s="1"/>
  <c r="AA29" i="8"/>
  <c r="AE31" i="8" s="1"/>
  <c r="AD28" i="16" s="1"/>
  <c r="AA15" i="8"/>
  <c r="AV114" i="1"/>
  <c r="AA88" i="8" l="1"/>
  <c r="Z51" i="16" s="1"/>
  <c r="Z40" i="16"/>
  <c r="AD41" i="16" s="1"/>
  <c r="AA69" i="8"/>
  <c r="Z20" i="16" s="1"/>
  <c r="AA37" i="8"/>
  <c r="AE38" i="8" s="1"/>
  <c r="AD29" i="16" s="1"/>
  <c r="AA7" i="8"/>
  <c r="AA4" i="8"/>
  <c r="Z10" i="16" l="1"/>
  <c r="AD11" i="16" s="1"/>
  <c r="AA70" i="8"/>
  <c r="Z21" i="16" s="1"/>
  <c r="AA36" i="8"/>
  <c r="Z12" i="16" s="1"/>
  <c r="AP158" i="1" l="1"/>
  <c r="AQ158" i="1"/>
  <c r="AR158" i="1"/>
  <c r="AV159" i="1" s="1"/>
  <c r="AT158" i="1"/>
  <c r="AT159" i="1" l="1"/>
  <c r="AU143" i="1"/>
  <c r="AT78" i="1"/>
  <c r="AO17" i="1"/>
  <c r="AP17" i="1"/>
  <c r="AQ17" i="1"/>
  <c r="AR17" i="1"/>
  <c r="AV18" i="1" s="1"/>
  <c r="AT17" i="1"/>
  <c r="AU17" i="1"/>
  <c r="AY18" i="1" s="1"/>
  <c r="AN17" i="1"/>
  <c r="AU142" i="1"/>
  <c r="AU115" i="1"/>
  <c r="AU106" i="1"/>
  <c r="AU98" i="1"/>
  <c r="AU99" i="1"/>
  <c r="AU91" i="1"/>
  <c r="AU93" i="1"/>
  <c r="AU94" i="1"/>
  <c r="AU95" i="1"/>
  <c r="AU89" i="1"/>
  <c r="AU87" i="1"/>
  <c r="AU84" i="1"/>
  <c r="AU82" i="1"/>
  <c r="AU22" i="1"/>
  <c r="AY92" i="1" s="1"/>
  <c r="Y81" i="8"/>
  <c r="X81" i="8"/>
  <c r="W81" i="8"/>
  <c r="V81" i="8"/>
  <c r="U81" i="8"/>
  <c r="T81" i="8"/>
  <c r="S81" i="8"/>
  <c r="R81" i="8"/>
  <c r="Q81" i="8"/>
  <c r="P81" i="8"/>
  <c r="O81" i="8"/>
  <c r="N81" i="8"/>
  <c r="M81" i="8"/>
  <c r="Y77" i="8"/>
  <c r="X77" i="8"/>
  <c r="W77" i="8"/>
  <c r="V77" i="8"/>
  <c r="U77" i="8"/>
  <c r="T77" i="8"/>
  <c r="S77" i="8"/>
  <c r="R77" i="8"/>
  <c r="Q77" i="8"/>
  <c r="P77" i="8"/>
  <c r="O77" i="8"/>
  <c r="N77" i="8"/>
  <c r="M77" i="8"/>
  <c r="Y75" i="8"/>
  <c r="X75" i="8"/>
  <c r="W75" i="8"/>
  <c r="V75" i="8"/>
  <c r="U75" i="8"/>
  <c r="T75" i="8"/>
  <c r="S75" i="8"/>
  <c r="R75" i="8"/>
  <c r="Q75" i="8"/>
  <c r="P75" i="8"/>
  <c r="O75" i="8"/>
  <c r="N75" i="8"/>
  <c r="M75" i="8"/>
  <c r="AU110" i="1" l="1"/>
  <c r="AX18" i="1"/>
  <c r="AU18" i="1"/>
  <c r="AT18" i="1"/>
  <c r="AU26" i="1"/>
  <c r="AY96" i="1" s="1"/>
  <c r="K32" i="7"/>
  <c r="K31" i="7"/>
  <c r="K29" i="7"/>
  <c r="K28" i="7"/>
  <c r="D28" i="7"/>
  <c r="K23" i="7"/>
  <c r="M23" i="7" s="1"/>
  <c r="B23" i="7"/>
  <c r="M20" i="7"/>
  <c r="K19" i="7"/>
  <c r="D19" i="7" s="1"/>
  <c r="I19" i="7"/>
  <c r="B19" i="7"/>
  <c r="M18" i="7"/>
  <c r="D18" i="7"/>
  <c r="F18" i="7" s="1"/>
  <c r="K17" i="7"/>
  <c r="I17" i="7"/>
  <c r="B15" i="7"/>
  <c r="M14" i="7"/>
  <c r="D14" i="7"/>
  <c r="M13" i="7"/>
  <c r="D13" i="7"/>
  <c r="M12" i="7"/>
  <c r="D12" i="7"/>
  <c r="M9" i="7"/>
  <c r="D9" i="7"/>
  <c r="B7" i="7"/>
  <c r="C6" i="7" s="1"/>
  <c r="K5" i="7"/>
  <c r="D5" i="7"/>
  <c r="K4" i="7"/>
  <c r="D4" i="7"/>
  <c r="H28" i="5"/>
  <c r="G28" i="5"/>
  <c r="F28" i="5"/>
  <c r="E28" i="5"/>
  <c r="H27" i="5"/>
  <c r="G27" i="5"/>
  <c r="F27" i="5"/>
  <c r="E27" i="5"/>
  <c r="H26" i="5"/>
  <c r="G26" i="5"/>
  <c r="F26" i="5"/>
  <c r="E26" i="5"/>
  <c r="G50" i="2"/>
  <c r="F50" i="2"/>
  <c r="G49" i="2"/>
  <c r="F49" i="2"/>
  <c r="G48" i="2"/>
  <c r="F48" i="2"/>
  <c r="G45" i="2"/>
  <c r="F45" i="2"/>
  <c r="H44" i="2"/>
  <c r="H43" i="2"/>
  <c r="H42" i="2"/>
  <c r="H41" i="2"/>
  <c r="J36" i="2"/>
  <c r="I36" i="2"/>
  <c r="H36" i="2"/>
  <c r="J35" i="2"/>
  <c r="I35" i="2"/>
  <c r="H35" i="2"/>
  <c r="J34" i="2"/>
  <c r="I34" i="2"/>
  <c r="H34" i="2"/>
  <c r="H30" i="2"/>
  <c r="H29" i="2"/>
  <c r="H28" i="2"/>
  <c r="H27" i="2"/>
  <c r="H26" i="2"/>
  <c r="H25" i="2"/>
  <c r="H24" i="2"/>
  <c r="J18" i="2"/>
  <c r="I8" i="2"/>
  <c r="G8" i="2"/>
  <c r="F8" i="2"/>
  <c r="I7" i="2"/>
  <c r="G6" i="2"/>
  <c r="F6" i="2"/>
  <c r="H5" i="2"/>
  <c r="J8" i="6"/>
  <c r="I8" i="6"/>
  <c r="H8" i="6"/>
  <c r="G8" i="6"/>
  <c r="F8" i="6"/>
  <c r="E8" i="6"/>
  <c r="H5" i="6"/>
  <c r="F5" i="6"/>
  <c r="F16" i="6" s="1"/>
  <c r="E5" i="6"/>
  <c r="E16" i="6" s="1"/>
  <c r="C8" i="9"/>
  <c r="B8" i="9"/>
  <c r="D7" i="9"/>
  <c r="D6" i="9"/>
  <c r="D5" i="9"/>
  <c r="D4" i="9"/>
  <c r="D3" i="9"/>
  <c r="D2" i="9"/>
  <c r="L13" i="12"/>
  <c r="J5" i="12"/>
  <c r="D10" i="13"/>
  <c r="S114" i="8"/>
  <c r="R114" i="8"/>
  <c r="Q114" i="8"/>
  <c r="P114" i="8"/>
  <c r="O114" i="8"/>
  <c r="N114" i="8"/>
  <c r="M114" i="8"/>
  <c r="L114" i="8"/>
  <c r="K114" i="8"/>
  <c r="J114" i="8"/>
  <c r="I114" i="8"/>
  <c r="H114" i="8"/>
  <c r="F114" i="8"/>
  <c r="E114" i="8"/>
  <c r="R113" i="8"/>
  <c r="Q113" i="8"/>
  <c r="P113" i="8"/>
  <c r="N113" i="8"/>
  <c r="M113" i="8"/>
  <c r="L113" i="8"/>
  <c r="J113" i="8"/>
  <c r="I113" i="8"/>
  <c r="AK112" i="8"/>
  <c r="AJ112" i="8"/>
  <c r="Y112" i="8"/>
  <c r="AC113" i="8" s="1"/>
  <c r="X112" i="8"/>
  <c r="W112" i="8"/>
  <c r="V112" i="8"/>
  <c r="V111" i="8" s="1"/>
  <c r="U112" i="8"/>
  <c r="U111" i="8" s="1"/>
  <c r="T112" i="8"/>
  <c r="T114" i="8" s="1"/>
  <c r="G112" i="8"/>
  <c r="AI112" i="8" s="1"/>
  <c r="S111" i="8"/>
  <c r="R111" i="8"/>
  <c r="Q111" i="8"/>
  <c r="P111" i="8"/>
  <c r="O111" i="8"/>
  <c r="N111" i="8"/>
  <c r="M111" i="8"/>
  <c r="L111" i="8"/>
  <c r="K111" i="8"/>
  <c r="J111" i="8"/>
  <c r="I111" i="8"/>
  <c r="H111" i="8"/>
  <c r="F111" i="8"/>
  <c r="E111" i="8"/>
  <c r="V110" i="8"/>
  <c r="V119" i="8" s="1"/>
  <c r="U110" i="8"/>
  <c r="U119" i="8" s="1"/>
  <c r="T110" i="8"/>
  <c r="T119" i="8" s="1"/>
  <c r="S110" i="8"/>
  <c r="S119" i="8" s="1"/>
  <c r="R110" i="8"/>
  <c r="R119" i="8" s="1"/>
  <c r="Q110" i="8"/>
  <c r="Q119" i="8" s="1"/>
  <c r="P110" i="8"/>
  <c r="P119" i="8" s="1"/>
  <c r="O110" i="8"/>
  <c r="O119" i="8" s="1"/>
  <c r="N110" i="8"/>
  <c r="N119" i="8" s="1"/>
  <c r="M110" i="8"/>
  <c r="M119" i="8" s="1"/>
  <c r="L110" i="8"/>
  <c r="L119" i="8" s="1"/>
  <c r="K110" i="8"/>
  <c r="K119" i="8" s="1"/>
  <c r="J110" i="8"/>
  <c r="J119" i="8" s="1"/>
  <c r="I110" i="8"/>
  <c r="I119" i="8" s="1"/>
  <c r="H110" i="8"/>
  <c r="H119" i="8" s="1"/>
  <c r="F110" i="8"/>
  <c r="F119" i="8" s="1"/>
  <c r="E110" i="8"/>
  <c r="E119" i="8" s="1"/>
  <c r="Y109" i="8"/>
  <c r="X109" i="8"/>
  <c r="W109" i="8"/>
  <c r="V109" i="8"/>
  <c r="U109" i="8"/>
  <c r="T109" i="8"/>
  <c r="S109" i="8"/>
  <c r="R109" i="8"/>
  <c r="Q109" i="8"/>
  <c r="P109" i="8"/>
  <c r="O109" i="8"/>
  <c r="N109" i="8"/>
  <c r="M109" i="8"/>
  <c r="L109" i="8"/>
  <c r="K109" i="8"/>
  <c r="J109" i="8"/>
  <c r="I109" i="8"/>
  <c r="AM108" i="8"/>
  <c r="AN109" i="8" s="1"/>
  <c r="AL108" i="8"/>
  <c r="AK108" i="8"/>
  <c r="AJ108" i="8"/>
  <c r="AI108" i="8"/>
  <c r="V107" i="8"/>
  <c r="T107" i="8"/>
  <c r="R107" i="8"/>
  <c r="Q107" i="8"/>
  <c r="P107" i="8"/>
  <c r="N107" i="8"/>
  <c r="M107" i="8"/>
  <c r="L107" i="8"/>
  <c r="J107" i="8"/>
  <c r="I107" i="8"/>
  <c r="AL106" i="8"/>
  <c r="AK106" i="8"/>
  <c r="AJ106" i="8"/>
  <c r="AC107" i="8"/>
  <c r="AA107" i="8"/>
  <c r="S107" i="8"/>
  <c r="W97" i="8"/>
  <c r="V97" i="8"/>
  <c r="T97" i="8"/>
  <c r="S97" i="8"/>
  <c r="R97" i="8"/>
  <c r="Q97" i="8"/>
  <c r="P97" i="8"/>
  <c r="O97" i="8"/>
  <c r="N97" i="8"/>
  <c r="M97" i="8"/>
  <c r="L97" i="8"/>
  <c r="K97" i="8"/>
  <c r="J97" i="8"/>
  <c r="I97" i="8"/>
  <c r="L91" i="8"/>
  <c r="Y82" i="8"/>
  <c r="X82" i="8"/>
  <c r="AB83" i="8" s="1"/>
  <c r="W82" i="8"/>
  <c r="V82" i="8"/>
  <c r="U82" i="8"/>
  <c r="T82" i="8"/>
  <c r="T84" i="8" s="1"/>
  <c r="S82" i="8"/>
  <c r="S84" i="8" s="1"/>
  <c r="R82" i="8"/>
  <c r="R84" i="8" s="1"/>
  <c r="Q82" i="8"/>
  <c r="Q84" i="8" s="1"/>
  <c r="P82" i="8"/>
  <c r="P84" i="8" s="1"/>
  <c r="O82" i="8"/>
  <c r="O84" i="8" s="1"/>
  <c r="N82" i="8"/>
  <c r="N84" i="8" s="1"/>
  <c r="M82" i="8"/>
  <c r="M84" i="8" s="1"/>
  <c r="L82" i="8"/>
  <c r="L84" i="8" s="1"/>
  <c r="K82" i="8"/>
  <c r="K84" i="8" s="1"/>
  <c r="J82" i="8"/>
  <c r="J84" i="8" s="1"/>
  <c r="I82" i="8"/>
  <c r="I84" i="8" s="1"/>
  <c r="H82" i="8"/>
  <c r="G82" i="8"/>
  <c r="F82" i="8"/>
  <c r="E82" i="8"/>
  <c r="V64" i="8"/>
  <c r="U71" i="16" s="1"/>
  <c r="S64" i="8"/>
  <c r="R71" i="16" s="1"/>
  <c r="O64" i="8"/>
  <c r="N71" i="16" s="1"/>
  <c r="L64" i="8"/>
  <c r="K71" i="16" s="1"/>
  <c r="K64" i="8"/>
  <c r="J71" i="16" s="1"/>
  <c r="J64" i="8"/>
  <c r="I71" i="16" s="1"/>
  <c r="I64" i="8"/>
  <c r="H71" i="16" s="1"/>
  <c r="H64" i="8"/>
  <c r="G71" i="16" s="1"/>
  <c r="G64" i="8"/>
  <c r="F71" i="16" s="1"/>
  <c r="F64" i="8"/>
  <c r="E71" i="16" s="1"/>
  <c r="E64" i="8"/>
  <c r="D71" i="16" s="1"/>
  <c r="V63" i="8"/>
  <c r="U63" i="8"/>
  <c r="T63" i="8"/>
  <c r="S63" i="8"/>
  <c r="R63" i="8"/>
  <c r="Q63" i="8"/>
  <c r="P63" i="8"/>
  <c r="O63" i="8"/>
  <c r="N63" i="8"/>
  <c r="M63" i="8"/>
  <c r="L63" i="8"/>
  <c r="K63" i="8"/>
  <c r="J63" i="8"/>
  <c r="I63" i="8"/>
  <c r="AL62" i="8"/>
  <c r="AK62" i="8"/>
  <c r="AJ62" i="8"/>
  <c r="AI62" i="8"/>
  <c r="Y62" i="8"/>
  <c r="AC63" i="8" s="1"/>
  <c r="X63" i="8"/>
  <c r="W62" i="8"/>
  <c r="AA63" i="8" s="1"/>
  <c r="X61" i="8"/>
  <c r="W61" i="8"/>
  <c r="V60" i="8"/>
  <c r="T60" i="8"/>
  <c r="S60" i="8"/>
  <c r="O60" i="8"/>
  <c r="N60" i="8"/>
  <c r="M60" i="8"/>
  <c r="V59" i="8"/>
  <c r="S59" i="8"/>
  <c r="O59" i="8"/>
  <c r="L59" i="8"/>
  <c r="K59" i="8"/>
  <c r="J59" i="8"/>
  <c r="I59" i="8"/>
  <c r="AJ58" i="8"/>
  <c r="AI58" i="8"/>
  <c r="Y58" i="8"/>
  <c r="X66" i="16" s="1"/>
  <c r="X58" i="8"/>
  <c r="W66" i="16" s="1"/>
  <c r="AA75" i="16" s="1"/>
  <c r="W58" i="8"/>
  <c r="V66" i="16" s="1"/>
  <c r="Z75" i="16" s="1"/>
  <c r="U58" i="8"/>
  <c r="T58" i="8"/>
  <c r="R58" i="8"/>
  <c r="Q58" i="8"/>
  <c r="P66" i="16" s="1"/>
  <c r="P58" i="8"/>
  <c r="N58" i="8"/>
  <c r="M58" i="8"/>
  <c r="L66" i="16" s="1"/>
  <c r="V57" i="8"/>
  <c r="U57" i="8"/>
  <c r="T57" i="8"/>
  <c r="S57" i="8"/>
  <c r="R57" i="8"/>
  <c r="Q57" i="8"/>
  <c r="P57" i="8"/>
  <c r="O57" i="8"/>
  <c r="N57" i="8"/>
  <c r="M57" i="8"/>
  <c r="L57" i="8"/>
  <c r="K57" i="8"/>
  <c r="J57" i="8"/>
  <c r="I57" i="8"/>
  <c r="AL56" i="8"/>
  <c r="AK56" i="8"/>
  <c r="AJ56" i="8"/>
  <c r="AI56" i="8"/>
  <c r="Y56" i="8"/>
  <c r="W56" i="8"/>
  <c r="AA57" i="8" s="1"/>
  <c r="Y14" i="8"/>
  <c r="AN14" i="8" s="1"/>
  <c r="X14" i="8"/>
  <c r="W14" i="8"/>
  <c r="V14" i="8"/>
  <c r="U14" i="8"/>
  <c r="T14" i="8"/>
  <c r="S14" i="8"/>
  <c r="R14" i="8"/>
  <c r="Q14" i="8"/>
  <c r="P14" i="8"/>
  <c r="O14" i="8"/>
  <c r="N14" i="8"/>
  <c r="M14" i="8"/>
  <c r="L14" i="8"/>
  <c r="K14" i="8"/>
  <c r="J14" i="8"/>
  <c r="I14" i="8"/>
  <c r="H14" i="8"/>
  <c r="G14" i="8"/>
  <c r="F14" i="8"/>
  <c r="E14" i="8"/>
  <c r="H11" i="8"/>
  <c r="H18" i="8" s="1"/>
  <c r="F11" i="8"/>
  <c r="E11" i="8"/>
  <c r="Y6" i="8"/>
  <c r="X6" i="8"/>
  <c r="W6" i="8"/>
  <c r="V6" i="8"/>
  <c r="U6" i="8"/>
  <c r="T6" i="8"/>
  <c r="S6" i="8"/>
  <c r="R6" i="8"/>
  <c r="Q6" i="8"/>
  <c r="P6" i="8"/>
  <c r="O6" i="8"/>
  <c r="N6" i="8"/>
  <c r="M6" i="8"/>
  <c r="L6" i="8"/>
  <c r="K6" i="8"/>
  <c r="J6" i="8"/>
  <c r="I6" i="8"/>
  <c r="H6" i="8"/>
  <c r="G6" i="8"/>
  <c r="F6" i="8"/>
  <c r="E6" i="8"/>
  <c r="R78" i="4"/>
  <c r="R77" i="4"/>
  <c r="E56" i="4"/>
  <c r="L55" i="4"/>
  <c r="K55" i="4"/>
  <c r="F55" i="4"/>
  <c r="R53" i="4"/>
  <c r="R56" i="4" s="1"/>
  <c r="O53" i="4"/>
  <c r="E51" i="4"/>
  <c r="O45" i="4"/>
  <c r="R44" i="4"/>
  <c r="Q44" i="4"/>
  <c r="Q43" i="4" s="1"/>
  <c r="P44" i="4"/>
  <c r="O44" i="4"/>
  <c r="N44" i="4"/>
  <c r="N41" i="4" s="1"/>
  <c r="M44" i="4"/>
  <c r="L44" i="4"/>
  <c r="F44" i="4"/>
  <c r="E44" i="4"/>
  <c r="R41" i="4"/>
  <c r="E41" i="4"/>
  <c r="F37" i="4"/>
  <c r="R36" i="4"/>
  <c r="Q36" i="4"/>
  <c r="P36" i="4"/>
  <c r="O36" i="4"/>
  <c r="N36" i="4"/>
  <c r="M36" i="4"/>
  <c r="L36" i="4"/>
  <c r="K36" i="4"/>
  <c r="J36" i="4"/>
  <c r="I36" i="4"/>
  <c r="H36" i="4"/>
  <c r="G36" i="4"/>
  <c r="F35" i="4"/>
  <c r="E35" i="4"/>
  <c r="F34" i="4"/>
  <c r="R33" i="4"/>
  <c r="Q33" i="4"/>
  <c r="P33" i="4"/>
  <c r="O33" i="4"/>
  <c r="N33" i="4"/>
  <c r="M33" i="4"/>
  <c r="L33" i="4"/>
  <c r="K33" i="4"/>
  <c r="J33" i="4"/>
  <c r="I33" i="4"/>
  <c r="H33" i="4"/>
  <c r="G33" i="4"/>
  <c r="F31" i="4"/>
  <c r="E31" i="4"/>
  <c r="E63" i="4" s="1"/>
  <c r="E84" i="4" s="1"/>
  <c r="F30" i="4"/>
  <c r="R29" i="4"/>
  <c r="Q29" i="4"/>
  <c r="P29" i="4"/>
  <c r="O29" i="4"/>
  <c r="N29" i="4"/>
  <c r="M29" i="4"/>
  <c r="L29" i="4"/>
  <c r="K29" i="4"/>
  <c r="J29" i="4"/>
  <c r="I29" i="4"/>
  <c r="H29" i="4"/>
  <c r="G29" i="4"/>
  <c r="R24" i="4"/>
  <c r="Q24" i="4"/>
  <c r="P24" i="4"/>
  <c r="O24" i="4"/>
  <c r="N24" i="4"/>
  <c r="M24" i="4"/>
  <c r="L24" i="4"/>
  <c r="K24" i="4"/>
  <c r="J24" i="4"/>
  <c r="I24" i="4"/>
  <c r="H24" i="4"/>
  <c r="G24" i="4"/>
  <c r="R21" i="4"/>
  <c r="Q21" i="4"/>
  <c r="P21" i="4"/>
  <c r="O21" i="4"/>
  <c r="N21" i="4"/>
  <c r="M21" i="4"/>
  <c r="L21" i="4"/>
  <c r="K21" i="4"/>
  <c r="J21" i="4"/>
  <c r="I21" i="4"/>
  <c r="H21" i="4"/>
  <c r="G21" i="4"/>
  <c r="Q17" i="4"/>
  <c r="P17" i="4"/>
  <c r="O17" i="4"/>
  <c r="N17" i="4"/>
  <c r="M17" i="4"/>
  <c r="L17" i="4"/>
  <c r="K17" i="4"/>
  <c r="J17" i="4"/>
  <c r="I17" i="4"/>
  <c r="H17" i="4"/>
  <c r="G17" i="4"/>
  <c r="F17" i="14"/>
  <c r="F16" i="14"/>
  <c r="F15" i="14"/>
  <c r="F14" i="14"/>
  <c r="F13" i="14"/>
  <c r="F12" i="14"/>
  <c r="F11" i="14"/>
  <c r="AR153" i="1"/>
  <c r="AQ153" i="1"/>
  <c r="AP153" i="1"/>
  <c r="AO153" i="1"/>
  <c r="AN153" i="1"/>
  <c r="AM153" i="1"/>
  <c r="BK152" i="1"/>
  <c r="BJ152" i="1"/>
  <c r="BI152" i="1"/>
  <c r="BP144" i="1"/>
  <c r="BO144" i="1"/>
  <c r="BN144" i="1"/>
  <c r="BM144" i="1"/>
  <c r="BK144" i="1"/>
  <c r="BJ144" i="1"/>
  <c r="BI144" i="1"/>
  <c r="AT144" i="1"/>
  <c r="AR144" i="1"/>
  <c r="AQ144" i="1"/>
  <c r="AP144" i="1"/>
  <c r="AO144" i="1"/>
  <c r="AN144" i="1"/>
  <c r="AM144" i="1"/>
  <c r="AL144" i="1"/>
  <c r="AK144" i="1"/>
  <c r="AJ144" i="1"/>
  <c r="AI144" i="1"/>
  <c r="AH144" i="1"/>
  <c r="AG144" i="1"/>
  <c r="AF144" i="1"/>
  <c r="AE144" i="1"/>
  <c r="AD144" i="1"/>
  <c r="AC144" i="1"/>
  <c r="AB144" i="1"/>
  <c r="AA144" i="1"/>
  <c r="Z144" i="1"/>
  <c r="Y144" i="1"/>
  <c r="X144" i="1"/>
  <c r="W144" i="1"/>
  <c r="V144" i="1"/>
  <c r="AT143" i="1"/>
  <c r="AR143" i="1"/>
  <c r="AQ143" i="1"/>
  <c r="AP143" i="1"/>
  <c r="AO143" i="1"/>
  <c r="AN143" i="1"/>
  <c r="AM143" i="1"/>
  <c r="AL143" i="1"/>
  <c r="AK143" i="1"/>
  <c r="AJ143" i="1"/>
  <c r="AI143" i="1"/>
  <c r="AH143" i="1"/>
  <c r="BP142" i="1"/>
  <c r="BO142" i="1"/>
  <c r="BN142" i="1"/>
  <c r="BM142" i="1"/>
  <c r="BK142" i="1"/>
  <c r="BJ142" i="1"/>
  <c r="AT142" i="1"/>
  <c r="AR142" i="1"/>
  <c r="AQ142" i="1"/>
  <c r="AP142" i="1"/>
  <c r="AO142" i="1"/>
  <c r="AN142" i="1"/>
  <c r="AM142" i="1"/>
  <c r="AL142" i="1"/>
  <c r="AK142" i="1"/>
  <c r="AJ142" i="1"/>
  <c r="AI142" i="1"/>
  <c r="AH142" i="1"/>
  <c r="AG142" i="1"/>
  <c r="AF142" i="1"/>
  <c r="AE142" i="1"/>
  <c r="AD142" i="1"/>
  <c r="AC142" i="1"/>
  <c r="AB142" i="1"/>
  <c r="AA142" i="1"/>
  <c r="Z142" i="1"/>
  <c r="AP140" i="1"/>
  <c r="AO140" i="1"/>
  <c r="Z140" i="1"/>
  <c r="AR139" i="1"/>
  <c r="AQ139" i="1"/>
  <c r="AP139" i="1"/>
  <c r="AO139" i="1"/>
  <c r="AN139" i="1"/>
  <c r="AM139" i="1"/>
  <c r="AL139" i="1"/>
  <c r="AK139" i="1"/>
  <c r="AJ139" i="1"/>
  <c r="AI139" i="1"/>
  <c r="AH139" i="1"/>
  <c r="BP138" i="1"/>
  <c r="BO138" i="1"/>
  <c r="BN138" i="1"/>
  <c r="BM138" i="1"/>
  <c r="BK138" i="1"/>
  <c r="BJ138" i="1"/>
  <c r="AR138" i="1"/>
  <c r="AQ138" i="1"/>
  <c r="AP138" i="1"/>
  <c r="AO138" i="1"/>
  <c r="AN138" i="1"/>
  <c r="AM138" i="1"/>
  <c r="AL138" i="1"/>
  <c r="AK138" i="1"/>
  <c r="AJ138" i="1"/>
  <c r="AI138" i="1"/>
  <c r="AH138" i="1"/>
  <c r="AG138" i="1"/>
  <c r="AF138" i="1"/>
  <c r="AE138" i="1"/>
  <c r="AD138" i="1"/>
  <c r="AC138" i="1"/>
  <c r="AB138" i="1"/>
  <c r="AA138" i="1"/>
  <c r="Z138" i="1"/>
  <c r="BM135" i="1"/>
  <c r="BK135" i="1"/>
  <c r="BL136" i="1" s="1"/>
  <c r="BI135" i="1"/>
  <c r="BD135" i="1"/>
  <c r="AB135" i="1"/>
  <c r="AA135" i="1"/>
  <c r="Z135" i="1"/>
  <c r="BM134" i="1"/>
  <c r="BP133" i="1"/>
  <c r="BO133" i="1"/>
  <c r="BN133" i="1"/>
  <c r="BJ133" i="1"/>
  <c r="AR133" i="1"/>
  <c r="AR135" i="1" s="1"/>
  <c r="AQ133" i="1"/>
  <c r="AQ135" i="1" s="1"/>
  <c r="AP133" i="1"/>
  <c r="AP135" i="1" s="1"/>
  <c r="AN133" i="1"/>
  <c r="AN135" i="1" s="1"/>
  <c r="AM133" i="1"/>
  <c r="AM135" i="1" s="1"/>
  <c r="AL133" i="1"/>
  <c r="AL135" i="1" s="1"/>
  <c r="AJ133" i="1"/>
  <c r="AJ135" i="1" s="1"/>
  <c r="AI133" i="1"/>
  <c r="AI135" i="1" s="1"/>
  <c r="AH133" i="1"/>
  <c r="AF133" i="1"/>
  <c r="AF135" i="1" s="1"/>
  <c r="AE133" i="1"/>
  <c r="AE135" i="1" s="1"/>
  <c r="AD133" i="1"/>
  <c r="AD135" i="1" s="1"/>
  <c r="AC133" i="1"/>
  <c r="AC135" i="1" s="1"/>
  <c r="BM132" i="1"/>
  <c r="AB132" i="1"/>
  <c r="AA132" i="1"/>
  <c r="Z132" i="1"/>
  <c r="BK124" i="1"/>
  <c r="BJ124" i="1"/>
  <c r="BI124" i="1"/>
  <c r="V124" i="1"/>
  <c r="U124" i="1"/>
  <c r="BK123" i="1"/>
  <c r="BJ123" i="1"/>
  <c r="BI123" i="1"/>
  <c r="AC123" i="1"/>
  <c r="AA123" i="1"/>
  <c r="Z123" i="1"/>
  <c r="V123" i="1"/>
  <c r="U123" i="1"/>
  <c r="BN122" i="1"/>
  <c r="BM122" i="1"/>
  <c r="AT122" i="1"/>
  <c r="AR122" i="1"/>
  <c r="AQ122" i="1"/>
  <c r="AP122" i="1"/>
  <c r="AO122" i="1"/>
  <c r="AN122" i="1"/>
  <c r="AM122" i="1"/>
  <c r="AL122" i="1"/>
  <c r="AK122" i="1"/>
  <c r="AJ122" i="1"/>
  <c r="AI122" i="1"/>
  <c r="AH122" i="1"/>
  <c r="AG122" i="1"/>
  <c r="AF122" i="1"/>
  <c r="AE122" i="1"/>
  <c r="AD122" i="1"/>
  <c r="AC122" i="1"/>
  <c r="AB122" i="1"/>
  <c r="AA122" i="1"/>
  <c r="Z122" i="1"/>
  <c r="U122" i="1"/>
  <c r="AT115" i="1"/>
  <c r="AR115" i="1"/>
  <c r="AQ115" i="1"/>
  <c r="AP115" i="1"/>
  <c r="AO115" i="1"/>
  <c r="AN115" i="1"/>
  <c r="AM115" i="1"/>
  <c r="AL115" i="1"/>
  <c r="AK115" i="1"/>
  <c r="AJ115" i="1"/>
  <c r="AI115" i="1"/>
  <c r="AH115" i="1"/>
  <c r="AG115" i="1"/>
  <c r="AF115" i="1"/>
  <c r="AE115" i="1"/>
  <c r="AD115" i="1"/>
  <c r="AC115" i="1"/>
  <c r="AB115" i="1"/>
  <c r="AA115" i="1"/>
  <c r="Z115" i="1"/>
  <c r="Y115" i="1"/>
  <c r="X115" i="1"/>
  <c r="W115" i="1"/>
  <c r="U115" i="1"/>
  <c r="S114" i="1"/>
  <c r="R114" i="1"/>
  <c r="Q114" i="1"/>
  <c r="P114" i="1"/>
  <c r="BJ113" i="1"/>
  <c r="BI113" i="1"/>
  <c r="S113" i="1"/>
  <c r="R113" i="1"/>
  <c r="Q113" i="1"/>
  <c r="P113" i="1"/>
  <c r="BK112" i="1"/>
  <c r="BJ112" i="1"/>
  <c r="BI112" i="1"/>
  <c r="S112" i="1"/>
  <c r="R112" i="1"/>
  <c r="Q112" i="1"/>
  <c r="P112" i="1"/>
  <c r="AT110" i="1"/>
  <c r="AT107" i="1"/>
  <c r="AR107" i="1"/>
  <c r="AQ107" i="1"/>
  <c r="AP107" i="1"/>
  <c r="AO107" i="1"/>
  <c r="AN107" i="1"/>
  <c r="AM107" i="1"/>
  <c r="AL107" i="1"/>
  <c r="AK107" i="1"/>
  <c r="AJ107" i="1"/>
  <c r="AI107" i="1"/>
  <c r="AH107" i="1"/>
  <c r="BN106" i="1"/>
  <c r="BM106" i="1"/>
  <c r="BK106" i="1"/>
  <c r="BJ106" i="1"/>
  <c r="AT106" i="1"/>
  <c r="AR106" i="1"/>
  <c r="AQ106" i="1"/>
  <c r="AP106" i="1"/>
  <c r="AO106" i="1"/>
  <c r="AN106" i="1"/>
  <c r="AM106" i="1"/>
  <c r="AL106" i="1"/>
  <c r="AK106" i="1"/>
  <c r="AJ106" i="1"/>
  <c r="AI106" i="1"/>
  <c r="AH106" i="1"/>
  <c r="AG106" i="1"/>
  <c r="AF106" i="1"/>
  <c r="AE106" i="1"/>
  <c r="AD106" i="1"/>
  <c r="AC106" i="1"/>
  <c r="AB106" i="1"/>
  <c r="AA106" i="1"/>
  <c r="R106" i="1"/>
  <c r="Q106" i="1"/>
  <c r="N106" i="1"/>
  <c r="M106" i="1"/>
  <c r="L106" i="1"/>
  <c r="H106" i="1"/>
  <c r="F106" i="1"/>
  <c r="E106" i="1"/>
  <c r="D106" i="1"/>
  <c r="R104" i="1"/>
  <c r="Q104" i="1"/>
  <c r="BJ102" i="1"/>
  <c r="R102" i="1"/>
  <c r="Q102" i="1"/>
  <c r="BK100" i="1"/>
  <c r="BJ100" i="1"/>
  <c r="R100" i="1"/>
  <c r="Q100" i="1"/>
  <c r="BP99" i="1"/>
  <c r="BN99" i="1"/>
  <c r="BM99" i="1"/>
  <c r="BK99" i="1"/>
  <c r="BJ99" i="1"/>
  <c r="AT99" i="1"/>
  <c r="AR99" i="1"/>
  <c r="AQ99" i="1"/>
  <c r="AP99" i="1"/>
  <c r="AO99" i="1"/>
  <c r="AN99" i="1"/>
  <c r="AM99" i="1"/>
  <c r="AL99" i="1"/>
  <c r="AK99" i="1"/>
  <c r="AJ99" i="1"/>
  <c r="AI99" i="1"/>
  <c r="AH99" i="1"/>
  <c r="AG99" i="1"/>
  <c r="AF99" i="1"/>
  <c r="AE99" i="1"/>
  <c r="AD99" i="1"/>
  <c r="AC99" i="1"/>
  <c r="AB99" i="1"/>
  <c r="AA99" i="1"/>
  <c r="Z99" i="1"/>
  <c r="R99" i="1"/>
  <c r="Q99" i="1"/>
  <c r="N99" i="1"/>
  <c r="M99" i="1"/>
  <c r="L99" i="1"/>
  <c r="I99" i="1"/>
  <c r="H99" i="1"/>
  <c r="G99" i="1"/>
  <c r="F99" i="1"/>
  <c r="E99" i="1"/>
  <c r="D99" i="1"/>
  <c r="BP98" i="1"/>
  <c r="BN98" i="1"/>
  <c r="BM98" i="1"/>
  <c r="BK98" i="1"/>
  <c r="BJ98" i="1"/>
  <c r="AT98" i="1"/>
  <c r="AR98" i="1"/>
  <c r="AQ98" i="1"/>
  <c r="AP98" i="1"/>
  <c r="AO98" i="1"/>
  <c r="AN98" i="1"/>
  <c r="AM98" i="1"/>
  <c r="AL98" i="1"/>
  <c r="AK98" i="1"/>
  <c r="AJ98" i="1"/>
  <c r="AI98" i="1"/>
  <c r="AH98" i="1"/>
  <c r="AG98" i="1"/>
  <c r="AF98" i="1"/>
  <c r="AE98" i="1"/>
  <c r="AD98" i="1"/>
  <c r="AC98" i="1"/>
  <c r="AB98" i="1"/>
  <c r="AA98" i="1"/>
  <c r="Z98" i="1"/>
  <c r="R98" i="1"/>
  <c r="Q98" i="1"/>
  <c r="N98" i="1"/>
  <c r="M98" i="1"/>
  <c r="L98" i="1"/>
  <c r="I98" i="1"/>
  <c r="H98" i="1"/>
  <c r="G98" i="1"/>
  <c r="F98" i="1"/>
  <c r="E98" i="1"/>
  <c r="D98" i="1"/>
  <c r="AT95" i="1"/>
  <c r="AR95" i="1"/>
  <c r="AC95" i="1"/>
  <c r="AB95" i="1"/>
  <c r="AA95" i="1"/>
  <c r="R95" i="1"/>
  <c r="Q95" i="1"/>
  <c r="N95" i="1"/>
  <c r="M95" i="1"/>
  <c r="L95" i="1"/>
  <c r="H95" i="1"/>
  <c r="F95" i="1"/>
  <c r="E95" i="1"/>
  <c r="D95" i="1"/>
  <c r="BN94" i="1"/>
  <c r="BM94" i="1"/>
  <c r="BI94" i="1"/>
  <c r="AT94" i="1"/>
  <c r="AR94" i="1"/>
  <c r="AQ94" i="1"/>
  <c r="AP94" i="1"/>
  <c r="AO94" i="1"/>
  <c r="AN94" i="1"/>
  <c r="AM94" i="1"/>
  <c r="AL94" i="1"/>
  <c r="AK94" i="1"/>
  <c r="AJ94" i="1"/>
  <c r="AI94" i="1"/>
  <c r="AH94" i="1"/>
  <c r="AG94" i="1"/>
  <c r="AF94" i="1"/>
  <c r="AE94" i="1"/>
  <c r="AD94" i="1"/>
  <c r="AC94" i="1"/>
  <c r="AB94" i="1"/>
  <c r="AA94" i="1"/>
  <c r="R94" i="1"/>
  <c r="Q94" i="1"/>
  <c r="N94" i="1"/>
  <c r="M94" i="1"/>
  <c r="L94" i="1"/>
  <c r="H94" i="1"/>
  <c r="F94" i="1"/>
  <c r="E94" i="1"/>
  <c r="D94" i="1"/>
  <c r="BN93" i="1"/>
  <c r="BM93" i="1"/>
  <c r="BI93" i="1"/>
  <c r="AT93" i="1"/>
  <c r="AR93" i="1"/>
  <c r="AQ93" i="1"/>
  <c r="AP93" i="1"/>
  <c r="AO93" i="1"/>
  <c r="AN93" i="1"/>
  <c r="AM93" i="1"/>
  <c r="AL93" i="1"/>
  <c r="AK93" i="1"/>
  <c r="AJ93" i="1"/>
  <c r="AI93" i="1"/>
  <c r="AH93" i="1"/>
  <c r="AG93" i="1"/>
  <c r="AF93" i="1"/>
  <c r="AE93" i="1"/>
  <c r="AD93" i="1"/>
  <c r="AC93" i="1"/>
  <c r="AB93" i="1"/>
  <c r="AA93" i="1"/>
  <c r="R93" i="1"/>
  <c r="Q93" i="1"/>
  <c r="N93" i="1"/>
  <c r="M93" i="1"/>
  <c r="L93" i="1"/>
  <c r="H93" i="1"/>
  <c r="F93" i="1"/>
  <c r="E93" i="1"/>
  <c r="D93" i="1"/>
  <c r="BN91" i="1"/>
  <c r="BM91" i="1"/>
  <c r="AT91" i="1"/>
  <c r="AR91" i="1"/>
  <c r="AQ91" i="1"/>
  <c r="AP91" i="1"/>
  <c r="AO91" i="1"/>
  <c r="AN91" i="1"/>
  <c r="AM91" i="1"/>
  <c r="AL91" i="1"/>
  <c r="AK91" i="1"/>
  <c r="AJ91" i="1"/>
  <c r="AI91" i="1"/>
  <c r="AH91" i="1"/>
  <c r="AG91" i="1"/>
  <c r="AF91" i="1"/>
  <c r="AE91" i="1"/>
  <c r="AD91" i="1"/>
  <c r="AC91" i="1"/>
  <c r="AB91" i="1"/>
  <c r="AA91" i="1"/>
  <c r="R91" i="1"/>
  <c r="Q91" i="1"/>
  <c r="N91" i="1"/>
  <c r="M91" i="1"/>
  <c r="L91" i="1"/>
  <c r="H91" i="1"/>
  <c r="F91" i="1"/>
  <c r="E91" i="1"/>
  <c r="D91" i="1"/>
  <c r="AR90" i="1"/>
  <c r="AQ90" i="1"/>
  <c r="AP90" i="1"/>
  <c r="AO90" i="1"/>
  <c r="AN90" i="1"/>
  <c r="AM90" i="1"/>
  <c r="AL90" i="1"/>
  <c r="AK90" i="1"/>
  <c r="AJ90" i="1"/>
  <c r="AI90" i="1"/>
  <c r="AH90" i="1"/>
  <c r="BN89" i="1"/>
  <c r="BM89" i="1"/>
  <c r="AT89" i="1"/>
  <c r="AR89" i="1"/>
  <c r="AQ89" i="1"/>
  <c r="AP89" i="1"/>
  <c r="AO89" i="1"/>
  <c r="AN89" i="1"/>
  <c r="AM89" i="1"/>
  <c r="AL89" i="1"/>
  <c r="AK89" i="1"/>
  <c r="AJ89" i="1"/>
  <c r="AI89" i="1"/>
  <c r="AH89" i="1"/>
  <c r="AG89" i="1"/>
  <c r="AF89" i="1"/>
  <c r="AE89" i="1"/>
  <c r="AD89" i="1"/>
  <c r="AC89" i="1"/>
  <c r="AB89" i="1"/>
  <c r="AA89" i="1"/>
  <c r="Z89" i="1"/>
  <c r="R89" i="1"/>
  <c r="Q89" i="1"/>
  <c r="N89" i="1"/>
  <c r="M89" i="1"/>
  <c r="L89" i="1"/>
  <c r="H89" i="1"/>
  <c r="F89" i="1"/>
  <c r="E89" i="1"/>
  <c r="D89" i="1"/>
  <c r="AR88" i="1"/>
  <c r="AQ88" i="1"/>
  <c r="AP88" i="1"/>
  <c r="AO88" i="1"/>
  <c r="AN88" i="1"/>
  <c r="AM88" i="1"/>
  <c r="AL88" i="1"/>
  <c r="AK88" i="1"/>
  <c r="AJ88" i="1"/>
  <c r="AI88" i="1"/>
  <c r="AH88" i="1"/>
  <c r="BN87" i="1"/>
  <c r="BM87" i="1"/>
  <c r="BK87" i="1"/>
  <c r="BJ87" i="1"/>
  <c r="AT87" i="1"/>
  <c r="AR87" i="1"/>
  <c r="AQ87" i="1"/>
  <c r="AP87" i="1"/>
  <c r="AO87" i="1"/>
  <c r="AN87" i="1"/>
  <c r="AM87" i="1"/>
  <c r="AL87" i="1"/>
  <c r="AK87" i="1"/>
  <c r="AJ87" i="1"/>
  <c r="AI87" i="1"/>
  <c r="AH87" i="1"/>
  <c r="AG87" i="1"/>
  <c r="AF87" i="1"/>
  <c r="AE87" i="1"/>
  <c r="AD87" i="1"/>
  <c r="AC87" i="1"/>
  <c r="AB87" i="1"/>
  <c r="AA87" i="1"/>
  <c r="R87" i="1"/>
  <c r="Q87" i="1"/>
  <c r="N87" i="1"/>
  <c r="M87" i="1"/>
  <c r="L87" i="1"/>
  <c r="H87" i="1"/>
  <c r="F87" i="1"/>
  <c r="E87" i="1"/>
  <c r="D87" i="1"/>
  <c r="BP86" i="1"/>
  <c r="BO86" i="1"/>
  <c r="BN86" i="1"/>
  <c r="BM86" i="1"/>
  <c r="AT86" i="1"/>
  <c r="AR86" i="1"/>
  <c r="AQ86" i="1"/>
  <c r="AP86" i="1"/>
  <c r="AO86" i="1"/>
  <c r="AN86" i="1"/>
  <c r="AM86" i="1"/>
  <c r="AL86" i="1"/>
  <c r="AK86" i="1"/>
  <c r="AJ86" i="1"/>
  <c r="AI86" i="1"/>
  <c r="AH86" i="1"/>
  <c r="AG86" i="1"/>
  <c r="AF86" i="1"/>
  <c r="AE86" i="1"/>
  <c r="AD86" i="1"/>
  <c r="AC86" i="1"/>
  <c r="AB86" i="1"/>
  <c r="AA86" i="1"/>
  <c r="Z86" i="1"/>
  <c r="R86" i="1"/>
  <c r="Q86" i="1"/>
  <c r="N86" i="1"/>
  <c r="M86" i="1"/>
  <c r="L86" i="1"/>
  <c r="H86" i="1"/>
  <c r="F86" i="1"/>
  <c r="E86" i="1"/>
  <c r="D86" i="1"/>
  <c r="AR85" i="1"/>
  <c r="AQ85" i="1"/>
  <c r="AP85" i="1"/>
  <c r="AO85" i="1"/>
  <c r="AN85" i="1"/>
  <c r="AM85" i="1"/>
  <c r="AL85" i="1"/>
  <c r="AK85" i="1"/>
  <c r="AJ85" i="1"/>
  <c r="AI85" i="1"/>
  <c r="AH85" i="1"/>
  <c r="BN84" i="1"/>
  <c r="BM84" i="1"/>
  <c r="BK84" i="1"/>
  <c r="BJ84" i="1"/>
  <c r="AT84" i="1"/>
  <c r="AR84" i="1"/>
  <c r="AQ84" i="1"/>
  <c r="AP84" i="1"/>
  <c r="AO84" i="1"/>
  <c r="AN84" i="1"/>
  <c r="AM84" i="1"/>
  <c r="AL84" i="1"/>
  <c r="AK84" i="1"/>
  <c r="AJ84" i="1"/>
  <c r="AI84" i="1"/>
  <c r="AH84" i="1"/>
  <c r="AG84" i="1"/>
  <c r="AF84" i="1"/>
  <c r="AE84" i="1"/>
  <c r="AD84" i="1"/>
  <c r="AC84" i="1"/>
  <c r="AB84" i="1"/>
  <c r="AA84" i="1"/>
  <c r="R84" i="1"/>
  <c r="Q84" i="1"/>
  <c r="N84" i="1"/>
  <c r="M84" i="1"/>
  <c r="L84" i="1"/>
  <c r="H84" i="1"/>
  <c r="F84" i="1"/>
  <c r="E84" i="1"/>
  <c r="D84" i="1"/>
  <c r="AR83" i="1"/>
  <c r="AQ83" i="1"/>
  <c r="AP83" i="1"/>
  <c r="AO83" i="1"/>
  <c r="AN83" i="1"/>
  <c r="AM83" i="1"/>
  <c r="AL83" i="1"/>
  <c r="AK83" i="1"/>
  <c r="AJ83" i="1"/>
  <c r="AI83" i="1"/>
  <c r="AH83" i="1"/>
  <c r="BN82" i="1"/>
  <c r="BM82" i="1"/>
  <c r="BK82" i="1"/>
  <c r="BJ82" i="1"/>
  <c r="AT82" i="1"/>
  <c r="AR82" i="1"/>
  <c r="AQ82" i="1"/>
  <c r="AP82" i="1"/>
  <c r="AO82" i="1"/>
  <c r="AN82" i="1"/>
  <c r="AM82" i="1"/>
  <c r="AL82" i="1"/>
  <c r="AK82" i="1"/>
  <c r="AJ82" i="1"/>
  <c r="AI82" i="1"/>
  <c r="AH82" i="1"/>
  <c r="AG82" i="1"/>
  <c r="AF82" i="1"/>
  <c r="AE82" i="1"/>
  <c r="AD82" i="1"/>
  <c r="AC82" i="1"/>
  <c r="AB82" i="1"/>
  <c r="AA82" i="1"/>
  <c r="R82" i="1"/>
  <c r="Q82" i="1"/>
  <c r="N82" i="1"/>
  <c r="M82" i="1"/>
  <c r="L82" i="1"/>
  <c r="H82" i="1"/>
  <c r="F82" i="1"/>
  <c r="E82" i="1"/>
  <c r="D82" i="1"/>
  <c r="BK80" i="1"/>
  <c r="BJ80" i="1"/>
  <c r="R80" i="1"/>
  <c r="Q80" i="1"/>
  <c r="M80" i="1"/>
  <c r="L80" i="1"/>
  <c r="I80" i="1"/>
  <c r="H80" i="1"/>
  <c r="G80" i="1"/>
  <c r="F80" i="1"/>
  <c r="E80" i="1"/>
  <c r="D80" i="1"/>
  <c r="BK79" i="1"/>
  <c r="BJ79" i="1"/>
  <c r="AC79" i="1"/>
  <c r="AA79" i="1"/>
  <c r="Z79" i="1"/>
  <c r="R79" i="1"/>
  <c r="Q79" i="1"/>
  <c r="M79" i="1"/>
  <c r="L79" i="1"/>
  <c r="I79" i="1"/>
  <c r="H79" i="1"/>
  <c r="G79" i="1"/>
  <c r="F79" i="1"/>
  <c r="E79" i="1"/>
  <c r="D79" i="1"/>
  <c r="AR78" i="1"/>
  <c r="AQ78" i="1"/>
  <c r="AP78" i="1"/>
  <c r="AO78" i="1"/>
  <c r="AN78" i="1"/>
  <c r="AM78" i="1"/>
  <c r="AL78" i="1"/>
  <c r="AK78" i="1"/>
  <c r="AJ78" i="1"/>
  <c r="AI78" i="1"/>
  <c r="AH78" i="1"/>
  <c r="BN77" i="1"/>
  <c r="BM77" i="1"/>
  <c r="AT77" i="1"/>
  <c r="AR77" i="1"/>
  <c r="AQ77" i="1"/>
  <c r="AP77" i="1"/>
  <c r="AO77" i="1"/>
  <c r="AN77" i="1"/>
  <c r="AM77" i="1"/>
  <c r="AL77" i="1"/>
  <c r="AK77" i="1"/>
  <c r="AJ77" i="1"/>
  <c r="AI77" i="1"/>
  <c r="AH77" i="1"/>
  <c r="AG77" i="1"/>
  <c r="AF77" i="1"/>
  <c r="AE77" i="1"/>
  <c r="AD77" i="1"/>
  <c r="AC77" i="1"/>
  <c r="AB77" i="1"/>
  <c r="AA77" i="1"/>
  <c r="Z77" i="1"/>
  <c r="R77" i="1"/>
  <c r="Q77" i="1"/>
  <c r="I77" i="1"/>
  <c r="H77" i="1"/>
  <c r="G77" i="1"/>
  <c r="F77" i="1"/>
  <c r="E77" i="1"/>
  <c r="D77" i="1"/>
  <c r="BM69" i="1"/>
  <c r="BG69" i="1"/>
  <c r="BF69" i="1"/>
  <c r="BE69" i="1"/>
  <c r="S69" i="1"/>
  <c r="R69" i="1"/>
  <c r="Q69" i="1"/>
  <c r="P69" i="1"/>
  <c r="N69" i="1"/>
  <c r="M69" i="1"/>
  <c r="L69" i="1"/>
  <c r="K69" i="1"/>
  <c r="I69" i="1"/>
  <c r="H69" i="1"/>
  <c r="G69" i="1"/>
  <c r="F69" i="1"/>
  <c r="E69" i="1"/>
  <c r="D69" i="1"/>
  <c r="C69" i="1"/>
  <c r="B69" i="1"/>
  <c r="BM59" i="1"/>
  <c r="BG59" i="1"/>
  <c r="BF59" i="1"/>
  <c r="BE59" i="1"/>
  <c r="BD59" i="1"/>
  <c r="Z59" i="1"/>
  <c r="V59" i="1"/>
  <c r="U59" i="1"/>
  <c r="S59" i="1"/>
  <c r="R59" i="1"/>
  <c r="Q59" i="1"/>
  <c r="P59" i="1"/>
  <c r="N59" i="1"/>
  <c r="M59" i="1"/>
  <c r="L59" i="1"/>
  <c r="K59" i="1"/>
  <c r="I59" i="1"/>
  <c r="H59" i="1"/>
  <c r="BP51" i="1"/>
  <c r="BO51" i="1"/>
  <c r="BO106" i="1" s="1"/>
  <c r="V51" i="1"/>
  <c r="I51" i="1"/>
  <c r="G51" i="1"/>
  <c r="G106" i="1" s="1"/>
  <c r="BJ50" i="1"/>
  <c r="BJ114" i="1" s="1"/>
  <c r="BI50" i="1"/>
  <c r="BI114" i="1" s="1"/>
  <c r="BO48" i="1"/>
  <c r="BP47" i="1"/>
  <c r="BO47" i="1"/>
  <c r="I47" i="1"/>
  <c r="G47" i="1"/>
  <c r="BP46" i="1"/>
  <c r="BO46" i="1"/>
  <c r="I46" i="1"/>
  <c r="G46" i="1"/>
  <c r="I44" i="1"/>
  <c r="G44" i="1"/>
  <c r="BP39" i="1"/>
  <c r="BO39" i="1"/>
  <c r="BE39" i="1"/>
  <c r="V39" i="1"/>
  <c r="I39" i="1"/>
  <c r="G39" i="1"/>
  <c r="BE38" i="1"/>
  <c r="V38" i="1"/>
  <c r="I38" i="1"/>
  <c r="G38" i="1"/>
  <c r="BP36" i="1"/>
  <c r="BO36" i="1"/>
  <c r="BE36" i="1"/>
  <c r="V36" i="1"/>
  <c r="I36" i="1"/>
  <c r="G36" i="1"/>
  <c r="BP34" i="1"/>
  <c r="BO34" i="1"/>
  <c r="BE34" i="1"/>
  <c r="V34" i="1"/>
  <c r="I34" i="1"/>
  <c r="G34" i="1"/>
  <c r="BO33" i="1"/>
  <c r="BE33" i="1"/>
  <c r="V33" i="1"/>
  <c r="I33" i="1"/>
  <c r="G33" i="1"/>
  <c r="BP32" i="1"/>
  <c r="BO32" i="1"/>
  <c r="BE32" i="1"/>
  <c r="V32" i="1"/>
  <c r="I32" i="1"/>
  <c r="G32" i="1"/>
  <c r="BP31" i="1"/>
  <c r="BO31" i="1"/>
  <c r="BE31" i="1"/>
  <c r="V31" i="1"/>
  <c r="I31" i="1"/>
  <c r="G31" i="1"/>
  <c r="BP30" i="1"/>
  <c r="BO30" i="1"/>
  <c r="BE30" i="1"/>
  <c r="V30" i="1"/>
  <c r="I30" i="1"/>
  <c r="G30" i="1"/>
  <c r="BP29" i="1"/>
  <c r="BO29" i="1"/>
  <c r="BE29" i="1"/>
  <c r="V29" i="1"/>
  <c r="I29" i="1"/>
  <c r="G29" i="1"/>
  <c r="BP28" i="1"/>
  <c r="BO28" i="1"/>
  <c r="BE28" i="1"/>
  <c r="V28" i="1"/>
  <c r="I28" i="1"/>
  <c r="G28" i="1"/>
  <c r="AT26" i="1"/>
  <c r="AX96" i="1" s="1"/>
  <c r="BN25" i="1"/>
  <c r="BM25" i="1"/>
  <c r="BM95" i="1" s="1"/>
  <c r="AM25" i="1"/>
  <c r="AQ95" i="1" s="1"/>
  <c r="AL25" i="1"/>
  <c r="AP95" i="1" s="1"/>
  <c r="AK25" i="1"/>
  <c r="AJ25" i="1"/>
  <c r="AI25" i="1"/>
  <c r="AH25" i="1"/>
  <c r="AF25" i="1"/>
  <c r="AF95" i="1" s="1"/>
  <c r="AE25" i="1"/>
  <c r="AE95" i="1" s="1"/>
  <c r="V25" i="1"/>
  <c r="Z95" i="1" s="1"/>
  <c r="I25" i="1"/>
  <c r="G25" i="1"/>
  <c r="G95" i="1" s="1"/>
  <c r="BP24" i="1"/>
  <c r="BO24" i="1"/>
  <c r="BO94" i="1" s="1"/>
  <c r="BE24" i="1"/>
  <c r="V24" i="1"/>
  <c r="Z94" i="1" s="1"/>
  <c r="I24" i="1"/>
  <c r="G24" i="1"/>
  <c r="G94" i="1" s="1"/>
  <c r="BP23" i="1"/>
  <c r="BO23" i="1"/>
  <c r="BO93" i="1" s="1"/>
  <c r="BE23" i="1"/>
  <c r="V23" i="1"/>
  <c r="Z93" i="1" s="1"/>
  <c r="I23" i="1"/>
  <c r="G23" i="1"/>
  <c r="G93" i="1" s="1"/>
  <c r="BN22" i="1"/>
  <c r="BM22" i="1"/>
  <c r="BK22" i="1"/>
  <c r="BJ22" i="1"/>
  <c r="BJ26" i="1" s="1"/>
  <c r="BI22" i="1"/>
  <c r="BI110" i="1" s="1"/>
  <c r="BG22" i="1"/>
  <c r="BG110" i="1" s="1"/>
  <c r="BF22" i="1"/>
  <c r="BF110" i="1" s="1"/>
  <c r="BD22" i="1"/>
  <c r="BD110" i="1" s="1"/>
  <c r="AR22" i="1"/>
  <c r="AQ22" i="1"/>
  <c r="AQ110" i="1" s="1"/>
  <c r="AP22" i="1"/>
  <c r="AP26" i="1" s="1"/>
  <c r="AO22" i="1"/>
  <c r="AN22" i="1"/>
  <c r="AN26" i="1" s="1"/>
  <c r="AM22" i="1"/>
  <c r="AL22" i="1"/>
  <c r="AK22" i="1"/>
  <c r="AJ22" i="1"/>
  <c r="AI22" i="1"/>
  <c r="AH22" i="1"/>
  <c r="AG22" i="1"/>
  <c r="AF22" i="1"/>
  <c r="AF110" i="1" s="1"/>
  <c r="AE22" i="1"/>
  <c r="AE110" i="1" s="1"/>
  <c r="AD22" i="1"/>
  <c r="AC22" i="1"/>
  <c r="AC26" i="1" s="1"/>
  <c r="AB22" i="1"/>
  <c r="AB26" i="1" s="1"/>
  <c r="AA22" i="1"/>
  <c r="AA26" i="1" s="1"/>
  <c r="Z22" i="1"/>
  <c r="Y22" i="1"/>
  <c r="Y110" i="1" s="1"/>
  <c r="X22" i="1"/>
  <c r="X110" i="1" s="1"/>
  <c r="W22" i="1"/>
  <c r="W110" i="1" s="1"/>
  <c r="U22" i="1"/>
  <c r="U110" i="1" s="1"/>
  <c r="S22" i="1"/>
  <c r="S110" i="1" s="1"/>
  <c r="R22" i="1"/>
  <c r="R26" i="1" s="1"/>
  <c r="Q22" i="1"/>
  <c r="Q26" i="1" s="1"/>
  <c r="P22" i="1"/>
  <c r="P110" i="1" s="1"/>
  <c r="N22" i="1"/>
  <c r="N26" i="1" s="1"/>
  <c r="M22" i="1"/>
  <c r="M26" i="1" s="1"/>
  <c r="M45" i="1" s="1"/>
  <c r="L22" i="1"/>
  <c r="L26" i="1" s="1"/>
  <c r="K22" i="1"/>
  <c r="K110" i="1" s="1"/>
  <c r="H22" i="1"/>
  <c r="H110" i="1" s="1"/>
  <c r="F22" i="1"/>
  <c r="E22" i="1"/>
  <c r="E26" i="1" s="1"/>
  <c r="D22" i="1"/>
  <c r="D26" i="1" s="1"/>
  <c r="D35" i="1" s="1"/>
  <c r="C22" i="1"/>
  <c r="C110" i="1" s="1"/>
  <c r="B22" i="1"/>
  <c r="B110" i="1" s="1"/>
  <c r="BP21" i="1"/>
  <c r="BO21" i="1"/>
  <c r="BO91" i="1" s="1"/>
  <c r="BE21" i="1"/>
  <c r="V21" i="1"/>
  <c r="Z91" i="1" s="1"/>
  <c r="I21" i="1"/>
  <c r="G21" i="1"/>
  <c r="G91" i="1" s="1"/>
  <c r="BP16" i="1"/>
  <c r="BO16" i="1"/>
  <c r="I16" i="1"/>
  <c r="G16" i="1"/>
  <c r="G89" i="1" s="1"/>
  <c r="BP15" i="1"/>
  <c r="BP88" i="1" s="1"/>
  <c r="BO15" i="1"/>
  <c r="I15" i="1"/>
  <c r="G15" i="1"/>
  <c r="G87" i="1" s="1"/>
  <c r="I14" i="1"/>
  <c r="G14" i="1"/>
  <c r="G86" i="1" s="1"/>
  <c r="BP13" i="1"/>
  <c r="BO13" i="1"/>
  <c r="I13" i="1"/>
  <c r="G13" i="1"/>
  <c r="G84" i="1" s="1"/>
  <c r="BP11" i="1"/>
  <c r="BO11" i="1"/>
  <c r="BE11" i="1"/>
  <c r="V11" i="1"/>
  <c r="I11" i="1"/>
  <c r="G11" i="1"/>
  <c r="G82" i="1" s="1"/>
  <c r="AI10" i="1"/>
  <c r="AE5" i="1"/>
  <c r="AE79" i="1" s="1"/>
  <c r="AD124" i="1"/>
  <c r="AC124" i="1"/>
  <c r="AA80" i="1"/>
  <c r="AR5" i="1"/>
  <c r="E3" i="19" s="1"/>
  <c r="AQ5" i="1"/>
  <c r="AP5" i="1"/>
  <c r="AO5" i="1"/>
  <c r="AS79" i="1" s="1"/>
  <c r="AN5" i="1"/>
  <c r="AM5" i="1"/>
  <c r="AL5" i="1"/>
  <c r="AK5" i="1"/>
  <c r="AJ5" i="1"/>
  <c r="AI5" i="1"/>
  <c r="AH5" i="1"/>
  <c r="AG5" i="1"/>
  <c r="AF5" i="1"/>
  <c r="BP4" i="1"/>
  <c r="BO4" i="1"/>
  <c r="BK4" i="1"/>
  <c r="BL77" i="1" s="1"/>
  <c r="BJ4" i="1"/>
  <c r="BJ122" i="1" s="1"/>
  <c r="BI4" i="1"/>
  <c r="BI122" i="1" s="1"/>
  <c r="BD4" i="1"/>
  <c r="M4" i="1"/>
  <c r="L4" i="1"/>
  <c r="K4" i="1"/>
  <c r="AO3" i="1"/>
  <c r="AN3" i="1"/>
  <c r="Z3" i="1"/>
  <c r="L23" i="4" l="1"/>
  <c r="N59" i="8"/>
  <c r="M66" i="16"/>
  <c r="P59" i="8"/>
  <c r="O66" i="16"/>
  <c r="R64" i="8"/>
  <c r="Q71" i="16" s="1"/>
  <c r="Q66" i="16"/>
  <c r="AB75" i="16"/>
  <c r="T64" i="8"/>
  <c r="S71" i="16" s="1"/>
  <c r="S66" i="16"/>
  <c r="U60" i="8"/>
  <c r="T66" i="16"/>
  <c r="X75" i="16" s="1"/>
  <c r="BK110" i="1"/>
  <c r="BL92" i="1"/>
  <c r="AP124" i="1"/>
  <c r="C3" i="19"/>
  <c r="C8" i="19" s="1"/>
  <c r="AN58" i="8"/>
  <c r="AC59" i="8"/>
  <c r="E8" i="19"/>
  <c r="I4" i="19"/>
  <c r="AN56" i="8"/>
  <c r="AN60" i="8" s="1"/>
  <c r="AC57" i="8"/>
  <c r="F19" i="7"/>
  <c r="Y83" i="8"/>
  <c r="AC83" i="8"/>
  <c r="Y63" i="8"/>
  <c r="AN62" i="8"/>
  <c r="BC31" i="8"/>
  <c r="AM14" i="8"/>
  <c r="Y114" i="8"/>
  <c r="AN112" i="8"/>
  <c r="Y107" i="8"/>
  <c r="AN106" i="8"/>
  <c r="X107" i="8"/>
  <c r="AB107" i="8"/>
  <c r="X114" i="8"/>
  <c r="AB113" i="8"/>
  <c r="X59" i="8"/>
  <c r="AB59" i="8"/>
  <c r="O9" i="4"/>
  <c r="O72" i="4" s="1"/>
  <c r="AO26" i="1"/>
  <c r="AS96" i="1" s="1"/>
  <c r="AS92" i="1"/>
  <c r="J23" i="4"/>
  <c r="U83" i="8"/>
  <c r="V83" i="8"/>
  <c r="Z83" i="8"/>
  <c r="W83" i="8"/>
  <c r="AA83" i="8"/>
  <c r="X83" i="8"/>
  <c r="Z65" i="8"/>
  <c r="K6" i="7"/>
  <c r="M6" i="7" s="1"/>
  <c r="H48" i="2"/>
  <c r="N18" i="4"/>
  <c r="L31" i="4"/>
  <c r="L63" i="4" s="1"/>
  <c r="L84" i="4" s="1"/>
  <c r="AL110" i="8"/>
  <c r="G35" i="4"/>
  <c r="M19" i="4"/>
  <c r="L12" i="4"/>
  <c r="L74" i="4" s="1"/>
  <c r="K35" i="4"/>
  <c r="AL109" i="8"/>
  <c r="Q19" i="4"/>
  <c r="L19" i="4"/>
  <c r="M12" i="4"/>
  <c r="M74" i="4" s="1"/>
  <c r="Q9" i="4"/>
  <c r="Q72" i="4" s="1"/>
  <c r="Q37" i="4"/>
  <c r="P9" i="4"/>
  <c r="P31" i="4"/>
  <c r="P63" i="4" s="1"/>
  <c r="AL26" i="1"/>
  <c r="AP96" i="1" s="1"/>
  <c r="H12" i="4"/>
  <c r="F24" i="4"/>
  <c r="F12" i="4" s="1"/>
  <c r="H35" i="4"/>
  <c r="J6" i="7"/>
  <c r="Q25" i="4"/>
  <c r="R22" i="4"/>
  <c r="F32" i="4"/>
  <c r="Q22" i="4"/>
  <c r="O31" i="4"/>
  <c r="O63" i="4" s="1"/>
  <c r="Q31" i="4"/>
  <c r="Q63" i="4" s="1"/>
  <c r="L37" i="4"/>
  <c r="D23" i="7"/>
  <c r="F23" i="7" s="1"/>
  <c r="N25" i="4"/>
  <c r="U114" i="8"/>
  <c r="K19" i="4"/>
  <c r="I19" i="4"/>
  <c r="Y60" i="8"/>
  <c r="R31" i="4"/>
  <c r="R63" i="4" s="1"/>
  <c r="G31" i="4"/>
  <c r="H23" i="4"/>
  <c r="L9" i="4"/>
  <c r="K23" i="4"/>
  <c r="K79" i="4" s="1"/>
  <c r="K12" i="4"/>
  <c r="O25" i="4"/>
  <c r="I12" i="4"/>
  <c r="P25" i="4"/>
  <c r="J12" i="4"/>
  <c r="P34" i="4"/>
  <c r="I9" i="4"/>
  <c r="E94" i="8"/>
  <c r="E98" i="8" s="1"/>
  <c r="AK14" i="8"/>
  <c r="I23" i="4"/>
  <c r="M19" i="7"/>
  <c r="Q18" i="4"/>
  <c r="L35" i="4"/>
  <c r="M37" i="4"/>
  <c r="M17" i="7"/>
  <c r="N37" i="4"/>
  <c r="W59" i="8"/>
  <c r="AA59" i="8"/>
  <c r="R9" i="4"/>
  <c r="R72" i="4" s="1"/>
  <c r="F63" i="4"/>
  <c r="F64" i="4" s="1"/>
  <c r="P37" i="4"/>
  <c r="H7" i="6"/>
  <c r="H49" i="2"/>
  <c r="I35" i="4"/>
  <c r="J35" i="4"/>
  <c r="W114" i="8"/>
  <c r="AA113" i="8"/>
  <c r="AJ109" i="8"/>
  <c r="D8" i="9"/>
  <c r="AK111" i="8"/>
  <c r="AM56" i="8"/>
  <c r="AI64" i="8"/>
  <c r="F94" i="8"/>
  <c r="F116" i="8" s="1"/>
  <c r="AJ59" i="8"/>
  <c r="O23" i="4"/>
  <c r="O79" i="4" s="1"/>
  <c r="P60" i="8"/>
  <c r="AK61" i="8"/>
  <c r="X110" i="8"/>
  <c r="X119" i="8" s="1"/>
  <c r="H50" i="2"/>
  <c r="E17" i="4"/>
  <c r="E77" i="4" s="1"/>
  <c r="Y57" i="8"/>
  <c r="J9" i="4"/>
  <c r="H31" i="4"/>
  <c r="L30" i="4"/>
  <c r="C4" i="7"/>
  <c r="K9" i="4"/>
  <c r="I31" i="4"/>
  <c r="O34" i="4"/>
  <c r="AM106" i="8"/>
  <c r="AM110" i="8" s="1"/>
  <c r="N19" i="4"/>
  <c r="R20" i="4" s="1"/>
  <c r="P35" i="4"/>
  <c r="K37" i="4"/>
  <c r="J4" i="7"/>
  <c r="N12" i="4"/>
  <c r="N74" i="4" s="1"/>
  <c r="O22" i="4"/>
  <c r="K25" i="4"/>
  <c r="K30" i="4"/>
  <c r="J31" i="4"/>
  <c r="Q35" i="4"/>
  <c r="Q85" i="4" s="1"/>
  <c r="P12" i="4"/>
  <c r="P74" i="4" s="1"/>
  <c r="P23" i="4"/>
  <c r="P79" i="4" s="1"/>
  <c r="L25" i="4"/>
  <c r="K31" i="4"/>
  <c r="K63" i="4" s="1"/>
  <c r="K84" i="4" s="1"/>
  <c r="R35" i="4"/>
  <c r="R85" i="4" s="1"/>
  <c r="C5" i="7"/>
  <c r="D15" i="7"/>
  <c r="F15" i="7" s="1"/>
  <c r="Q12" i="4"/>
  <c r="Q23" i="4"/>
  <c r="Q79" i="4" s="1"/>
  <c r="M23" i="4"/>
  <c r="M79" i="4" s="1"/>
  <c r="L79" i="4"/>
  <c r="AI61" i="8"/>
  <c r="AM62" i="8"/>
  <c r="AR110" i="1"/>
  <c r="AV92" i="1"/>
  <c r="V114" i="8"/>
  <c r="Z113" i="8"/>
  <c r="Y59" i="8"/>
  <c r="G110" i="8"/>
  <c r="G119" i="8" s="1"/>
  <c r="AJ57" i="8"/>
  <c r="AL57" i="8"/>
  <c r="U59" i="8"/>
  <c r="AJ60" i="8"/>
  <c r="U64" i="8"/>
  <c r="T71" i="16" s="1"/>
  <c r="AM109" i="8"/>
  <c r="W113" i="8"/>
  <c r="R59" i="8"/>
  <c r="X64" i="8"/>
  <c r="W71" i="16" s="1"/>
  <c r="W60" i="8"/>
  <c r="Y111" i="8"/>
  <c r="AJ114" i="8"/>
  <c r="V113" i="8"/>
  <c r="AJ61" i="8"/>
  <c r="T59" i="8"/>
  <c r="AM58" i="8"/>
  <c r="X111" i="8"/>
  <c r="AJ111" i="8"/>
  <c r="T111" i="8"/>
  <c r="AK114" i="8"/>
  <c r="X113" i="8"/>
  <c r="AK63" i="8"/>
  <c r="AI60" i="8"/>
  <c r="U113" i="8"/>
  <c r="Y61" i="8"/>
  <c r="AL112" i="8"/>
  <c r="AL113" i="8" s="1"/>
  <c r="E7" i="6"/>
  <c r="BN95" i="1"/>
  <c r="I93" i="1"/>
  <c r="AM26" i="1"/>
  <c r="AM49" i="1" s="1"/>
  <c r="AM113" i="1" s="1"/>
  <c r="BP22" i="1"/>
  <c r="BP110" i="1" s="1"/>
  <c r="BO25" i="1"/>
  <c r="BO95" i="1" s="1"/>
  <c r="P45" i="4"/>
  <c r="AG133" i="1"/>
  <c r="AG132" i="1" s="1"/>
  <c r="AO133" i="1"/>
  <c r="AO135" i="1" s="1"/>
  <c r="AU49" i="1"/>
  <c r="AY102" i="1" s="1"/>
  <c r="AU111" i="1"/>
  <c r="AU117" i="1" s="1"/>
  <c r="AU45" i="1"/>
  <c r="AY100" i="1" s="1"/>
  <c r="AU35" i="1"/>
  <c r="AU37" i="1" s="1"/>
  <c r="BO22" i="1"/>
  <c r="BO92" i="1" s="1"/>
  <c r="AD25" i="1"/>
  <c r="AD95" i="1" s="1"/>
  <c r="AU92" i="1"/>
  <c r="AH26" i="1"/>
  <c r="AH111" i="1" s="1"/>
  <c r="AH117" i="1" s="1"/>
  <c r="Z143" i="1"/>
  <c r="AJ26" i="1"/>
  <c r="AJ45" i="1" s="1"/>
  <c r="F7" i="6"/>
  <c r="BP106" i="1"/>
  <c r="R43" i="4"/>
  <c r="L77" i="1"/>
  <c r="R42" i="4"/>
  <c r="F13" i="8"/>
  <c r="BO134" i="1"/>
  <c r="E5" i="8"/>
  <c r="F5" i="8"/>
  <c r="E18" i="8"/>
  <c r="M77" i="1"/>
  <c r="E43" i="4"/>
  <c r="E13" i="8"/>
  <c r="AL14" i="8"/>
  <c r="BM136" i="1"/>
  <c r="V22" i="1"/>
  <c r="V26" i="1" s="1"/>
  <c r="BE22" i="1"/>
  <c r="BE110" i="1" s="1"/>
  <c r="BP25" i="1"/>
  <c r="AI26" i="1"/>
  <c r="AI111" i="1" s="1"/>
  <c r="AI117" i="1" s="1"/>
  <c r="BK153" i="1"/>
  <c r="R111" i="1"/>
  <c r="R35" i="1"/>
  <c r="R40" i="1" s="1"/>
  <c r="N49" i="1"/>
  <c r="N113" i="1" s="1"/>
  <c r="N45" i="1"/>
  <c r="N112" i="1" s="1"/>
  <c r="BJ153" i="1"/>
  <c r="I91" i="1"/>
  <c r="BP134" i="1"/>
  <c r="I86" i="1"/>
  <c r="AC132" i="1"/>
  <c r="BO135" i="1"/>
  <c r="H5" i="8"/>
  <c r="I106" i="1"/>
  <c r="E68" i="4"/>
  <c r="E86" i="4" s="1"/>
  <c r="BP94" i="1"/>
  <c r="AJ14" i="8"/>
  <c r="F45" i="4"/>
  <c r="AQ26" i="1"/>
  <c r="AQ35" i="1" s="1"/>
  <c r="I84" i="1"/>
  <c r="I89" i="1"/>
  <c r="M112" i="1"/>
  <c r="AN124" i="1"/>
  <c r="L49" i="1"/>
  <c r="L111" i="1"/>
  <c r="L45" i="1"/>
  <c r="L35" i="1"/>
  <c r="AB80" i="1"/>
  <c r="AB124" i="1"/>
  <c r="AC111" i="1"/>
  <c r="AC117" i="1" s="1"/>
  <c r="AC49" i="1"/>
  <c r="AC45" i="1"/>
  <c r="AC35" i="1"/>
  <c r="AC37" i="1" s="1"/>
  <c r="AM80" i="1"/>
  <c r="AM124" i="1"/>
  <c r="BJ111" i="1"/>
  <c r="BJ35" i="1"/>
  <c r="AP111" i="1"/>
  <c r="AP117" i="1" s="1"/>
  <c r="AP49" i="1"/>
  <c r="AP35" i="1"/>
  <c r="AP37" i="1" s="1"/>
  <c r="AP45" i="1"/>
  <c r="AT124" i="1"/>
  <c r="AT80" i="1"/>
  <c r="Q111" i="1"/>
  <c r="Q35" i="1"/>
  <c r="E111" i="1"/>
  <c r="E35" i="1"/>
  <c r="E45" i="1"/>
  <c r="E49" i="1"/>
  <c r="BK122" i="1"/>
  <c r="Z110" i="1"/>
  <c r="AA45" i="1"/>
  <c r="BC101" i="1" s="1"/>
  <c r="AA111" i="1"/>
  <c r="AA117" i="1" s="1"/>
  <c r="M92" i="1"/>
  <c r="M110" i="1"/>
  <c r="AN111" i="1"/>
  <c r="AN117" i="1" s="1"/>
  <c r="M11" i="8"/>
  <c r="AH123" i="1"/>
  <c r="F92" i="1"/>
  <c r="F110" i="1"/>
  <c r="AT96" i="1"/>
  <c r="Q11" i="8"/>
  <c r="AL123" i="1"/>
  <c r="AL79" i="1"/>
  <c r="BP5" i="1"/>
  <c r="AK80" i="1"/>
  <c r="AK124" i="1"/>
  <c r="AK110" i="1"/>
  <c r="AK92" i="1"/>
  <c r="Z26" i="1"/>
  <c r="BG26" i="1"/>
  <c r="AO110" i="1"/>
  <c r="O37" i="4"/>
  <c r="O12" i="4"/>
  <c r="O74" i="4" s="1"/>
  <c r="O35" i="4"/>
  <c r="M96" i="1"/>
  <c r="M49" i="1"/>
  <c r="M111" i="1"/>
  <c r="BI26" i="1"/>
  <c r="AA92" i="1"/>
  <c r="AA110" i="1"/>
  <c r="AB111" i="1"/>
  <c r="AB117" i="1" s="1"/>
  <c r="BJ110" i="1"/>
  <c r="AA124" i="1"/>
  <c r="BP78" i="1"/>
  <c r="BP77" i="1"/>
  <c r="T11" i="8"/>
  <c r="T5" i="8" s="1"/>
  <c r="AO79" i="1"/>
  <c r="BP122" i="1"/>
  <c r="BP83" i="1"/>
  <c r="BP82" i="1"/>
  <c r="BP91" i="1"/>
  <c r="N92" i="1"/>
  <c r="AB92" i="1"/>
  <c r="AN92" i="1"/>
  <c r="B26" i="1"/>
  <c r="D96" i="1" s="1"/>
  <c r="P26" i="1"/>
  <c r="Q96" i="1" s="1"/>
  <c r="BK26" i="1"/>
  <c r="BL96" i="1" s="1"/>
  <c r="BJ104" i="1"/>
  <c r="BO78" i="1"/>
  <c r="BO77" i="1"/>
  <c r="N111" i="1"/>
  <c r="N96" i="1"/>
  <c r="G5" i="6"/>
  <c r="G7" i="6" s="1"/>
  <c r="G11" i="8"/>
  <c r="AI11" i="8" s="1"/>
  <c r="AB79" i="1"/>
  <c r="U11" i="8"/>
  <c r="AP123" i="1"/>
  <c r="BQ11" i="1"/>
  <c r="BS11" i="1" s="1"/>
  <c r="BO88" i="1"/>
  <c r="BO87" i="1"/>
  <c r="AC92" i="1"/>
  <c r="AO92" i="1"/>
  <c r="I94" i="1"/>
  <c r="C26" i="1"/>
  <c r="M35" i="1"/>
  <c r="AA35" i="1"/>
  <c r="AA37" i="1" s="1"/>
  <c r="AN45" i="1"/>
  <c r="H92" i="1"/>
  <c r="R96" i="1"/>
  <c r="AB123" i="1"/>
  <c r="BN134" i="1"/>
  <c r="BN135" i="1"/>
  <c r="BN136" i="1" s="1"/>
  <c r="L110" i="1"/>
  <c r="L92" i="1"/>
  <c r="AL110" i="1"/>
  <c r="AL92" i="1"/>
  <c r="Q92" i="1"/>
  <c r="Q110" i="1"/>
  <c r="AD110" i="1"/>
  <c r="AD92" i="1"/>
  <c r="AT92" i="1"/>
  <c r="AP110" i="1"/>
  <c r="AP92" i="1"/>
  <c r="BM92" i="1"/>
  <c r="BM110" i="1"/>
  <c r="D111" i="1"/>
  <c r="AE26" i="1"/>
  <c r="BM26" i="1"/>
  <c r="N35" i="1"/>
  <c r="AB35" i="1"/>
  <c r="AB37" i="1" s="1"/>
  <c r="AN35" i="1"/>
  <c r="AN37" i="1" s="1"/>
  <c r="D49" i="1"/>
  <c r="AN49" i="1"/>
  <c r="AP79" i="1"/>
  <c r="J11" i="8"/>
  <c r="AE123" i="1"/>
  <c r="V11" i="8"/>
  <c r="V94" i="8" s="1"/>
  <c r="V98" i="8" s="1"/>
  <c r="AQ123" i="1"/>
  <c r="K11" i="8"/>
  <c r="AF123" i="1"/>
  <c r="AF79" i="1"/>
  <c r="W11" i="8"/>
  <c r="AR123" i="1"/>
  <c r="AR79" i="1"/>
  <c r="BN6" i="1"/>
  <c r="D3" i="19"/>
  <c r="D92" i="1"/>
  <c r="D110" i="1"/>
  <c r="R92" i="1"/>
  <c r="R110" i="1"/>
  <c r="BN92" i="1"/>
  <c r="BN110" i="1"/>
  <c r="AI95" i="1"/>
  <c r="S26" i="1"/>
  <c r="AF26" i="1"/>
  <c r="AR26" i="1"/>
  <c r="AV96" i="1" s="1"/>
  <c r="BN26" i="1"/>
  <c r="D45" i="1"/>
  <c r="AB45" i="1"/>
  <c r="AA49" i="1"/>
  <c r="BC103" i="1" s="1"/>
  <c r="AQ79" i="1"/>
  <c r="AE92" i="1"/>
  <c r="AH135" i="1"/>
  <c r="AK133" i="1"/>
  <c r="M30" i="4"/>
  <c r="Z80" i="1"/>
  <c r="Z124" i="1"/>
  <c r="S11" i="8"/>
  <c r="S5" i="8" s="1"/>
  <c r="AN79" i="1"/>
  <c r="AM92" i="1"/>
  <c r="AM110" i="1"/>
  <c r="L11" i="8"/>
  <c r="AG123" i="1"/>
  <c r="AG79" i="1"/>
  <c r="X11" i="8"/>
  <c r="AB12" i="8" s="1"/>
  <c r="AF124" i="1"/>
  <c r="AF80" i="1"/>
  <c r="AR124" i="1"/>
  <c r="AR80" i="1"/>
  <c r="E92" i="1"/>
  <c r="E110" i="1"/>
  <c r="AJ95" i="1"/>
  <c r="AN95" i="1"/>
  <c r="F26" i="1"/>
  <c r="U26" i="1"/>
  <c r="AB49" i="1"/>
  <c r="AZ103" i="1" s="1"/>
  <c r="AC80" i="1"/>
  <c r="AF92" i="1"/>
  <c r="AL95" i="1"/>
  <c r="N110" i="1"/>
  <c r="AN123" i="1"/>
  <c r="I87" i="1"/>
  <c r="AD80" i="1"/>
  <c r="BP87" i="1"/>
  <c r="AQ92" i="1"/>
  <c r="AM95" i="1"/>
  <c r="V113" i="1"/>
  <c r="AO123" i="1"/>
  <c r="AL124" i="1"/>
  <c r="N11" i="8"/>
  <c r="N13" i="8" s="1"/>
  <c r="AI123" i="1"/>
  <c r="AI79" i="1"/>
  <c r="AL80" i="1"/>
  <c r="I82" i="1"/>
  <c r="BO85" i="1"/>
  <c r="BO84" i="1"/>
  <c r="BP90" i="1"/>
  <c r="BP89" i="1"/>
  <c r="G22" i="1"/>
  <c r="AH110" i="1"/>
  <c r="AH92" i="1"/>
  <c r="H26" i="1"/>
  <c r="W26" i="1"/>
  <c r="AA96" i="1" s="1"/>
  <c r="BD26" i="1"/>
  <c r="AT49" i="1"/>
  <c r="AX102" i="1" s="1"/>
  <c r="BJ77" i="1"/>
  <c r="AR92" i="1"/>
  <c r="AB110" i="1"/>
  <c r="R11" i="8"/>
  <c r="AM79" i="1"/>
  <c r="AM123" i="1"/>
  <c r="BO122" i="1"/>
  <c r="BO83" i="1"/>
  <c r="AG80" i="1"/>
  <c r="AG124" i="1"/>
  <c r="AO95" i="1"/>
  <c r="O11" i="8"/>
  <c r="AJ123" i="1"/>
  <c r="AJ79" i="1"/>
  <c r="AI124" i="1"/>
  <c r="V114" i="1"/>
  <c r="V112" i="1"/>
  <c r="V118" i="1" s="1"/>
  <c r="V122" i="1"/>
  <c r="Z82" i="1"/>
  <c r="AI110" i="1"/>
  <c r="AI92" i="1"/>
  <c r="X26" i="1"/>
  <c r="AT45" i="1"/>
  <c r="AX100" i="1" s="1"/>
  <c r="BK77" i="1"/>
  <c r="AP80" i="1"/>
  <c r="AC110" i="1"/>
  <c r="AT111" i="1"/>
  <c r="AT117" i="1" s="1"/>
  <c r="BP93" i="1"/>
  <c r="AT123" i="1"/>
  <c r="Y11" i="8"/>
  <c r="Y94" i="8" s="1"/>
  <c r="Y102" i="8" s="1"/>
  <c r="AT79" i="1"/>
  <c r="BO90" i="1"/>
  <c r="BO89" i="1"/>
  <c r="AG110" i="1"/>
  <c r="AG92" i="1"/>
  <c r="D40" i="1"/>
  <c r="D116" i="1"/>
  <c r="BM6" i="1"/>
  <c r="BP85" i="1"/>
  <c r="BP84" i="1"/>
  <c r="AK123" i="1"/>
  <c r="P11" i="8"/>
  <c r="AK79" i="1"/>
  <c r="BO5" i="1"/>
  <c r="I22" i="1"/>
  <c r="AJ110" i="1"/>
  <c r="AJ92" i="1"/>
  <c r="I95" i="1"/>
  <c r="K26" i="1"/>
  <c r="L96" i="1" s="1"/>
  <c r="Y26" i="1"/>
  <c r="AC96" i="1" s="1"/>
  <c r="AK26" i="1"/>
  <c r="BF26" i="1"/>
  <c r="AT35" i="1"/>
  <c r="AT37" i="1" s="1"/>
  <c r="V115" i="1"/>
  <c r="Z106" i="1"/>
  <c r="BO82" i="1"/>
  <c r="AN110" i="1"/>
  <c r="BJ135" i="1"/>
  <c r="BK134" i="1"/>
  <c r="H42" i="8"/>
  <c r="H25" i="8"/>
  <c r="H21" i="8"/>
  <c r="M9" i="4"/>
  <c r="M34" i="4"/>
  <c r="M31" i="4"/>
  <c r="M35" i="4"/>
  <c r="N35" i="4"/>
  <c r="N85" i="4" s="1"/>
  <c r="BJ134" i="1"/>
  <c r="N34" i="4"/>
  <c r="N31" i="4"/>
  <c r="N9" i="4"/>
  <c r="E21" i="4"/>
  <c r="G9" i="4"/>
  <c r="G19" i="4"/>
  <c r="M41" i="4"/>
  <c r="H9" i="4"/>
  <c r="H19" i="4"/>
  <c r="K22" i="4"/>
  <c r="N30" i="4"/>
  <c r="R37" i="4"/>
  <c r="Q45" i="4"/>
  <c r="R80" i="4"/>
  <c r="O19" i="4"/>
  <c r="O18" i="4"/>
  <c r="R23" i="4"/>
  <c r="R79" i="4" s="1"/>
  <c r="R25" i="4"/>
  <c r="R12" i="4"/>
  <c r="R74" i="4" s="1"/>
  <c r="P18" i="4"/>
  <c r="P19" i="4"/>
  <c r="G12" i="4"/>
  <c r="E24" i="4"/>
  <c r="G23" i="4"/>
  <c r="Q34" i="4"/>
  <c r="R18" i="4"/>
  <c r="F21" i="4"/>
  <c r="K44" i="4"/>
  <c r="R45" i="4"/>
  <c r="O56" i="4"/>
  <c r="O68" i="4" s="1"/>
  <c r="R65" i="4"/>
  <c r="L22" i="4"/>
  <c r="R34" i="4"/>
  <c r="E65" i="4"/>
  <c r="E61" i="4" s="1"/>
  <c r="E83" i="4" s="1"/>
  <c r="AI114" i="8"/>
  <c r="F17" i="4"/>
  <c r="M22" i="4"/>
  <c r="O30" i="4"/>
  <c r="F41" i="4"/>
  <c r="BP135" i="1"/>
  <c r="K18" i="4"/>
  <c r="N22" i="4"/>
  <c r="M25" i="4"/>
  <c r="P30" i="4"/>
  <c r="H13" i="8"/>
  <c r="M59" i="8"/>
  <c r="M64" i="8"/>
  <c r="L71" i="16" s="1"/>
  <c r="AK58" i="8"/>
  <c r="AK60" i="8" s="1"/>
  <c r="L18" i="4"/>
  <c r="J19" i="4"/>
  <c r="Q30" i="4"/>
  <c r="O43" i="4"/>
  <c r="M18" i="4"/>
  <c r="P22" i="4"/>
  <c r="N23" i="4"/>
  <c r="N79" i="4" s="1"/>
  <c r="R30" i="4"/>
  <c r="P43" i="4"/>
  <c r="H94" i="8"/>
  <c r="H98" i="8" s="1"/>
  <c r="H118" i="8" s="1"/>
  <c r="K34" i="4"/>
  <c r="AI14" i="8"/>
  <c r="Q59" i="8"/>
  <c r="Q64" i="8"/>
  <c r="P71" i="16" s="1"/>
  <c r="Q60" i="8"/>
  <c r="AL58" i="8"/>
  <c r="AL59" i="8" s="1"/>
  <c r="E20" i="6"/>
  <c r="E19" i="6"/>
  <c r="E12" i="6"/>
  <c r="L34" i="4"/>
  <c r="O65" i="4"/>
  <c r="F18" i="8"/>
  <c r="F19" i="6"/>
  <c r="F12" i="6"/>
  <c r="AK57" i="8"/>
  <c r="S113" i="8"/>
  <c r="AL61" i="8"/>
  <c r="W63" i="8"/>
  <c r="K107" i="8"/>
  <c r="W107" i="8"/>
  <c r="AM112" i="8"/>
  <c r="T113" i="8"/>
  <c r="G114" i="8"/>
  <c r="H16" i="6"/>
  <c r="W64" i="8"/>
  <c r="V71" i="16" s="1"/>
  <c r="G111" i="8"/>
  <c r="AJ63" i="8"/>
  <c r="Y64" i="8"/>
  <c r="W110" i="8"/>
  <c r="W119" i="8" s="1"/>
  <c r="K113" i="8"/>
  <c r="W57" i="8"/>
  <c r="R60" i="8"/>
  <c r="N64" i="8"/>
  <c r="M71" i="16" s="1"/>
  <c r="O107" i="8"/>
  <c r="X57" i="8"/>
  <c r="AL63" i="8"/>
  <c r="AJ64" i="8"/>
  <c r="AI106" i="8"/>
  <c r="AI111" i="8" s="1"/>
  <c r="Y110" i="8"/>
  <c r="Y119" i="8" s="1"/>
  <c r="W111" i="8"/>
  <c r="Y113" i="8"/>
  <c r="E28" i="6"/>
  <c r="P64" i="8"/>
  <c r="O71" i="16" s="1"/>
  <c r="AK109" i="8"/>
  <c r="AJ113" i="8"/>
  <c r="F28" i="6"/>
  <c r="J5" i="7"/>
  <c r="D7" i="7"/>
  <c r="B17" i="7"/>
  <c r="B20" i="7" s="1"/>
  <c r="AJ110" i="8"/>
  <c r="O113" i="8"/>
  <c r="AK113" i="8"/>
  <c r="AK110" i="8"/>
  <c r="AN63" i="8" l="1"/>
  <c r="AQ40" i="1"/>
  <c r="AQ37" i="1"/>
  <c r="AW101" i="1"/>
  <c r="BA101" i="1"/>
  <c r="AX101" i="1"/>
  <c r="AZ101" i="1"/>
  <c r="AW103" i="1"/>
  <c r="BA103" i="1"/>
  <c r="AC65" i="8"/>
  <c r="X71" i="16"/>
  <c r="V65" i="8"/>
  <c r="AY101" i="1"/>
  <c r="AY103" i="1"/>
  <c r="AO35" i="1"/>
  <c r="AO116" i="1" s="1"/>
  <c r="AO111" i="1"/>
  <c r="AO117" i="1" s="1"/>
  <c r="AO49" i="1"/>
  <c r="AS102" i="1" s="1"/>
  <c r="D8" i="19"/>
  <c r="G3" i="19"/>
  <c r="AC12" i="8"/>
  <c r="AN57" i="8"/>
  <c r="AN113" i="8"/>
  <c r="AN61" i="8"/>
  <c r="AN64" i="8"/>
  <c r="U13" i="8"/>
  <c r="AM11" i="8"/>
  <c r="AM13" i="8" s="1"/>
  <c r="E42" i="8"/>
  <c r="E29" i="8" s="1"/>
  <c r="AK11" i="8"/>
  <c r="AK13" i="8" s="1"/>
  <c r="AL11" i="8"/>
  <c r="AL13" i="8" s="1"/>
  <c r="AN107" i="8"/>
  <c r="AN110" i="8"/>
  <c r="AM59" i="8"/>
  <c r="AN59" i="8"/>
  <c r="AN114" i="8"/>
  <c r="AN111" i="8"/>
  <c r="BP6" i="1"/>
  <c r="AS80" i="1"/>
  <c r="X65" i="8"/>
  <c r="AB65" i="8"/>
  <c r="AO96" i="1"/>
  <c r="AO45" i="1"/>
  <c r="AS100" i="1" s="1"/>
  <c r="AV103" i="1"/>
  <c r="AS103" i="1"/>
  <c r="AV101" i="1"/>
  <c r="AS101" i="1"/>
  <c r="L6" i="7"/>
  <c r="Y65" i="8"/>
  <c r="W65" i="8"/>
  <c r="AA65" i="8"/>
  <c r="U65" i="8"/>
  <c r="L32" i="4"/>
  <c r="F18" i="4"/>
  <c r="F23" i="4"/>
  <c r="F79" i="4" s="1"/>
  <c r="F25" i="4"/>
  <c r="Q20" i="4"/>
  <c r="M20" i="4"/>
  <c r="O20" i="4"/>
  <c r="L20" i="4"/>
  <c r="AG135" i="1"/>
  <c r="L11" i="4"/>
  <c r="P20" i="4"/>
  <c r="P10" i="4"/>
  <c r="F102" i="8"/>
  <c r="F117" i="8" s="1"/>
  <c r="F98" i="8"/>
  <c r="C4" i="12" s="1"/>
  <c r="Q10" i="4"/>
  <c r="P72" i="4"/>
  <c r="O32" i="4"/>
  <c r="L13" i="4"/>
  <c r="P32" i="4"/>
  <c r="K13" i="4"/>
  <c r="M13" i="4"/>
  <c r="H11" i="4"/>
  <c r="N20" i="4"/>
  <c r="I11" i="4"/>
  <c r="AL35" i="1"/>
  <c r="AL49" i="1"/>
  <c r="AP102" i="1" s="1"/>
  <c r="AL111" i="1"/>
  <c r="AL117" i="1" s="1"/>
  <c r="AL45" i="1"/>
  <c r="AL112" i="1" s="1"/>
  <c r="K20" i="4"/>
  <c r="K32" i="4"/>
  <c r="AH49" i="1"/>
  <c r="AH113" i="1" s="1"/>
  <c r="E21" i="8"/>
  <c r="AH35" i="1"/>
  <c r="K11" i="4"/>
  <c r="AQ49" i="1"/>
  <c r="AU102" i="1" s="1"/>
  <c r="AQ111" i="1"/>
  <c r="AQ117" i="1" s="1"/>
  <c r="Q32" i="4"/>
  <c r="AO132" i="1"/>
  <c r="L10" i="4"/>
  <c r="AI96" i="1"/>
  <c r="J11" i="4"/>
  <c r="AM60" i="8"/>
  <c r="E25" i="8"/>
  <c r="K10" i="4"/>
  <c r="AJ35" i="1"/>
  <c r="O10" i="4"/>
  <c r="AH45" i="1"/>
  <c r="AH112" i="1" s="1"/>
  <c r="E116" i="8"/>
  <c r="E102" i="8"/>
  <c r="E117" i="8" s="1"/>
  <c r="N11" i="4"/>
  <c r="N73" i="4" s="1"/>
  <c r="AM111" i="1"/>
  <c r="AM117" i="1" s="1"/>
  <c r="AM35" i="1"/>
  <c r="F84" i="4"/>
  <c r="AM45" i="1"/>
  <c r="AM101" i="1" s="1"/>
  <c r="AM61" i="8"/>
  <c r="BP92" i="1"/>
  <c r="AM57" i="8"/>
  <c r="W13" i="8"/>
  <c r="AA12" i="8"/>
  <c r="N13" i="4"/>
  <c r="AM63" i="8"/>
  <c r="Q11" i="4"/>
  <c r="Q73" i="4" s="1"/>
  <c r="Q13" i="4"/>
  <c r="AU101" i="1"/>
  <c r="Q74" i="4"/>
  <c r="BP136" i="1"/>
  <c r="N50" i="1"/>
  <c r="N114" i="1" s="1"/>
  <c r="AU103" i="1"/>
  <c r="P13" i="4"/>
  <c r="P11" i="4"/>
  <c r="P73" i="4" s="1"/>
  <c r="R116" i="1"/>
  <c r="BO110" i="1"/>
  <c r="AJ111" i="1"/>
  <c r="AJ117" i="1" s="1"/>
  <c r="AJ49" i="1"/>
  <c r="AJ103" i="1" s="1"/>
  <c r="AJ96" i="1"/>
  <c r="AJ107" i="8"/>
  <c r="AL114" i="8"/>
  <c r="AL111" i="8"/>
  <c r="AL64" i="8"/>
  <c r="AL60" i="8"/>
  <c r="AM64" i="8"/>
  <c r="U5" i="8"/>
  <c r="N102" i="1"/>
  <c r="AM50" i="1"/>
  <c r="AM114" i="1" s="1"/>
  <c r="S13" i="8"/>
  <c r="T13" i="8"/>
  <c r="AN96" i="1"/>
  <c r="N100" i="1"/>
  <c r="BE26" i="1"/>
  <c r="BE49" i="1" s="1"/>
  <c r="BO26" i="1"/>
  <c r="BO45" i="1" s="1"/>
  <c r="Z92" i="1"/>
  <c r="AL96" i="1"/>
  <c r="AG25" i="1"/>
  <c r="AG26" i="1" s="1"/>
  <c r="AK96" i="1" s="1"/>
  <c r="BP26" i="1"/>
  <c r="BP49" i="1" s="1"/>
  <c r="AU96" i="1"/>
  <c r="AU40" i="1"/>
  <c r="AY97" i="1" s="1"/>
  <c r="AU116" i="1"/>
  <c r="AU112" i="1"/>
  <c r="AI35" i="1"/>
  <c r="AI49" i="1"/>
  <c r="AM102" i="1" s="1"/>
  <c r="AU50" i="1"/>
  <c r="AY104" i="1" s="1"/>
  <c r="AU113" i="1"/>
  <c r="AI45" i="1"/>
  <c r="AI112" i="1" s="1"/>
  <c r="AM96" i="1"/>
  <c r="AD26" i="1"/>
  <c r="AI80" i="1"/>
  <c r="AH95" i="1"/>
  <c r="V110" i="1"/>
  <c r="AQ116" i="1"/>
  <c r="BP95" i="1"/>
  <c r="AQ96" i="1"/>
  <c r="BN80" i="1"/>
  <c r="AQ45" i="1"/>
  <c r="AU100" i="1" s="1"/>
  <c r="N5" i="8"/>
  <c r="H87" i="8"/>
  <c r="H51" i="8"/>
  <c r="H37" i="8" s="1"/>
  <c r="G10" i="16" s="1"/>
  <c r="AJ124" i="1"/>
  <c r="AJ80" i="1"/>
  <c r="H27" i="8"/>
  <c r="I110" i="1"/>
  <c r="I26" i="1"/>
  <c r="I92" i="1"/>
  <c r="V12" i="8"/>
  <c r="V5" i="8"/>
  <c r="V121" i="8" s="1"/>
  <c r="V13" i="8"/>
  <c r="V18" i="8"/>
  <c r="BM111" i="1"/>
  <c r="BM117" i="1" s="1"/>
  <c r="BM35" i="1"/>
  <c r="BM96" i="1"/>
  <c r="BM45" i="1"/>
  <c r="BM49" i="1"/>
  <c r="C111" i="1"/>
  <c r="C35" i="1"/>
  <c r="C45" i="1"/>
  <c r="C112" i="1" s="1"/>
  <c r="C49" i="1"/>
  <c r="E102" i="1" s="1"/>
  <c r="B111" i="1"/>
  <c r="B35" i="1"/>
  <c r="B45" i="1"/>
  <c r="B112" i="1" s="1"/>
  <c r="B49" i="1"/>
  <c r="D102" i="1" s="1"/>
  <c r="O13" i="4"/>
  <c r="O11" i="4"/>
  <c r="O73" i="4" s="1"/>
  <c r="K74" i="4"/>
  <c r="O94" i="8"/>
  <c r="O13" i="8"/>
  <c r="O18" i="8"/>
  <c r="O12" i="8"/>
  <c r="O5" i="8"/>
  <c r="Q94" i="8"/>
  <c r="Q18" i="8"/>
  <c r="Q12" i="8"/>
  <c r="Q5" i="8"/>
  <c r="Q13" i="8"/>
  <c r="AC116" i="1"/>
  <c r="AC40" i="1"/>
  <c r="H19" i="6"/>
  <c r="H12" i="6"/>
  <c r="AT116" i="1"/>
  <c r="AT40" i="1"/>
  <c r="AX97" i="1" s="1"/>
  <c r="X111" i="1"/>
  <c r="X117" i="1" s="1"/>
  <c r="X35" i="1"/>
  <c r="X37" i="1" s="1"/>
  <c r="X45" i="1"/>
  <c r="X112" i="1" s="1"/>
  <c r="X118" i="1" s="1"/>
  <c r="X49" i="1"/>
  <c r="AB102" i="1" s="1"/>
  <c r="D112" i="1"/>
  <c r="AQ124" i="1"/>
  <c r="AQ80" i="1"/>
  <c r="AB96" i="1"/>
  <c r="E113" i="1"/>
  <c r="E50" i="1"/>
  <c r="AC112" i="1"/>
  <c r="AC52" i="1"/>
  <c r="L116" i="1"/>
  <c r="L40" i="1"/>
  <c r="AA113" i="1"/>
  <c r="AA50" i="1"/>
  <c r="BC105" i="1" s="1"/>
  <c r="G94" i="8"/>
  <c r="G18" i="8"/>
  <c r="AI18" i="8" s="1"/>
  <c r="AI20" i="8" s="1"/>
  <c r="AI13" i="8"/>
  <c r="J94" i="8"/>
  <c r="J12" i="8"/>
  <c r="J13" i="8"/>
  <c r="J5" i="8"/>
  <c r="J18" i="8"/>
  <c r="G16" i="6"/>
  <c r="Q116" i="1"/>
  <c r="Q40" i="1"/>
  <c r="R97" i="1" s="1"/>
  <c r="H28" i="6"/>
  <c r="O61" i="4"/>
  <c r="AK59" i="8"/>
  <c r="AK64" i="8"/>
  <c r="M72" i="4"/>
  <c r="Q42" i="4"/>
  <c r="N10" i="4"/>
  <c r="R10" i="4"/>
  <c r="M11" i="4"/>
  <c r="M73" i="4" s="1"/>
  <c r="M10" i="4"/>
  <c r="R94" i="8"/>
  <c r="R18" i="8"/>
  <c r="R12" i="8"/>
  <c r="R5" i="8"/>
  <c r="R13" i="8"/>
  <c r="BN111" i="1"/>
  <c r="BN117" i="1" s="1"/>
  <c r="BN35" i="1"/>
  <c r="BN96" i="1"/>
  <c r="BN49" i="1"/>
  <c r="BN45" i="1"/>
  <c r="AE124" i="1"/>
  <c r="AE80" i="1"/>
  <c r="AE111" i="1"/>
  <c r="AE117" i="1" s="1"/>
  <c r="AE96" i="1"/>
  <c r="AE49" i="1"/>
  <c r="AE45" i="1"/>
  <c r="AE35" i="1"/>
  <c r="AE37" i="1" s="1"/>
  <c r="E112" i="1"/>
  <c r="AC113" i="1"/>
  <c r="AC50" i="1"/>
  <c r="L112" i="1"/>
  <c r="B4" i="12"/>
  <c r="E118" i="8"/>
  <c r="G110" i="1"/>
  <c r="G92" i="1"/>
  <c r="G26" i="1"/>
  <c r="AJ112" i="1"/>
  <c r="AJ101" i="1"/>
  <c r="AJ52" i="1"/>
  <c r="N63" i="4"/>
  <c r="N84" i="4" s="1"/>
  <c r="N32" i="4"/>
  <c r="BF111" i="1"/>
  <c r="BF35" i="1"/>
  <c r="BF45" i="1"/>
  <c r="BF112" i="1" s="1"/>
  <c r="BF49" i="1"/>
  <c r="P94" i="8"/>
  <c r="P18" i="8"/>
  <c r="P12" i="8"/>
  <c r="P5" i="8"/>
  <c r="P13" i="8"/>
  <c r="S94" i="8"/>
  <c r="S18" i="8"/>
  <c r="S12" i="8"/>
  <c r="AR111" i="1"/>
  <c r="AR117" i="1" s="1"/>
  <c r="AR96" i="1"/>
  <c r="AR49" i="1"/>
  <c r="AV102" i="1" s="1"/>
  <c r="AR35" i="1"/>
  <c r="AR37" i="1" s="1"/>
  <c r="AR45" i="1"/>
  <c r="AV100" i="1" s="1"/>
  <c r="BG45" i="1"/>
  <c r="BG112" i="1" s="1"/>
  <c r="BG111" i="1"/>
  <c r="BG35" i="1"/>
  <c r="BG49" i="1"/>
  <c r="AA112" i="1"/>
  <c r="AA52" i="1"/>
  <c r="E116" i="1"/>
  <c r="E40" i="1"/>
  <c r="BJ116" i="1"/>
  <c r="BJ40" i="1"/>
  <c r="L94" i="8"/>
  <c r="L5" i="8"/>
  <c r="L18" i="8"/>
  <c r="L12" i="8"/>
  <c r="O64" i="4"/>
  <c r="O84" i="4"/>
  <c r="G13" i="8"/>
  <c r="AI110" i="8"/>
  <c r="AL107" i="8"/>
  <c r="AK107" i="8"/>
  <c r="AM113" i="8"/>
  <c r="AM111" i="8"/>
  <c r="AM114" i="8"/>
  <c r="R32" i="4"/>
  <c r="N72" i="4"/>
  <c r="BO136" i="1"/>
  <c r="AK111" i="1"/>
  <c r="AK117" i="1" s="1"/>
  <c r="AK35" i="1"/>
  <c r="AK37" i="1" s="1"/>
  <c r="AK49" i="1"/>
  <c r="AK45" i="1"/>
  <c r="AF111" i="1"/>
  <c r="AF117" i="1" s="1"/>
  <c r="AF96" i="1"/>
  <c r="AF49" i="1"/>
  <c r="AF45" i="1"/>
  <c r="AF35" i="1"/>
  <c r="AF37" i="1" s="1"/>
  <c r="AN103" i="1"/>
  <c r="AN113" i="1"/>
  <c r="AN50" i="1"/>
  <c r="Z45" i="1"/>
  <c r="AT101" i="1" s="1"/>
  <c r="Z111" i="1"/>
  <c r="Z117" i="1" s="1"/>
  <c r="Z96" i="1"/>
  <c r="Z49" i="1"/>
  <c r="Z35" i="1"/>
  <c r="Z37" i="1" s="1"/>
  <c r="E96" i="1"/>
  <c r="AP112" i="1"/>
  <c r="L113" i="1"/>
  <c r="L50" i="1"/>
  <c r="R84" i="4"/>
  <c r="Q84" i="4"/>
  <c r="O67" i="4"/>
  <c r="O85" i="4" s="1"/>
  <c r="O86" i="4"/>
  <c r="Y111" i="1"/>
  <c r="Y117" i="1" s="1"/>
  <c r="Y35" i="1"/>
  <c r="Y37" i="1" s="1"/>
  <c r="Y45" i="1"/>
  <c r="Y112" i="1" s="1"/>
  <c r="Y118" i="1" s="1"/>
  <c r="Y49" i="1"/>
  <c r="Y5" i="8"/>
  <c r="Y121" i="8" s="1"/>
  <c r="Y13" i="8"/>
  <c r="Y18" i="8"/>
  <c r="Y12" i="8"/>
  <c r="S111" i="1"/>
  <c r="S35" i="1"/>
  <c r="W94" i="8"/>
  <c r="W12" i="8"/>
  <c r="W5" i="8"/>
  <c r="W18" i="8"/>
  <c r="AA19" i="8" s="1"/>
  <c r="D113" i="1"/>
  <c r="D50" i="1"/>
  <c r="AN100" i="1"/>
  <c r="AN101" i="1"/>
  <c r="AN112" i="1"/>
  <c r="BI111" i="1"/>
  <c r="BI35" i="1"/>
  <c r="AP116" i="1"/>
  <c r="AP40" i="1"/>
  <c r="V35" i="1"/>
  <c r="V37" i="1" s="1"/>
  <c r="V111" i="1"/>
  <c r="V117" i="1" s="1"/>
  <c r="R11" i="4"/>
  <c r="R73" i="4" s="1"/>
  <c r="R13" i="4"/>
  <c r="BJ136" i="1"/>
  <c r="BK136" i="1"/>
  <c r="AB113" i="1"/>
  <c r="AB50" i="1"/>
  <c r="AZ105" i="1" s="1"/>
  <c r="AP113" i="1"/>
  <c r="AP50" i="1"/>
  <c r="AN80" i="1"/>
  <c r="E31" i="6"/>
  <c r="E33" i="6" s="1"/>
  <c r="E34" i="6" s="1"/>
  <c r="E24" i="6"/>
  <c r="M63" i="4"/>
  <c r="M84" i="4" s="1"/>
  <c r="M32" i="4"/>
  <c r="D6" i="7"/>
  <c r="L5" i="7"/>
  <c r="D17" i="7"/>
  <c r="L4" i="7"/>
  <c r="E4" i="7"/>
  <c r="F43" i="4"/>
  <c r="F53" i="4"/>
  <c r="F65" i="4" s="1"/>
  <c r="P84" i="4"/>
  <c r="P64" i="4"/>
  <c r="K111" i="1"/>
  <c r="K49" i="1"/>
  <c r="K45" i="1"/>
  <c r="K112" i="1" s="1"/>
  <c r="K35" i="1"/>
  <c r="AM107" i="8"/>
  <c r="R68" i="4"/>
  <c r="R61" i="4"/>
  <c r="E9" i="4"/>
  <c r="E72" i="4" s="1"/>
  <c r="E19" i="4"/>
  <c r="E78" i="4" s="1"/>
  <c r="G5" i="8"/>
  <c r="BM80" i="1"/>
  <c r="BM5" i="1"/>
  <c r="BD111" i="1"/>
  <c r="BD45" i="1"/>
  <c r="BD112" i="1" s="1"/>
  <c r="BD49" i="1"/>
  <c r="BD35" i="1"/>
  <c r="AK132" i="1"/>
  <c r="AK135" i="1"/>
  <c r="AN116" i="1"/>
  <c r="AN40" i="1"/>
  <c r="AA116" i="1"/>
  <c r="AA40" i="1"/>
  <c r="AO124" i="1"/>
  <c r="AO80" i="1"/>
  <c r="T18" i="8"/>
  <c r="T94" i="8"/>
  <c r="T12" i="8"/>
  <c r="M102" i="1"/>
  <c r="M113" i="1"/>
  <c r="M50" i="1"/>
  <c r="AB112" i="1"/>
  <c r="AB52" i="1"/>
  <c r="H102" i="8"/>
  <c r="H15" i="8" s="1"/>
  <c r="H116" i="8"/>
  <c r="E5" i="7"/>
  <c r="AT102" i="1"/>
  <c r="AT50" i="1"/>
  <c r="AX104" i="1" s="1"/>
  <c r="AT113" i="1"/>
  <c r="F31" i="6"/>
  <c r="F33" i="6" s="1"/>
  <c r="F34" i="6" s="1"/>
  <c r="F24" i="6"/>
  <c r="E67" i="4"/>
  <c r="E85" i="4" s="1"/>
  <c r="E23" i="4"/>
  <c r="E79" i="4" s="1"/>
  <c r="E12" i="4"/>
  <c r="E80" i="4"/>
  <c r="E3" i="12"/>
  <c r="X21" i="8"/>
  <c r="H45" i="8"/>
  <c r="H89" i="8" s="1"/>
  <c r="W49" i="1"/>
  <c r="W111" i="1"/>
  <c r="W117" i="1" s="1"/>
  <c r="W45" i="1"/>
  <c r="W112" i="1" s="1"/>
  <c r="W118" i="1" s="1"/>
  <c r="W35" i="1"/>
  <c r="W37" i="1" s="1"/>
  <c r="U111" i="1"/>
  <c r="U117" i="1" s="1"/>
  <c r="U35" i="1"/>
  <c r="U45" i="1"/>
  <c r="U112" i="1" s="1"/>
  <c r="U118" i="1" s="1"/>
  <c r="U49" i="1"/>
  <c r="X94" i="8"/>
  <c r="AB95" i="8" s="1"/>
  <c r="X5" i="8"/>
  <c r="X13" i="8"/>
  <c r="X18" i="8"/>
  <c r="AB19" i="8" s="1"/>
  <c r="X12" i="8"/>
  <c r="K94" i="8"/>
  <c r="K12" i="8"/>
  <c r="K13" i="8"/>
  <c r="K5" i="8"/>
  <c r="K18" i="8"/>
  <c r="AB116" i="1"/>
  <c r="AB40" i="1"/>
  <c r="M116" i="1"/>
  <c r="M40" i="1"/>
  <c r="BK111" i="1"/>
  <c r="BK49" i="1"/>
  <c r="BL102" i="1" s="1"/>
  <c r="BK35" i="1"/>
  <c r="M94" i="8"/>
  <c r="M5" i="8"/>
  <c r="M13" i="8"/>
  <c r="M18" i="8"/>
  <c r="M12" i="8"/>
  <c r="F9" i="4"/>
  <c r="F72" i="4" s="1"/>
  <c r="F22" i="4"/>
  <c r="F19" i="4"/>
  <c r="AT112" i="1"/>
  <c r="AT100" i="1"/>
  <c r="AH124" i="1"/>
  <c r="AH80" i="1"/>
  <c r="BO6" i="1"/>
  <c r="BO80" i="1" s="1"/>
  <c r="F42" i="8"/>
  <c r="F29" i="8" s="1"/>
  <c r="F21" i="8"/>
  <c r="F25" i="8"/>
  <c r="K43" i="4"/>
  <c r="O80" i="4"/>
  <c r="G11" i="4"/>
  <c r="F74" i="4"/>
  <c r="H29" i="8"/>
  <c r="H96" i="1"/>
  <c r="H49" i="1"/>
  <c r="H45" i="1"/>
  <c r="H111" i="1"/>
  <c r="H35" i="1"/>
  <c r="N94" i="8"/>
  <c r="N18" i="8"/>
  <c r="N12" i="8"/>
  <c r="F96" i="1"/>
  <c r="F45" i="1"/>
  <c r="F111" i="1"/>
  <c r="F35" i="1"/>
  <c r="F49" i="1"/>
  <c r="N116" i="1"/>
  <c r="N40" i="1"/>
  <c r="U94" i="8"/>
  <c r="U12" i="8"/>
  <c r="BC29" i="8"/>
  <c r="U18" i="8"/>
  <c r="P111" i="1"/>
  <c r="P35" i="1"/>
  <c r="BP79" i="1"/>
  <c r="AM103" i="1"/>
  <c r="AO113" i="1"/>
  <c r="AO103" i="1"/>
  <c r="AO50" i="1"/>
  <c r="AS104" i="1" s="1"/>
  <c r="M100" i="1"/>
  <c r="AX103" i="1" l="1"/>
  <c r="BB105" i="1"/>
  <c r="AJ116" i="1"/>
  <c r="AJ37" i="1"/>
  <c r="AH116" i="1"/>
  <c r="AH37" i="1"/>
  <c r="AM116" i="1"/>
  <c r="AM37" i="1"/>
  <c r="AI116" i="1"/>
  <c r="AI37" i="1"/>
  <c r="AL116" i="1"/>
  <c r="AL37" i="1"/>
  <c r="AO40" i="1"/>
  <c r="AS97" i="1" s="1"/>
  <c r="AO37" i="1"/>
  <c r="AW105" i="1"/>
  <c r="BA105" i="1"/>
  <c r="AO102" i="1"/>
  <c r="AY105" i="1"/>
  <c r="AO112" i="1"/>
  <c r="AO101" i="1"/>
  <c r="AU97" i="1"/>
  <c r="W121" i="8"/>
  <c r="X121" i="8"/>
  <c r="BD34" i="8"/>
  <c r="U121" i="8"/>
  <c r="U98" i="8"/>
  <c r="U99" i="8" s="1"/>
  <c r="AA95" i="8"/>
  <c r="W98" i="8"/>
  <c r="AA99" i="8" s="1"/>
  <c r="G4" i="19"/>
  <c r="G8" i="19"/>
  <c r="K4" i="19"/>
  <c r="AC19" i="8"/>
  <c r="AC95" i="8"/>
  <c r="E51" i="8"/>
  <c r="E37" i="8" s="1"/>
  <c r="D10" i="16" s="1"/>
  <c r="D8" i="15"/>
  <c r="D7" i="15" s="1"/>
  <c r="E7" i="15" s="1"/>
  <c r="AL18" i="8"/>
  <c r="AL20" i="8" s="1"/>
  <c r="E87" i="8"/>
  <c r="AK18" i="8"/>
  <c r="AK20" i="8" s="1"/>
  <c r="AM18" i="8"/>
  <c r="AM20" i="8" s="1"/>
  <c r="E69" i="8"/>
  <c r="AO100" i="1"/>
  <c r="AV105" i="1"/>
  <c r="AS105" i="1"/>
  <c r="F118" i="8"/>
  <c r="AP100" i="1"/>
  <c r="F104" i="8"/>
  <c r="AL40" i="1"/>
  <c r="AP97" i="1" s="1"/>
  <c r="F2" i="8"/>
  <c r="F3" i="8" s="1"/>
  <c r="F4" i="8" s="1"/>
  <c r="E45" i="8"/>
  <c r="AH103" i="1"/>
  <c r="AH50" i="1"/>
  <c r="AH114" i="1" s="1"/>
  <c r="K73" i="4"/>
  <c r="AQ103" i="1"/>
  <c r="AQ50" i="1"/>
  <c r="AQ105" i="1" s="1"/>
  <c r="AQ113" i="1"/>
  <c r="AQ102" i="1"/>
  <c r="AL102" i="1"/>
  <c r="AL50" i="1"/>
  <c r="AP104" i="1" s="1"/>
  <c r="AL113" i="1"/>
  <c r="AB100" i="1"/>
  <c r="B3" i="12"/>
  <c r="B8" i="12" s="1"/>
  <c r="E27" i="8"/>
  <c r="U21" i="8"/>
  <c r="U45" i="8" s="1"/>
  <c r="AL100" i="1"/>
  <c r="AH40" i="1"/>
  <c r="AH52" i="1"/>
  <c r="E2" i="8"/>
  <c r="E3" i="8" s="1"/>
  <c r="E4" i="8" s="1"/>
  <c r="BO111" i="1"/>
  <c r="BO117" i="1" s="1"/>
  <c r="E104" i="8"/>
  <c r="BO96" i="1"/>
  <c r="AJ40" i="1"/>
  <c r="AN97" i="1" s="1"/>
  <c r="AQ100" i="1"/>
  <c r="AM40" i="1"/>
  <c r="AQ97" i="1" s="1"/>
  <c r="AN102" i="1"/>
  <c r="AM112" i="1"/>
  <c r="AJ50" i="1"/>
  <c r="AJ105" i="1" s="1"/>
  <c r="AJ113" i="1"/>
  <c r="AM105" i="1"/>
  <c r="BI95" i="1"/>
  <c r="AU105" i="1"/>
  <c r="BE111" i="1"/>
  <c r="R64" i="4"/>
  <c r="BO35" i="1"/>
  <c r="BO40" i="1" s="1"/>
  <c r="Q64" i="4"/>
  <c r="F10" i="4"/>
  <c r="AQ112" i="1"/>
  <c r="BO49" i="1"/>
  <c r="BO50" i="1" s="1"/>
  <c r="AQ101" i="1"/>
  <c r="AI50" i="1"/>
  <c r="AM104" i="1" s="1"/>
  <c r="AI113" i="1"/>
  <c r="BE45" i="1"/>
  <c r="BE112" i="1" s="1"/>
  <c r="AI40" i="1"/>
  <c r="BE35" i="1"/>
  <c r="BE40" i="1" s="1"/>
  <c r="AI103" i="1"/>
  <c r="AI102" i="1"/>
  <c r="AM100" i="1"/>
  <c r="E100" i="1"/>
  <c r="BP111" i="1"/>
  <c r="BP117" i="1" s="1"/>
  <c r="BP45" i="1"/>
  <c r="BP112" i="1" s="1"/>
  <c r="BP35" i="1"/>
  <c r="BP116" i="1" s="1"/>
  <c r="AI101" i="1"/>
  <c r="BP96" i="1"/>
  <c r="AG95" i="1"/>
  <c r="AK95" i="1"/>
  <c r="AI52" i="1"/>
  <c r="AT103" i="1"/>
  <c r="AU114" i="1"/>
  <c r="AL103" i="1"/>
  <c r="AC100" i="1"/>
  <c r="AD111" i="1"/>
  <c r="AD117" i="1" s="1"/>
  <c r="AD45" i="1"/>
  <c r="AD49" i="1"/>
  <c r="AD102" i="1" s="1"/>
  <c r="AD35" i="1"/>
  <c r="AD37" i="1" s="1"/>
  <c r="AH96" i="1"/>
  <c r="N97" i="1"/>
  <c r="AP101" i="1"/>
  <c r="AD96" i="1"/>
  <c r="AL101" i="1"/>
  <c r="D100" i="1"/>
  <c r="AH101" i="1"/>
  <c r="AG96" i="1"/>
  <c r="AG111" i="1"/>
  <c r="AG117" i="1" s="1"/>
  <c r="AG45" i="1"/>
  <c r="AK100" i="1" s="1"/>
  <c r="AG49" i="1"/>
  <c r="AK102" i="1" s="1"/>
  <c r="AG35" i="1"/>
  <c r="AG37" i="1" s="1"/>
  <c r="M25" i="8"/>
  <c r="M29" i="8"/>
  <c r="M19" i="8"/>
  <c r="M21" i="8"/>
  <c r="AF116" i="1"/>
  <c r="AF40" i="1"/>
  <c r="AF97" i="1" s="1"/>
  <c r="P21" i="8"/>
  <c r="P25" i="8"/>
  <c r="P29" i="8"/>
  <c r="P19" i="8"/>
  <c r="G96" i="1"/>
  <c r="G45" i="1"/>
  <c r="G35" i="1"/>
  <c r="G49" i="1"/>
  <c r="G111" i="1"/>
  <c r="AE40" i="1"/>
  <c r="AE97" i="1" s="1"/>
  <c r="AE116" i="1"/>
  <c r="AT97" i="1"/>
  <c r="BM40" i="1"/>
  <c r="BM116" i="1"/>
  <c r="B113" i="1"/>
  <c r="B50" i="1"/>
  <c r="B114" i="1" s="1"/>
  <c r="H36" i="8"/>
  <c r="H70" i="8"/>
  <c r="Y116" i="1"/>
  <c r="Y40" i="1"/>
  <c r="AC97" i="1" s="1"/>
  <c r="H112" i="1"/>
  <c r="H100" i="1"/>
  <c r="AF52" i="1"/>
  <c r="AF112" i="1"/>
  <c r="AF100" i="1"/>
  <c r="AR101" i="1"/>
  <c r="AR112" i="1"/>
  <c r="AR100" i="1"/>
  <c r="AE52" i="1"/>
  <c r="AE112" i="1"/>
  <c r="AE100" i="1"/>
  <c r="F102" i="1"/>
  <c r="F113" i="1"/>
  <c r="F50" i="1"/>
  <c r="F27" i="8"/>
  <c r="F15" i="8"/>
  <c r="BD116" i="1"/>
  <c r="BD40" i="1"/>
  <c r="BI116" i="1"/>
  <c r="BI40" i="1"/>
  <c r="S116" i="1"/>
  <c r="S40" i="1"/>
  <c r="AF113" i="1"/>
  <c r="AF102" i="1"/>
  <c r="AF50" i="1"/>
  <c r="AR116" i="1"/>
  <c r="AR40" i="1"/>
  <c r="BF113" i="1"/>
  <c r="BF50" i="1"/>
  <c r="BF114" i="1" s="1"/>
  <c r="AJ102" i="1"/>
  <c r="AE113" i="1"/>
  <c r="AE102" i="1"/>
  <c r="AE50" i="1"/>
  <c r="BO100" i="1"/>
  <c r="BO112" i="1"/>
  <c r="V25" i="8"/>
  <c r="V42" i="8"/>
  <c r="V19" i="8"/>
  <c r="E11" i="4"/>
  <c r="E73" i="4" s="1"/>
  <c r="E74" i="4"/>
  <c r="Z116" i="1"/>
  <c r="Z40" i="1"/>
  <c r="AR113" i="1"/>
  <c r="AR102" i="1"/>
  <c r="AR50" i="1"/>
  <c r="AV104" i="1" s="1"/>
  <c r="AR103" i="1"/>
  <c r="R25" i="8"/>
  <c r="R29" i="8"/>
  <c r="R19" i="8"/>
  <c r="J98" i="8"/>
  <c r="J102" i="8"/>
  <c r="J116" i="8"/>
  <c r="J95" i="8"/>
  <c r="B116" i="1"/>
  <c r="B40" i="1"/>
  <c r="D97" i="1" s="1"/>
  <c r="K25" i="8"/>
  <c r="K29" i="8"/>
  <c r="K19" i="8"/>
  <c r="K21" i="8"/>
  <c r="T25" i="8"/>
  <c r="T29" i="8"/>
  <c r="T19" i="8"/>
  <c r="H117" i="8"/>
  <c r="H104" i="8"/>
  <c r="H2" i="8"/>
  <c r="H3" i="8" s="1"/>
  <c r="H4" i="8" s="1"/>
  <c r="H102" i="1"/>
  <c r="H113" i="1"/>
  <c r="H50" i="1"/>
  <c r="K98" i="8"/>
  <c r="K102" i="8"/>
  <c r="K116" i="8"/>
  <c r="K95" i="8"/>
  <c r="BD113" i="1"/>
  <c r="BD50" i="1"/>
  <c r="BD114" i="1" s="1"/>
  <c r="AB114" i="1"/>
  <c r="F87" i="8"/>
  <c r="F51" i="8"/>
  <c r="F51" i="4"/>
  <c r="F20" i="4"/>
  <c r="BK116" i="1"/>
  <c r="BK40" i="1"/>
  <c r="BL97" i="1" s="1"/>
  <c r="W113" i="1"/>
  <c r="W50" i="1"/>
  <c r="W114" i="1" s="1"/>
  <c r="Z113" i="1"/>
  <c r="Z102" i="1"/>
  <c r="Z50" i="1"/>
  <c r="BF116" i="1"/>
  <c r="BF40" i="1"/>
  <c r="R95" i="8"/>
  <c r="R98" i="8"/>
  <c r="R102" i="8"/>
  <c r="R116" i="8"/>
  <c r="Q25" i="8"/>
  <c r="Q29" i="8"/>
  <c r="Q19" i="8"/>
  <c r="F61" i="4"/>
  <c r="F66" i="4"/>
  <c r="W116" i="1"/>
  <c r="W40" i="1"/>
  <c r="AA97" i="1" s="1"/>
  <c r="F116" i="1"/>
  <c r="F40" i="1"/>
  <c r="F97" i="1" s="1"/>
  <c r="K116" i="1"/>
  <c r="K40" i="1"/>
  <c r="L97" i="1" s="1"/>
  <c r="F112" i="1"/>
  <c r="F100" i="1"/>
  <c r="F11" i="4"/>
  <c r="F73" i="4" s="1"/>
  <c r="BK102" i="1"/>
  <c r="BK113" i="1"/>
  <c r="BK50" i="1"/>
  <c r="BL104" i="1" s="1"/>
  <c r="X25" i="8"/>
  <c r="AB26" i="8" s="1"/>
  <c r="X42" i="8"/>
  <c r="X19" i="8"/>
  <c r="X23" i="8"/>
  <c r="K113" i="1"/>
  <c r="K50" i="1"/>
  <c r="K114" i="1" s="1"/>
  <c r="AP103" i="1"/>
  <c r="Y25" i="8"/>
  <c r="Y42" i="8"/>
  <c r="Y19" i="8"/>
  <c r="AK112" i="1"/>
  <c r="AK101" i="1"/>
  <c r="BE113" i="1"/>
  <c r="BE50" i="1"/>
  <c r="BE114" i="1" s="1"/>
  <c r="O83" i="4"/>
  <c r="K41" i="4"/>
  <c r="C113" i="1"/>
  <c r="C50" i="1"/>
  <c r="C114" i="1" s="1"/>
  <c r="L102" i="8"/>
  <c r="L116" i="8"/>
  <c r="L95" i="8"/>
  <c r="L98" i="8"/>
  <c r="AO105" i="1"/>
  <c r="AO114" i="1"/>
  <c r="P95" i="8"/>
  <c r="P98" i="8"/>
  <c r="P102" i="8"/>
  <c r="P116" i="8"/>
  <c r="M114" i="1"/>
  <c r="M104" i="1"/>
  <c r="J5" i="6"/>
  <c r="BM79" i="1"/>
  <c r="D20" i="7"/>
  <c r="F20" i="7" s="1"/>
  <c r="F17" i="7"/>
  <c r="AP114" i="1"/>
  <c r="AK103" i="1"/>
  <c r="AK113" i="1"/>
  <c r="AK50" i="1"/>
  <c r="AO104" i="1" s="1"/>
  <c r="L100" i="1"/>
  <c r="H31" i="6"/>
  <c r="H33" i="6" s="1"/>
  <c r="H34" i="6" s="1"/>
  <c r="H24" i="6"/>
  <c r="G42" i="8"/>
  <c r="G29" i="8" s="1"/>
  <c r="AI29" i="8" s="1"/>
  <c r="G25" i="8"/>
  <c r="AI25" i="8" s="1"/>
  <c r="G21" i="8"/>
  <c r="AI21" i="8" s="1"/>
  <c r="AL94" i="8"/>
  <c r="AL97" i="8" s="1"/>
  <c r="Q95" i="8"/>
  <c r="Q98" i="8"/>
  <c r="Q102" i="8"/>
  <c r="Q116" i="8"/>
  <c r="V102" i="8"/>
  <c r="V116" i="8"/>
  <c r="V95" i="8"/>
  <c r="P116" i="1"/>
  <c r="P40" i="1"/>
  <c r="Q97" i="1" s="1"/>
  <c r="H69" i="8"/>
  <c r="Z112" i="1"/>
  <c r="Z100" i="1"/>
  <c r="Z52" i="1"/>
  <c r="S25" i="8"/>
  <c r="S29" i="8"/>
  <c r="S19" i="8"/>
  <c r="BN100" i="1"/>
  <c r="BN112" i="1"/>
  <c r="BN52" i="1"/>
  <c r="G98" i="8"/>
  <c r="G102" i="8"/>
  <c r="G116" i="8"/>
  <c r="AI94" i="8"/>
  <c r="AI97" i="8" s="1"/>
  <c r="N104" i="1"/>
  <c r="C116" i="1"/>
  <c r="C40" i="1"/>
  <c r="E97" i="1" s="1"/>
  <c r="H53" i="8"/>
  <c r="H84" i="8" s="1"/>
  <c r="H88" i="8"/>
  <c r="R83" i="4"/>
  <c r="F69" i="8"/>
  <c r="E4" i="12"/>
  <c r="E9" i="12" s="1"/>
  <c r="R86" i="4"/>
  <c r="W102" i="8"/>
  <c r="AA103" i="8" s="1"/>
  <c r="W116" i="8"/>
  <c r="W95" i="8"/>
  <c r="F45" i="8"/>
  <c r="C3" i="12"/>
  <c r="C8" i="12" s="1"/>
  <c r="V21" i="8"/>
  <c r="V45" i="8" s="1"/>
  <c r="X45" i="8"/>
  <c r="AB45" i="8" s="1"/>
  <c r="AF45" i="8" s="1"/>
  <c r="X102" i="8"/>
  <c r="AB103" i="8" s="1"/>
  <c r="X116" i="8"/>
  <c r="X95" i="8"/>
  <c r="X98" i="8"/>
  <c r="AB99" i="8" s="1"/>
  <c r="H32" i="8"/>
  <c r="F6" i="7"/>
  <c r="E6" i="7"/>
  <c r="D114" i="1"/>
  <c r="AC103" i="8"/>
  <c r="Y116" i="8"/>
  <c r="Y95" i="8"/>
  <c r="Y98" i="8"/>
  <c r="AC99" i="8" s="1"/>
  <c r="L114" i="1"/>
  <c r="AN105" i="1"/>
  <c r="AN114" i="1"/>
  <c r="AK116" i="1"/>
  <c r="AK40" i="1"/>
  <c r="AA100" i="1"/>
  <c r="S95" i="8"/>
  <c r="S98" i="8"/>
  <c r="S102" i="8"/>
  <c r="S116" i="8"/>
  <c r="AC114" i="1"/>
  <c r="BN113" i="1"/>
  <c r="BN50" i="1"/>
  <c r="BN102" i="1"/>
  <c r="BP50" i="1"/>
  <c r="BP113" i="1"/>
  <c r="AA102" i="1"/>
  <c r="E114" i="1"/>
  <c r="X113" i="1"/>
  <c r="X50" i="1"/>
  <c r="X114" i="1" s="1"/>
  <c r="H48" i="8"/>
  <c r="H90" i="8" s="1"/>
  <c r="V40" i="1"/>
  <c r="V116" i="1"/>
  <c r="J25" i="8"/>
  <c r="J29" i="8"/>
  <c r="J19" i="8"/>
  <c r="J21" i="8"/>
  <c r="O116" i="8"/>
  <c r="O95" i="8"/>
  <c r="O98" i="8"/>
  <c r="O102" i="8"/>
  <c r="BB34" i="8"/>
  <c r="U25" i="8"/>
  <c r="U42" i="8"/>
  <c r="U19" i="8"/>
  <c r="M102" i="8"/>
  <c r="M116" i="8"/>
  <c r="AK94" i="8"/>
  <c r="AK97" i="8" s="1"/>
  <c r="M95" i="8"/>
  <c r="M98" i="8"/>
  <c r="F13" i="4"/>
  <c r="N102" i="8"/>
  <c r="N116" i="8"/>
  <c r="N95" i="8"/>
  <c r="N98" i="8"/>
  <c r="U113" i="1"/>
  <c r="U50" i="1"/>
  <c r="U114" i="1" s="1"/>
  <c r="F54" i="4"/>
  <c r="F56" i="4"/>
  <c r="Y113" i="1"/>
  <c r="Y50" i="1"/>
  <c r="Y114" i="1" s="1"/>
  <c r="L25" i="8"/>
  <c r="L29" i="8"/>
  <c r="L19" i="8"/>
  <c r="L21" i="8"/>
  <c r="BG113" i="1"/>
  <c r="BG50" i="1"/>
  <c r="BG114" i="1" s="1"/>
  <c r="AC102" i="1"/>
  <c r="G20" i="6"/>
  <c r="G19" i="6"/>
  <c r="G12" i="6"/>
  <c r="AA114" i="1"/>
  <c r="O19" i="8"/>
  <c r="O21" i="8"/>
  <c r="O25" i="8"/>
  <c r="O29" i="8"/>
  <c r="AI100" i="1"/>
  <c r="BM113" i="1"/>
  <c r="BM50" i="1"/>
  <c r="BM102" i="1"/>
  <c r="I96" i="1"/>
  <c r="I111" i="1"/>
  <c r="I49" i="1"/>
  <c r="I45" i="1"/>
  <c r="I35" i="1"/>
  <c r="U116" i="1"/>
  <c r="U40" i="1"/>
  <c r="U95" i="8"/>
  <c r="AM94" i="8"/>
  <c r="AM97" i="8" s="1"/>
  <c r="BC34" i="8"/>
  <c r="U102" i="8"/>
  <c r="U116" i="8"/>
  <c r="AT114" i="1"/>
  <c r="AT104" i="1"/>
  <c r="M97" i="1"/>
  <c r="N29" i="8"/>
  <c r="N19" i="8"/>
  <c r="N21" i="8"/>
  <c r="N25" i="8"/>
  <c r="H116" i="1"/>
  <c r="H40" i="1"/>
  <c r="T95" i="8"/>
  <c r="T98" i="8"/>
  <c r="T102" i="8"/>
  <c r="T116" i="8"/>
  <c r="W25" i="8"/>
  <c r="AA26" i="8" s="1"/>
  <c r="W42" i="8"/>
  <c r="W19" i="8"/>
  <c r="L102" i="1"/>
  <c r="BG116" i="1"/>
  <c r="BG40" i="1"/>
  <c r="AJ100" i="1"/>
  <c r="BN40" i="1"/>
  <c r="BN116" i="1"/>
  <c r="G28" i="6"/>
  <c r="X116" i="1"/>
  <c r="X40" i="1"/>
  <c r="AB97" i="1" s="1"/>
  <c r="BM100" i="1"/>
  <c r="BM112" i="1"/>
  <c r="BP80" i="1"/>
  <c r="AX105" i="1" l="1"/>
  <c r="BB107" i="1"/>
  <c r="AE36" i="16"/>
  <c r="AF89" i="8"/>
  <c r="AE52" i="16" s="1"/>
  <c r="AF48" i="8"/>
  <c r="AF53" i="8"/>
  <c r="H71" i="8"/>
  <c r="G68" i="16" s="1"/>
  <c r="G6" i="16"/>
  <c r="G65" i="16" s="1"/>
  <c r="G67" i="16" s="1"/>
  <c r="U2" i="8"/>
  <c r="U3" i="8" s="1"/>
  <c r="U122" i="8" s="1"/>
  <c r="U123" i="8" s="1"/>
  <c r="Z21" i="8"/>
  <c r="Z45" i="8" s="1"/>
  <c r="F89" i="8"/>
  <c r="V47" i="8"/>
  <c r="E88" i="8"/>
  <c r="AC44" i="8"/>
  <c r="AB58" i="16" s="1"/>
  <c r="AC26" i="8"/>
  <c r="AI27" i="8"/>
  <c r="E70" i="8"/>
  <c r="AL29" i="8"/>
  <c r="AL69" i="8" s="1"/>
  <c r="AK21" i="8"/>
  <c r="AL25" i="8"/>
  <c r="Y21" i="8"/>
  <c r="Y45" i="8" s="1"/>
  <c r="AC45" i="8" s="1"/>
  <c r="AG45" i="8" s="1"/>
  <c r="AK29" i="8"/>
  <c r="AK69" i="8" s="1"/>
  <c r="U29" i="8"/>
  <c r="U31" i="8" s="1"/>
  <c r="T28" i="16" s="1"/>
  <c r="AM42" i="8"/>
  <c r="AM25" i="8"/>
  <c r="AK25" i="8"/>
  <c r="E32" i="8"/>
  <c r="D6" i="16" s="1"/>
  <c r="D65" i="16" s="1"/>
  <c r="D67" i="16" s="1"/>
  <c r="AI42" i="8"/>
  <c r="Y29" i="8"/>
  <c r="X29" i="8"/>
  <c r="AB31" i="8" s="1"/>
  <c r="AA28" i="16" s="1"/>
  <c r="AB44" i="8"/>
  <c r="AA58" i="16" s="1"/>
  <c r="C5" i="18"/>
  <c r="C6" i="18" s="1"/>
  <c r="AA36" i="16"/>
  <c r="X32" i="8"/>
  <c r="AB32" i="8" s="1"/>
  <c r="AF32" i="8" s="1"/>
  <c r="W36" i="16"/>
  <c r="E89" i="8"/>
  <c r="E53" i="8"/>
  <c r="E84" i="8" s="1"/>
  <c r="AL97" i="1"/>
  <c r="E48" i="8"/>
  <c r="E90" i="8" s="1"/>
  <c r="AH105" i="1"/>
  <c r="E36" i="8"/>
  <c r="AU104" i="1"/>
  <c r="AQ104" i="1"/>
  <c r="AQ114" i="1"/>
  <c r="AL114" i="1"/>
  <c r="AM97" i="1"/>
  <c r="U23" i="8"/>
  <c r="AL104" i="1"/>
  <c r="B9" i="12"/>
  <c r="BO116" i="1"/>
  <c r="AN104" i="1"/>
  <c r="AJ114" i="1"/>
  <c r="AJ104" i="1"/>
  <c r="BO102" i="1"/>
  <c r="BP102" i="1"/>
  <c r="AL105" i="1"/>
  <c r="AI105" i="1"/>
  <c r="BO113" i="1"/>
  <c r="W29" i="8"/>
  <c r="AA31" i="8" s="1"/>
  <c r="Z28" i="16" s="1"/>
  <c r="AA44" i="8"/>
  <c r="Z58" i="16" s="1"/>
  <c r="AI114" i="1"/>
  <c r="BP40" i="1"/>
  <c r="BP97" i="1" s="1"/>
  <c r="AI104" i="1"/>
  <c r="AI97" i="1"/>
  <c r="BP100" i="1"/>
  <c r="AR97" i="1"/>
  <c r="AV97" i="1"/>
  <c r="V29" i="8"/>
  <c r="V23" i="8"/>
  <c r="BE116" i="1"/>
  <c r="BN97" i="1"/>
  <c r="F32" i="8"/>
  <c r="L104" i="1"/>
  <c r="D104" i="1"/>
  <c r="C9" i="12"/>
  <c r="AA104" i="1"/>
  <c r="E8" i="12"/>
  <c r="AT105" i="1"/>
  <c r="AD116" i="1"/>
  <c r="AD40" i="1"/>
  <c r="AH102" i="1"/>
  <c r="AD113" i="1"/>
  <c r="AD50" i="1"/>
  <c r="AD52" i="1"/>
  <c r="AD112" i="1"/>
  <c r="AH100" i="1"/>
  <c r="AD43" i="1"/>
  <c r="AP105" i="1"/>
  <c r="AD100" i="1"/>
  <c r="BE34" i="8"/>
  <c r="BF34" i="8" s="1"/>
  <c r="E104" i="1"/>
  <c r="H97" i="1"/>
  <c r="AG116" i="1"/>
  <c r="AG40" i="1"/>
  <c r="AG97" i="1" s="1"/>
  <c r="AG102" i="1"/>
  <c r="AG50" i="1"/>
  <c r="AK104" i="1" s="1"/>
  <c r="AG113" i="1"/>
  <c r="AG112" i="1"/>
  <c r="AG100" i="1"/>
  <c r="AG52" i="1"/>
  <c r="BO97" i="1"/>
  <c r="AB104" i="1"/>
  <c r="G69" i="8"/>
  <c r="N104" i="8"/>
  <c r="N103" i="8"/>
  <c r="N117" i="8"/>
  <c r="N2" i="8"/>
  <c r="N3" i="8" s="1"/>
  <c r="M117" i="8"/>
  <c r="M104" i="8"/>
  <c r="M103" i="8"/>
  <c r="AK102" i="8"/>
  <c r="M2" i="8"/>
  <c r="M3" i="8" s="1"/>
  <c r="G3" i="12"/>
  <c r="J32" i="8"/>
  <c r="J22" i="8"/>
  <c r="S118" i="8"/>
  <c r="S99" i="8"/>
  <c r="F78" i="4"/>
  <c r="F52" i="4"/>
  <c r="K51" i="4"/>
  <c r="H104" i="1"/>
  <c r="H114" i="1"/>
  <c r="K69" i="8"/>
  <c r="K31" i="8"/>
  <c r="R69" i="8"/>
  <c r="R31" i="8"/>
  <c r="AE104" i="1"/>
  <c r="AE114" i="1"/>
  <c r="S117" i="8"/>
  <c r="S104" i="8"/>
  <c r="S103" i="8"/>
  <c r="S2" i="8"/>
  <c r="S3" i="8" s="1"/>
  <c r="F88" i="8"/>
  <c r="F53" i="8"/>
  <c r="F84" i="8" s="1"/>
  <c r="K27" i="8"/>
  <c r="K37" i="8"/>
  <c r="J10" i="16" s="1"/>
  <c r="K15" i="8"/>
  <c r="K26" i="8"/>
  <c r="R37" i="8"/>
  <c r="Q10" i="16" s="1"/>
  <c r="R26" i="8"/>
  <c r="R15" i="8"/>
  <c r="O69" i="8"/>
  <c r="O31" i="8"/>
  <c r="Y117" i="8"/>
  <c r="Y104" i="8"/>
  <c r="Y103" i="8"/>
  <c r="Y2" i="8"/>
  <c r="Y3" i="8" s="1"/>
  <c r="Y122" i="8" s="1"/>
  <c r="Y123" i="8" s="1"/>
  <c r="X117" i="8"/>
  <c r="X104" i="8"/>
  <c r="X103" i="8"/>
  <c r="X2" i="8"/>
  <c r="X3" i="8" s="1"/>
  <c r="X122" i="8" s="1"/>
  <c r="X123" i="8" s="1"/>
  <c r="G117" i="8"/>
  <c r="G104" i="8"/>
  <c r="G2" i="8"/>
  <c r="G3" i="8" s="1"/>
  <c r="G4" i="8" s="1"/>
  <c r="AI102" i="8"/>
  <c r="AL95" i="8"/>
  <c r="AL116" i="8"/>
  <c r="Y87" i="8"/>
  <c r="X50" i="16" s="1"/>
  <c r="Y51" i="8"/>
  <c r="AC52" i="8" s="1"/>
  <c r="AB59" i="16" s="1"/>
  <c r="Y44" i="8"/>
  <c r="X58" i="16" s="1"/>
  <c r="O37" i="8"/>
  <c r="N10" i="16" s="1"/>
  <c r="O15" i="8"/>
  <c r="O26" i="8"/>
  <c r="O27" i="8"/>
  <c r="J69" i="8"/>
  <c r="J31" i="8"/>
  <c r="D4" i="12"/>
  <c r="G118" i="8"/>
  <c r="AI98" i="8"/>
  <c r="AI118" i="8" s="1"/>
  <c r="H35" i="8"/>
  <c r="H72" i="8" s="1"/>
  <c r="J16" i="6"/>
  <c r="J7" i="6"/>
  <c r="L99" i="8"/>
  <c r="I4" i="12"/>
  <c r="L118" i="8"/>
  <c r="Y15" i="8"/>
  <c r="Y26" i="8"/>
  <c r="F62" i="4"/>
  <c r="F83" i="4"/>
  <c r="F48" i="8"/>
  <c r="F90" i="8" s="1"/>
  <c r="G102" i="1"/>
  <c r="G50" i="1"/>
  <c r="G113" i="1"/>
  <c r="I40" i="1"/>
  <c r="I116" i="1"/>
  <c r="L3" i="12"/>
  <c r="O32" i="8"/>
  <c r="N6" i="16" s="1"/>
  <c r="N65" i="16" s="1"/>
  <c r="N67" i="16" s="1"/>
  <c r="O22" i="8"/>
  <c r="S21" i="8"/>
  <c r="S27" i="8" s="1"/>
  <c r="J27" i="8"/>
  <c r="J37" i="8"/>
  <c r="I10" i="16" s="1"/>
  <c r="J15" i="8"/>
  <c r="J26" i="8"/>
  <c r="U117" i="8"/>
  <c r="U104" i="8"/>
  <c r="U103" i="8"/>
  <c r="AM102" i="8"/>
  <c r="BC35" i="8"/>
  <c r="I112" i="1"/>
  <c r="I100" i="1"/>
  <c r="I3" i="12"/>
  <c r="L22" i="8"/>
  <c r="L32" i="8"/>
  <c r="K6" i="16" s="1"/>
  <c r="K65" i="16" s="1"/>
  <c r="K67" i="16" s="1"/>
  <c r="U87" i="8"/>
  <c r="T50" i="16" s="1"/>
  <c r="U51" i="8"/>
  <c r="U44" i="8"/>
  <c r="T58" i="16" s="1"/>
  <c r="BP104" i="1"/>
  <c r="BP114" i="1"/>
  <c r="W117" i="8"/>
  <c r="W104" i="8"/>
  <c r="W103" i="8"/>
  <c r="W2" i="8"/>
  <c r="W3" i="8" s="1"/>
  <c r="W122" i="8" s="1"/>
  <c r="W123" i="8" s="1"/>
  <c r="V117" i="8"/>
  <c r="V104" i="8"/>
  <c r="V103" i="8"/>
  <c r="V2" i="8"/>
  <c r="V3" i="8" s="1"/>
  <c r="V122" i="8" s="1"/>
  <c r="V123" i="8" s="1"/>
  <c r="AK114" i="1"/>
  <c r="AK105" i="1"/>
  <c r="Q69" i="8"/>
  <c r="Q31" i="8"/>
  <c r="Z114" i="1"/>
  <c r="Z104" i="1"/>
  <c r="AR104" i="1"/>
  <c r="AR105" i="1"/>
  <c r="AR114" i="1"/>
  <c r="H39" i="8"/>
  <c r="G40" i="1"/>
  <c r="G97" i="1" s="1"/>
  <c r="G116" i="1"/>
  <c r="T118" i="8"/>
  <c r="T99" i="8"/>
  <c r="W118" i="8"/>
  <c r="W99" i="8"/>
  <c r="AI69" i="8"/>
  <c r="W87" i="8"/>
  <c r="V50" i="16" s="1"/>
  <c r="W51" i="8"/>
  <c r="W44" i="8"/>
  <c r="V58" i="16" s="1"/>
  <c r="U118" i="8"/>
  <c r="AM98" i="8"/>
  <c r="L69" i="8"/>
  <c r="L31" i="8"/>
  <c r="BN104" i="1"/>
  <c r="BN114" i="1"/>
  <c r="D3" i="12"/>
  <c r="W21" i="8"/>
  <c r="AM21" i="8" s="1"/>
  <c r="G45" i="8"/>
  <c r="G89" i="8" s="1"/>
  <c r="P104" i="8"/>
  <c r="P103" i="8"/>
  <c r="P117" i="8"/>
  <c r="P2" i="8"/>
  <c r="P3" i="8" s="1"/>
  <c r="Q37" i="8"/>
  <c r="P10" i="16" s="1"/>
  <c r="Q15" i="8"/>
  <c r="Q26" i="8"/>
  <c r="V87" i="8"/>
  <c r="U50" i="16" s="1"/>
  <c r="V51" i="8"/>
  <c r="V44" i="8"/>
  <c r="U58" i="16" s="1"/>
  <c r="Q118" i="8"/>
  <c r="AL98" i="8"/>
  <c r="Q99" i="8"/>
  <c r="K118" i="8"/>
  <c r="K99" i="8"/>
  <c r="H4" i="12"/>
  <c r="F104" i="1"/>
  <c r="F114" i="1"/>
  <c r="I102" i="1"/>
  <c r="I113" i="1"/>
  <c r="I50" i="1"/>
  <c r="U27" i="8"/>
  <c r="U15" i="8"/>
  <c r="BB35" i="8"/>
  <c r="U26" i="8"/>
  <c r="N37" i="8"/>
  <c r="M10" i="16" s="1"/>
  <c r="N15" i="8"/>
  <c r="N26" i="8"/>
  <c r="N27" i="8"/>
  <c r="L37" i="8"/>
  <c r="K10" i="16" s="1"/>
  <c r="L15" i="8"/>
  <c r="L26" i="8"/>
  <c r="L27" i="8"/>
  <c r="M4" i="12"/>
  <c r="P118" i="8"/>
  <c r="P99" i="8"/>
  <c r="T69" i="8"/>
  <c r="T31" i="8"/>
  <c r="V27" i="8"/>
  <c r="V15" i="8"/>
  <c r="V26" i="8"/>
  <c r="J3" i="12"/>
  <c r="M22" i="8"/>
  <c r="Q21" i="8"/>
  <c r="M32" i="8"/>
  <c r="L6" i="16" s="1"/>
  <c r="L65" i="16" s="1"/>
  <c r="L67" i="16" s="1"/>
  <c r="F80" i="4"/>
  <c r="F57" i="4"/>
  <c r="F68" i="4"/>
  <c r="AI116" i="8"/>
  <c r="BK104" i="1"/>
  <c r="BK114" i="1"/>
  <c r="V118" i="8"/>
  <c r="V99" i="8"/>
  <c r="G112" i="1"/>
  <c r="G100" i="1"/>
  <c r="W15" i="8"/>
  <c r="W26" i="8"/>
  <c r="K3" i="12"/>
  <c r="R21" i="8"/>
  <c r="R27" i="8" s="1"/>
  <c r="N32" i="8"/>
  <c r="N22" i="8"/>
  <c r="M99" i="8"/>
  <c r="AK98" i="8"/>
  <c r="AK100" i="8" s="1"/>
  <c r="AK119" i="8" s="1"/>
  <c r="J4" i="12"/>
  <c r="M118" i="8"/>
  <c r="O104" i="8"/>
  <c r="O103" i="8"/>
  <c r="O117" i="8"/>
  <c r="O2" i="8"/>
  <c r="O3" i="8" s="1"/>
  <c r="X47" i="8"/>
  <c r="X89" i="8"/>
  <c r="W52" i="16" s="1"/>
  <c r="S69" i="8"/>
  <c r="S31" i="8"/>
  <c r="BO104" i="1"/>
  <c r="BO114" i="1"/>
  <c r="G27" i="8"/>
  <c r="G15" i="8"/>
  <c r="O42" i="4"/>
  <c r="K72" i="4"/>
  <c r="K53" i="4"/>
  <c r="R117" i="8"/>
  <c r="R104" i="8"/>
  <c r="R103" i="8"/>
  <c r="R2" i="8"/>
  <c r="R3" i="8" s="1"/>
  <c r="T37" i="8"/>
  <c r="S10" i="16" s="1"/>
  <c r="T26" i="8"/>
  <c r="T15" i="8"/>
  <c r="P69" i="8"/>
  <c r="P31" i="8"/>
  <c r="G31" i="6"/>
  <c r="G33" i="6" s="1"/>
  <c r="G34" i="6" s="1"/>
  <c r="G24" i="6"/>
  <c r="G29" i="6"/>
  <c r="BM104" i="1"/>
  <c r="BM114" i="1"/>
  <c r="K4" i="12"/>
  <c r="N118" i="8"/>
  <c r="N99" i="8"/>
  <c r="G87" i="8"/>
  <c r="G51" i="8"/>
  <c r="G37" i="8" s="1"/>
  <c r="F10" i="16" s="1"/>
  <c r="X87" i="8"/>
  <c r="W50" i="16" s="1"/>
  <c r="X51" i="8"/>
  <c r="X44" i="8"/>
  <c r="W58" i="16" s="1"/>
  <c r="X48" i="8"/>
  <c r="R118" i="8"/>
  <c r="R99" i="8"/>
  <c r="J117" i="8"/>
  <c r="J104" i="8"/>
  <c r="J103" i="8"/>
  <c r="J2" i="8"/>
  <c r="J3" i="8" s="1"/>
  <c r="J4" i="8" s="1"/>
  <c r="D6" i="15"/>
  <c r="E6" i="15" s="1"/>
  <c r="E8" i="15" s="1"/>
  <c r="F8" i="15" s="1"/>
  <c r="BM97" i="1"/>
  <c r="P37" i="8"/>
  <c r="O10" i="16" s="1"/>
  <c r="P15" i="8"/>
  <c r="P26" i="8"/>
  <c r="P27" i="8"/>
  <c r="M69" i="8"/>
  <c r="M31" i="8"/>
  <c r="L117" i="8"/>
  <c r="L104" i="8"/>
  <c r="L103" i="8"/>
  <c r="L2" i="8"/>
  <c r="L3" i="8" s="1"/>
  <c r="L4" i="8" s="1"/>
  <c r="AM95" i="8"/>
  <c r="AM116" i="8"/>
  <c r="AO97" i="1"/>
  <c r="L4" i="12"/>
  <c r="O118" i="8"/>
  <c r="O99" i="8"/>
  <c r="AC104" i="1"/>
  <c r="S37" i="8"/>
  <c r="R10" i="16" s="1"/>
  <c r="S26" i="8"/>
  <c r="S15" i="8"/>
  <c r="T117" i="8"/>
  <c r="T104" i="8"/>
  <c r="T103" i="8"/>
  <c r="T2" i="8"/>
  <c r="T3" i="8" s="1"/>
  <c r="N69" i="8"/>
  <c r="N31" i="8"/>
  <c r="F49" i="4"/>
  <c r="AK95" i="8"/>
  <c r="AK116" i="8"/>
  <c r="Y99" i="8"/>
  <c r="Y118" i="8"/>
  <c r="X99" i="8"/>
  <c r="X118" i="8"/>
  <c r="Q117" i="8"/>
  <c r="AL102" i="8"/>
  <c r="Q2" i="8"/>
  <c r="Q3" i="8" s="1"/>
  <c r="Q104" i="8"/>
  <c r="Q103" i="8"/>
  <c r="X15" i="8"/>
  <c r="X26" i="8"/>
  <c r="X27" i="8"/>
  <c r="K117" i="8"/>
  <c r="K104" i="8"/>
  <c r="K103" i="8"/>
  <c r="K2" i="8"/>
  <c r="K3" i="8" s="1"/>
  <c r="K4" i="8" s="1"/>
  <c r="H3" i="12"/>
  <c r="K22" i="8"/>
  <c r="K32" i="8"/>
  <c r="G4" i="12"/>
  <c r="J118" i="8"/>
  <c r="J99" i="8"/>
  <c r="Z97" i="1"/>
  <c r="AF104" i="1"/>
  <c r="AF114" i="1"/>
  <c r="F37" i="8"/>
  <c r="E10" i="16" s="1"/>
  <c r="AJ97" i="1"/>
  <c r="M3" i="12"/>
  <c r="P32" i="8"/>
  <c r="P22" i="8"/>
  <c r="T21" i="8"/>
  <c r="T27" i="8" s="1"/>
  <c r="M37" i="8"/>
  <c r="L10" i="16" s="1"/>
  <c r="M15" i="8"/>
  <c r="M26" i="8"/>
  <c r="M27" i="8"/>
  <c r="AG89" i="8" l="1"/>
  <c r="AF52" i="16" s="1"/>
  <c r="AF36" i="16"/>
  <c r="AG48" i="8"/>
  <c r="AG53" i="8"/>
  <c r="AF71" i="8"/>
  <c r="AE6" i="16"/>
  <c r="AE65" i="16" s="1"/>
  <c r="AF21" i="8"/>
  <c r="AF35" i="8"/>
  <c r="AF39" i="8"/>
  <c r="AE44" i="16"/>
  <c r="AF84" i="8"/>
  <c r="AE54" i="16" s="1"/>
  <c r="AE47" i="16"/>
  <c r="AF90" i="8"/>
  <c r="AE53" i="16" s="1"/>
  <c r="AF85" i="8"/>
  <c r="AE55" i="16" s="1"/>
  <c r="N35" i="8"/>
  <c r="N72" i="8" s="1"/>
  <c r="M6" i="16"/>
  <c r="M65" i="16" s="1"/>
  <c r="M67" i="16" s="1"/>
  <c r="F71" i="8"/>
  <c r="E68" i="16" s="1"/>
  <c r="E6" i="16"/>
  <c r="E65" i="16" s="1"/>
  <c r="E67" i="16" s="1"/>
  <c r="H66" i="8"/>
  <c r="G14" i="16"/>
  <c r="G70" i="16" s="1"/>
  <c r="G72" i="16" s="1"/>
  <c r="K35" i="8"/>
  <c r="K72" i="8" s="1"/>
  <c r="J6" i="16"/>
  <c r="J65" i="16" s="1"/>
  <c r="J67" i="16" s="1"/>
  <c r="J35" i="8"/>
  <c r="J72" i="8" s="1"/>
  <c r="I6" i="16"/>
  <c r="I65" i="16" s="1"/>
  <c r="I67" i="16" s="1"/>
  <c r="P35" i="8"/>
  <c r="P72" i="8" s="1"/>
  <c r="O6" i="16"/>
  <c r="O65" i="16" s="1"/>
  <c r="O67" i="16" s="1"/>
  <c r="E39" i="8"/>
  <c r="E35" i="8"/>
  <c r="E72" i="8" s="1"/>
  <c r="AD45" i="8"/>
  <c r="AC36" i="16" s="1"/>
  <c r="Z47" i="8"/>
  <c r="AL31" i="8"/>
  <c r="U69" i="8"/>
  <c r="T20" i="16" s="1"/>
  <c r="AC89" i="8"/>
  <c r="AB52" i="16" s="1"/>
  <c r="X71" i="8"/>
  <c r="X34" i="8"/>
  <c r="W7" i="16" s="1"/>
  <c r="AC31" i="8"/>
  <c r="AB28" i="16" s="1"/>
  <c r="AB36" i="16"/>
  <c r="AC48" i="8"/>
  <c r="AC53" i="8"/>
  <c r="X31" i="8"/>
  <c r="W28" i="16" s="1"/>
  <c r="AK37" i="8"/>
  <c r="AK2" i="8" s="1"/>
  <c r="Y23" i="8"/>
  <c r="AK31" i="8"/>
  <c r="Y27" i="8"/>
  <c r="AI37" i="8"/>
  <c r="AI36" i="8" s="1"/>
  <c r="X69" i="8"/>
  <c r="W20" i="16" s="1"/>
  <c r="AM27" i="8"/>
  <c r="Y31" i="8"/>
  <c r="X28" i="16" s="1"/>
  <c r="AM87" i="8"/>
  <c r="Y69" i="8"/>
  <c r="X20" i="16" s="1"/>
  <c r="AM29" i="8"/>
  <c r="AI87" i="8"/>
  <c r="AL37" i="8"/>
  <c r="AL2" i="8" s="1"/>
  <c r="AM51" i="8"/>
  <c r="AI45" i="8"/>
  <c r="M35" i="8"/>
  <c r="M72" i="8" s="1"/>
  <c r="AK32" i="8"/>
  <c r="AK35" i="8" s="1"/>
  <c r="AK72" i="8" s="1"/>
  <c r="E71" i="8"/>
  <c r="D68" i="16" s="1"/>
  <c r="AI51" i="8"/>
  <c r="Q27" i="8"/>
  <c r="AL21" i="8"/>
  <c r="AL27" i="8" s="1"/>
  <c r="AK27" i="8"/>
  <c r="C8" i="18"/>
  <c r="C18" i="18" s="1"/>
  <c r="C20" i="18" s="1"/>
  <c r="W6" i="16"/>
  <c r="W65" i="16" s="1"/>
  <c r="W67" i="16" s="1"/>
  <c r="X35" i="8"/>
  <c r="W17" i="16" s="1"/>
  <c r="W40" i="16"/>
  <c r="AA41" i="16" s="1"/>
  <c r="AB52" i="8"/>
  <c r="AA59" i="16" s="1"/>
  <c r="Y37" i="8"/>
  <c r="X40" i="16"/>
  <c r="AB41" i="16" s="1"/>
  <c r="Y32" i="8"/>
  <c r="AC32" i="8" s="1"/>
  <c r="AG32" i="8" s="1"/>
  <c r="X36" i="16"/>
  <c r="V48" i="8"/>
  <c r="V90" i="8" s="1"/>
  <c r="U53" i="16" s="1"/>
  <c r="U36" i="16"/>
  <c r="W37" i="16"/>
  <c r="W60" i="16"/>
  <c r="X85" i="8"/>
  <c r="W55" i="16" s="1"/>
  <c r="W47" i="16"/>
  <c r="AA52" i="8"/>
  <c r="Z59" i="16" s="1"/>
  <c r="V40" i="16"/>
  <c r="Z41" i="16" s="1"/>
  <c r="U40" i="16"/>
  <c r="U37" i="8"/>
  <c r="T40" i="16"/>
  <c r="U32" i="8"/>
  <c r="T36" i="16"/>
  <c r="U48" i="8"/>
  <c r="U89" i="8"/>
  <c r="T52" i="16" s="1"/>
  <c r="U47" i="8"/>
  <c r="W31" i="8"/>
  <c r="V28" i="16" s="1"/>
  <c r="W37" i="8"/>
  <c r="W69" i="8"/>
  <c r="V20" i="16" s="1"/>
  <c r="W27" i="8"/>
  <c r="AA21" i="8"/>
  <c r="V31" i="8"/>
  <c r="U28" i="16" s="1"/>
  <c r="V69" i="8"/>
  <c r="U20" i="16" s="1"/>
  <c r="V37" i="8"/>
  <c r="F35" i="8"/>
  <c r="F72" i="8" s="1"/>
  <c r="G9" i="12"/>
  <c r="L9" i="12"/>
  <c r="D9" i="12"/>
  <c r="M8" i="12"/>
  <c r="H8" i="12"/>
  <c r="AI100" i="8"/>
  <c r="AI119" i="8" s="1"/>
  <c r="AH104" i="1"/>
  <c r="AD104" i="1"/>
  <c r="AD114" i="1"/>
  <c r="I9" i="12"/>
  <c r="AD97" i="1"/>
  <c r="AH97" i="1"/>
  <c r="AK97" i="1"/>
  <c r="K9" i="12"/>
  <c r="AG114" i="1"/>
  <c r="AG104" i="1"/>
  <c r="S4" i="8"/>
  <c r="S7" i="8"/>
  <c r="Q4" i="8"/>
  <c r="Q7" i="8"/>
  <c r="P71" i="8"/>
  <c r="O68" i="16" s="1"/>
  <c r="P34" i="8"/>
  <c r="N71" i="8"/>
  <c r="M68" i="16" s="1"/>
  <c r="N34" i="8"/>
  <c r="J6" i="12"/>
  <c r="N6" i="12" s="1"/>
  <c r="O6" i="12" s="1"/>
  <c r="AM118" i="8"/>
  <c r="AM99" i="8"/>
  <c r="Y88" i="8"/>
  <c r="X51" i="16" s="1"/>
  <c r="Y52" i="8"/>
  <c r="X59" i="16" s="1"/>
  <c r="Y53" i="8"/>
  <c r="G8" i="12"/>
  <c r="F36" i="8"/>
  <c r="F39" i="8"/>
  <c r="F70" i="8"/>
  <c r="AL117" i="8"/>
  <c r="AL104" i="8"/>
  <c r="AL101" i="8"/>
  <c r="S38" i="8"/>
  <c r="S36" i="8"/>
  <c r="S70" i="8"/>
  <c r="X90" i="8"/>
  <c r="W53" i="16" s="1"/>
  <c r="X49" i="8"/>
  <c r="I104" i="1"/>
  <c r="I114" i="1"/>
  <c r="AL118" i="8"/>
  <c r="AL99" i="8"/>
  <c r="W45" i="8"/>
  <c r="AM45" i="8" s="1"/>
  <c r="AM48" i="8" s="1"/>
  <c r="AM90" i="8" s="1"/>
  <c r="W23" i="8"/>
  <c r="V4" i="8"/>
  <c r="V7" i="8"/>
  <c r="U52" i="8"/>
  <c r="T59" i="16" s="1"/>
  <c r="U53" i="8"/>
  <c r="U88" i="8"/>
  <c r="T51" i="16" s="1"/>
  <c r="O71" i="8"/>
  <c r="N68" i="16" s="1"/>
  <c r="U4" i="8"/>
  <c r="BD35" i="8"/>
  <c r="BE35" i="8" s="1"/>
  <c r="U7" i="8"/>
  <c r="R38" i="8"/>
  <c r="R36" i="8"/>
  <c r="R70" i="8"/>
  <c r="L70" i="8"/>
  <c r="L38" i="8"/>
  <c r="L36" i="8"/>
  <c r="L39" i="8"/>
  <c r="G32" i="8"/>
  <c r="L8" i="12"/>
  <c r="AL100" i="8"/>
  <c r="AL119" i="8" s="1"/>
  <c r="AK104" i="8"/>
  <c r="AK101" i="8"/>
  <c r="AK117" i="8"/>
  <c r="F77" i="4"/>
  <c r="F50" i="4"/>
  <c r="P70" i="8"/>
  <c r="P38" i="8"/>
  <c r="P36" i="8"/>
  <c r="P39" i="8"/>
  <c r="X53" i="8"/>
  <c r="X88" i="8"/>
  <c r="W51" i="16" s="1"/>
  <c r="X52" i="8"/>
  <c r="W59" i="16" s="1"/>
  <c r="T38" i="8"/>
  <c r="T36" i="8"/>
  <c r="T70" i="8"/>
  <c r="G36" i="8"/>
  <c r="G70" i="8"/>
  <c r="F69" i="4"/>
  <c r="F86" i="4"/>
  <c r="F67" i="4"/>
  <c r="F85" i="4" s="1"/>
  <c r="D8" i="12"/>
  <c r="W88" i="8"/>
  <c r="V51" i="16" s="1"/>
  <c r="W52" i="8"/>
  <c r="V59" i="16" s="1"/>
  <c r="AI104" i="8"/>
  <c r="AI101" i="8"/>
  <c r="AI117" i="8"/>
  <c r="K39" i="8"/>
  <c r="K70" i="8"/>
  <c r="K38" i="8"/>
  <c r="K36" i="8"/>
  <c r="K78" i="4"/>
  <c r="O51" i="4"/>
  <c r="L51" i="4"/>
  <c r="Y47" i="8"/>
  <c r="Y89" i="8"/>
  <c r="X52" i="16" s="1"/>
  <c r="N7" i="8"/>
  <c r="N4" i="8"/>
  <c r="O7" i="8"/>
  <c r="O4" i="8"/>
  <c r="Y7" i="8"/>
  <c r="Y4" i="8"/>
  <c r="N4" i="12"/>
  <c r="V32" i="8"/>
  <c r="U6" i="16" s="1"/>
  <c r="U65" i="16" s="1"/>
  <c r="U67" i="16" s="1"/>
  <c r="G53" i="8"/>
  <c r="G84" i="8" s="1"/>
  <c r="G88" i="8"/>
  <c r="AK118" i="8"/>
  <c r="AK99" i="8"/>
  <c r="Q38" i="8"/>
  <c r="Q36" i="8"/>
  <c r="Q70" i="8"/>
  <c r="W4" i="8"/>
  <c r="W7" i="8"/>
  <c r="L71" i="8"/>
  <c r="K68" i="16" s="1"/>
  <c r="L34" i="8"/>
  <c r="M7" i="8"/>
  <c r="M4" i="8"/>
  <c r="I97" i="1"/>
  <c r="T4" i="8"/>
  <c r="T7" i="8"/>
  <c r="G48" i="8"/>
  <c r="G90" i="8" s="1"/>
  <c r="M71" i="8"/>
  <c r="L68" i="16" s="1"/>
  <c r="M34" i="8"/>
  <c r="N70" i="8"/>
  <c r="N38" i="8"/>
  <c r="N36" i="8"/>
  <c r="N39" i="8"/>
  <c r="J36" i="8"/>
  <c r="J39" i="8"/>
  <c r="J70" i="8"/>
  <c r="J38" i="8"/>
  <c r="G104" i="1"/>
  <c r="G114" i="1"/>
  <c r="R32" i="8"/>
  <c r="R22" i="8"/>
  <c r="R23" i="8"/>
  <c r="M70" i="8"/>
  <c r="M38" i="8"/>
  <c r="M36" i="8"/>
  <c r="M39" i="8"/>
  <c r="X37" i="8"/>
  <c r="Q32" i="8"/>
  <c r="P6" i="16" s="1"/>
  <c r="P65" i="16" s="1"/>
  <c r="P67" i="16" s="1"/>
  <c r="Q22" i="8"/>
  <c r="P7" i="8"/>
  <c r="P4" i="8"/>
  <c r="I8" i="12"/>
  <c r="J19" i="6"/>
  <c r="J12" i="6"/>
  <c r="O70" i="8"/>
  <c r="O38" i="8"/>
  <c r="O36" i="8"/>
  <c r="O39" i="8"/>
  <c r="X7" i="8"/>
  <c r="X4" i="8"/>
  <c r="V89" i="8"/>
  <c r="U52" i="16" s="1"/>
  <c r="R4" i="8"/>
  <c r="R7" i="8"/>
  <c r="T32" i="8"/>
  <c r="T22" i="8"/>
  <c r="T23" i="8"/>
  <c r="M9" i="12"/>
  <c r="J28" i="6"/>
  <c r="Y48" i="8"/>
  <c r="O35" i="8"/>
  <c r="O72" i="8" s="1"/>
  <c r="S32" i="8"/>
  <c r="S22" i="8"/>
  <c r="S23" i="8"/>
  <c r="K8" i="12"/>
  <c r="AM117" i="8"/>
  <c r="AM104" i="8"/>
  <c r="AM101" i="8"/>
  <c r="K56" i="4"/>
  <c r="K49" i="4"/>
  <c r="K77" i="4" s="1"/>
  <c r="O54" i="4"/>
  <c r="K71" i="8"/>
  <c r="J68" i="16" s="1"/>
  <c r="AM100" i="8"/>
  <c r="AM119" i="8" s="1"/>
  <c r="K65" i="4"/>
  <c r="H9" i="12"/>
  <c r="V53" i="8"/>
  <c r="V88" i="8"/>
  <c r="U51" i="16" s="1"/>
  <c r="V52" i="8"/>
  <c r="U59" i="16" s="1"/>
  <c r="L35" i="8"/>
  <c r="L72" i="8" s="1"/>
  <c r="J34" i="8"/>
  <c r="J71" i="8"/>
  <c r="I68" i="16" s="1"/>
  <c r="AF44" i="16" l="1"/>
  <c r="AG54" i="8"/>
  <c r="AF61" i="16" s="1"/>
  <c r="AG84" i="8"/>
  <c r="AF54" i="16" s="1"/>
  <c r="AF47" i="16"/>
  <c r="AG49" i="8"/>
  <c r="AG90" i="8"/>
  <c r="AF53" i="16" s="1"/>
  <c r="AG85" i="8"/>
  <c r="AF55" i="16" s="1"/>
  <c r="AG71" i="8"/>
  <c r="AF6" i="16"/>
  <c r="AF65" i="16" s="1"/>
  <c r="AF67" i="16" s="1"/>
  <c r="AG21" i="8"/>
  <c r="AG35" i="8"/>
  <c r="AG39" i="8"/>
  <c r="AE14" i="16"/>
  <c r="AF66" i="8"/>
  <c r="AE24" i="16" s="1"/>
  <c r="AE17" i="16"/>
  <c r="AF67" i="8"/>
  <c r="AE25" i="16" s="1"/>
  <c r="AF72" i="8"/>
  <c r="AE23" i="16" s="1"/>
  <c r="AF23" i="8"/>
  <c r="AF27" i="8"/>
  <c r="AF46" i="8"/>
  <c r="AE67" i="16"/>
  <c r="AE68" i="16"/>
  <c r="AE22" i="16"/>
  <c r="N66" i="8"/>
  <c r="M14" i="16"/>
  <c r="M70" i="16" s="1"/>
  <c r="M72" i="16" s="1"/>
  <c r="W22" i="16"/>
  <c r="W68" i="16"/>
  <c r="F66" i="8"/>
  <c r="E14" i="16"/>
  <c r="E70" i="16" s="1"/>
  <c r="E72" i="16" s="1"/>
  <c r="K66" i="8"/>
  <c r="J14" i="16"/>
  <c r="J70" i="16" s="1"/>
  <c r="J72" i="16" s="1"/>
  <c r="T39" i="8"/>
  <c r="S6" i="16"/>
  <c r="S65" i="16" s="1"/>
  <c r="S67" i="16" s="1"/>
  <c r="P66" i="8"/>
  <c r="O14" i="16"/>
  <c r="O70" i="16" s="1"/>
  <c r="O72" i="16" s="1"/>
  <c r="L66" i="8"/>
  <c r="K14" i="16"/>
  <c r="K70" i="16" s="1"/>
  <c r="K72" i="16" s="1"/>
  <c r="R39" i="8"/>
  <c r="Q6" i="16"/>
  <c r="Q65" i="16" s="1"/>
  <c r="Q67" i="16" s="1"/>
  <c r="S39" i="8"/>
  <c r="R6" i="16"/>
  <c r="R65" i="16" s="1"/>
  <c r="R67" i="16" s="1"/>
  <c r="J66" i="8"/>
  <c r="I14" i="16"/>
  <c r="I70" i="16" s="1"/>
  <c r="I72" i="16" s="1"/>
  <c r="K34" i="8"/>
  <c r="F6" i="16"/>
  <c r="F65" i="16" s="1"/>
  <c r="F67" i="16" s="1"/>
  <c r="O66" i="8"/>
  <c r="N14" i="16"/>
  <c r="N70" i="16" s="1"/>
  <c r="N72" i="16" s="1"/>
  <c r="M66" i="8"/>
  <c r="L14" i="16"/>
  <c r="L70" i="16" s="1"/>
  <c r="L72" i="16" s="1"/>
  <c r="E66" i="8"/>
  <c r="D14" i="16"/>
  <c r="D70" i="16" s="1"/>
  <c r="D72" i="16" s="1"/>
  <c r="AI70" i="8"/>
  <c r="W30" i="16"/>
  <c r="AL70" i="8"/>
  <c r="AK36" i="8"/>
  <c r="AK70" i="8"/>
  <c r="AD89" i="8"/>
  <c r="AC52" i="16" s="1"/>
  <c r="AI2" i="8"/>
  <c r="AI3" i="8" s="1"/>
  <c r="AL36" i="8"/>
  <c r="AB6" i="16"/>
  <c r="AB65" i="16" s="1"/>
  <c r="AC21" i="8"/>
  <c r="AC46" i="8" s="1"/>
  <c r="AC71" i="8"/>
  <c r="AC35" i="8"/>
  <c r="AC39" i="8"/>
  <c r="Y36" i="8"/>
  <c r="X12" i="16" s="1"/>
  <c r="AC38" i="8"/>
  <c r="AB29" i="16" s="1"/>
  <c r="AC54" i="8"/>
  <c r="AB61" i="16" s="1"/>
  <c r="AB44" i="16"/>
  <c r="AF45" i="16" s="1"/>
  <c r="AC84" i="8"/>
  <c r="AB54" i="16" s="1"/>
  <c r="AC49" i="8"/>
  <c r="AB47" i="16"/>
  <c r="AC85" i="8"/>
  <c r="AB55" i="16" s="1"/>
  <c r="AC90" i="8"/>
  <c r="AB53" i="16" s="1"/>
  <c r="AI32" i="8"/>
  <c r="AI71" i="8" s="1"/>
  <c r="AI88" i="8"/>
  <c r="AI50" i="8"/>
  <c r="AI53" i="8"/>
  <c r="AI89" i="8"/>
  <c r="AI46" i="8"/>
  <c r="AM88" i="8"/>
  <c r="AM53" i="8"/>
  <c r="AM50" i="8"/>
  <c r="AM46" i="8"/>
  <c r="AM89" i="8"/>
  <c r="Q39" i="8"/>
  <c r="AL32" i="8"/>
  <c r="AL71" i="8" s="1"/>
  <c r="AI48" i="8"/>
  <c r="AI90" i="8" s="1"/>
  <c r="U35" i="8"/>
  <c r="AM69" i="8"/>
  <c r="AM31" i="8"/>
  <c r="X10" i="16"/>
  <c r="AB11" i="16" s="1"/>
  <c r="AK71" i="8"/>
  <c r="AK39" i="8"/>
  <c r="T10" i="16"/>
  <c r="AM37" i="8"/>
  <c r="X6" i="16"/>
  <c r="X65" i="16" s="1"/>
  <c r="Y38" i="8"/>
  <c r="X29" i="16" s="1"/>
  <c r="U36" i="8"/>
  <c r="T12" i="16" s="1"/>
  <c r="U38" i="8"/>
  <c r="T29" i="16" s="1"/>
  <c r="Y70" i="8"/>
  <c r="X21" i="16" s="1"/>
  <c r="C9" i="18"/>
  <c r="U39" i="8"/>
  <c r="U66" i="8" s="1"/>
  <c r="T24" i="16" s="1"/>
  <c r="X67" i="8"/>
  <c r="W25" i="16" s="1"/>
  <c r="X72" i="8"/>
  <c r="W23" i="16" s="1"/>
  <c r="Y71" i="8"/>
  <c r="T6" i="16"/>
  <c r="T65" i="16" s="1"/>
  <c r="T67" i="16" s="1"/>
  <c r="U71" i="8"/>
  <c r="AA6" i="16"/>
  <c r="AA65" i="16" s="1"/>
  <c r="AE74" i="16" s="1"/>
  <c r="AB21" i="8"/>
  <c r="AF22" i="8" s="1"/>
  <c r="U70" i="8"/>
  <c r="T21" i="16" s="1"/>
  <c r="Y39" i="8"/>
  <c r="X14" i="16" s="1"/>
  <c r="X70" i="16" s="1"/>
  <c r="X72" i="16" s="1"/>
  <c r="X41" i="16"/>
  <c r="W10" i="16"/>
  <c r="AA11" i="16" s="1"/>
  <c r="AB38" i="8"/>
  <c r="AA29" i="16" s="1"/>
  <c r="U34" i="8"/>
  <c r="T30" i="16" s="1"/>
  <c r="V49" i="8"/>
  <c r="Y35" i="8"/>
  <c r="Y67" i="8" s="1"/>
  <c r="X25" i="16" s="1"/>
  <c r="U44" i="16"/>
  <c r="X37" i="16"/>
  <c r="X60" i="16"/>
  <c r="X44" i="16"/>
  <c r="W44" i="16"/>
  <c r="V85" i="8"/>
  <c r="U55" i="16" s="1"/>
  <c r="U47" i="16"/>
  <c r="Y85" i="8"/>
  <c r="X55" i="16" s="1"/>
  <c r="X47" i="16"/>
  <c r="U37" i="16"/>
  <c r="U60" i="16"/>
  <c r="W53" i="8"/>
  <c r="V36" i="16"/>
  <c r="Y34" i="8"/>
  <c r="X30" i="16" s="1"/>
  <c r="Z32" i="8"/>
  <c r="Y36" i="16"/>
  <c r="T44" i="16"/>
  <c r="T37" i="16"/>
  <c r="T60" i="16"/>
  <c r="U85" i="8"/>
  <c r="T55" i="16" s="1"/>
  <c r="T47" i="16"/>
  <c r="U90" i="8"/>
  <c r="T53" i="16" s="1"/>
  <c r="U10" i="16"/>
  <c r="U49" i="8"/>
  <c r="AA38" i="8"/>
  <c r="Z29" i="16" s="1"/>
  <c r="V10" i="16"/>
  <c r="Z11" i="16" s="1"/>
  <c r="X84" i="8"/>
  <c r="W54" i="16" s="1"/>
  <c r="V84" i="8"/>
  <c r="U54" i="16" s="1"/>
  <c r="U84" i="8"/>
  <c r="T54" i="16" s="1"/>
  <c r="Y84" i="8"/>
  <c r="X54" i="16" s="1"/>
  <c r="Y54" i="8"/>
  <c r="X61" i="16" s="1"/>
  <c r="W36" i="8"/>
  <c r="V12" i="16" s="1"/>
  <c r="W38" i="8"/>
  <c r="V29" i="16" s="1"/>
  <c r="V39" i="8"/>
  <c r="U14" i="16" s="1"/>
  <c r="U70" i="16" s="1"/>
  <c r="U72" i="16" s="1"/>
  <c r="W70" i="8"/>
  <c r="V21" i="16" s="1"/>
  <c r="V36" i="8"/>
  <c r="U12" i="16" s="1"/>
  <c r="V70" i="8"/>
  <c r="U21" i="16" s="1"/>
  <c r="V38" i="8"/>
  <c r="U29" i="16" s="1"/>
  <c r="AA45" i="8"/>
  <c r="AA23" i="8"/>
  <c r="AA27" i="8"/>
  <c r="Z89" i="8"/>
  <c r="Y52" i="16" s="1"/>
  <c r="L49" i="4"/>
  <c r="P49" i="4" s="1"/>
  <c r="J9" i="12"/>
  <c r="X70" i="8"/>
  <c r="W21" i="16" s="1"/>
  <c r="X38" i="8"/>
  <c r="W29" i="16" s="1"/>
  <c r="X36" i="8"/>
  <c r="W12" i="16" s="1"/>
  <c r="X39" i="8"/>
  <c r="L78" i="4"/>
  <c r="P51" i="4"/>
  <c r="M51" i="4"/>
  <c r="O52" i="4"/>
  <c r="O49" i="4"/>
  <c r="O78" i="4"/>
  <c r="W47" i="8"/>
  <c r="W89" i="8"/>
  <c r="V52" i="16" s="1"/>
  <c r="W48" i="8"/>
  <c r="K80" i="4"/>
  <c r="O57" i="4"/>
  <c r="K68" i="4"/>
  <c r="W32" i="8"/>
  <c r="V6" i="16" s="1"/>
  <c r="V65" i="16" s="1"/>
  <c r="V67" i="16" s="1"/>
  <c r="K61" i="4"/>
  <c r="O66" i="4"/>
  <c r="T34" i="8"/>
  <c r="T71" i="8"/>
  <c r="S68" i="16" s="1"/>
  <c r="T35" i="8"/>
  <c r="T72" i="8" s="1"/>
  <c r="J8" i="12"/>
  <c r="G71" i="8"/>
  <c r="F68" i="16" s="1"/>
  <c r="G35" i="8"/>
  <c r="G72" i="8" s="1"/>
  <c r="R34" i="8"/>
  <c r="R71" i="8"/>
  <c r="Q68" i="16" s="1"/>
  <c r="R35" i="8"/>
  <c r="R72" i="8" s="1"/>
  <c r="S34" i="8"/>
  <c r="S71" i="8"/>
  <c r="R68" i="16" s="1"/>
  <c r="S35" i="8"/>
  <c r="S72" i="8" s="1"/>
  <c r="AO53" i="8"/>
  <c r="O34" i="8"/>
  <c r="G39" i="8"/>
  <c r="Q71" i="8"/>
  <c r="P68" i="16" s="1"/>
  <c r="Q34" i="8"/>
  <c r="Q35" i="8"/>
  <c r="Q72" i="8" s="1"/>
  <c r="Y90" i="8"/>
  <c r="X53" i="16" s="1"/>
  <c r="Y49" i="8"/>
  <c r="J31" i="6"/>
  <c r="J33" i="6" s="1"/>
  <c r="J34" i="6" s="1"/>
  <c r="J24" i="6"/>
  <c r="V34" i="8"/>
  <c r="V71" i="8"/>
  <c r="V35" i="8"/>
  <c r="U17" i="16" s="1"/>
  <c r="AF14" i="16" l="1"/>
  <c r="AF70" i="16" s="1"/>
  <c r="AF72" i="16" s="1"/>
  <c r="AG40" i="8"/>
  <c r="AF31" i="16" s="1"/>
  <c r="AG66" i="8"/>
  <c r="AF24" i="16" s="1"/>
  <c r="AG22" i="8"/>
  <c r="AG23" i="8"/>
  <c r="AG27" i="8"/>
  <c r="AG46" i="8"/>
  <c r="AF68" i="16"/>
  <c r="AF22" i="16"/>
  <c r="AF74" i="16"/>
  <c r="AF17" i="16"/>
  <c r="AG72" i="8"/>
  <c r="AF23" i="16" s="1"/>
  <c r="AG67" i="8"/>
  <c r="AF25" i="16" s="1"/>
  <c r="AF33" i="8"/>
  <c r="AE8" i="16" s="1"/>
  <c r="AE38" i="16"/>
  <c r="AE70" i="16"/>
  <c r="AE72" i="16" s="1"/>
  <c r="T22" i="16"/>
  <c r="T68" i="16"/>
  <c r="T66" i="8"/>
  <c r="S14" i="16"/>
  <c r="S70" i="16" s="1"/>
  <c r="S72" i="16" s="1"/>
  <c r="S66" i="8"/>
  <c r="R14" i="16"/>
  <c r="R70" i="16" s="1"/>
  <c r="R72" i="16" s="1"/>
  <c r="AB22" i="16"/>
  <c r="AB68" i="16"/>
  <c r="R66" i="8"/>
  <c r="Q14" i="16"/>
  <c r="Q70" i="16" s="1"/>
  <c r="Q72" i="16" s="1"/>
  <c r="X22" i="16"/>
  <c r="X68" i="16"/>
  <c r="G66" i="8"/>
  <c r="F14" i="16"/>
  <c r="F70" i="16" s="1"/>
  <c r="F72" i="16" s="1"/>
  <c r="Q66" i="8"/>
  <c r="P14" i="16"/>
  <c r="P70" i="16" s="1"/>
  <c r="P72" i="16" s="1"/>
  <c r="U22" i="16"/>
  <c r="U68" i="16"/>
  <c r="F5" i="18"/>
  <c r="G5" i="18" s="1"/>
  <c r="AE45" i="8"/>
  <c r="AO45" i="8" s="1"/>
  <c r="AA67" i="16"/>
  <c r="AA74" i="16"/>
  <c r="X74" i="16"/>
  <c r="X67" i="16"/>
  <c r="AB67" i="16"/>
  <c r="AB74" i="16"/>
  <c r="T17" i="16"/>
  <c r="U67" i="8"/>
  <c r="AB22" i="8"/>
  <c r="AB46" i="8"/>
  <c r="T14" i="16"/>
  <c r="T70" i="16" s="1"/>
  <c r="T72" i="16" s="1"/>
  <c r="Y6" i="16"/>
  <c r="Y65" i="16" s="1"/>
  <c r="AD32" i="8"/>
  <c r="AC6" i="16" s="1"/>
  <c r="AC65" i="16" s="1"/>
  <c r="X11" i="16"/>
  <c r="AI39" i="8"/>
  <c r="AK34" i="8"/>
  <c r="AI35" i="8"/>
  <c r="AI72" i="8" s="1"/>
  <c r="U40" i="8"/>
  <c r="T31" i="16" s="1"/>
  <c r="AL39" i="8"/>
  <c r="AC40" i="8"/>
  <c r="AB31" i="16" s="1"/>
  <c r="AB14" i="16"/>
  <c r="AF15" i="16" s="1"/>
  <c r="AC66" i="8"/>
  <c r="AB24" i="16" s="1"/>
  <c r="AC72" i="8"/>
  <c r="AB23" i="16" s="1"/>
  <c r="AB17" i="16"/>
  <c r="AC67" i="8"/>
  <c r="AB25" i="16" s="1"/>
  <c r="AB45" i="16"/>
  <c r="AM32" i="8"/>
  <c r="AM71" i="8" s="1"/>
  <c r="AC22" i="8"/>
  <c r="AC23" i="8"/>
  <c r="AC27" i="8"/>
  <c r="AL35" i="8"/>
  <c r="AL72" i="8" s="1"/>
  <c r="AL34" i="8"/>
  <c r="T25" i="16"/>
  <c r="AN21" i="8"/>
  <c r="U72" i="8"/>
  <c r="T23" i="16" s="1"/>
  <c r="AM70" i="8"/>
  <c r="AM36" i="8"/>
  <c r="AN45" i="8"/>
  <c r="Y72" i="8"/>
  <c r="X23" i="16" s="1"/>
  <c r="T7" i="16"/>
  <c r="Y40" i="8"/>
  <c r="X31" i="16" s="1"/>
  <c r="Y66" i="8"/>
  <c r="X24" i="16" s="1"/>
  <c r="X45" i="16"/>
  <c r="W14" i="16"/>
  <c r="W70" i="16" s="1"/>
  <c r="W72" i="16" s="1"/>
  <c r="X17" i="16"/>
  <c r="X7" i="16"/>
  <c r="Z71" i="8"/>
  <c r="Z34" i="8"/>
  <c r="Y7" i="16" s="1"/>
  <c r="W85" i="8"/>
  <c r="V55" i="16" s="1"/>
  <c r="V47" i="16"/>
  <c r="V37" i="16"/>
  <c r="V60" i="16"/>
  <c r="Y60" i="16"/>
  <c r="Y37" i="16"/>
  <c r="V44" i="16"/>
  <c r="AA32" i="8"/>
  <c r="AE32" i="8" s="1"/>
  <c r="Z36" i="16"/>
  <c r="W84" i="8"/>
  <c r="V54" i="16" s="1"/>
  <c r="U7" i="16"/>
  <c r="U30" i="16"/>
  <c r="X66" i="8"/>
  <c r="W24" i="16" s="1"/>
  <c r="X40" i="8"/>
  <c r="W31" i="16" s="1"/>
  <c r="V66" i="8"/>
  <c r="U24" i="16" s="1"/>
  <c r="V40" i="8"/>
  <c r="U31" i="16" s="1"/>
  <c r="V72" i="8"/>
  <c r="U23" i="16" s="1"/>
  <c r="V67" i="8"/>
  <c r="U25" i="16" s="1"/>
  <c r="AA89" i="8"/>
  <c r="Z52" i="16" s="1"/>
  <c r="AA47" i="8"/>
  <c r="AA48" i="8"/>
  <c r="AA53" i="8"/>
  <c r="L77" i="4"/>
  <c r="M49" i="4" s="1"/>
  <c r="Q49" i="4" s="1"/>
  <c r="L53" i="4"/>
  <c r="L56" i="4" s="1"/>
  <c r="K83" i="4"/>
  <c r="L61" i="4" s="1"/>
  <c r="O62" i="4"/>
  <c r="Q51" i="4"/>
  <c r="N51" i="4"/>
  <c r="M78" i="4"/>
  <c r="K86" i="4"/>
  <c r="K67" i="4"/>
  <c r="K85" i="4" s="1"/>
  <c r="O69" i="4"/>
  <c r="W34" i="8"/>
  <c r="W71" i="8"/>
  <c r="W35" i="8"/>
  <c r="V17" i="16" s="1"/>
  <c r="W39" i="8"/>
  <c r="V14" i="16" s="1"/>
  <c r="V70" i="16" s="1"/>
  <c r="V72" i="16" s="1"/>
  <c r="P52" i="4"/>
  <c r="P78" i="4"/>
  <c r="W49" i="8"/>
  <c r="W90" i="8"/>
  <c r="V53" i="16" s="1"/>
  <c r="O50" i="4"/>
  <c r="O77" i="4"/>
  <c r="P53" i="4"/>
  <c r="P77" i="4"/>
  <c r="AG33" i="8" l="1"/>
  <c r="AF8" i="16" s="1"/>
  <c r="AF38" i="16"/>
  <c r="X15" i="16"/>
  <c r="AO47" i="8"/>
  <c r="AO46" i="8"/>
  <c r="AC67" i="16"/>
  <c r="AC74" i="16"/>
  <c r="AD6" i="16"/>
  <c r="AD65" i="16" s="1"/>
  <c r="AE71" i="8"/>
  <c r="AE21" i="8"/>
  <c r="AE35" i="8"/>
  <c r="AE39" i="8"/>
  <c r="V22" i="16"/>
  <c r="V68" i="16"/>
  <c r="Y22" i="16"/>
  <c r="Y68" i="16"/>
  <c r="AE89" i="8"/>
  <c r="AD52" i="16" s="1"/>
  <c r="AD36" i="16"/>
  <c r="AG36" i="16" s="1"/>
  <c r="AE48" i="8"/>
  <c r="AE53" i="8"/>
  <c r="Y67" i="16"/>
  <c r="Y74" i="16"/>
  <c r="AB15" i="16"/>
  <c r="AB70" i="16"/>
  <c r="AB72" i="16" s="1"/>
  <c r="Z6" i="16"/>
  <c r="Z65" i="16" s="1"/>
  <c r="AD21" i="8"/>
  <c r="AD22" i="8" s="1"/>
  <c r="AD71" i="8"/>
  <c r="AM35" i="8"/>
  <c r="AM72" i="8" s="1"/>
  <c r="AM34" i="8"/>
  <c r="AM39" i="8"/>
  <c r="AB38" i="16"/>
  <c r="AC33" i="8"/>
  <c r="AB8" i="16" s="1"/>
  <c r="AN46" i="8"/>
  <c r="AN47" i="8"/>
  <c r="AN89" i="8"/>
  <c r="AN32" i="8"/>
  <c r="AN22" i="8"/>
  <c r="AA38" i="16"/>
  <c r="AB33" i="8"/>
  <c r="AA8" i="16" s="1"/>
  <c r="Y30" i="16"/>
  <c r="AA35" i="8"/>
  <c r="AA72" i="8" s="1"/>
  <c r="Z23" i="16" s="1"/>
  <c r="AA39" i="8"/>
  <c r="Z14" i="16" s="1"/>
  <c r="AA71" i="8"/>
  <c r="AA34" i="8"/>
  <c r="Z7" i="16" s="1"/>
  <c r="Z44" i="16"/>
  <c r="AA85" i="8"/>
  <c r="Z55" i="16" s="1"/>
  <c r="Z47" i="16"/>
  <c r="Z37" i="16"/>
  <c r="Z60" i="16"/>
  <c r="V7" i="16"/>
  <c r="V30" i="16"/>
  <c r="AA84" i="8"/>
  <c r="Z54" i="16" s="1"/>
  <c r="AA54" i="8"/>
  <c r="Z61" i="16" s="1"/>
  <c r="W66" i="8"/>
  <c r="V24" i="16" s="1"/>
  <c r="W40" i="8"/>
  <c r="V31" i="16" s="1"/>
  <c r="W72" i="8"/>
  <c r="V23" i="16" s="1"/>
  <c r="W67" i="8"/>
  <c r="V25" i="16" s="1"/>
  <c r="AA49" i="8"/>
  <c r="AA90" i="8"/>
  <c r="Z53" i="16" s="1"/>
  <c r="M53" i="4"/>
  <c r="M56" i="4" s="1"/>
  <c r="M68" i="4" s="1"/>
  <c r="M77" i="4"/>
  <c r="N49" i="4" s="1"/>
  <c r="N77" i="4" s="1"/>
  <c r="Q53" i="4"/>
  <c r="Q77" i="4"/>
  <c r="P65" i="4"/>
  <c r="P54" i="4"/>
  <c r="P56" i="4"/>
  <c r="Q52" i="4"/>
  <c r="Q78" i="4"/>
  <c r="N78" i="4"/>
  <c r="R52" i="4"/>
  <c r="L80" i="4"/>
  <c r="L68" i="4"/>
  <c r="L65" i="4"/>
  <c r="L41" i="4" s="1"/>
  <c r="L83" i="4"/>
  <c r="M61" i="4" s="1"/>
  <c r="Z67" i="16" l="1"/>
  <c r="Z74" i="16"/>
  <c r="AD22" i="16"/>
  <c r="AD68" i="16"/>
  <c r="AE46" i="8"/>
  <c r="AE22" i="8"/>
  <c r="AE23" i="8"/>
  <c r="AE27" i="8"/>
  <c r="AD44" i="16"/>
  <c r="AD45" i="16" s="1"/>
  <c r="AE54" i="8"/>
  <c r="AD61" i="16" s="1"/>
  <c r="AE84" i="8"/>
  <c r="AD54" i="16" s="1"/>
  <c r="AD74" i="16"/>
  <c r="AD67" i="16"/>
  <c r="AC22" i="16"/>
  <c r="AC68" i="16"/>
  <c r="AD14" i="16"/>
  <c r="AD70" i="16" s="1"/>
  <c r="AD72" i="16" s="1"/>
  <c r="AE40" i="8"/>
  <c r="AD31" i="16" s="1"/>
  <c r="AE66" i="8"/>
  <c r="AD24" i="16" s="1"/>
  <c r="AD17" i="16"/>
  <c r="AE67" i="8"/>
  <c r="AD25" i="16" s="1"/>
  <c r="AE72" i="8"/>
  <c r="AD23" i="16" s="1"/>
  <c r="AA40" i="8"/>
  <c r="Z31" i="16" s="1"/>
  <c r="Z22" i="16"/>
  <c r="Z68" i="16"/>
  <c r="AE90" i="8"/>
  <c r="AD53" i="16" s="1"/>
  <c r="AD47" i="16"/>
  <c r="AE85" i="8"/>
  <c r="AD55" i="16" s="1"/>
  <c r="AE49" i="8"/>
  <c r="Z15" i="16"/>
  <c r="Z70" i="16"/>
  <c r="Z72" i="16" s="1"/>
  <c r="AD15" i="16"/>
  <c r="Z45" i="16"/>
  <c r="AD46" i="8"/>
  <c r="AC38" i="16" s="1"/>
  <c r="AN34" i="8"/>
  <c r="AN71" i="8"/>
  <c r="AA66" i="8"/>
  <c r="Z24" i="16" s="1"/>
  <c r="Z17" i="16"/>
  <c r="AA67" i="8"/>
  <c r="Z25" i="16" s="1"/>
  <c r="Z30" i="16"/>
  <c r="N53" i="4"/>
  <c r="N56" i="4" s="1"/>
  <c r="M80" i="4"/>
  <c r="P42" i="4"/>
  <c r="L72" i="4"/>
  <c r="L43" i="4"/>
  <c r="L73" i="4" s="1"/>
  <c r="M86" i="4"/>
  <c r="M65" i="4"/>
  <c r="M67" i="4" s="1"/>
  <c r="M85" i="4" s="1"/>
  <c r="M83" i="4"/>
  <c r="N61" i="4" s="1"/>
  <c r="P80" i="4"/>
  <c r="P68" i="4"/>
  <c r="P57" i="4"/>
  <c r="P61" i="4"/>
  <c r="P66" i="4"/>
  <c r="L86" i="4"/>
  <c r="L67" i="4"/>
  <c r="L85" i="4" s="1"/>
  <c r="Q65" i="4"/>
  <c r="Q54" i="4"/>
  <c r="Q56" i="4"/>
  <c r="AE33" i="8" l="1"/>
  <c r="AD8" i="16" s="1"/>
  <c r="AD38" i="16"/>
  <c r="AD33" i="8"/>
  <c r="AC8" i="16" s="1"/>
  <c r="R54" i="4"/>
  <c r="P86" i="4"/>
  <c r="P69" i="4"/>
  <c r="P67" i="4"/>
  <c r="P85" i="4" s="1"/>
  <c r="Q68" i="4"/>
  <c r="Q61" i="4"/>
  <c r="Q66" i="4"/>
  <c r="P83" i="4"/>
  <c r="P62" i="4"/>
  <c r="N65" i="4"/>
  <c r="R66" i="4" s="1"/>
  <c r="N83" i="4"/>
  <c r="R62" i="4"/>
  <c r="Q57" i="4"/>
  <c r="Q80" i="4"/>
  <c r="N80" i="4"/>
  <c r="N68" i="4"/>
  <c r="R57" i="4"/>
  <c r="N86" i="4" l="1"/>
  <c r="R69" i="4"/>
  <c r="Q83" i="4"/>
  <c r="Q62" i="4"/>
  <c r="Q86" i="4"/>
  <c r="Q69" i="4"/>
  <c r="AB23" i="8" l="1"/>
  <c r="AB27" i="8"/>
  <c r="AB53" i="8"/>
  <c r="AF54" i="8" s="1"/>
  <c r="AE61" i="16" s="1"/>
  <c r="AA44" i="16" l="1"/>
  <c r="AB84" i="8"/>
  <c r="AA54" i="16" s="1"/>
  <c r="AB54" i="8"/>
  <c r="AA61" i="16" s="1"/>
  <c r="AB89" i="8"/>
  <c r="AA52" i="16" s="1"/>
  <c r="AB48" i="8"/>
  <c r="AA47" i="16" l="1"/>
  <c r="AF49" i="8"/>
  <c r="AA45" i="16"/>
  <c r="AE45" i="16"/>
  <c r="AB90" i="8"/>
  <c r="AA53" i="16" s="1"/>
  <c r="AB85" i="8"/>
  <c r="AA55" i="16" s="1"/>
  <c r="AB49" i="8"/>
  <c r="AB35" i="8"/>
  <c r="AB71" i="8"/>
  <c r="AB39" i="8"/>
  <c r="AF40" i="8" s="1"/>
  <c r="AE31" i="16" s="1"/>
  <c r="AA17" i="16" l="1"/>
  <c r="AA22" i="16"/>
  <c r="AA68" i="16"/>
  <c r="AA14" i="16"/>
  <c r="AE15" i="16" s="1"/>
  <c r="AB40" i="8"/>
  <c r="AA31" i="16" s="1"/>
  <c r="AB66" i="8"/>
  <c r="AA24" i="16" s="1"/>
  <c r="AB67" i="8"/>
  <c r="AA25" i="16" s="1"/>
  <c r="AB72" i="8"/>
  <c r="AA23" i="16" s="1"/>
  <c r="AA15" i="16" l="1"/>
  <c r="AA70" i="16"/>
  <c r="AA72" i="16" s="1"/>
  <c r="AW161" i="1"/>
  <c r="AU78" i="1"/>
  <c r="AU158" i="1"/>
  <c r="AU159" i="1" s="1"/>
  <c r="H3" i="19"/>
  <c r="H8" i="19" s="1"/>
  <c r="AU77" i="1"/>
  <c r="Z11" i="8"/>
  <c r="Z94" i="8" s="1"/>
  <c r="Z102" i="8" l="1"/>
  <c r="Z103" i="8" s="1"/>
  <c r="Z98" i="8"/>
  <c r="Z18" i="8"/>
  <c r="Z25" i="8" s="1"/>
  <c r="Z95" i="8"/>
  <c r="AN94" i="8"/>
  <c r="Z116" i="8"/>
  <c r="Z5" i="8"/>
  <c r="Z121" i="8" s="1"/>
  <c r="H4" i="19"/>
  <c r="Z13" i="8"/>
  <c r="AN11" i="8"/>
  <c r="Z12" i="8"/>
  <c r="AD11" i="8" l="1"/>
  <c r="AD5" i="8" s="1"/>
  <c r="AN13" i="8"/>
  <c r="AN12" i="8"/>
  <c r="AN95" i="8"/>
  <c r="AN116" i="8"/>
  <c r="AN97" i="8"/>
  <c r="Z19" i="8"/>
  <c r="AN18" i="8"/>
  <c r="AN20" i="8" s="1"/>
  <c r="Z42" i="8"/>
  <c r="Z51" i="8" s="1"/>
  <c r="Z52" i="8" s="1"/>
  <c r="Z23" i="8"/>
  <c r="Z26" i="8"/>
  <c r="AD18" i="8"/>
  <c r="AD25" i="8" s="1"/>
  <c r="AD13" i="8"/>
  <c r="AD12" i="8"/>
  <c r="AD94" i="8"/>
  <c r="L3" i="19"/>
  <c r="AD98" i="8" l="1"/>
  <c r="AD102" i="8"/>
  <c r="AD121" i="8"/>
  <c r="Z37" i="8"/>
  <c r="Z27" i="8"/>
  <c r="AN25" i="8"/>
  <c r="AN27" i="8" s="1"/>
  <c r="AD95" i="8"/>
  <c r="AD116" i="8"/>
  <c r="AN42" i="8"/>
  <c r="Z48" i="8"/>
  <c r="Z87" i="8"/>
  <c r="Y50" i="16" s="1"/>
  <c r="F4" i="18"/>
  <c r="F6" i="18" s="1"/>
  <c r="Z44" i="8"/>
  <c r="Y58" i="16" s="1"/>
  <c r="Z29" i="8"/>
  <c r="L4" i="19"/>
  <c r="L8" i="19"/>
  <c r="AD42" i="8"/>
  <c r="AD23" i="8"/>
  <c r="AD19" i="8"/>
  <c r="AD29" i="8" l="1"/>
  <c r="AD35" i="8" s="1"/>
  <c r="AC17" i="16" s="1"/>
  <c r="AD51" i="8"/>
  <c r="AO51" i="8" s="1"/>
  <c r="AN48" i="8"/>
  <c r="AN90" i="8" s="1"/>
  <c r="AN87" i="8"/>
  <c r="AD118" i="8"/>
  <c r="Z31" i="8"/>
  <c r="Y28" i="16" s="1"/>
  <c r="AN29" i="8"/>
  <c r="Z69" i="8"/>
  <c r="Y20" i="16" s="1"/>
  <c r="Z35" i="8"/>
  <c r="Y40" i="16"/>
  <c r="AN51" i="8"/>
  <c r="Y59" i="16"/>
  <c r="Z88" i="8"/>
  <c r="Y51" i="16" s="1"/>
  <c r="Z53" i="8"/>
  <c r="F8" i="18"/>
  <c r="G8" i="18" s="1"/>
  <c r="AD2" i="8"/>
  <c r="AD3" i="8" s="1"/>
  <c r="AD122" i="8" s="1"/>
  <c r="AD123" i="8" s="1"/>
  <c r="AD104" i="8"/>
  <c r="AD117" i="8"/>
  <c r="AD87" i="8"/>
  <c r="AC50" i="16" s="1"/>
  <c r="AD44" i="8"/>
  <c r="AC58" i="16" s="1"/>
  <c r="AD48" i="8"/>
  <c r="AC47" i="16" s="1"/>
  <c r="AD15" i="8"/>
  <c r="AD27" i="8"/>
  <c r="AD26" i="8"/>
  <c r="Z85" i="8"/>
  <c r="Y55" i="16" s="1"/>
  <c r="Z49" i="8"/>
  <c r="Y47" i="16"/>
  <c r="Z90" i="8"/>
  <c r="Y53" i="16" s="1"/>
  <c r="AD69" i="8" l="1"/>
  <c r="AC20" i="16" s="1"/>
  <c r="AD31" i="8"/>
  <c r="AC28" i="16" s="1"/>
  <c r="AC40" i="16"/>
  <c r="AD37" i="8"/>
  <c r="Y41" i="16"/>
  <c r="AC41" i="16"/>
  <c r="AD70" i="8"/>
  <c r="AC21" i="16" s="1"/>
  <c r="AD39" i="8"/>
  <c r="AC14" i="16" s="1"/>
  <c r="AC70" i="16" s="1"/>
  <c r="AC72" i="16" s="1"/>
  <c r="AD36" i="8"/>
  <c r="AC12" i="16" s="1"/>
  <c r="AD52" i="8"/>
  <c r="AC59" i="16" s="1"/>
  <c r="AD53" i="8"/>
  <c r="AC44" i="16" s="1"/>
  <c r="AD88" i="8"/>
  <c r="AC51" i="16" s="1"/>
  <c r="Z67" i="8"/>
  <c r="Y25" i="16" s="1"/>
  <c r="Z72" i="8"/>
  <c r="Y23" i="16" s="1"/>
  <c r="Y17" i="16"/>
  <c r="AD7" i="8"/>
  <c r="AD4" i="8"/>
  <c r="Z54" i="8"/>
  <c r="Y61" i="16" s="1"/>
  <c r="Z84" i="8"/>
  <c r="Y54" i="16" s="1"/>
  <c r="Y44" i="16"/>
  <c r="AN50" i="8"/>
  <c r="AN53" i="8"/>
  <c r="AN88" i="8"/>
  <c r="AN31" i="8"/>
  <c r="AN69" i="8"/>
  <c r="AN35" i="8"/>
  <c r="AN72" i="8" s="1"/>
  <c r="Y10" i="16"/>
  <c r="Z70" i="8"/>
  <c r="Y21" i="16" s="1"/>
  <c r="Z39" i="8"/>
  <c r="Z36" i="8"/>
  <c r="Y12" i="16" s="1"/>
  <c r="AN37" i="8"/>
  <c r="Z38" i="8"/>
  <c r="Y29" i="16" s="1"/>
  <c r="AD49" i="8"/>
  <c r="AD90" i="8"/>
  <c r="AC53" i="16" s="1"/>
  <c r="AD85" i="8"/>
  <c r="AC55" i="16" s="1"/>
  <c r="AD72" i="8"/>
  <c r="AC23" i="16" s="1"/>
  <c r="AD67" i="8"/>
  <c r="AC25" i="16" s="1"/>
  <c r="AD38" i="8" l="1"/>
  <c r="AC29" i="16" s="1"/>
  <c r="AC10" i="16"/>
  <c r="AC11" i="16" s="1"/>
  <c r="Y11" i="16"/>
  <c r="Y45" i="16"/>
  <c r="AC45" i="16"/>
  <c r="AD54" i="8"/>
  <c r="AC61" i="16" s="1"/>
  <c r="AD84" i="8"/>
  <c r="AC54" i="16" s="1"/>
  <c r="AN70" i="8"/>
  <c r="AN36" i="8"/>
  <c r="AN39" i="8"/>
  <c r="AD40" i="8"/>
  <c r="AC31" i="16" s="1"/>
  <c r="AD66" i="8"/>
  <c r="AC24" i="16" s="1"/>
  <c r="Z40" i="8"/>
  <c r="Y31" i="16" s="1"/>
  <c r="Z66" i="8"/>
  <c r="Y24" i="16" s="1"/>
  <c r="Y14" i="16"/>
  <c r="Y70" i="16" s="1"/>
  <c r="Y72" i="16" s="1"/>
  <c r="I11" i="8"/>
  <c r="I18" i="8" s="1"/>
  <c r="Y15" i="16" l="1"/>
  <c r="AC15" i="16"/>
  <c r="I19" i="8"/>
  <c r="I21" i="8"/>
  <c r="I25" i="8"/>
  <c r="I29" i="8"/>
  <c r="AJ18" i="8"/>
  <c r="I13" i="8"/>
  <c r="AJ11" i="8"/>
  <c r="AJ13" i="8" s="1"/>
  <c r="I5" i="8"/>
  <c r="AD123" i="1"/>
  <c r="AH79" i="1"/>
  <c r="BN5" i="1"/>
  <c r="AD79" i="1"/>
  <c r="I5" i="6"/>
  <c r="I94" i="8"/>
  <c r="AJ20" i="8" l="1"/>
  <c r="I26" i="8"/>
  <c r="I37" i="8"/>
  <c r="H10" i="16" s="1"/>
  <c r="I27" i="8"/>
  <c r="AJ25" i="8"/>
  <c r="F3" i="12"/>
  <c r="AJ21" i="8"/>
  <c r="I22" i="8"/>
  <c r="I32" i="8"/>
  <c r="H6" i="16" s="1"/>
  <c r="H65" i="16" s="1"/>
  <c r="H67" i="16" s="1"/>
  <c r="BN79" i="1"/>
  <c r="BO79" i="1"/>
  <c r="I31" i="8"/>
  <c r="I69" i="8"/>
  <c r="AJ29" i="8"/>
  <c r="AJ94" i="8"/>
  <c r="I95" i="8"/>
  <c r="I93" i="8"/>
  <c r="I116" i="8"/>
  <c r="I102" i="8"/>
  <c r="I98" i="8"/>
  <c r="I16" i="6"/>
  <c r="I7" i="6"/>
  <c r="I103" i="8" l="1"/>
  <c r="I104" i="8"/>
  <c r="I117" i="8"/>
  <c r="AJ102" i="8"/>
  <c r="I2" i="8"/>
  <c r="I3" i="8" s="1"/>
  <c r="I4" i="8" s="1"/>
  <c r="I19" i="6"/>
  <c r="I12" i="6"/>
  <c r="AJ98" i="8"/>
  <c r="AJ100" i="8" s="1"/>
  <c r="AJ119" i="8" s="1"/>
  <c r="I118" i="8"/>
  <c r="I99" i="8"/>
  <c r="F4" i="12"/>
  <c r="AJ27" i="8"/>
  <c r="AJ95" i="8"/>
  <c r="AJ116" i="8"/>
  <c r="AJ97" i="8"/>
  <c r="I71" i="8"/>
  <c r="H68" i="16" s="1"/>
  <c r="I34" i="8"/>
  <c r="AJ32" i="8"/>
  <c r="I15" i="8"/>
  <c r="AJ31" i="8"/>
  <c r="AJ69" i="8"/>
  <c r="I35" i="8"/>
  <c r="I72" i="8" s="1"/>
  <c r="I70" i="8"/>
  <c r="I36" i="8"/>
  <c r="I38" i="8"/>
  <c r="I39" i="8"/>
  <c r="AJ37" i="8"/>
  <c r="I28" i="6"/>
  <c r="I66" i="8" l="1"/>
  <c r="H14" i="16"/>
  <c r="H70" i="16" s="1"/>
  <c r="H72" i="16" s="1"/>
  <c r="AJ34" i="8"/>
  <c r="AJ71" i="8"/>
  <c r="AJ36" i="8"/>
  <c r="AJ38" i="8"/>
  <c r="AJ39" i="8"/>
  <c r="AJ70" i="8"/>
  <c r="I24" i="6"/>
  <c r="I31" i="6"/>
  <c r="I33" i="6" s="1"/>
  <c r="I34" i="6" s="1"/>
  <c r="AJ101" i="8"/>
  <c r="AJ104" i="8"/>
  <c r="AJ2" i="8"/>
  <c r="AJ117" i="8"/>
  <c r="F6" i="12"/>
  <c r="F9" i="12" s="1"/>
  <c r="AJ99" i="8"/>
  <c r="AJ118" i="8"/>
  <c r="AJ35" i="8"/>
  <c r="AJ72" i="8" s="1"/>
  <c r="Z119" i="8"/>
  <c r="AD103" i="8"/>
  <c r="Z15" i="8"/>
  <c r="Z117" i="8"/>
  <c r="AN102" i="8"/>
  <c r="AN117" i="8" s="1"/>
  <c r="Z2" i="8"/>
  <c r="Z3" i="8" s="1"/>
  <c r="AN98" i="8"/>
  <c r="F8" i="12" l="1"/>
  <c r="Z7" i="8"/>
  <c r="Z122" i="8"/>
  <c r="Z123" i="8" s="1"/>
  <c r="AN118" i="8"/>
  <c r="AN99" i="8"/>
  <c r="AN100" i="8"/>
  <c r="AN119" i="8" s="1"/>
  <c r="Z99" i="8"/>
  <c r="Z104" i="8"/>
  <c r="Z118" i="8"/>
  <c r="AD99" i="8"/>
  <c r="AN101" i="8"/>
  <c r="Z4" i="8"/>
  <c r="AN103" i="8"/>
  <c r="AN104"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H2" authorId="0" shapeId="0" xr:uid="{00000000-0006-0000-0000-000001000000}">
      <text>
        <r>
          <rPr>
            <b/>
            <sz val="9"/>
            <color indexed="81"/>
            <rFont val="宋体"/>
            <family val="3"/>
            <charset val="134"/>
          </rPr>
          <t>作者:</t>
        </r>
        <r>
          <rPr>
            <sz val="9"/>
            <color indexed="81"/>
            <rFont val="宋体"/>
            <family val="3"/>
            <charset val="134"/>
          </rPr>
          <t xml:space="preserve">
included the financial information of eLong from Jan 1, 2018 to Mar 9,
2018 and the consolidated financial information of eLong and Tongcheng from Mar 10, 2018 to Jun 30, 2018.</t>
        </r>
      </text>
    </comment>
    <comment ref="A7" authorId="0" shapeId="0" xr:uid="{0774F224-7791-4B19-9137-A2C1BEC895A6}">
      <text>
        <r>
          <rPr>
            <b/>
            <sz val="9"/>
            <color indexed="81"/>
            <rFont val="宋体"/>
            <family val="3"/>
            <charset val="134"/>
          </rPr>
          <t>作者:</t>
        </r>
        <r>
          <rPr>
            <sz val="9"/>
            <color indexed="81"/>
            <rFont val="宋体"/>
            <family val="3"/>
            <charset val="134"/>
          </rPr>
          <t xml:space="preserve">
25Q2 from CLSA analyst: SD%的others，景区等业务</t>
        </r>
      </text>
    </comment>
    <comment ref="AY8" authorId="0" shapeId="0" xr:uid="{B5B9E087-D3BF-4954-9E92-011D034C3C05}">
      <text>
        <r>
          <rPr>
            <b/>
            <sz val="9"/>
            <color indexed="81"/>
            <rFont val="宋体"/>
            <family val="3"/>
            <charset val="134"/>
          </rPr>
          <t>作者:</t>
        </r>
        <r>
          <rPr>
            <sz val="9"/>
            <color indexed="81"/>
            <rFont val="宋体"/>
            <family val="3"/>
            <charset val="134"/>
          </rPr>
          <t xml:space="preserve">
酒店GMV+MSD，占整体GMV大概20%多一点
交通GMV-SD，占整体GMV的70%左右。其中，机票GMV占比大概是超55%，地面占比小于45%</t>
        </r>
      </text>
    </comment>
    <comment ref="BB26" authorId="0" shapeId="0" xr:uid="{F30167CC-418F-4708-8FA1-24A883210FF8}">
      <text>
        <r>
          <rPr>
            <b/>
            <sz val="9"/>
            <color indexed="81"/>
            <rFont val="宋体"/>
            <family val="3"/>
            <charset val="134"/>
          </rPr>
          <t>作者:</t>
        </r>
        <r>
          <rPr>
            <sz val="9"/>
            <color indexed="81"/>
            <rFont val="宋体"/>
            <family val="3"/>
            <charset val="134"/>
          </rPr>
          <t xml:space="preserve">
财报数字</t>
        </r>
      </text>
    </comment>
    <comment ref="BC26" authorId="0" shapeId="0" xr:uid="{4FB48560-23B7-43CF-BF05-9C3B6D7E1ECE}">
      <text>
        <r>
          <rPr>
            <b/>
            <sz val="9"/>
            <color indexed="81"/>
            <rFont val="宋体"/>
            <family val="3"/>
            <charset val="134"/>
          </rPr>
          <t>作者:</t>
        </r>
        <r>
          <rPr>
            <sz val="9"/>
            <color indexed="81"/>
            <rFont val="宋体"/>
            <family val="3"/>
            <charset val="134"/>
          </rPr>
          <t xml:space="preserve">
财报数字</t>
        </r>
      </text>
    </comment>
    <comment ref="AX77" authorId="0" shapeId="0" xr:uid="{6490B436-02FC-4328-9CD1-4FD4CEC57355}">
      <text>
        <r>
          <rPr>
            <sz val="9"/>
            <color indexed="81"/>
            <rFont val="宋体"/>
            <family val="3"/>
            <charset val="134"/>
          </rPr>
          <t xml:space="preserve">公司未披露，Low-single digit 下降from analyst
</t>
        </r>
      </text>
    </comment>
    <comment ref="AY77" authorId="0" shapeId="0" xr:uid="{D7EBE7ED-5D5D-4F77-8A52-E1D1BE3DBBE7}">
      <text>
        <r>
          <rPr>
            <b/>
            <sz val="9"/>
            <color indexed="81"/>
            <rFont val="宋体"/>
            <family val="3"/>
            <charset val="134"/>
          </rPr>
          <t>作者:</t>
        </r>
        <r>
          <rPr>
            <sz val="9"/>
            <color indexed="81"/>
            <rFont val="宋体"/>
            <family val="3"/>
            <charset val="134"/>
          </rPr>
          <t xml:space="preserve">
from analyst,公司未披露</t>
        </r>
      </text>
    </comment>
    <comment ref="AZ77" authorId="0" shapeId="0" xr:uid="{E171FCF4-403C-423F-B52F-F0AB67812DC6}">
      <text>
        <r>
          <rPr>
            <b/>
            <sz val="9"/>
            <color indexed="81"/>
            <rFont val="宋体"/>
            <family val="3"/>
            <charset val="134"/>
          </rPr>
          <t>From 中金，公司未披露</t>
        </r>
      </text>
    </comment>
    <comment ref="BA77" authorId="0" shapeId="0" xr:uid="{D5EBBA6B-0409-4330-A982-A478C7FE4803}">
      <text>
        <r>
          <rPr>
            <sz val="9"/>
            <color indexed="81"/>
            <rFont val="宋体"/>
            <family val="3"/>
            <charset val="134"/>
          </rPr>
          <t xml:space="preserve">公司没批露：
Analyst 1: L-MSD 
</t>
        </r>
      </text>
    </comment>
    <comment ref="Z84" authorId="0" shapeId="0" xr:uid="{00000000-0006-0000-0000-000002000000}">
      <text>
        <r>
          <rPr>
            <b/>
            <sz val="9"/>
            <color indexed="81"/>
            <rFont val="宋体"/>
            <family val="3"/>
            <charset val="134"/>
          </rPr>
          <t>作者:</t>
        </r>
        <r>
          <rPr>
            <sz val="9"/>
            <color indexed="81"/>
            <rFont val="宋体"/>
            <family val="3"/>
            <charset val="134"/>
          </rPr>
          <t xml:space="preserve">
&gt;40% YoY, exluding channel reduction impact
transcript-Q&amp;A</t>
        </r>
      </text>
    </comment>
    <comment ref="Z87" authorId="0" shapeId="0" xr:uid="{00000000-0006-0000-0000-000003000000}">
      <text>
        <r>
          <rPr>
            <b/>
            <sz val="9"/>
            <color indexed="81"/>
            <rFont val="宋体"/>
            <family val="3"/>
            <charset val="134"/>
          </rPr>
          <t>作者:</t>
        </r>
        <r>
          <rPr>
            <sz val="9"/>
            <color indexed="81"/>
            <rFont val="宋体"/>
            <family val="3"/>
            <charset val="134"/>
          </rPr>
          <t xml:space="preserve">
~30% YoY
</t>
        </r>
      </text>
    </comment>
    <comment ref="A117" authorId="0" shapeId="0" xr:uid="{00000000-0006-0000-0000-000004000000}">
      <text>
        <r>
          <rPr>
            <b/>
            <sz val="9"/>
            <color indexed="81"/>
            <rFont val="宋体"/>
            <family val="3"/>
            <charset val="134"/>
          </rPr>
          <t>作者:</t>
        </r>
        <r>
          <rPr>
            <sz val="9"/>
            <color indexed="81"/>
            <rFont val="宋体"/>
            <family val="3"/>
            <charset val="134"/>
          </rPr>
          <t xml:space="preserve">
From MS/JP model. Insufficient number disclosure.</t>
        </r>
      </text>
    </comment>
    <comment ref="A118" authorId="0" shapeId="0" xr:uid="{00000000-0006-0000-0000-000005000000}">
      <text>
        <r>
          <rPr>
            <b/>
            <sz val="9"/>
            <color indexed="81"/>
            <rFont val="宋体"/>
            <family val="3"/>
            <charset val="134"/>
          </rPr>
          <t>作者:</t>
        </r>
        <r>
          <rPr>
            <sz val="9"/>
            <color indexed="81"/>
            <rFont val="宋体"/>
            <family val="3"/>
            <charset val="134"/>
          </rPr>
          <t xml:space="preserve">
From MS/JP model. Insufficient number disclosure.</t>
        </r>
      </text>
    </comment>
    <comment ref="BL118" authorId="0" shapeId="0" xr:uid="{00000000-0006-0000-0000-000006000000}">
      <text>
        <r>
          <rPr>
            <b/>
            <sz val="9"/>
            <color indexed="81"/>
            <rFont val="宋体"/>
            <family val="3"/>
            <charset val="134"/>
          </rPr>
          <t>作者:</t>
        </r>
        <r>
          <rPr>
            <sz val="9"/>
            <color indexed="81"/>
            <rFont val="宋体"/>
            <family val="3"/>
            <charset val="134"/>
          </rPr>
          <t xml:space="preserve">
From JPM estimates</t>
        </r>
      </text>
    </comment>
    <comment ref="Z121" authorId="0" shapeId="0" xr:uid="{00000000-0006-0000-0000-000007000000}">
      <text>
        <r>
          <rPr>
            <b/>
            <sz val="9"/>
            <color indexed="81"/>
            <rFont val="宋体"/>
            <family val="3"/>
            <charset val="134"/>
          </rPr>
          <t>作者:</t>
        </r>
        <r>
          <rPr>
            <sz val="9"/>
            <color indexed="81"/>
            <rFont val="宋体"/>
            <family val="3"/>
            <charset val="134"/>
          </rPr>
          <t xml:space="preserve">
can't find...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D33" authorId="0" shapeId="0" xr:uid="{00000000-0006-0000-0200-000001000000}">
      <text>
        <r>
          <rPr>
            <b/>
            <sz val="9"/>
            <color indexed="81"/>
            <rFont val="宋体"/>
            <family val="3"/>
            <charset val="134"/>
          </rPr>
          <t>作者:</t>
        </r>
        <r>
          <rPr>
            <sz val="9"/>
            <color indexed="81"/>
            <rFont val="宋体"/>
            <family val="3"/>
            <charset val="134"/>
          </rPr>
          <t xml:space="preserve">
Assume none from international</t>
        </r>
      </text>
    </comment>
    <comment ref="D36" authorId="0" shapeId="0" xr:uid="{00000000-0006-0000-0200-000002000000}">
      <text>
        <r>
          <rPr>
            <b/>
            <sz val="9"/>
            <color indexed="81"/>
            <rFont val="宋体"/>
            <family val="3"/>
            <charset val="134"/>
          </rPr>
          <t>作者:</t>
        </r>
        <r>
          <rPr>
            <sz val="9"/>
            <color indexed="81"/>
            <rFont val="宋体"/>
            <family val="3"/>
            <charset val="134"/>
          </rPr>
          <t xml:space="preserve">
Assume none from international</t>
        </r>
      </text>
    </comment>
    <comment ref="O41" authorId="0" shapeId="0" xr:uid="{00000000-0006-0000-0200-000003000000}">
      <text>
        <r>
          <rPr>
            <b/>
            <sz val="9"/>
            <color indexed="81"/>
            <rFont val="宋体"/>
            <family val="3"/>
            <charset val="134"/>
          </rPr>
          <t>作者:</t>
        </r>
        <r>
          <rPr>
            <sz val="9"/>
            <color indexed="81"/>
            <rFont val="宋体"/>
            <family val="3"/>
            <charset val="134"/>
          </rPr>
          <t xml:space="preserve">
Inferred from hotel 8.4% take rate</t>
        </r>
      </text>
    </comment>
    <comment ref="P41" authorId="0" shapeId="0" xr:uid="{00000000-0006-0000-0200-000004000000}">
      <text>
        <r>
          <rPr>
            <b/>
            <sz val="9"/>
            <color indexed="81"/>
            <rFont val="宋体"/>
            <family val="3"/>
            <charset val="134"/>
          </rPr>
          <t>作者:</t>
        </r>
        <r>
          <rPr>
            <sz val="9"/>
            <color indexed="81"/>
            <rFont val="宋体"/>
            <family val="3"/>
            <charset val="134"/>
          </rPr>
          <t xml:space="preserve">
Inferred from hotel 8.6% take rate</t>
        </r>
      </text>
    </comment>
    <comment ref="Q41" authorId="0" shapeId="0" xr:uid="{00000000-0006-0000-0200-000005000000}">
      <text>
        <r>
          <rPr>
            <b/>
            <sz val="9"/>
            <color indexed="81"/>
            <rFont val="宋体"/>
            <family val="3"/>
            <charset val="134"/>
          </rPr>
          <t>作者:</t>
        </r>
        <r>
          <rPr>
            <sz val="9"/>
            <color indexed="81"/>
            <rFont val="宋体"/>
            <family val="3"/>
            <charset val="134"/>
          </rPr>
          <t xml:space="preserve">
Inferred from hotel 8.45% take rate</t>
        </r>
      </text>
    </comment>
    <comment ref="M43" authorId="0" shapeId="0" xr:uid="{00000000-0006-0000-0200-000006000000}">
      <text>
        <r>
          <rPr>
            <b/>
            <sz val="9"/>
            <color indexed="81"/>
            <rFont val="宋体"/>
            <family val="3"/>
            <charset val="134"/>
          </rPr>
          <t>作者:</t>
        </r>
        <r>
          <rPr>
            <sz val="9"/>
            <color indexed="81"/>
            <rFont val="宋体"/>
            <family val="3"/>
            <charset val="134"/>
          </rPr>
          <t xml:space="preserve">
3Q19 Transcript: avobe 3.5%</t>
        </r>
      </text>
    </comment>
    <comment ref="Q50" authorId="0" shapeId="0" xr:uid="{00000000-0006-0000-0200-000007000000}">
      <text>
        <r>
          <rPr>
            <b/>
            <sz val="9"/>
            <color indexed="81"/>
            <rFont val="宋体"/>
            <family val="3"/>
            <charset val="134"/>
          </rPr>
          <t>作者:</t>
        </r>
        <r>
          <rPr>
            <sz val="9"/>
            <color indexed="81"/>
            <rFont val="宋体"/>
            <family val="3"/>
            <charset val="134"/>
          </rPr>
          <t xml:space="preserve">
3Q19 transcript: 20-25%</t>
        </r>
      </text>
    </comment>
    <comment ref="R50" authorId="0" shapeId="0" xr:uid="{00000000-0006-0000-0200-000008000000}">
      <text>
        <r>
          <rPr>
            <sz val="9"/>
            <color indexed="81"/>
            <rFont val="宋体"/>
            <family val="3"/>
            <charset val="134"/>
          </rPr>
          <t xml:space="preserve">MS Estimate:25-30%
</t>
        </r>
      </text>
    </comment>
    <comment ref="F55" authorId="0" shapeId="0" xr:uid="{00000000-0006-0000-0200-000009000000}">
      <text>
        <r>
          <rPr>
            <b/>
            <sz val="9"/>
            <color indexed="81"/>
            <rFont val="宋体"/>
            <family val="3"/>
            <charset val="134"/>
          </rPr>
          <t>作者:</t>
        </r>
        <r>
          <rPr>
            <sz val="9"/>
            <color indexed="81"/>
            <rFont val="宋体"/>
            <family val="3"/>
            <charset val="134"/>
          </rPr>
          <t xml:space="preserve">
Train BU: air and train take rate same</t>
        </r>
      </text>
    </comment>
    <comment ref="M55" authorId="0" shapeId="0" xr:uid="{00000000-0006-0000-0200-00000A000000}">
      <text>
        <r>
          <rPr>
            <b/>
            <sz val="9"/>
            <color indexed="81"/>
            <rFont val="宋体"/>
            <family val="3"/>
            <charset val="134"/>
          </rPr>
          <t>作者:</t>
        </r>
        <r>
          <rPr>
            <sz val="9"/>
            <color indexed="81"/>
            <rFont val="宋体"/>
            <family val="3"/>
            <charset val="134"/>
          </rPr>
          <t xml:space="preserve">
3Q19 transcript: a bit YoY improvement</t>
        </r>
      </text>
    </comment>
    <comment ref="N55" authorId="0" shapeId="0" xr:uid="{00000000-0006-0000-0200-00000B000000}">
      <text>
        <r>
          <rPr>
            <b/>
            <sz val="9"/>
            <color indexed="81"/>
            <rFont val="宋体"/>
            <family val="3"/>
            <charset val="134"/>
          </rPr>
          <t>Q4 Transcript: stable with last year</t>
        </r>
      </text>
    </comment>
    <comment ref="P55" authorId="0" shapeId="0" xr:uid="{00000000-0006-0000-0200-00000C000000}">
      <text>
        <r>
          <rPr>
            <b/>
            <sz val="9"/>
            <color indexed="81"/>
            <rFont val="宋体"/>
            <family val="3"/>
            <charset val="134"/>
          </rPr>
          <t>作者:</t>
        </r>
        <r>
          <rPr>
            <sz val="9"/>
            <color indexed="81"/>
            <rFont val="宋体"/>
            <family val="3"/>
            <charset val="134"/>
          </rPr>
          <t xml:space="preserve">
2Q19 transcript: flattish YoY</t>
        </r>
      </text>
    </comment>
    <comment ref="Q55" authorId="0" shapeId="0" xr:uid="{00000000-0006-0000-0200-00000D000000}">
      <text>
        <r>
          <rPr>
            <b/>
            <sz val="9"/>
            <color indexed="81"/>
            <rFont val="宋体"/>
            <family val="3"/>
            <charset val="134"/>
          </rPr>
          <t>作者:</t>
        </r>
        <r>
          <rPr>
            <sz val="9"/>
            <color indexed="81"/>
            <rFont val="宋体"/>
            <family val="3"/>
            <charset val="134"/>
          </rPr>
          <t xml:space="preserve">
3Q19 transcript： 3.2%</t>
        </r>
      </text>
    </comment>
    <comment ref="R55" authorId="0" shapeId="0" xr:uid="{00000000-0006-0000-0200-00000E000000}">
      <text>
        <r>
          <rPr>
            <b/>
            <sz val="9"/>
            <color indexed="81"/>
            <rFont val="宋体"/>
            <family val="3"/>
            <charset val="134"/>
          </rPr>
          <t>From MS</t>
        </r>
      </text>
    </comment>
    <comment ref="P62" authorId="0" shapeId="0" xr:uid="{00000000-0006-0000-0200-00000F000000}">
      <text>
        <r>
          <rPr>
            <b/>
            <sz val="9"/>
            <color indexed="81"/>
            <rFont val="宋体"/>
            <family val="3"/>
            <charset val="134"/>
          </rPr>
          <t>作者:</t>
        </r>
        <r>
          <rPr>
            <sz val="9"/>
            <color indexed="81"/>
            <rFont val="宋体"/>
            <family val="3"/>
            <charset val="134"/>
          </rPr>
          <t xml:space="preserve">
2Q19 transcript: &gt;50%, higher than air</t>
        </r>
      </text>
    </comment>
    <comment ref="Q62" authorId="0" shapeId="0" xr:uid="{00000000-0006-0000-0200-000010000000}">
      <text>
        <r>
          <rPr>
            <b/>
            <sz val="9"/>
            <color indexed="81"/>
            <rFont val="宋体"/>
            <family val="3"/>
            <charset val="134"/>
          </rPr>
          <t>作者:</t>
        </r>
        <r>
          <rPr>
            <sz val="9"/>
            <color indexed="81"/>
            <rFont val="宋体"/>
            <family val="3"/>
            <charset val="134"/>
          </rPr>
          <t xml:space="preserve">
3Q19 transcript: 20-25%</t>
        </r>
      </text>
    </comment>
    <comment ref="P66" authorId="0" shapeId="0" xr:uid="{00000000-0006-0000-0200-000011000000}">
      <text>
        <r>
          <rPr>
            <b/>
            <sz val="9"/>
            <color indexed="81"/>
            <rFont val="宋体"/>
            <family val="3"/>
            <charset val="134"/>
          </rPr>
          <t>作者:</t>
        </r>
        <r>
          <rPr>
            <sz val="9"/>
            <color indexed="81"/>
            <rFont val="宋体"/>
            <family val="3"/>
            <charset val="134"/>
          </rPr>
          <t xml:space="preserve">
2Q19 transcript: &gt;50%</t>
        </r>
      </text>
    </comment>
    <comment ref="L67" authorId="0" shapeId="0" xr:uid="{00000000-0006-0000-0200-000012000000}">
      <text>
        <r>
          <rPr>
            <b/>
            <sz val="9"/>
            <color indexed="81"/>
            <rFont val="宋体"/>
            <family val="3"/>
            <charset val="134"/>
          </rPr>
          <t>作者:</t>
        </r>
        <r>
          <rPr>
            <sz val="9"/>
            <color indexed="81"/>
            <rFont val="宋体"/>
            <family val="3"/>
            <charset val="134"/>
          </rPr>
          <t xml:space="preserve">
2Q19 transcript: 3.5%</t>
        </r>
      </text>
    </comment>
    <comment ref="M67" authorId="0" shapeId="0" xr:uid="{00000000-0006-0000-0200-000013000000}">
      <text>
        <r>
          <rPr>
            <b/>
            <sz val="9"/>
            <color indexed="81"/>
            <rFont val="宋体"/>
            <family val="3"/>
            <charset val="134"/>
          </rPr>
          <t>作者:</t>
        </r>
        <r>
          <rPr>
            <sz val="9"/>
            <color indexed="81"/>
            <rFont val="宋体"/>
            <family val="3"/>
            <charset val="134"/>
          </rPr>
          <t xml:space="preserve">
3Q19 trascript: &gt;3.5%</t>
        </r>
      </text>
    </comment>
    <comment ref="P67" authorId="0" shapeId="0" xr:uid="{00000000-0006-0000-0200-000014000000}">
      <text>
        <r>
          <rPr>
            <b/>
            <sz val="9"/>
            <color indexed="81"/>
            <rFont val="宋体"/>
            <family val="3"/>
            <charset val="134"/>
          </rPr>
          <t>作者:</t>
        </r>
        <r>
          <rPr>
            <sz val="9"/>
            <color indexed="81"/>
            <rFont val="宋体"/>
            <family val="3"/>
            <charset val="134"/>
          </rPr>
          <t xml:space="preserve">
2Q19 transcript: &lt;3%</t>
        </r>
      </text>
    </comment>
    <comment ref="Q67" authorId="0" shapeId="0" xr:uid="{00000000-0006-0000-0200-000015000000}">
      <text>
        <r>
          <rPr>
            <b/>
            <sz val="9"/>
            <color indexed="81"/>
            <rFont val="宋体"/>
            <family val="3"/>
            <charset val="134"/>
          </rPr>
          <t>作者:</t>
        </r>
        <r>
          <rPr>
            <sz val="9"/>
            <color indexed="81"/>
            <rFont val="宋体"/>
            <family val="3"/>
            <charset val="134"/>
          </rPr>
          <t xml:space="preserve">
3Q19 transcript: 2.6-2.7%</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T3" authorId="0" shapeId="0" xr:uid="{00000000-0006-0000-0300-000001000000}">
      <text>
        <r>
          <rPr>
            <b/>
            <sz val="9"/>
            <color indexed="81"/>
            <rFont val="宋体"/>
            <family val="3"/>
            <charset val="134"/>
          </rPr>
          <t>假设用车占比交通5%收入</t>
        </r>
      </text>
    </comment>
    <comment ref="U7" authorId="0" shapeId="0" xr:uid="{00000000-0006-0000-0300-000002000000}">
      <text>
        <r>
          <rPr>
            <b/>
            <sz val="9"/>
            <color indexed="81"/>
            <rFont val="宋体"/>
            <family val="3"/>
            <charset val="134"/>
          </rPr>
          <t>From 中金：2.5%-3%</t>
        </r>
        <r>
          <rPr>
            <sz val="9"/>
            <color indexed="81"/>
            <rFont val="宋体"/>
            <family val="3"/>
            <charset val="134"/>
          </rPr>
          <t xml:space="preserve">
</t>
        </r>
      </text>
    </comment>
    <comment ref="AD12" authorId="0" shapeId="0" xr:uid="{B5F34199-CA70-42AD-A752-3BA591C2B1B6}">
      <text>
        <r>
          <rPr>
            <b/>
            <sz val="9"/>
            <color indexed="81"/>
            <rFont val="宋体"/>
            <family val="3"/>
            <charset val="134"/>
          </rPr>
          <t>作者:</t>
        </r>
        <r>
          <rPr>
            <sz val="9"/>
            <color indexed="81"/>
            <rFont val="宋体"/>
            <family val="3"/>
            <charset val="134"/>
          </rPr>
          <t xml:space="preserve">
from analyst:
交通GMV -SD</t>
        </r>
      </text>
    </comment>
    <comment ref="AE12" authorId="0" shapeId="0" xr:uid="{00E057C2-EBFC-4AAA-8A8D-FA18F4787FCF}">
      <text>
        <r>
          <rPr>
            <b/>
            <sz val="9"/>
            <color indexed="81"/>
            <rFont val="宋体"/>
            <family val="3"/>
            <charset val="134"/>
          </rPr>
          <t>From analyst: transportation slightly down</t>
        </r>
      </text>
    </comment>
    <comment ref="AD20" authorId="0" shapeId="0" xr:uid="{69BF44B9-8A4F-4AE4-A6EA-F297F0739260}">
      <text>
        <r>
          <rPr>
            <b/>
            <sz val="9"/>
            <color indexed="81"/>
            <rFont val="宋体"/>
            <family val="3"/>
            <charset val="134"/>
          </rPr>
          <t>作者:</t>
        </r>
        <r>
          <rPr>
            <sz val="9"/>
            <color indexed="81"/>
            <rFont val="宋体"/>
            <family val="3"/>
            <charset val="134"/>
          </rPr>
          <t xml:space="preserve">
from analyst:
公司CB提到机票GMV占比55%+</t>
        </r>
      </text>
    </comment>
    <comment ref="T21" authorId="0" shapeId="0" xr:uid="{00000000-0006-0000-0300-000003000000}">
      <text>
        <r>
          <rPr>
            <b/>
            <sz val="9"/>
            <color indexed="81"/>
            <rFont val="宋体"/>
            <family val="3"/>
            <charset val="134"/>
          </rPr>
          <t>From 中金：
票量yoy -35%</t>
        </r>
      </text>
    </comment>
    <comment ref="K22" authorId="0" shapeId="0" xr:uid="{00000000-0006-0000-0300-000004000000}">
      <text>
        <r>
          <rPr>
            <b/>
            <sz val="9"/>
            <color indexed="81"/>
            <rFont val="宋体"/>
            <family val="3"/>
            <charset val="134"/>
          </rPr>
          <t>Earnings call:
Air volume growth over 20%</t>
        </r>
      </text>
    </comment>
    <comment ref="O22" authorId="0" shapeId="0" xr:uid="{00000000-0006-0000-0300-000005000000}">
      <text>
        <r>
          <rPr>
            <b/>
            <sz val="9"/>
            <color indexed="81"/>
            <rFont val="宋体"/>
            <family val="3"/>
            <charset val="134"/>
          </rPr>
          <t>Earnings Call:</t>
        </r>
        <r>
          <rPr>
            <sz val="9"/>
            <color indexed="81"/>
            <rFont val="宋体"/>
            <family val="3"/>
            <charset val="134"/>
          </rPr>
          <t xml:space="preserve">
Single-digit decline vs 2019
</t>
        </r>
      </text>
    </comment>
    <comment ref="U22" authorId="0" shapeId="0" xr:uid="{00000000-0006-0000-0300-000006000000}">
      <text>
        <r>
          <rPr>
            <b/>
            <sz val="9"/>
            <color indexed="81"/>
            <rFont val="宋体"/>
            <family val="3"/>
            <charset val="134"/>
          </rPr>
          <t>From Company:
机票票量比19年增长35%+</t>
        </r>
      </text>
    </comment>
    <comment ref="Z22" authorId="0" shapeId="0" xr:uid="{A59504CD-3C6B-4085-884C-DDF06D131467}">
      <text>
        <r>
          <rPr>
            <b/>
            <sz val="9"/>
            <color indexed="81"/>
            <rFont val="宋体"/>
            <family val="3"/>
            <charset val="134"/>
          </rPr>
          <t>作者:</t>
        </r>
        <r>
          <rPr>
            <sz val="9"/>
            <color indexed="81"/>
            <rFont val="宋体"/>
            <family val="3"/>
            <charset val="134"/>
          </rPr>
          <t xml:space="preserve">
调低2%</t>
        </r>
      </text>
    </comment>
    <comment ref="AA22" authorId="0" shapeId="0" xr:uid="{081A71F9-C69C-43C1-BBD4-E72398C9CEB5}">
      <text>
        <r>
          <rPr>
            <b/>
            <sz val="9"/>
            <color indexed="81"/>
            <rFont val="宋体"/>
            <family val="3"/>
            <charset val="134"/>
          </rPr>
          <t>公司;整体机票票量增长20%+</t>
        </r>
      </text>
    </comment>
    <comment ref="AB22" authorId="0" shapeId="0" xr:uid="{B6FBAA53-176B-48CF-A3B4-940773382898}">
      <text>
        <r>
          <rPr>
            <b/>
            <sz val="9"/>
            <color indexed="81"/>
            <rFont val="宋体"/>
            <family val="3"/>
            <charset val="134"/>
          </rPr>
          <t>GS:双位数增长</t>
        </r>
      </text>
    </comment>
    <comment ref="AC22" authorId="0" shapeId="0" xr:uid="{A22AF114-11C8-4C48-AAE9-E1349784997E}">
      <text>
        <r>
          <rPr>
            <b/>
            <sz val="9"/>
            <color indexed="81"/>
            <rFont val="宋体"/>
            <family val="3"/>
            <charset val="134"/>
          </rPr>
          <t>GS:双位数增长</t>
        </r>
      </text>
    </comment>
    <comment ref="F24" authorId="0" shapeId="0" xr:uid="{00000000-0006-0000-0300-000007000000}">
      <text>
        <r>
          <rPr>
            <b/>
            <sz val="9"/>
            <color indexed="81"/>
            <rFont val="宋体"/>
            <family val="3"/>
            <charset val="134"/>
          </rPr>
          <t>Transcript:</t>
        </r>
        <r>
          <rPr>
            <sz val="9"/>
            <color indexed="81"/>
            <rFont val="宋体"/>
            <family val="3"/>
            <charset val="134"/>
          </rPr>
          <t xml:space="preserve">
"The flight was quite stable at 3.5 -- above 3.5%, while the transportation was lower than 3% in this quarter in short term and will be recovered since the end of the third quarter"
</t>
        </r>
      </text>
    </comment>
    <comment ref="G24" authorId="0" shapeId="0" xr:uid="{00000000-0006-0000-0300-000008000000}">
      <text>
        <r>
          <rPr>
            <b/>
            <sz val="9"/>
            <color indexed="81"/>
            <rFont val="宋体"/>
            <family val="3"/>
            <charset val="134"/>
          </rPr>
          <t xml:space="preserve">Transcript:
</t>
        </r>
        <r>
          <rPr>
            <sz val="9"/>
            <color indexed="81"/>
            <rFont val="宋体"/>
            <family val="3"/>
            <charset val="134"/>
          </rPr>
          <t xml:space="preserve">for the transportation business, the blended take rate of air ticketing business slightly increased to around 3.2% year-over-year in this quarter
</t>
        </r>
      </text>
    </comment>
    <comment ref="H24" authorId="0" shapeId="0" xr:uid="{00000000-0006-0000-0300-000009000000}">
      <text>
        <r>
          <rPr>
            <sz val="9"/>
            <color indexed="81"/>
            <rFont val="宋体"/>
            <family val="3"/>
            <charset val="134"/>
          </rPr>
          <t xml:space="preserve">Q4 earnings call
</t>
        </r>
      </text>
    </comment>
    <comment ref="I24" authorId="0" shapeId="0" xr:uid="{00000000-0006-0000-0300-00000A000000}">
      <text>
        <r>
          <rPr>
            <sz val="9"/>
            <color indexed="81"/>
            <rFont val="宋体"/>
            <family val="3"/>
            <charset val="134"/>
          </rPr>
          <t xml:space="preserve">From Analyst
</t>
        </r>
      </text>
    </comment>
    <comment ref="AD24" authorId="0" shapeId="0" xr:uid="{25411FD3-A7DC-40B9-8987-6E6A42ED3610}">
      <text>
        <r>
          <rPr>
            <b/>
            <sz val="9"/>
            <color indexed="81"/>
            <rFont val="宋体"/>
            <family val="3"/>
            <charset val="134"/>
          </rPr>
          <t>作者:</t>
        </r>
        <r>
          <rPr>
            <sz val="9"/>
            <color indexed="81"/>
            <rFont val="宋体"/>
            <family val="3"/>
            <charset val="134"/>
          </rPr>
          <t xml:space="preserve">
from analyst: 
air 3.5%+</t>
        </r>
      </text>
    </comment>
    <comment ref="O26" authorId="0" shapeId="0" xr:uid="{00000000-0006-0000-0300-00000B000000}">
      <text>
        <r>
          <rPr>
            <b/>
            <sz val="9"/>
            <color indexed="81"/>
            <rFont val="宋体"/>
            <family val="3"/>
            <charset val="134"/>
          </rPr>
          <t>From CLSA:
机票票量和收入降幅同步</t>
        </r>
      </text>
    </comment>
    <comment ref="AD29" authorId="0" shapeId="0" xr:uid="{9B8A5CE1-AA6D-4E92-B15E-F43494AE3BDF}">
      <text>
        <r>
          <rPr>
            <b/>
            <sz val="9"/>
            <color indexed="81"/>
            <rFont val="宋体"/>
            <family val="3"/>
            <charset val="134"/>
          </rPr>
          <t>作者:</t>
        </r>
        <r>
          <rPr>
            <sz val="9"/>
            <color indexed="81"/>
            <rFont val="宋体"/>
            <family val="3"/>
            <charset val="134"/>
          </rPr>
          <t xml:space="preserve">
from analyst: 
metric一般不提，但国内GMV是降的</t>
        </r>
      </text>
    </comment>
    <comment ref="Y34" authorId="0" shapeId="0" xr:uid="{00000000-0006-0000-0300-00000C000000}">
      <text>
        <r>
          <rPr>
            <sz val="9"/>
            <color indexed="81"/>
            <rFont val="宋体"/>
            <family val="3"/>
            <charset val="134"/>
          </rPr>
          <t xml:space="preserve">电话会：
国内机票票量增长30%+
</t>
        </r>
      </text>
    </comment>
    <comment ref="AB34" authorId="0" shapeId="0" xr:uid="{CB4BFF26-0064-4355-B30E-2A0D4C3FFD84}">
      <text>
        <r>
          <rPr>
            <b/>
            <sz val="9"/>
            <color indexed="81"/>
            <rFont val="宋体"/>
            <family val="3"/>
            <charset val="134"/>
          </rPr>
          <t>中金：国内个位数增长</t>
        </r>
      </text>
    </comment>
    <comment ref="AC34" authorId="0" shapeId="0" xr:uid="{3290DB48-E3BD-4F6C-BD3A-75A4BC28CE09}">
      <text>
        <r>
          <rPr>
            <b/>
            <sz val="9"/>
            <color indexed="81"/>
            <rFont val="宋体"/>
            <family val="3"/>
            <charset val="134"/>
          </rPr>
          <t>作者:</t>
        </r>
        <r>
          <rPr>
            <sz val="9"/>
            <color indexed="81"/>
            <rFont val="宋体"/>
            <family val="3"/>
            <charset val="134"/>
          </rPr>
          <t xml:space="preserve">
国内机票票量up LSD</t>
        </r>
      </text>
    </comment>
    <comment ref="AD34" authorId="0" shapeId="0" xr:uid="{8366E041-1A5E-4034-87B8-E32E0A97CD2B}">
      <text>
        <r>
          <rPr>
            <b/>
            <sz val="9"/>
            <color indexed="81"/>
            <rFont val="宋体"/>
            <family val="3"/>
            <charset val="134"/>
          </rPr>
          <t>作者:</t>
        </r>
        <r>
          <rPr>
            <sz val="9"/>
            <color indexed="81"/>
            <rFont val="宋体"/>
            <family val="3"/>
            <charset val="134"/>
          </rPr>
          <t xml:space="preserve">
和行业增速基本一致</t>
        </r>
      </text>
    </comment>
    <comment ref="AE34" authorId="0" shapeId="0" xr:uid="{BC22A92E-B7B1-418D-BD04-E813C9661BF1}">
      <text>
        <r>
          <rPr>
            <sz val="9"/>
            <color indexed="81"/>
            <rFont val="宋体"/>
            <family val="3"/>
            <charset val="134"/>
          </rPr>
          <t xml:space="preserve">LSD 跟行业差不多
</t>
        </r>
      </text>
    </comment>
    <comment ref="Z46" authorId="0" shapeId="0" xr:uid="{81285753-845F-4633-A8C8-93447E1CA907}">
      <text>
        <r>
          <rPr>
            <b/>
            <sz val="9"/>
            <color indexed="81"/>
            <rFont val="宋体"/>
            <family val="3"/>
            <charset val="134"/>
          </rPr>
          <t>作者:</t>
        </r>
        <r>
          <rPr>
            <sz val="9"/>
            <color indexed="81"/>
            <rFont val="宋体"/>
            <family val="3"/>
            <charset val="134"/>
          </rPr>
          <t xml:space="preserve">
from analyst:占比约10%</t>
        </r>
      </text>
    </comment>
    <comment ref="W47" authorId="0" shapeId="0" xr:uid="{00000000-0006-0000-0300-00000D000000}">
      <text>
        <r>
          <rPr>
            <sz val="9"/>
            <color indexed="81"/>
            <rFont val="宋体"/>
            <family val="3"/>
            <charset val="134"/>
          </rPr>
          <t>电话会：
国际机票票量增长近 10% vs 19</t>
        </r>
      </text>
    </comment>
    <comment ref="Y47" authorId="0" shapeId="0" xr:uid="{00000000-0006-0000-0300-00000E000000}">
      <text>
        <r>
          <rPr>
            <sz val="9"/>
            <color indexed="81"/>
            <rFont val="宋体"/>
            <family val="3"/>
            <charset val="134"/>
          </rPr>
          <t xml:space="preserve">电话会：
国际机票同比增长260%
</t>
        </r>
      </text>
    </comment>
    <comment ref="Z47" authorId="0" shapeId="0" xr:uid="{A2257073-9C5D-462A-95FF-CF17AAA8F66A}">
      <text>
        <r>
          <rPr>
            <sz val="9"/>
            <color indexed="81"/>
            <rFont val="宋体"/>
            <family val="3"/>
            <charset val="134"/>
          </rPr>
          <t xml:space="preserve">同程：160%+
</t>
        </r>
      </text>
    </comment>
    <comment ref="AA47" authorId="0" shapeId="0" xr:uid="{6850665C-A3ED-4679-83CB-38215375C45B}">
      <text>
        <r>
          <rPr>
            <sz val="9"/>
            <color indexed="81"/>
            <rFont val="宋体"/>
            <family val="3"/>
            <charset val="134"/>
          </rPr>
          <t xml:space="preserve">同程：110%+
</t>
        </r>
      </text>
    </comment>
    <comment ref="AB47" authorId="0" shapeId="0" xr:uid="{E12F87BF-199D-4A41-BF87-CC4E082129ED}">
      <text>
        <r>
          <rPr>
            <sz val="9"/>
            <color indexed="81"/>
            <rFont val="宋体"/>
            <family val="3"/>
            <charset val="134"/>
          </rPr>
          <t xml:space="preserve">分析师：up 50%+ YoY
</t>
        </r>
      </text>
    </comment>
    <comment ref="AC47" authorId="0" shapeId="0" xr:uid="{C0EFFF2B-00D3-4F4F-9B7F-134BDC6CD0E7}">
      <text>
        <r>
          <rPr>
            <sz val="9"/>
            <color indexed="81"/>
            <rFont val="宋体"/>
            <family val="3"/>
            <charset val="134"/>
          </rPr>
          <t xml:space="preserve">分析师：up 40%+ YoY
</t>
        </r>
      </text>
    </comment>
    <comment ref="AD47" authorId="0" shapeId="0" xr:uid="{753D47FD-6957-4A5C-A6EB-F6E6A58A4A1F}">
      <text>
        <r>
          <rPr>
            <sz val="9"/>
            <color indexed="81"/>
            <rFont val="宋体"/>
            <family val="3"/>
            <charset val="134"/>
          </rPr>
          <t>公司：票量yoy近30%，为历史最高</t>
        </r>
      </text>
    </comment>
    <comment ref="U48" authorId="0" shapeId="0" xr:uid="{00000000-0006-0000-0300-00000F000000}">
      <text>
        <r>
          <rPr>
            <sz val="9"/>
            <color indexed="81"/>
            <rFont val="宋体"/>
            <family val="3"/>
            <charset val="134"/>
          </rPr>
          <t xml:space="preserve">Vs CQ 2090
</t>
        </r>
      </text>
    </comment>
    <comment ref="V48" authorId="0" shapeId="0" xr:uid="{00000000-0006-0000-0300-000010000000}">
      <text>
        <r>
          <rPr>
            <sz val="9"/>
            <color indexed="81"/>
            <rFont val="宋体"/>
            <family val="3"/>
            <charset val="134"/>
          </rPr>
          <t xml:space="preserve">vs CQ 1883
</t>
        </r>
      </text>
    </comment>
    <comment ref="W48" authorId="0" shapeId="0" xr:uid="{00000000-0006-0000-0300-000011000000}">
      <text>
        <r>
          <rPr>
            <b/>
            <sz val="9"/>
            <color indexed="81"/>
            <rFont val="宋体"/>
            <family val="3"/>
            <charset val="134"/>
          </rPr>
          <t>vs CQ 1877</t>
        </r>
      </text>
    </comment>
    <comment ref="X48" authorId="0" shapeId="0" xr:uid="{00000000-0006-0000-0300-000012000000}">
      <text>
        <r>
          <rPr>
            <b/>
            <sz val="9"/>
            <color indexed="81"/>
            <rFont val="宋体"/>
            <family val="3"/>
            <charset val="134"/>
          </rPr>
          <t>Vs CQ 1620</t>
        </r>
      </text>
    </comment>
    <comment ref="Y48" authorId="0" shapeId="0" xr:uid="{9A2FB154-2376-4F23-9923-ACE6D27ED93C}">
      <text>
        <r>
          <rPr>
            <b/>
            <sz val="9"/>
            <color indexed="81"/>
            <rFont val="宋体"/>
            <family val="3"/>
            <charset val="134"/>
          </rPr>
          <t xml:space="preserve">同程PR稿：
</t>
        </r>
        <r>
          <rPr>
            <sz val="9"/>
            <color indexed="81"/>
            <rFont val="宋体"/>
            <family val="3"/>
            <charset val="134"/>
          </rPr>
          <t>春运期间国际机票（含税）1197元，较2023年同期下降41%，略低于2019年同期</t>
        </r>
      </text>
    </comment>
    <comment ref="AI60" authorId="0" shapeId="0" xr:uid="{00000000-0006-0000-0300-000013000000}">
      <text>
        <r>
          <rPr>
            <sz val="9"/>
            <color indexed="81"/>
            <rFont val="宋体"/>
            <family val="3"/>
            <charset val="134"/>
          </rPr>
          <t>之前写的是755，但算出来是816</t>
        </r>
      </text>
    </comment>
    <comment ref="J97" authorId="0" shapeId="0" xr:uid="{00000000-0006-0000-0300-000014000000}">
      <text>
        <r>
          <rPr>
            <sz val="9"/>
            <color indexed="81"/>
            <rFont val="宋体"/>
            <family val="3"/>
            <charset val="134"/>
          </rPr>
          <t xml:space="preserve">From Analyst Yulin
</t>
        </r>
      </text>
    </comment>
    <comment ref="R97" authorId="0" shapeId="0" xr:uid="{00000000-0006-0000-0300-000015000000}">
      <text>
        <r>
          <rPr>
            <sz val="9"/>
            <color indexed="81"/>
            <rFont val="宋体"/>
            <family val="3"/>
            <charset val="134"/>
          </rPr>
          <t xml:space="preserve">假设用车占比1.5%
</t>
        </r>
      </text>
    </comment>
    <comment ref="S97" authorId="0" shapeId="0" xr:uid="{00000000-0006-0000-0300-000016000000}">
      <text>
        <r>
          <rPr>
            <b/>
            <sz val="9"/>
            <color indexed="81"/>
            <rFont val="宋体"/>
            <family val="3"/>
            <charset val="134"/>
          </rPr>
          <t>假设用车占比1%</t>
        </r>
      </text>
    </comment>
    <comment ref="T97" authorId="0" shapeId="0" xr:uid="{00000000-0006-0000-0300-000017000000}">
      <text>
        <r>
          <rPr>
            <sz val="9"/>
            <color indexed="81"/>
            <rFont val="宋体"/>
            <family val="3"/>
            <charset val="134"/>
          </rPr>
          <t xml:space="preserve">假设用车占比4%
</t>
        </r>
      </text>
    </comment>
    <comment ref="U97" authorId="0" shapeId="0" xr:uid="{00000000-0006-0000-0300-000018000000}">
      <text>
        <r>
          <rPr>
            <sz val="9"/>
            <color indexed="81"/>
            <rFont val="宋体"/>
            <family val="3"/>
            <charset val="134"/>
          </rPr>
          <t xml:space="preserve">假设用车占比2%
</t>
        </r>
      </text>
    </comment>
    <comment ref="V97" authorId="0" shapeId="0" xr:uid="{00000000-0006-0000-0300-000019000000}">
      <text>
        <r>
          <rPr>
            <sz val="9"/>
            <color indexed="81"/>
            <rFont val="宋体"/>
            <family val="3"/>
            <charset val="134"/>
          </rPr>
          <t xml:space="preserve">假设用车占比1.5%
</t>
        </r>
      </text>
    </comment>
    <comment ref="Y97" authorId="0" shapeId="0" xr:uid="{00000000-0006-0000-0300-00001A000000}">
      <text>
        <r>
          <rPr>
            <sz val="9"/>
            <color indexed="81"/>
            <rFont val="宋体"/>
            <family val="3"/>
            <charset val="134"/>
          </rPr>
          <t xml:space="preserve">假设用车占比2.5%
</t>
        </r>
      </text>
    </comment>
    <comment ref="AB97" authorId="0" shapeId="0" xr:uid="{A65CA510-5621-467C-9094-DE0E24F360EA}">
      <text>
        <r>
          <rPr>
            <b/>
            <sz val="9"/>
            <color indexed="81"/>
            <rFont val="宋体"/>
            <family val="3"/>
            <charset val="134"/>
          </rPr>
          <t>假设用车占比3%</t>
        </r>
      </text>
    </comment>
    <comment ref="AC97" authorId="0" shapeId="0" xr:uid="{E92ABBC1-8A5C-4A6D-AC50-AE213C728991}">
      <text>
        <r>
          <rPr>
            <b/>
            <sz val="9"/>
            <color indexed="81"/>
            <rFont val="宋体"/>
            <family val="3"/>
            <charset val="134"/>
          </rPr>
          <t>假设用车占比1%</t>
        </r>
      </text>
    </comment>
    <comment ref="AD97" authorId="0" shapeId="0" xr:uid="{5A30212E-E675-4B03-99B2-C24AE129C9A2}">
      <text>
        <r>
          <rPr>
            <b/>
            <sz val="9"/>
            <color indexed="81"/>
            <rFont val="宋体"/>
            <family val="3"/>
            <charset val="134"/>
          </rPr>
          <t>假设用车占比1%</t>
        </r>
      </text>
    </comment>
    <comment ref="AG97" authorId="0" shapeId="0" xr:uid="{198BE492-8DC9-4759-AA2A-37F0F478A0D9}">
      <text>
        <r>
          <rPr>
            <b/>
            <sz val="9"/>
            <color indexed="81"/>
            <rFont val="宋体"/>
            <family val="3"/>
            <charset val="134"/>
          </rPr>
          <t>假设用车占比4%</t>
        </r>
        <r>
          <rPr>
            <sz val="9"/>
            <color indexed="81"/>
            <rFont val="宋体"/>
            <family val="3"/>
            <charset val="134"/>
          </rPr>
          <t xml:space="preserve">
</t>
        </r>
      </text>
    </comment>
    <comment ref="T98" authorId="0" shapeId="0" xr:uid="{00000000-0006-0000-0300-00001B000000}">
      <text>
        <r>
          <rPr>
            <b/>
            <sz val="9"/>
            <color indexed="81"/>
            <rFont val="宋体"/>
            <family val="3"/>
            <charset val="134"/>
          </rPr>
          <t>From 中金：
票量-40% yoy</t>
        </r>
      </text>
    </comment>
    <comment ref="AC98" authorId="0" shapeId="0" xr:uid="{1C5B155B-1055-431F-B1FF-F69C58C760FB}">
      <text>
        <r>
          <rPr>
            <b/>
            <sz val="9"/>
            <color indexed="81"/>
            <rFont val="宋体"/>
            <family val="3"/>
            <charset val="134"/>
          </rPr>
          <t>作者:</t>
        </r>
        <r>
          <rPr>
            <sz val="9"/>
            <color indexed="81"/>
            <rFont val="宋体"/>
            <family val="3"/>
            <charset val="134"/>
          </rPr>
          <t xml:space="preserve">
地面交通票量同比下降</t>
        </r>
      </text>
    </comment>
    <comment ref="AD98" authorId="0" shapeId="0" xr:uid="{98CF0317-2E17-49C9-BED0-863D2F6707D2}">
      <text>
        <r>
          <rPr>
            <b/>
            <sz val="9"/>
            <color indexed="81"/>
            <rFont val="宋体"/>
            <family val="3"/>
            <charset val="134"/>
          </rPr>
          <t>作者:</t>
        </r>
        <r>
          <rPr>
            <sz val="9"/>
            <color indexed="81"/>
            <rFont val="宋体"/>
            <family val="3"/>
            <charset val="134"/>
          </rPr>
          <t xml:space="preserve">
from analyst:
火车票量-lsd，预计3Q更好</t>
        </r>
      </text>
    </comment>
    <comment ref="O99" authorId="0" shapeId="0" xr:uid="{00000000-0006-0000-0300-00001C000000}">
      <text>
        <r>
          <rPr>
            <b/>
            <sz val="9"/>
            <color indexed="81"/>
            <rFont val="宋体"/>
            <family val="3"/>
            <charset val="134"/>
          </rPr>
          <t>Analyst：
-20%~-30% vs 2019</t>
        </r>
      </text>
    </comment>
    <comment ref="U99" authorId="0" shapeId="0" xr:uid="{00000000-0006-0000-0300-00001D000000}">
      <text>
        <r>
          <rPr>
            <b/>
            <sz val="9"/>
            <color indexed="81"/>
            <rFont val="宋体"/>
            <family val="3"/>
            <charset val="134"/>
          </rPr>
          <t xml:space="preserve">Fully Recovered
</t>
        </r>
        <r>
          <rPr>
            <sz val="9"/>
            <color indexed="81"/>
            <rFont val="宋体"/>
            <family val="3"/>
            <charset val="134"/>
          </rPr>
          <t xml:space="preserve">
</t>
        </r>
      </text>
    </comment>
    <comment ref="V99" authorId="0" shapeId="0" xr:uid="{00000000-0006-0000-0300-00001E000000}">
      <text>
        <r>
          <rPr>
            <b/>
            <sz val="9"/>
            <color indexed="81"/>
            <rFont val="宋体"/>
            <family val="3"/>
            <charset val="134"/>
          </rPr>
          <t>From 中金：
Q2 火车票较19年差距10%+</t>
        </r>
        <r>
          <rPr>
            <sz val="9"/>
            <color indexed="81"/>
            <rFont val="宋体"/>
            <family val="3"/>
            <charset val="134"/>
          </rPr>
          <t xml:space="preserve">
</t>
        </r>
      </text>
    </comment>
    <comment ref="W99" authorId="0" shapeId="0" xr:uid="{00000000-0006-0000-0300-00001F000000}">
      <text>
        <r>
          <rPr>
            <b/>
            <sz val="9"/>
            <color indexed="81"/>
            <rFont val="宋体"/>
            <family val="3"/>
            <charset val="134"/>
          </rPr>
          <t>From 中金：
Single digit 增长</t>
        </r>
        <r>
          <rPr>
            <sz val="9"/>
            <color indexed="81"/>
            <rFont val="宋体"/>
            <family val="3"/>
            <charset val="134"/>
          </rPr>
          <t xml:space="preserve">
</t>
        </r>
      </text>
    </comment>
    <comment ref="Z99" authorId="0" shapeId="0" xr:uid="{AA5D6BC0-354E-4604-9427-C361A598BC1B}">
      <text>
        <r>
          <rPr>
            <b/>
            <sz val="9"/>
            <color indexed="81"/>
            <rFont val="宋体"/>
            <family val="3"/>
            <charset val="134"/>
          </rPr>
          <t>作者:</t>
        </r>
        <r>
          <rPr>
            <sz val="9"/>
            <color indexed="81"/>
            <rFont val="宋体"/>
            <family val="3"/>
            <charset val="134"/>
          </rPr>
          <t xml:space="preserve">
from 中金，票量down LSD</t>
        </r>
      </text>
    </comment>
    <comment ref="AD99" authorId="0" shapeId="0" xr:uid="{114E8A94-3751-4559-BFB5-F4E1F70E802C}">
      <text>
        <r>
          <rPr>
            <b/>
            <sz val="9"/>
            <color indexed="81"/>
            <rFont val="宋体"/>
            <family val="3"/>
            <charset val="134"/>
          </rPr>
          <t>作者:</t>
        </r>
        <r>
          <rPr>
            <sz val="9"/>
            <color indexed="81"/>
            <rFont val="宋体"/>
            <family val="3"/>
            <charset val="134"/>
          </rPr>
          <t xml:space="preserve">
from analyst: vol down LSD，3季度可能会好一些</t>
        </r>
      </text>
    </comment>
    <comment ref="E101" authorId="0" shapeId="0" xr:uid="{00000000-0006-0000-0300-000020000000}">
      <text>
        <r>
          <rPr>
            <b/>
            <sz val="9"/>
            <color indexed="81"/>
            <rFont val="宋体"/>
            <family val="3"/>
            <charset val="134"/>
          </rPr>
          <t>Transcript:</t>
        </r>
        <r>
          <rPr>
            <sz val="9"/>
            <color indexed="81"/>
            <rFont val="宋体"/>
            <family val="3"/>
            <charset val="134"/>
          </rPr>
          <t xml:space="preserve">
Actually in the first quarter for both the air and ground transportation, the blended tick rates are above 3.5%. And also for the ground transportation, it's also, I think reached around 4.0% in the first quarter because that is the hottest season
</t>
        </r>
      </text>
    </comment>
    <comment ref="G101" authorId="0" shapeId="0" xr:uid="{00000000-0006-0000-0300-000021000000}">
      <text>
        <r>
          <rPr>
            <b/>
            <sz val="9"/>
            <color indexed="81"/>
            <rFont val="宋体"/>
            <family val="3"/>
            <charset val="134"/>
          </rPr>
          <t xml:space="preserve">Transcript:
</t>
        </r>
        <r>
          <rPr>
            <sz val="9"/>
            <color indexed="81"/>
            <rFont val="宋体"/>
            <family val="3"/>
            <charset val="134"/>
          </rPr>
          <t xml:space="preserve">The blended take rate of ground transportation year-over-year dropped to 2.6% to 2.7% due to relatively lower -- via asset sales.
</t>
        </r>
      </text>
    </comment>
    <comment ref="H101" authorId="0" shapeId="0" xr:uid="{00000000-0006-0000-0300-000022000000}">
      <text>
        <r>
          <rPr>
            <sz val="9"/>
            <color indexed="81"/>
            <rFont val="宋体"/>
            <family val="3"/>
            <charset val="134"/>
          </rPr>
          <t>Q4 earnings call
the ground transportation having increased from 3.0% to 3.5%</t>
        </r>
      </text>
    </comment>
    <comment ref="I101" authorId="0" shapeId="0" xr:uid="{00000000-0006-0000-0300-000023000000}">
      <text>
        <r>
          <rPr>
            <sz val="9"/>
            <color indexed="81"/>
            <rFont val="宋体"/>
            <family val="3"/>
            <charset val="134"/>
          </rPr>
          <t xml:space="preserve">From Analyst
</t>
        </r>
      </text>
    </comment>
    <comment ref="AD101" authorId="0" shapeId="0" xr:uid="{180E0134-2A67-451B-92A6-BC249438FB68}">
      <text>
        <r>
          <rPr>
            <b/>
            <sz val="9"/>
            <color indexed="81"/>
            <rFont val="宋体"/>
            <family val="3"/>
            <charset val="134"/>
          </rPr>
          <t>作者:</t>
        </r>
        <r>
          <rPr>
            <sz val="9"/>
            <color indexed="81"/>
            <rFont val="宋体"/>
            <family val="3"/>
            <charset val="134"/>
          </rPr>
          <t xml:space="preserve">
from analyst: 4%+</t>
        </r>
      </text>
    </comment>
    <comment ref="U107" authorId="0" shapeId="0" xr:uid="{2D6BF954-BBF8-458E-884F-0816F5DDC1EF}">
      <text>
        <r>
          <rPr>
            <b/>
            <sz val="9"/>
            <color indexed="81"/>
            <rFont val="宋体"/>
            <family val="3"/>
            <charset val="134"/>
          </rPr>
          <t>作者:</t>
        </r>
        <r>
          <rPr>
            <sz val="9"/>
            <color indexed="81"/>
            <rFont val="宋体"/>
            <family val="3"/>
            <charset val="134"/>
          </rPr>
          <t xml:space="preserve">
yoy vs 2019</t>
        </r>
      </text>
    </comment>
    <comment ref="E108" authorId="0" shapeId="0" xr:uid="{00000000-0006-0000-0300-000024000000}">
      <text>
        <r>
          <rPr>
            <b/>
            <sz val="9"/>
            <color indexed="81"/>
            <rFont val="宋体"/>
            <family val="3"/>
            <charset val="134"/>
          </rPr>
          <t>作者:</t>
        </r>
        <r>
          <rPr>
            <sz val="9"/>
            <color indexed="81"/>
            <rFont val="宋体"/>
            <family val="3"/>
            <charset val="134"/>
          </rPr>
          <t xml:space="preserve">
含分销，后同</t>
        </r>
      </text>
    </comment>
    <comment ref="Q108" authorId="0" shapeId="0" xr:uid="{00000000-0006-0000-0300-000025000000}">
      <text>
        <r>
          <rPr>
            <b/>
            <sz val="9"/>
            <color indexed="81"/>
            <rFont val="宋体"/>
            <family val="3"/>
            <charset val="134"/>
          </rPr>
          <t>作者:</t>
        </r>
        <r>
          <rPr>
            <sz val="9"/>
            <color indexed="81"/>
            <rFont val="宋体"/>
            <family val="3"/>
            <charset val="134"/>
          </rPr>
          <t xml:space="preserve">
含分销，后同</t>
        </r>
      </text>
    </comment>
    <comment ref="U109" authorId="0" shapeId="0" xr:uid="{1821A095-621D-47FF-8A67-7045C2B487E0}">
      <text>
        <r>
          <rPr>
            <b/>
            <sz val="9"/>
            <color indexed="81"/>
            <rFont val="宋体"/>
            <family val="3"/>
            <charset val="134"/>
          </rPr>
          <t>作者:</t>
        </r>
        <r>
          <rPr>
            <sz val="9"/>
            <color indexed="81"/>
            <rFont val="宋体"/>
            <family val="3"/>
            <charset val="134"/>
          </rPr>
          <t xml:space="preserve">
yoy vs 2019</t>
        </r>
      </text>
    </comment>
    <comment ref="U113" authorId="0" shapeId="0" xr:uid="{6B277899-3CA2-4241-B517-F208F10470F3}">
      <text>
        <r>
          <rPr>
            <b/>
            <sz val="9"/>
            <color indexed="81"/>
            <rFont val="宋体"/>
            <family val="3"/>
            <charset val="134"/>
          </rPr>
          <t>作者:</t>
        </r>
        <r>
          <rPr>
            <sz val="9"/>
            <color indexed="81"/>
            <rFont val="宋体"/>
            <family val="3"/>
            <charset val="134"/>
          </rPr>
          <t xml:space="preserve">
yoy vs 2019</t>
        </r>
      </text>
    </comment>
    <comment ref="AD118" authorId="0" shapeId="0" xr:uid="{15D1067C-1F64-40AB-9001-F1C07106129A}">
      <text>
        <r>
          <rPr>
            <b/>
            <sz val="9"/>
            <color indexed="81"/>
            <rFont val="宋体"/>
            <family val="3"/>
            <charset val="134"/>
          </rPr>
          <t>作者:</t>
        </r>
        <r>
          <rPr>
            <sz val="9"/>
            <color indexed="81"/>
            <rFont val="宋体"/>
            <family val="3"/>
            <charset val="134"/>
          </rPr>
          <t xml:space="preserve">
业务确认</t>
        </r>
      </text>
    </comment>
    <comment ref="AH118" authorId="0" shapeId="0" xr:uid="{8C6186FF-A65F-4F43-B063-103C8F6245BC}">
      <text>
        <r>
          <rPr>
            <b/>
            <sz val="9"/>
            <color indexed="81"/>
            <rFont val="宋体"/>
            <family val="3"/>
            <charset val="134"/>
          </rPr>
          <t>作者:</t>
        </r>
        <r>
          <rPr>
            <sz val="9"/>
            <color indexed="81"/>
            <rFont val="宋体"/>
            <family val="3"/>
            <charset val="134"/>
          </rPr>
          <t xml:space="preserve">
from 业务</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H6" authorId="0" shapeId="0" xr:uid="{B2CAA269-2D00-4274-AF10-65FB86CE5514}">
      <text>
        <r>
          <rPr>
            <sz val="9"/>
            <color indexed="81"/>
            <rFont val="宋体"/>
            <family val="3"/>
            <charset val="134"/>
          </rPr>
          <t xml:space="preserve">公司披露
</t>
        </r>
      </text>
    </comment>
    <comment ref="G17" authorId="0" shapeId="0" xr:uid="{40F878A1-157A-491F-80B9-B9B0D3395C83}">
      <text>
        <r>
          <rPr>
            <b/>
            <sz val="9"/>
            <color indexed="81"/>
            <rFont val="宋体"/>
            <family val="3"/>
            <charset val="134"/>
          </rPr>
          <t>公司披露</t>
        </r>
      </text>
    </comment>
    <comment ref="H28" authorId="0" shapeId="0" xr:uid="{893C62DE-87A4-415C-B8F7-85D70E409F0E}">
      <text>
        <r>
          <rPr>
            <sz val="9"/>
            <color indexed="81"/>
            <rFont val="宋体"/>
            <family val="3"/>
            <charset val="134"/>
          </rPr>
          <t xml:space="preserve">公司披露
</t>
        </r>
      </text>
    </comment>
    <comment ref="J28" authorId="0" shapeId="0" xr:uid="{8B77F3A7-024C-4A7C-A2F3-DFD190AD646D}">
      <text>
        <r>
          <rPr>
            <sz val="9"/>
            <color indexed="81"/>
            <rFont val="宋体"/>
            <family val="3"/>
            <charset val="134"/>
          </rPr>
          <t xml:space="preserve">分析师：up 40%+ yoy
</t>
        </r>
      </text>
    </comment>
    <comment ref="K28" authorId="0" shapeId="0" xr:uid="{B57785A9-3854-4CB4-828D-6FA44B2B4B92}">
      <text>
        <r>
          <rPr>
            <b/>
            <sz val="9"/>
            <color indexed="81"/>
            <rFont val="宋体"/>
            <family val="3"/>
            <charset val="134"/>
          </rPr>
          <t>作者:</t>
        </r>
        <r>
          <rPr>
            <sz val="9"/>
            <color indexed="81"/>
            <rFont val="宋体"/>
            <family val="3"/>
            <charset val="134"/>
          </rPr>
          <t xml:space="preserve">
分析师：
国际间夜量50%+yoy</t>
        </r>
      </text>
    </comment>
    <comment ref="L28" authorId="0" shapeId="0" xr:uid="{265430F7-08D2-4290-B892-C39EB6CE574A}">
      <text>
        <r>
          <rPr>
            <b/>
            <sz val="9"/>
            <color indexed="81"/>
            <rFont val="宋体"/>
            <family val="3"/>
            <charset val="134"/>
          </rPr>
          <t>作者:</t>
        </r>
        <r>
          <rPr>
            <sz val="9"/>
            <color indexed="81"/>
            <rFont val="宋体"/>
            <family val="3"/>
            <charset val="134"/>
          </rPr>
          <t xml:space="preserve">
分析师：
国际间夜量50%+yoy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H14" authorId="0" shapeId="0" xr:uid="{00000000-0006-0000-0B00-000001000000}">
      <text>
        <r>
          <rPr>
            <sz val="9"/>
            <color indexed="81"/>
            <rFont val="宋体"/>
            <family val="3"/>
            <charset val="134"/>
          </rPr>
          <t xml:space="preserve">From analyst
</t>
        </r>
      </text>
    </comment>
    <comment ref="H18" authorId="0" shapeId="0" xr:uid="{00000000-0006-0000-0B00-000002000000}">
      <text>
        <r>
          <rPr>
            <sz val="9"/>
            <color indexed="81"/>
            <rFont val="宋体"/>
            <family val="3"/>
            <charset val="134"/>
          </rPr>
          <t xml:space="preserve">Q4 earnings call
</t>
        </r>
      </text>
    </comment>
    <comment ref="H26" authorId="0" shapeId="0" xr:uid="{00000000-0006-0000-0B00-000003000000}">
      <text>
        <r>
          <rPr>
            <sz val="9"/>
            <color indexed="81"/>
            <rFont val="宋体"/>
            <family val="3"/>
            <charset val="134"/>
          </rPr>
          <t xml:space="preserve">From analyst
</t>
        </r>
      </text>
    </comment>
    <comment ref="H30" authorId="0" shapeId="0" xr:uid="{00000000-0006-0000-0B00-000004000000}">
      <text>
        <r>
          <rPr>
            <sz val="9"/>
            <color indexed="81"/>
            <rFont val="宋体"/>
            <family val="3"/>
            <charset val="134"/>
          </rPr>
          <t xml:space="preserve">Q4 earnings call
</t>
        </r>
      </text>
    </comment>
  </commentList>
</comments>
</file>

<file path=xl/sharedStrings.xml><?xml version="1.0" encoding="utf-8"?>
<sst xmlns="http://schemas.openxmlformats.org/spreadsheetml/2006/main" count="999" uniqueCount="496">
  <si>
    <t>2017-1H</t>
    <phoneticPr fontId="2" type="noConversion"/>
  </si>
  <si>
    <t>2017-2H</t>
    <phoneticPr fontId="2" type="noConversion"/>
  </si>
  <si>
    <t>2018-1H</t>
    <phoneticPr fontId="2" type="noConversion"/>
  </si>
  <si>
    <t>2018-2H</t>
    <phoneticPr fontId="2" type="noConversion"/>
  </si>
  <si>
    <t>2019-1H</t>
    <phoneticPr fontId="2" type="noConversion"/>
  </si>
  <si>
    <t>2019-2H</t>
    <phoneticPr fontId="2" type="noConversion"/>
  </si>
  <si>
    <t>2015-1H</t>
  </si>
  <si>
    <t>2015-2H</t>
  </si>
  <si>
    <t>2016-1H</t>
  </si>
  <si>
    <t>2016-2H</t>
  </si>
  <si>
    <t>(RMB in thousands, expect for Share/pershare data)</t>
    <phoneticPr fontId="2" type="noConversion"/>
  </si>
  <si>
    <t>P&amp;L</t>
    <phoneticPr fontId="2" type="noConversion"/>
  </si>
  <si>
    <t>Revenue</t>
    <phoneticPr fontId="2" type="noConversion"/>
  </si>
  <si>
    <t>Cost of revenue</t>
    <phoneticPr fontId="2" type="noConversion"/>
  </si>
  <si>
    <t>Gross Profit</t>
    <phoneticPr fontId="2" type="noConversion"/>
  </si>
  <si>
    <t>Service development expenses</t>
    <phoneticPr fontId="2" type="noConversion"/>
  </si>
  <si>
    <t>Selling and marketing expenses</t>
    <phoneticPr fontId="2" type="noConversion"/>
  </si>
  <si>
    <t>Administrative expenses</t>
    <phoneticPr fontId="2" type="noConversion"/>
  </si>
  <si>
    <t>Operating Profit/(Loss)</t>
    <phoneticPr fontId="2" type="noConversion"/>
  </si>
  <si>
    <t>Other income</t>
    <phoneticPr fontId="2" type="noConversion"/>
  </si>
  <si>
    <t>Other gains/(losses), net</t>
    <phoneticPr fontId="2" type="noConversion"/>
  </si>
  <si>
    <t>Finance income</t>
    <phoneticPr fontId="2" type="noConversion"/>
  </si>
  <si>
    <t>Finance costs</t>
    <phoneticPr fontId="2" type="noConversion"/>
  </si>
  <si>
    <t>Income tax (expense)/credit</t>
    <phoneticPr fontId="2" type="noConversion"/>
  </si>
  <si>
    <t>Share of results of associates</t>
    <phoneticPr fontId="2" type="noConversion"/>
  </si>
  <si>
    <t>(Loss)/profit before income tax</t>
    <phoneticPr fontId="2" type="noConversion"/>
  </si>
  <si>
    <t>(Loss)/earnings per share -Basic (expressed in RMB per share)</t>
    <phoneticPr fontId="2" type="noConversion"/>
  </si>
  <si>
    <t>(Loss)/earnings per share -Diluted (expressed in RMB per share)</t>
    <phoneticPr fontId="2" type="noConversion"/>
  </si>
  <si>
    <t>ASSETS</t>
  </si>
  <si>
    <t>Restricted cash</t>
    <phoneticPr fontId="2" type="noConversion"/>
  </si>
  <si>
    <t>Short-term investments measured at amortized cost</t>
    <phoneticPr fontId="2" type="noConversion"/>
  </si>
  <si>
    <t>Short-term investments measured at fair value through profit or loss</t>
    <phoneticPr fontId="2" type="noConversion"/>
  </si>
  <si>
    <t>Cash, Cash Equivalents and S-T investments</t>
    <phoneticPr fontId="2" type="noConversion"/>
  </si>
  <si>
    <t>Current assets</t>
    <phoneticPr fontId="2" type="noConversion"/>
  </si>
  <si>
    <t>Property, plant and equipment</t>
    <phoneticPr fontId="2" type="noConversion"/>
  </si>
  <si>
    <t>Total assets</t>
    <phoneticPr fontId="2" type="noConversion"/>
  </si>
  <si>
    <t>LIABILITIES</t>
    <phoneticPr fontId="2" type="noConversion"/>
  </si>
  <si>
    <t>Borrowings (Short-term)</t>
    <phoneticPr fontId="2" type="noConversion"/>
  </si>
  <si>
    <t>Borrowings (Long-term)</t>
    <phoneticPr fontId="2" type="noConversion"/>
  </si>
  <si>
    <t>Total liabilities</t>
    <phoneticPr fontId="2" type="noConversion"/>
  </si>
  <si>
    <t>EQUITY</t>
    <phoneticPr fontId="2" type="noConversion"/>
  </si>
  <si>
    <t>Total equity</t>
    <phoneticPr fontId="2" type="noConversion"/>
  </si>
  <si>
    <t>Check</t>
    <phoneticPr fontId="2" type="noConversion"/>
  </si>
  <si>
    <t>Balance Sheet</t>
    <phoneticPr fontId="2" type="noConversion"/>
  </si>
  <si>
    <t>Cash Flow</t>
    <phoneticPr fontId="2" type="noConversion"/>
  </si>
  <si>
    <t>Net cash (outflow)/inflow from operating activities</t>
    <phoneticPr fontId="2" type="noConversion"/>
  </si>
  <si>
    <t>Net cash inflow/(outflow) from investing activities</t>
    <phoneticPr fontId="2" type="noConversion"/>
  </si>
  <si>
    <t>Net cash (outflow)/inflow from financing activities</t>
    <phoneticPr fontId="2" type="noConversion"/>
  </si>
  <si>
    <t>Ratios</t>
    <phoneticPr fontId="2" type="noConversion"/>
  </si>
  <si>
    <t>Share-based compensation</t>
    <phoneticPr fontId="2" type="noConversion"/>
  </si>
  <si>
    <t>Amortization of intangible assets from acquisition</t>
    <phoneticPr fontId="2" type="noConversion"/>
  </si>
  <si>
    <t>Adjusted EBIT</t>
    <phoneticPr fontId="2" type="noConversion"/>
  </si>
  <si>
    <t>EBITDA</t>
    <phoneticPr fontId="2" type="noConversion"/>
  </si>
  <si>
    <t>Adjusted EBITDA</t>
    <phoneticPr fontId="2" type="noConversion"/>
  </si>
  <si>
    <t>Gross Margin</t>
    <phoneticPr fontId="2" type="noConversion"/>
  </si>
  <si>
    <t>EBIT Margin</t>
    <phoneticPr fontId="2" type="noConversion"/>
  </si>
  <si>
    <t>Adjusted EBIT Margin</t>
    <phoneticPr fontId="2" type="noConversion"/>
  </si>
  <si>
    <t>EBITDA Margin</t>
    <phoneticPr fontId="2" type="noConversion"/>
  </si>
  <si>
    <t>Adjusted EBITDA Margin</t>
    <phoneticPr fontId="2" type="noConversion"/>
  </si>
  <si>
    <t>Effective Tax Rate</t>
    <phoneticPr fontId="2" type="noConversion"/>
  </si>
  <si>
    <t xml:space="preserve">   -Transportation ticketing</t>
    <phoneticPr fontId="2" type="noConversion"/>
  </si>
  <si>
    <t xml:space="preserve">   -Accommodation</t>
    <phoneticPr fontId="2" type="noConversion"/>
  </si>
  <si>
    <t>GMV</t>
    <phoneticPr fontId="2" type="noConversion"/>
  </si>
  <si>
    <t>MAU</t>
    <phoneticPr fontId="2" type="noConversion"/>
  </si>
  <si>
    <t xml:space="preserve"> -Tencent-based Platforms</t>
    <phoneticPr fontId="2" type="noConversion"/>
  </si>
  <si>
    <t xml:space="preserve">  -Accommodation Reservation</t>
    <phoneticPr fontId="2" type="noConversion"/>
  </si>
  <si>
    <t xml:space="preserve">  -Transportation Ticketing</t>
    <phoneticPr fontId="2" type="noConversion"/>
  </si>
  <si>
    <t xml:space="preserve">  -Others</t>
    <phoneticPr fontId="2" type="noConversion"/>
  </si>
  <si>
    <t>Fair value change on redeemable convertible preferred shares measured at fair value through profit or loss</t>
    <phoneticPr fontId="2" type="noConversion"/>
  </si>
  <si>
    <t>Fair value change on investments measured at fair value through profit or loss</t>
    <phoneticPr fontId="2" type="noConversion"/>
  </si>
  <si>
    <t xml:space="preserve"> - Total MAU</t>
    <phoneticPr fontId="2" type="noConversion"/>
  </si>
  <si>
    <t>Take Rate</t>
    <phoneticPr fontId="2" type="noConversion"/>
  </si>
  <si>
    <t xml:space="preserve"> - Transportation ticketing -eLong</t>
    <phoneticPr fontId="2" type="noConversion"/>
  </si>
  <si>
    <t xml:space="preserve"> - Accommodation Reservation - Tongcheng</t>
    <phoneticPr fontId="2" type="noConversion"/>
  </si>
  <si>
    <t xml:space="preserve"> - Accommodation Reservation - eLong</t>
    <phoneticPr fontId="2" type="noConversion"/>
  </si>
  <si>
    <t>of which, Net commissions earned from accommodation reservation</t>
    <phoneticPr fontId="2" type="noConversion"/>
  </si>
  <si>
    <t>(Loss)/profit attributable to quity holders of the Company</t>
    <phoneticPr fontId="2" type="noConversion"/>
  </si>
  <si>
    <t>Non-controlling interests</t>
    <phoneticPr fontId="2" type="noConversion"/>
  </si>
  <si>
    <t>Depreciation of property, plant and
equipment</t>
    <phoneticPr fontId="2" type="noConversion"/>
  </si>
  <si>
    <t xml:space="preserve"> - Transportation ticketing - Tongcheng</t>
    <phoneticPr fontId="2" type="noConversion"/>
  </si>
  <si>
    <t>Cash and cash equivalents</t>
    <phoneticPr fontId="2" type="noConversion"/>
  </si>
  <si>
    <t>YoY growth</t>
    <phoneticPr fontId="2" type="noConversion"/>
  </si>
  <si>
    <t>MPU</t>
    <phoneticPr fontId="2" type="noConversion"/>
  </si>
  <si>
    <t>YoY Growth</t>
    <phoneticPr fontId="2" type="noConversion"/>
  </si>
  <si>
    <t>Tongcheng-eLong</t>
    <phoneticPr fontId="2" type="noConversion"/>
  </si>
  <si>
    <t>2018-1H</t>
    <phoneticPr fontId="2" type="noConversion"/>
  </si>
  <si>
    <t>Other comprehensive income/(loss)</t>
    <phoneticPr fontId="2" type="noConversion"/>
  </si>
  <si>
    <t>Operating Data ( million)</t>
    <phoneticPr fontId="2" type="noConversion"/>
  </si>
  <si>
    <t>eLong Only</t>
    <phoneticPr fontId="2" type="noConversion"/>
  </si>
  <si>
    <t>2018-2H</t>
    <phoneticPr fontId="2" type="noConversion"/>
  </si>
  <si>
    <t>Adjusted EBITDA</t>
    <phoneticPr fontId="2" type="noConversion"/>
  </si>
  <si>
    <t>Adjusted EBITDA (Reported)</t>
    <phoneticPr fontId="2" type="noConversion"/>
  </si>
  <si>
    <t>2018.3.9</t>
    <phoneticPr fontId="2" type="noConversion"/>
  </si>
  <si>
    <t>Tongcheng Only</t>
    <phoneticPr fontId="2" type="noConversion"/>
  </si>
  <si>
    <t>Tencent MAU (Million)</t>
    <phoneticPr fontId="2" type="noConversion"/>
  </si>
  <si>
    <t>QQ</t>
    <phoneticPr fontId="2" type="noConversion"/>
  </si>
  <si>
    <t>Wechat</t>
    <phoneticPr fontId="2" type="noConversion"/>
  </si>
  <si>
    <t>3Q18</t>
    <phoneticPr fontId="2" type="noConversion"/>
  </si>
  <si>
    <t>4Q17</t>
    <phoneticPr fontId="2" type="noConversion"/>
  </si>
  <si>
    <t>4Q16</t>
    <phoneticPr fontId="2" type="noConversion"/>
  </si>
  <si>
    <t>4Q15</t>
    <phoneticPr fontId="2" type="noConversion"/>
  </si>
  <si>
    <t>Non-IFRS OPM</t>
    <phoneticPr fontId="2" type="noConversion"/>
  </si>
  <si>
    <t>IFRS OPM</t>
    <phoneticPr fontId="2" type="noConversion"/>
  </si>
  <si>
    <t>MAU YoY</t>
    <phoneticPr fontId="2" type="noConversion"/>
  </si>
  <si>
    <t>MPY YoY</t>
    <phoneticPr fontId="2" type="noConversion"/>
  </si>
  <si>
    <t>票务-酒店交叉销售比例</t>
    <phoneticPr fontId="2" type="noConversion"/>
  </si>
  <si>
    <t>MAU (million)</t>
    <phoneticPr fontId="2" type="noConversion"/>
  </si>
  <si>
    <t>MPU (月度交易用户, million)</t>
    <phoneticPr fontId="2" type="noConversion"/>
  </si>
  <si>
    <t>2019E</t>
    <phoneticPr fontId="2" type="noConversion"/>
  </si>
  <si>
    <t>35%~40%</t>
    <phoneticPr fontId="2" type="noConversion"/>
  </si>
  <si>
    <t>27~28</t>
    <phoneticPr fontId="2" type="noConversion"/>
  </si>
  <si>
    <t>票务增值业务(VAS)搭售比例</t>
    <phoneticPr fontId="2" type="noConversion"/>
  </si>
  <si>
    <t>票务综合佣金率</t>
    <phoneticPr fontId="2" type="noConversion"/>
  </si>
  <si>
    <t>酒店住宿佣金率</t>
    <phoneticPr fontId="2" type="noConversion"/>
  </si>
  <si>
    <t>8%~9%</t>
    <phoneticPr fontId="2" type="noConversion"/>
  </si>
  <si>
    <t>交叉销售：</t>
    <phoneticPr fontId="2" type="noConversion"/>
  </si>
  <si>
    <t>佣金率：持平</t>
    <phoneticPr fontId="2" type="noConversion"/>
  </si>
  <si>
    <t>Consensus</t>
    <phoneticPr fontId="2" type="noConversion"/>
  </si>
  <si>
    <t>Actual</t>
    <phoneticPr fontId="2" type="noConversion"/>
  </si>
  <si>
    <t>Transaction Volume</t>
    <phoneticPr fontId="2" type="noConversion"/>
  </si>
  <si>
    <t>eLong only</t>
    <phoneticPr fontId="2" type="noConversion"/>
  </si>
  <si>
    <t xml:space="preserve"> - Own Mobile Apps and Websites</t>
    <phoneticPr fontId="2" type="noConversion"/>
  </si>
  <si>
    <t>% of registered users from non-first-tier cities</t>
    <phoneticPr fontId="2" type="noConversion"/>
  </si>
  <si>
    <t>Paying raio</t>
    <phoneticPr fontId="2" type="noConversion"/>
  </si>
  <si>
    <t>Calculated monetization rate</t>
    <phoneticPr fontId="2" type="noConversion"/>
  </si>
  <si>
    <t xml:space="preserve"> - Transportation ticketing</t>
    <phoneticPr fontId="2" type="noConversion"/>
  </si>
  <si>
    <t xml:space="preserve"> - Accommodation Reservation</t>
    <phoneticPr fontId="2" type="noConversion"/>
  </si>
  <si>
    <t>Reported take rate</t>
    <phoneticPr fontId="2" type="noConversion"/>
  </si>
  <si>
    <t>2017</t>
    <phoneticPr fontId="2" type="noConversion"/>
  </si>
  <si>
    <t>2018</t>
    <phoneticPr fontId="2" type="noConversion"/>
  </si>
  <si>
    <t>1Q19</t>
    <phoneticPr fontId="2" type="noConversion"/>
  </si>
  <si>
    <t>TCEL</t>
    <phoneticPr fontId="2" type="noConversion"/>
  </si>
  <si>
    <t>Air</t>
    <phoneticPr fontId="2" type="noConversion"/>
  </si>
  <si>
    <t>C+Q domestic</t>
    <phoneticPr fontId="2" type="noConversion"/>
  </si>
  <si>
    <t>YoY</t>
    <phoneticPr fontId="2" type="noConversion"/>
  </si>
  <si>
    <t>Take rate</t>
    <phoneticPr fontId="2" type="noConversion"/>
  </si>
  <si>
    <t>Train</t>
    <phoneticPr fontId="2" type="noConversion"/>
  </si>
  <si>
    <t>Volume</t>
    <phoneticPr fontId="2" type="noConversion"/>
  </si>
  <si>
    <t>Unit: RMB Mn</t>
    <phoneticPr fontId="2" type="noConversion"/>
  </si>
  <si>
    <t>4Q18</t>
    <phoneticPr fontId="2" type="noConversion"/>
  </si>
  <si>
    <t>1Q18</t>
    <phoneticPr fontId="2" type="noConversion"/>
  </si>
  <si>
    <t>2Q18</t>
    <phoneticPr fontId="2" type="noConversion"/>
  </si>
  <si>
    <t>1Q17</t>
    <phoneticPr fontId="2" type="noConversion"/>
  </si>
  <si>
    <t>2Q17</t>
    <phoneticPr fontId="2" type="noConversion"/>
  </si>
  <si>
    <t>3Q17</t>
    <phoneticPr fontId="2" type="noConversion"/>
  </si>
  <si>
    <t>CZQ domestic</t>
    <phoneticPr fontId="2" type="noConversion"/>
  </si>
  <si>
    <t>ASP</t>
    <phoneticPr fontId="2" type="noConversion"/>
  </si>
  <si>
    <t>ASP</t>
    <phoneticPr fontId="2" type="noConversion"/>
  </si>
  <si>
    <t>C+Q+Z</t>
    <phoneticPr fontId="2" type="noConversion"/>
  </si>
  <si>
    <t>Air</t>
    <phoneticPr fontId="2" type="noConversion"/>
  </si>
  <si>
    <t>Revenue</t>
    <phoneticPr fontId="2" type="noConversion"/>
  </si>
  <si>
    <t>Take rate</t>
    <phoneticPr fontId="2" type="noConversion"/>
  </si>
  <si>
    <t>Ctrip domestic air + train</t>
    <phoneticPr fontId="2" type="noConversion"/>
  </si>
  <si>
    <t>TCEL transportation</t>
    <phoneticPr fontId="2" type="noConversion"/>
  </si>
  <si>
    <t>Y2017</t>
    <phoneticPr fontId="33" type="noConversion"/>
  </si>
  <si>
    <t>Y2018</t>
    <phoneticPr fontId="33" type="noConversion"/>
  </si>
  <si>
    <t>19Q1</t>
    <phoneticPr fontId="33" type="noConversion"/>
  </si>
  <si>
    <t>Volume</t>
    <phoneticPr fontId="33" type="noConversion"/>
  </si>
  <si>
    <t>C</t>
    <phoneticPr fontId="33" type="noConversion"/>
  </si>
  <si>
    <t>Z</t>
    <phoneticPr fontId="33" type="noConversion"/>
  </si>
  <si>
    <t>Q</t>
    <phoneticPr fontId="33" type="noConversion"/>
  </si>
  <si>
    <t>GMV</t>
    <phoneticPr fontId="33" type="noConversion"/>
  </si>
  <si>
    <t>C</t>
    <phoneticPr fontId="33" type="noConversion"/>
  </si>
  <si>
    <t>Z</t>
    <phoneticPr fontId="33" type="noConversion"/>
  </si>
  <si>
    <t>Revenue</t>
    <phoneticPr fontId="33" type="noConversion"/>
  </si>
  <si>
    <t>Z Other revenue: air +hotel</t>
    <phoneticPr fontId="33" type="noConversion"/>
  </si>
  <si>
    <t>Q</t>
    <phoneticPr fontId="33" type="noConversion"/>
  </si>
  <si>
    <t>ASP</t>
    <phoneticPr fontId="33" type="noConversion"/>
  </si>
  <si>
    <t>18Q1</t>
  </si>
  <si>
    <t>TCEL transportation as % of Ctrip domestic air+train</t>
    <phoneticPr fontId="2" type="noConversion"/>
  </si>
  <si>
    <t>Aquisition related cost</t>
    <phoneticPr fontId="2" type="noConversion"/>
  </si>
  <si>
    <t>1Q19</t>
    <phoneticPr fontId="2" type="noConversion"/>
  </si>
  <si>
    <t>2Q19</t>
    <phoneticPr fontId="2" type="noConversion"/>
  </si>
  <si>
    <t>1Q18E</t>
    <phoneticPr fontId="2" type="noConversion"/>
  </si>
  <si>
    <t>3Q19</t>
    <phoneticPr fontId="2" type="noConversion"/>
  </si>
  <si>
    <t>3Q19</t>
    <phoneticPr fontId="2" type="noConversion"/>
  </si>
  <si>
    <t>4Q19</t>
    <phoneticPr fontId="2" type="noConversion"/>
  </si>
  <si>
    <t>4Q18</t>
    <phoneticPr fontId="2" type="noConversion"/>
  </si>
  <si>
    <t>1Q20</t>
    <phoneticPr fontId="2" type="noConversion"/>
  </si>
  <si>
    <t>订单处理成本</t>
    <phoneticPr fontId="2" type="noConversion"/>
  </si>
  <si>
    <t>雇员福利开支</t>
    <phoneticPr fontId="2" type="noConversion"/>
  </si>
  <si>
    <t>承担存货风险的产品的成本</t>
    <phoneticPr fontId="2" type="noConversion"/>
  </si>
  <si>
    <t>资产折旧</t>
    <phoneticPr fontId="2" type="noConversion"/>
  </si>
  <si>
    <t>400 mn re</t>
    <phoneticPr fontId="2" type="noConversion"/>
  </si>
  <si>
    <t>带宽及服务器费用</t>
    <phoneticPr fontId="2" type="noConversion"/>
  </si>
  <si>
    <t>其他</t>
    <phoneticPr fontId="2" type="noConversion"/>
  </si>
  <si>
    <t>20Q1</t>
    <phoneticPr fontId="2" type="noConversion"/>
  </si>
  <si>
    <t>19Q1</t>
    <phoneticPr fontId="2" type="noConversion"/>
  </si>
  <si>
    <t>SM</t>
    <phoneticPr fontId="2" type="noConversion"/>
  </si>
  <si>
    <t>19Q4</t>
    <phoneticPr fontId="2" type="noConversion"/>
  </si>
  <si>
    <t>YOY</t>
    <phoneticPr fontId="2" type="noConversion"/>
  </si>
  <si>
    <t>销售成本总额</t>
    <phoneticPr fontId="2" type="noConversion"/>
  </si>
  <si>
    <t>% Rev</t>
    <phoneticPr fontId="2" type="noConversion"/>
  </si>
  <si>
    <t>服务开发开支</t>
    <phoneticPr fontId="2" type="noConversion"/>
  </si>
  <si>
    <t>销售及营销开支</t>
    <phoneticPr fontId="2" type="noConversion"/>
  </si>
  <si>
    <t>行政开支</t>
    <phoneticPr fontId="2" type="noConversion"/>
  </si>
  <si>
    <t>%Rev 19Q1</t>
    <phoneticPr fontId="2" type="noConversion"/>
  </si>
  <si>
    <t>%Rev 20Q1</t>
    <phoneticPr fontId="2" type="noConversion"/>
  </si>
  <si>
    <t>SBC</t>
    <phoneticPr fontId="2" type="noConversion"/>
  </si>
  <si>
    <t>销售成本</t>
    <phoneticPr fontId="2" type="noConversion"/>
  </si>
  <si>
    <t>Adjusted</t>
    <phoneticPr fontId="2" type="noConversion"/>
  </si>
  <si>
    <t>19Q2</t>
    <phoneticPr fontId="2" type="noConversion"/>
  </si>
  <si>
    <t>20Q2</t>
    <phoneticPr fontId="2" type="noConversion"/>
  </si>
  <si>
    <t>Accomodation</t>
    <phoneticPr fontId="2" type="noConversion"/>
  </si>
  <si>
    <t>Transportation</t>
    <phoneticPr fontId="2" type="noConversion"/>
  </si>
  <si>
    <t>Others</t>
    <phoneticPr fontId="2" type="noConversion"/>
  </si>
  <si>
    <t>Total</t>
    <phoneticPr fontId="2" type="noConversion"/>
  </si>
  <si>
    <t>EBIT</t>
    <phoneticPr fontId="2" type="noConversion"/>
  </si>
  <si>
    <t>SBC</t>
    <phoneticPr fontId="2" type="noConversion"/>
  </si>
  <si>
    <t>D&amp;A</t>
    <phoneticPr fontId="2" type="noConversion"/>
  </si>
  <si>
    <t>Adj. EBITDA</t>
    <phoneticPr fontId="2" type="noConversion"/>
  </si>
  <si>
    <t>% Rev</t>
    <phoneticPr fontId="2" type="noConversion"/>
  </si>
  <si>
    <t>G&amp;A</t>
    <phoneticPr fontId="2" type="noConversion"/>
  </si>
  <si>
    <t>Serivces Development</t>
    <phoneticPr fontId="2" type="noConversion"/>
  </si>
  <si>
    <t>S&amp;M</t>
    <phoneticPr fontId="2" type="noConversion"/>
  </si>
  <si>
    <t>COGS</t>
    <phoneticPr fontId="2" type="noConversion"/>
  </si>
  <si>
    <t>OP Expense</t>
    <phoneticPr fontId="2" type="noConversion"/>
  </si>
  <si>
    <t>19Q1</t>
    <phoneticPr fontId="2" type="noConversion"/>
  </si>
  <si>
    <t>20Q1</t>
    <phoneticPr fontId="2" type="noConversion"/>
  </si>
  <si>
    <t>20Q1</t>
    <phoneticPr fontId="2" type="noConversion"/>
  </si>
  <si>
    <t>Check</t>
    <phoneticPr fontId="2" type="noConversion"/>
  </si>
  <si>
    <t>同程艺龙</t>
    <phoneticPr fontId="2" type="noConversion"/>
  </si>
  <si>
    <t>Booking</t>
    <phoneticPr fontId="2" type="noConversion"/>
  </si>
  <si>
    <t>19Q2</t>
    <phoneticPr fontId="2" type="noConversion"/>
  </si>
  <si>
    <r>
      <t xml:space="preserve">Opex </t>
    </r>
    <r>
      <rPr>
        <b/>
        <sz val="9"/>
        <rFont val="宋体"/>
        <family val="3"/>
        <charset val="134"/>
      </rPr>
      <t>同</t>
    </r>
    <r>
      <rPr>
        <b/>
        <sz val="9"/>
        <rFont val="arial"/>
        <family val="2"/>
      </rPr>
      <t>Ctrip</t>
    </r>
    <r>
      <rPr>
        <b/>
        <sz val="9"/>
        <rFont val="宋体"/>
        <family val="3"/>
        <charset val="134"/>
      </rPr>
      <t>口径：</t>
    </r>
    <phoneticPr fontId="38" type="noConversion"/>
  </si>
  <si>
    <t xml:space="preserve">   Product development</t>
    <phoneticPr fontId="2" type="noConversion"/>
  </si>
  <si>
    <t xml:space="preserve">   Sales and marketing</t>
    <phoneticPr fontId="2" type="noConversion"/>
  </si>
  <si>
    <t xml:space="preserve">   General and administrative (&amp; Personnel for PCLN)</t>
    <phoneticPr fontId="2" type="noConversion"/>
  </si>
  <si>
    <t xml:space="preserve">   Amortization of intangible assets</t>
    <phoneticPr fontId="2" type="noConversion"/>
  </si>
  <si>
    <t xml:space="preserve">   Other expenses</t>
    <phoneticPr fontId="2" type="noConversion"/>
  </si>
  <si>
    <t xml:space="preserve">    Impairment</t>
    <phoneticPr fontId="2" type="noConversion"/>
  </si>
  <si>
    <t xml:space="preserve">   Share-based compensation</t>
    <phoneticPr fontId="2" type="noConversion"/>
  </si>
  <si>
    <t>Total operating expenses (GAAP)</t>
    <phoneticPr fontId="2" type="noConversion"/>
  </si>
  <si>
    <t>Total operating expenses (non-GAAP)</t>
    <phoneticPr fontId="2" type="noConversion"/>
  </si>
  <si>
    <t>20Q2</t>
    <phoneticPr fontId="2" type="noConversion"/>
  </si>
  <si>
    <t>BKNG</t>
    <phoneticPr fontId="2" type="noConversion"/>
  </si>
  <si>
    <t>EXPE</t>
    <phoneticPr fontId="2" type="noConversion"/>
  </si>
  <si>
    <t>2Q20</t>
    <phoneticPr fontId="2" type="noConversion"/>
  </si>
  <si>
    <t>20Q2</t>
  </si>
  <si>
    <t>TCEL (from financials and trans GMV est.)</t>
    <phoneticPr fontId="2" type="noConversion"/>
  </si>
  <si>
    <t>GMV (mm)</t>
    <phoneticPr fontId="2" type="noConversion"/>
  </si>
  <si>
    <t>Revenue (mm)</t>
    <phoneticPr fontId="2" type="noConversion"/>
  </si>
  <si>
    <t>GMV (mm) - net</t>
    <phoneticPr fontId="2" type="noConversion"/>
  </si>
  <si>
    <t>% of Trans GMV</t>
    <phoneticPr fontId="2" type="noConversion"/>
  </si>
  <si>
    <t>Volume (mm)</t>
    <phoneticPr fontId="2" type="noConversion"/>
  </si>
  <si>
    <t xml:space="preserve"> </t>
    <phoneticPr fontId="2" type="noConversion"/>
  </si>
  <si>
    <t>TCOM - C+Q Domestic Air</t>
    <phoneticPr fontId="2" type="noConversion"/>
  </si>
  <si>
    <t>Rev</t>
    <phoneticPr fontId="2" type="noConversion"/>
  </si>
  <si>
    <t>单票收入</t>
    <phoneticPr fontId="2" type="noConversion"/>
  </si>
  <si>
    <t>3Q20</t>
    <phoneticPr fontId="2" type="noConversion"/>
  </si>
  <si>
    <t>承担存货风险的买断产品成本</t>
    <phoneticPr fontId="2" type="noConversion"/>
  </si>
  <si>
    <t>采购成本</t>
    <phoneticPr fontId="2" type="noConversion"/>
  </si>
  <si>
    <t>20Q3</t>
    <phoneticPr fontId="2" type="noConversion"/>
  </si>
  <si>
    <t>19Q3</t>
    <phoneticPr fontId="2" type="noConversion"/>
  </si>
  <si>
    <t>VAS相关销售下降</t>
    <phoneticPr fontId="2" type="noConversion"/>
  </si>
  <si>
    <t>主要由于交易额下降</t>
    <phoneticPr fontId="2" type="noConversion"/>
  </si>
  <si>
    <t>20Q3</t>
  </si>
  <si>
    <t>20Q4</t>
  </si>
  <si>
    <t>4Q20</t>
    <phoneticPr fontId="2" type="noConversion"/>
  </si>
  <si>
    <t>1Q21</t>
    <phoneticPr fontId="2" type="noConversion"/>
  </si>
  <si>
    <t>21Q1</t>
    <phoneticPr fontId="2" type="noConversion"/>
  </si>
  <si>
    <t>21Q1</t>
    <phoneticPr fontId="2" type="noConversion"/>
  </si>
  <si>
    <t>2Q21</t>
    <phoneticPr fontId="2" type="noConversion"/>
  </si>
  <si>
    <t>21Q2</t>
    <phoneticPr fontId="2" type="noConversion"/>
  </si>
  <si>
    <t>From MS</t>
    <phoneticPr fontId="2" type="noConversion"/>
  </si>
  <si>
    <t>21Q2</t>
    <phoneticPr fontId="2" type="noConversion"/>
  </si>
  <si>
    <t>3Q21</t>
    <phoneticPr fontId="2" type="noConversion"/>
  </si>
  <si>
    <t>21Q3</t>
    <phoneticPr fontId="2" type="noConversion"/>
  </si>
  <si>
    <t>21Q3</t>
    <phoneticPr fontId="2" type="noConversion"/>
  </si>
  <si>
    <t xml:space="preserve">gmv </t>
    <phoneticPr fontId="2" type="noConversion"/>
  </si>
  <si>
    <t xml:space="preserve">TCEL AS % of C+Q Domestic </t>
    <phoneticPr fontId="2" type="noConversion"/>
  </si>
  <si>
    <t>汽车票</t>
    <phoneticPr fontId="2" type="noConversion"/>
  </si>
  <si>
    <t>汽车票收入占比</t>
    <phoneticPr fontId="2" type="noConversion"/>
  </si>
  <si>
    <t>汽车票占交通GMV</t>
    <phoneticPr fontId="2" type="noConversion"/>
  </si>
  <si>
    <t>4Q21</t>
    <phoneticPr fontId="2" type="noConversion"/>
  </si>
  <si>
    <t>21Q4</t>
    <phoneticPr fontId="2" type="noConversion"/>
  </si>
  <si>
    <t>21Q4</t>
  </si>
  <si>
    <t>19Q2</t>
  </si>
  <si>
    <t>19Q3</t>
  </si>
  <si>
    <t>19Q4</t>
  </si>
  <si>
    <t>Transportation Vol</t>
    <phoneticPr fontId="2" type="noConversion"/>
  </si>
  <si>
    <t>火车票</t>
    <phoneticPr fontId="2" type="noConversion"/>
  </si>
  <si>
    <t>机票</t>
    <phoneticPr fontId="2" type="noConversion"/>
  </si>
  <si>
    <t>21Q2</t>
  </si>
  <si>
    <t>21Q3</t>
  </si>
  <si>
    <t>22Q1</t>
    <phoneticPr fontId="2" type="noConversion"/>
  </si>
  <si>
    <t>1Q22</t>
    <phoneticPr fontId="2" type="noConversion"/>
  </si>
  <si>
    <t>GMV vs 2019</t>
    <phoneticPr fontId="2" type="noConversion"/>
  </si>
  <si>
    <r>
      <rPr>
        <i/>
        <sz val="11"/>
        <rFont val="等线"/>
        <family val="3"/>
        <charset val="134"/>
        <scheme val="minor"/>
      </rPr>
      <t xml:space="preserve">Revenue </t>
    </r>
    <r>
      <rPr>
        <i/>
        <sz val="11"/>
        <color rgb="FF0000FF"/>
        <rFont val="等线"/>
        <family val="3"/>
        <charset val="134"/>
        <scheme val="minor"/>
      </rPr>
      <t>vs 2019</t>
    </r>
    <phoneticPr fontId="2" type="noConversion"/>
  </si>
  <si>
    <r>
      <rPr>
        <i/>
        <sz val="11"/>
        <rFont val="等线"/>
        <family val="3"/>
        <charset val="134"/>
        <scheme val="minor"/>
      </rPr>
      <t xml:space="preserve">  -Accommodation Reservation </t>
    </r>
    <r>
      <rPr>
        <i/>
        <sz val="11"/>
        <color rgb="FF0000FF"/>
        <rFont val="等线"/>
        <family val="3"/>
        <charset val="134"/>
        <scheme val="minor"/>
      </rPr>
      <t>vs 2019</t>
    </r>
    <phoneticPr fontId="2" type="noConversion"/>
  </si>
  <si>
    <r>
      <rPr>
        <i/>
        <sz val="11"/>
        <rFont val="等线"/>
        <family val="3"/>
        <charset val="134"/>
        <scheme val="minor"/>
      </rPr>
      <t xml:space="preserve">  -Transportation Ticketing vs 2019</t>
    </r>
    <phoneticPr fontId="2" type="noConversion"/>
  </si>
  <si>
    <r>
      <rPr>
        <i/>
        <sz val="11"/>
        <rFont val="等线"/>
        <family val="3"/>
        <charset val="134"/>
        <scheme val="minor"/>
      </rPr>
      <t xml:space="preserve">  -Others vs 2019</t>
    </r>
    <phoneticPr fontId="2" type="noConversion"/>
  </si>
  <si>
    <r>
      <rPr>
        <i/>
        <sz val="11"/>
        <rFont val="等线"/>
        <family val="3"/>
        <charset val="134"/>
        <scheme val="minor"/>
      </rPr>
      <t xml:space="preserve">Adjusted EBIT </t>
    </r>
    <r>
      <rPr>
        <i/>
        <sz val="11"/>
        <color rgb="FF0000FF"/>
        <rFont val="等线"/>
        <family val="3"/>
        <charset val="134"/>
        <scheme val="minor"/>
      </rPr>
      <t>vs 2019</t>
    </r>
    <phoneticPr fontId="2" type="noConversion"/>
  </si>
  <si>
    <r>
      <rPr>
        <i/>
        <sz val="11"/>
        <rFont val="等线"/>
        <family val="3"/>
        <charset val="134"/>
        <scheme val="minor"/>
      </rPr>
      <t>EBITDA</t>
    </r>
    <r>
      <rPr>
        <i/>
        <sz val="11"/>
        <color rgb="FF0000FF"/>
        <rFont val="等线"/>
        <family val="3"/>
        <charset val="134"/>
        <scheme val="minor"/>
      </rPr>
      <t>vs 2019</t>
    </r>
    <phoneticPr fontId="2" type="noConversion"/>
  </si>
  <si>
    <t>Adjusted EBITDA vs 2019</t>
    <phoneticPr fontId="2" type="noConversion"/>
  </si>
  <si>
    <t>Adjusted EBITDA (Reported) vs.2019</t>
    <phoneticPr fontId="2" type="noConversion"/>
  </si>
  <si>
    <t>growth vs 2019</t>
    <phoneticPr fontId="2" type="noConversion"/>
  </si>
  <si>
    <t>Adjusted EBITDA (Reported) Margin</t>
    <phoneticPr fontId="2" type="noConversion"/>
  </si>
  <si>
    <t>22Q1</t>
    <phoneticPr fontId="2" type="noConversion"/>
  </si>
  <si>
    <t>22Q2</t>
    <phoneticPr fontId="2" type="noConversion"/>
  </si>
  <si>
    <t>2Q22</t>
    <phoneticPr fontId="2" type="noConversion"/>
  </si>
  <si>
    <t>VAS 占比酒店收入</t>
    <phoneticPr fontId="2" type="noConversion"/>
  </si>
  <si>
    <t>YoY vs 2019</t>
    <phoneticPr fontId="2" type="noConversion"/>
  </si>
  <si>
    <t>7月</t>
    <phoneticPr fontId="2" type="noConversion"/>
  </si>
  <si>
    <t>8月</t>
    <phoneticPr fontId="2" type="noConversion"/>
  </si>
  <si>
    <t>汽车票GMV</t>
    <phoneticPr fontId="2" type="noConversion"/>
  </si>
  <si>
    <t>汽车票GMV 占比</t>
    <phoneticPr fontId="2" type="noConversion"/>
  </si>
  <si>
    <t>同程</t>
    <phoneticPr fontId="2" type="noConversion"/>
  </si>
  <si>
    <t>Flat YoY；up 60%-70% vs 2019</t>
    <phoneticPr fontId="2" type="noConversion"/>
  </si>
  <si>
    <t>CQ Domestic</t>
    <phoneticPr fontId="2" type="noConversion"/>
  </si>
  <si>
    <t>6月</t>
    <phoneticPr fontId="2" type="noConversion"/>
  </si>
  <si>
    <t>‘-5% YoY</t>
    <phoneticPr fontId="2" type="noConversion"/>
  </si>
  <si>
    <t>TCOm</t>
    <phoneticPr fontId="2" type="noConversion"/>
  </si>
  <si>
    <t>3Q22</t>
    <phoneticPr fontId="2" type="noConversion"/>
  </si>
  <si>
    <t>22Q3</t>
  </si>
  <si>
    <t>22Q3</t>
    <phoneticPr fontId="2" type="noConversion"/>
  </si>
  <si>
    <t>订单处理成本</t>
  </si>
  <si>
    <t>雇员福利开支</t>
  </si>
  <si>
    <t>采购成本</t>
  </si>
  <si>
    <t>带宽及服务器保管费</t>
  </si>
  <si>
    <t>资产折旧</t>
  </si>
  <si>
    <t>买断成本</t>
  </si>
  <si>
    <t>其他</t>
  </si>
  <si>
    <t>VAS占比酒店收入</t>
    <phoneticPr fontId="2" type="noConversion"/>
  </si>
  <si>
    <t>S&amp;M %</t>
    <phoneticPr fontId="2" type="noConversion"/>
  </si>
  <si>
    <t>22Q4</t>
  </si>
  <si>
    <t>22Q4</t>
    <phoneticPr fontId="2" type="noConversion"/>
  </si>
  <si>
    <t>4Q22</t>
    <phoneticPr fontId="2" type="noConversion"/>
  </si>
  <si>
    <t>1Q23</t>
    <phoneticPr fontId="2" type="noConversion"/>
  </si>
  <si>
    <t>2Q23</t>
    <phoneticPr fontId="2" type="noConversion"/>
  </si>
  <si>
    <t>3Q23</t>
    <phoneticPr fontId="2" type="noConversion"/>
  </si>
  <si>
    <t>4Q23</t>
    <phoneticPr fontId="2" type="noConversion"/>
  </si>
  <si>
    <t>23Q1</t>
    <phoneticPr fontId="2" type="noConversion"/>
  </si>
  <si>
    <t>23Q2</t>
    <phoneticPr fontId="2" type="noConversion"/>
  </si>
  <si>
    <t>公司公布</t>
    <phoneticPr fontId="2" type="noConversion"/>
  </si>
  <si>
    <t>机票</t>
    <phoneticPr fontId="2" type="noConversion"/>
  </si>
  <si>
    <t>火车</t>
    <phoneticPr fontId="2" type="noConversion"/>
  </si>
  <si>
    <t>汽车等</t>
    <phoneticPr fontId="2" type="noConversion"/>
  </si>
  <si>
    <r>
      <rPr>
        <sz val="11"/>
        <color theme="1"/>
        <rFont val="等线"/>
        <family val="2"/>
      </rPr>
      <t>国际</t>
    </r>
    <phoneticPr fontId="2" type="noConversion"/>
  </si>
  <si>
    <r>
      <rPr>
        <sz val="11"/>
        <color theme="1"/>
        <rFont val="等线"/>
        <family val="2"/>
      </rPr>
      <t>国内</t>
    </r>
    <phoneticPr fontId="2" type="noConversion"/>
  </si>
  <si>
    <t>23Q3</t>
  </si>
  <si>
    <t xml:space="preserve">Air+ Ground </t>
    <phoneticPr fontId="2" type="noConversion"/>
  </si>
  <si>
    <t>Net provision for impairment loss on financial assets</t>
    <phoneticPr fontId="2" type="noConversion"/>
  </si>
  <si>
    <t>(Loss)/profit attributable to equity holders of the Company</t>
    <phoneticPr fontId="2" type="noConversion"/>
  </si>
  <si>
    <t>23Q4</t>
  </si>
  <si>
    <t>23Q4</t>
    <phoneticPr fontId="2" type="noConversion"/>
  </si>
  <si>
    <t>1Q24</t>
    <phoneticPr fontId="2" type="noConversion"/>
  </si>
  <si>
    <t>24Q1</t>
    <phoneticPr fontId="2" type="noConversion"/>
  </si>
  <si>
    <t xml:space="preserve">YoY </t>
    <phoneticPr fontId="2" type="noConversion"/>
  </si>
  <si>
    <t>23Q3</t>
    <phoneticPr fontId="2" type="noConversion"/>
  </si>
  <si>
    <t>% of Total Air</t>
    <phoneticPr fontId="2" type="noConversion"/>
  </si>
  <si>
    <t>TCOM - C+Q Outboud Air</t>
    <phoneticPr fontId="2" type="noConversion"/>
  </si>
  <si>
    <t>TCEL AS % of C+Q Outbound Air</t>
    <phoneticPr fontId="2" type="noConversion"/>
  </si>
  <si>
    <t>GMV (mm) -</t>
    <phoneticPr fontId="2" type="noConversion"/>
  </si>
  <si>
    <r>
      <t xml:space="preserve">Volume (mm) </t>
    </r>
    <r>
      <rPr>
        <sz val="10"/>
        <color theme="1"/>
        <rFont val="宋体"/>
        <family val="3"/>
        <charset val="134"/>
      </rPr>
      <t/>
    </r>
    <phoneticPr fontId="2" type="noConversion"/>
  </si>
  <si>
    <t xml:space="preserve">GMV (mm) </t>
    <phoneticPr fontId="2" type="noConversion"/>
  </si>
  <si>
    <t xml:space="preserve">Volume (mm) </t>
    <phoneticPr fontId="2" type="noConversion"/>
  </si>
  <si>
    <t>2Q24</t>
    <phoneticPr fontId="2" type="noConversion"/>
  </si>
  <si>
    <t>GMV【公司仅披露总GMV，不拆分业务线】</t>
    <phoneticPr fontId="2" type="noConversion"/>
  </si>
  <si>
    <t>Total Revenue</t>
    <phoneticPr fontId="2" type="noConversion"/>
  </si>
  <si>
    <t>1. Core OTA Platform</t>
    <phoneticPr fontId="2" type="noConversion"/>
  </si>
  <si>
    <t>2. 度假</t>
    <phoneticPr fontId="2" type="noConversion"/>
  </si>
  <si>
    <t>Core OTA Platform Total</t>
    <phoneticPr fontId="2" type="noConversion"/>
  </si>
  <si>
    <t>Cross sell ratio</t>
    <phoneticPr fontId="2" type="noConversion"/>
  </si>
  <si>
    <t xml:space="preserve">APU </t>
    <phoneticPr fontId="2" type="noConversion"/>
  </si>
  <si>
    <t>ARPU-Monthly (GMV/3/ MPU)</t>
    <phoneticPr fontId="2" type="noConversion"/>
  </si>
  <si>
    <t>24Q2</t>
  </si>
  <si>
    <t>24Q2</t>
    <phoneticPr fontId="2" type="noConversion"/>
  </si>
  <si>
    <t>3Q24</t>
    <phoneticPr fontId="2" type="noConversion"/>
  </si>
  <si>
    <t>24Q3</t>
  </si>
  <si>
    <t>同程-CQ单票收入</t>
    <phoneticPr fontId="2" type="noConversion"/>
  </si>
  <si>
    <t>同程-CQ ASP</t>
    <phoneticPr fontId="2" type="noConversion"/>
  </si>
  <si>
    <t>Take rate</t>
  </si>
  <si>
    <t>TC VS C+Q</t>
  </si>
  <si>
    <t>TC VS C+Q</t>
    <phoneticPr fontId="2" type="noConversion"/>
  </si>
  <si>
    <t>GMV</t>
  </si>
  <si>
    <t>24Q3</t>
    <phoneticPr fontId="2" type="noConversion"/>
  </si>
  <si>
    <t>24Q1</t>
  </si>
  <si>
    <t>24Q4</t>
  </si>
  <si>
    <t>23Q1</t>
  </si>
  <si>
    <t>23Q2</t>
  </si>
  <si>
    <r>
      <rPr>
        <sz val="10"/>
        <color theme="1"/>
        <rFont val="楷体"/>
        <family val="3"/>
        <charset val="134"/>
      </rPr>
      <t>占</t>
    </r>
    <r>
      <rPr>
        <sz val="10"/>
        <color theme="1"/>
        <rFont val="Arial"/>
        <family val="2"/>
      </rPr>
      <t>TC</t>
    </r>
    <r>
      <rPr>
        <sz val="10"/>
        <color theme="1"/>
        <rFont val="楷体"/>
        <family val="3"/>
        <charset val="134"/>
      </rPr>
      <t>机票</t>
    </r>
    <r>
      <rPr>
        <sz val="10"/>
        <color theme="1"/>
        <rFont val="Arial"/>
        <family val="2"/>
      </rPr>
      <t>GMV</t>
    </r>
    <r>
      <rPr>
        <sz val="10"/>
        <color theme="1"/>
        <rFont val="楷体"/>
        <family val="3"/>
        <charset val="134"/>
      </rPr>
      <t>比</t>
    </r>
    <phoneticPr fontId="2" type="noConversion"/>
  </si>
  <si>
    <r>
      <rPr>
        <sz val="10"/>
        <color theme="1"/>
        <rFont val="楷体"/>
        <family val="3"/>
        <charset val="134"/>
      </rPr>
      <t>票量</t>
    </r>
    <phoneticPr fontId="2" type="noConversion"/>
  </si>
  <si>
    <r>
      <rPr>
        <sz val="10"/>
        <color theme="1"/>
        <rFont val="楷体"/>
        <family val="3"/>
        <charset val="134"/>
      </rPr>
      <t>票量</t>
    </r>
    <r>
      <rPr>
        <sz val="10"/>
        <color theme="1"/>
        <rFont val="Arial"/>
        <family val="2"/>
      </rPr>
      <t>YoY</t>
    </r>
    <phoneticPr fontId="2" type="noConversion"/>
  </si>
  <si>
    <r>
      <rPr>
        <sz val="10"/>
        <color theme="1"/>
        <rFont val="楷体"/>
        <family val="3"/>
        <charset val="134"/>
      </rPr>
      <t>收入</t>
    </r>
    <phoneticPr fontId="2" type="noConversion"/>
  </si>
  <si>
    <r>
      <rPr>
        <sz val="10"/>
        <color theme="1"/>
        <rFont val="楷体"/>
        <family val="3"/>
        <charset val="134"/>
      </rPr>
      <t>单段收入</t>
    </r>
    <phoneticPr fontId="2" type="noConversion"/>
  </si>
  <si>
    <r>
      <rPr>
        <sz val="10"/>
        <color theme="1"/>
        <rFont val="楷体"/>
        <family val="3"/>
        <charset val="134"/>
      </rPr>
      <t>平均票价</t>
    </r>
    <phoneticPr fontId="2" type="noConversion"/>
  </si>
  <si>
    <r>
      <rPr>
        <sz val="10"/>
        <color theme="1"/>
        <rFont val="楷体"/>
        <family val="3"/>
        <charset val="134"/>
      </rPr>
      <t>单段收入差异（同程</t>
    </r>
    <r>
      <rPr>
        <sz val="10"/>
        <color theme="1"/>
        <rFont val="Arial"/>
        <family val="2"/>
      </rPr>
      <t>-C+Q</t>
    </r>
    <r>
      <rPr>
        <sz val="10"/>
        <color theme="1"/>
        <rFont val="楷体"/>
        <family val="3"/>
        <charset val="134"/>
      </rPr>
      <t>）</t>
    </r>
    <phoneticPr fontId="2" type="noConversion"/>
  </si>
  <si>
    <r>
      <rPr>
        <sz val="10"/>
        <color theme="1"/>
        <rFont val="楷体"/>
        <family val="3"/>
        <charset val="134"/>
      </rPr>
      <t>平均票价差异（同程</t>
    </r>
    <r>
      <rPr>
        <sz val="10"/>
        <color theme="1"/>
        <rFont val="Arial"/>
        <family val="2"/>
      </rPr>
      <t>-C+Q</t>
    </r>
    <r>
      <rPr>
        <sz val="10"/>
        <color theme="1"/>
        <rFont val="楷体"/>
        <family val="3"/>
        <charset val="134"/>
      </rPr>
      <t>）</t>
    </r>
    <phoneticPr fontId="2" type="noConversion"/>
  </si>
  <si>
    <t>YoY</t>
    <phoneticPr fontId="2" type="noConversion"/>
  </si>
  <si>
    <r>
      <rPr>
        <sz val="10"/>
        <color theme="1"/>
        <rFont val="楷体"/>
        <family val="3"/>
        <charset val="134"/>
      </rPr>
      <t>占</t>
    </r>
    <r>
      <rPr>
        <sz val="10"/>
        <color theme="1"/>
        <rFont val="Arial"/>
        <family val="2"/>
      </rPr>
      <t>TC</t>
    </r>
    <r>
      <rPr>
        <sz val="10"/>
        <color theme="1"/>
        <rFont val="楷体"/>
        <family val="3"/>
        <charset val="134"/>
      </rPr>
      <t>机票</t>
    </r>
    <r>
      <rPr>
        <sz val="10"/>
        <color theme="1"/>
        <rFont val="Arial"/>
        <family val="2"/>
      </rPr>
      <t>GMV</t>
    </r>
    <r>
      <rPr>
        <sz val="10"/>
        <color theme="1"/>
        <rFont val="楷体"/>
        <family val="3"/>
        <charset val="134"/>
      </rPr>
      <t>比</t>
    </r>
  </si>
  <si>
    <r>
      <rPr>
        <sz val="10"/>
        <color theme="1"/>
        <rFont val="楷体"/>
        <family val="3"/>
        <charset val="134"/>
      </rPr>
      <t>票量</t>
    </r>
  </si>
  <si>
    <r>
      <rPr>
        <sz val="10"/>
        <color theme="1"/>
        <rFont val="楷体"/>
        <family val="3"/>
        <charset val="134"/>
      </rPr>
      <t>票量</t>
    </r>
    <r>
      <rPr>
        <sz val="10"/>
        <color theme="1"/>
        <rFont val="Arial"/>
        <family val="2"/>
      </rPr>
      <t>YoY</t>
    </r>
  </si>
  <si>
    <r>
      <rPr>
        <sz val="10"/>
        <color theme="1"/>
        <rFont val="楷体"/>
        <family val="3"/>
        <charset val="134"/>
      </rPr>
      <t>收入</t>
    </r>
  </si>
  <si>
    <r>
      <rPr>
        <sz val="10"/>
        <color theme="1"/>
        <rFont val="楷体"/>
        <family val="3"/>
        <charset val="134"/>
      </rPr>
      <t>单段收入</t>
    </r>
  </si>
  <si>
    <r>
      <rPr>
        <sz val="10"/>
        <color theme="1"/>
        <rFont val="楷体"/>
        <family val="3"/>
        <charset val="134"/>
      </rPr>
      <t>平均票价</t>
    </r>
  </si>
  <si>
    <r>
      <rPr>
        <sz val="10"/>
        <color theme="1"/>
        <rFont val="楷体"/>
        <family val="3"/>
        <charset val="134"/>
      </rPr>
      <t>单段收入差异（同程</t>
    </r>
    <r>
      <rPr>
        <sz val="10"/>
        <color theme="1"/>
        <rFont val="Arial"/>
        <family val="2"/>
      </rPr>
      <t>-C+Q</t>
    </r>
    <r>
      <rPr>
        <sz val="10"/>
        <color theme="1"/>
        <rFont val="楷体"/>
        <family val="3"/>
        <charset val="134"/>
      </rPr>
      <t>）</t>
    </r>
  </si>
  <si>
    <r>
      <rPr>
        <sz val="10"/>
        <color theme="1"/>
        <rFont val="楷体"/>
        <family val="3"/>
        <charset val="134"/>
      </rPr>
      <t>平均票价差异（同程</t>
    </r>
    <r>
      <rPr>
        <sz val="10"/>
        <color theme="1"/>
        <rFont val="Arial"/>
        <family val="2"/>
      </rPr>
      <t>-C+Q</t>
    </r>
    <r>
      <rPr>
        <sz val="10"/>
        <color theme="1"/>
        <rFont val="楷体"/>
        <family val="3"/>
        <charset val="134"/>
      </rPr>
      <t>）</t>
    </r>
  </si>
  <si>
    <t>TC YoY</t>
    <phoneticPr fontId="2" type="noConversion"/>
  </si>
  <si>
    <t>24Q4</t>
    <phoneticPr fontId="2" type="noConversion"/>
  </si>
  <si>
    <t>Note &amp; Assumption</t>
    <phoneticPr fontId="2" type="noConversion"/>
  </si>
  <si>
    <t>出境机票</t>
    <phoneticPr fontId="2" type="noConversion"/>
  </si>
  <si>
    <t>占比总机票票量10%</t>
    <phoneticPr fontId="2" type="noConversion"/>
  </si>
  <si>
    <t>占比总交通收入5%</t>
    <phoneticPr fontId="2" type="noConversion"/>
  </si>
  <si>
    <t>出境酒店</t>
    <phoneticPr fontId="2" type="noConversion"/>
  </si>
  <si>
    <t>占比总间夜2%</t>
    <phoneticPr fontId="2" type="noConversion"/>
  </si>
  <si>
    <t>ADR</t>
    <phoneticPr fontId="2" type="noConversion"/>
  </si>
  <si>
    <t>参考Q 房价</t>
    <phoneticPr fontId="2" type="noConversion"/>
  </si>
  <si>
    <t>整体国际收入</t>
    <phoneticPr fontId="2" type="noConversion"/>
  </si>
  <si>
    <t>Core OTA Rev</t>
    <phoneticPr fontId="2" type="noConversion"/>
  </si>
  <si>
    <t>4Q24</t>
    <phoneticPr fontId="2" type="noConversion"/>
  </si>
  <si>
    <t>ARPU-Annul (GMV/APU)</t>
    <phoneticPr fontId="2" type="noConversion"/>
  </si>
  <si>
    <t>国际收入占比</t>
    <phoneticPr fontId="2" type="noConversion"/>
  </si>
  <si>
    <r>
      <rPr>
        <sz val="10"/>
        <color theme="1"/>
        <rFont val="楷体"/>
        <family val="3"/>
        <charset val="134"/>
      </rPr>
      <t>占总票量比例</t>
    </r>
    <phoneticPr fontId="2" type="noConversion"/>
  </si>
  <si>
    <r>
      <rPr>
        <b/>
        <sz val="10"/>
        <color theme="1"/>
        <rFont val="楷体"/>
        <family val="3"/>
        <charset val="134"/>
      </rPr>
      <t>票量</t>
    </r>
    <r>
      <rPr>
        <b/>
        <sz val="10"/>
        <color theme="1"/>
        <rFont val="Arial"/>
        <family val="2"/>
      </rPr>
      <t>(mm)</t>
    </r>
    <phoneticPr fontId="2" type="noConversion"/>
  </si>
  <si>
    <r>
      <rPr>
        <b/>
        <sz val="10"/>
        <color theme="1"/>
        <rFont val="楷体"/>
        <family val="3"/>
        <charset val="134"/>
      </rPr>
      <t>收入</t>
    </r>
    <r>
      <rPr>
        <b/>
        <sz val="10"/>
        <color theme="1"/>
        <rFont val="Arial"/>
        <family val="2"/>
      </rPr>
      <t>(mm)</t>
    </r>
    <phoneticPr fontId="2" type="noConversion"/>
  </si>
  <si>
    <r>
      <rPr>
        <b/>
        <sz val="10"/>
        <color theme="1"/>
        <rFont val="楷体"/>
        <family val="3"/>
        <charset val="134"/>
      </rPr>
      <t>单段收入</t>
    </r>
  </si>
  <si>
    <r>
      <rPr>
        <b/>
        <sz val="10"/>
        <color theme="1"/>
        <rFont val="楷体"/>
        <family val="3"/>
        <charset val="134"/>
      </rPr>
      <t>单段收入</t>
    </r>
    <phoneticPr fontId="2" type="noConversion"/>
  </si>
  <si>
    <r>
      <rPr>
        <sz val="10"/>
        <color theme="1"/>
        <rFont val="楷体"/>
        <family val="3"/>
        <charset val="134"/>
      </rPr>
      <t>收入</t>
    </r>
    <r>
      <rPr>
        <sz val="10"/>
        <color theme="1"/>
        <rFont val="Arial"/>
        <family val="2"/>
      </rPr>
      <t>YoY</t>
    </r>
    <phoneticPr fontId="2" type="noConversion"/>
  </si>
  <si>
    <r>
      <rPr>
        <sz val="10"/>
        <color theme="1"/>
        <rFont val="楷体"/>
        <family val="3"/>
        <charset val="134"/>
      </rPr>
      <t>单段收入</t>
    </r>
    <r>
      <rPr>
        <sz val="10"/>
        <color theme="1"/>
        <rFont val="Arial"/>
        <family val="2"/>
      </rPr>
      <t>YoY</t>
    </r>
    <phoneticPr fontId="2" type="noConversion"/>
  </si>
  <si>
    <r>
      <t>TC</t>
    </r>
    <r>
      <rPr>
        <sz val="10"/>
        <color theme="0"/>
        <rFont val="微软雅黑"/>
        <family val="2"/>
        <charset val="134"/>
      </rPr>
      <t>国际</t>
    </r>
    <phoneticPr fontId="2" type="noConversion"/>
  </si>
  <si>
    <r>
      <rPr>
        <sz val="10"/>
        <color theme="1"/>
        <rFont val="Arial"/>
        <family val="3"/>
      </rPr>
      <t>TC</t>
    </r>
    <r>
      <rPr>
        <sz val="10"/>
        <color theme="1"/>
        <rFont val="楷体"/>
        <family val="3"/>
        <charset val="134"/>
      </rPr>
      <t>国际</t>
    </r>
    <phoneticPr fontId="2" type="noConversion"/>
  </si>
  <si>
    <r>
      <t>TC</t>
    </r>
    <r>
      <rPr>
        <sz val="10"/>
        <color theme="0"/>
        <rFont val="微软雅黑"/>
        <family val="2"/>
        <charset val="134"/>
      </rPr>
      <t>国内</t>
    </r>
    <phoneticPr fontId="2" type="noConversion"/>
  </si>
  <si>
    <r>
      <rPr>
        <sz val="10"/>
        <color theme="1"/>
        <rFont val="Arial"/>
        <family val="3"/>
      </rPr>
      <t>TC</t>
    </r>
    <r>
      <rPr>
        <sz val="10"/>
        <color theme="1"/>
        <rFont val="楷体"/>
        <family val="3"/>
        <charset val="134"/>
      </rPr>
      <t>国内</t>
    </r>
    <phoneticPr fontId="2" type="noConversion"/>
  </si>
  <si>
    <t>同程交通业务</t>
    <phoneticPr fontId="2" type="noConversion"/>
  </si>
  <si>
    <t>估算</t>
    <phoneticPr fontId="2" type="noConversion"/>
  </si>
  <si>
    <r>
      <t>TCEL-</t>
    </r>
    <r>
      <rPr>
        <b/>
        <sz val="12"/>
        <color theme="0"/>
        <rFont val="宋体"/>
        <family val="3"/>
        <charset val="134"/>
      </rPr>
      <t>机票整体</t>
    </r>
    <phoneticPr fontId="2" type="noConversion"/>
  </si>
  <si>
    <r>
      <t>TCEL-</t>
    </r>
    <r>
      <rPr>
        <sz val="12"/>
        <color theme="0"/>
        <rFont val="宋体"/>
        <family val="3"/>
        <charset val="134"/>
      </rPr>
      <t>国内</t>
    </r>
    <phoneticPr fontId="2" type="noConversion"/>
  </si>
  <si>
    <r>
      <t>TCEL-</t>
    </r>
    <r>
      <rPr>
        <sz val="12"/>
        <color theme="0"/>
        <rFont val="宋体"/>
        <family val="3"/>
        <charset val="134"/>
      </rPr>
      <t>国际</t>
    </r>
    <phoneticPr fontId="2" type="noConversion"/>
  </si>
  <si>
    <r>
      <t xml:space="preserve">GMV (mm RMB, net, </t>
    </r>
    <r>
      <rPr>
        <sz val="12"/>
        <color theme="1"/>
        <rFont val="宋体"/>
        <family val="3"/>
        <charset val="134"/>
      </rPr>
      <t>扣除退票</t>
    </r>
    <r>
      <rPr>
        <sz val="12"/>
        <color theme="1"/>
        <rFont val="Arial"/>
        <family val="2"/>
      </rPr>
      <t>)</t>
    </r>
    <phoneticPr fontId="2" type="noConversion"/>
  </si>
  <si>
    <r>
      <t xml:space="preserve">Volume (mm, net, </t>
    </r>
    <r>
      <rPr>
        <sz val="12"/>
        <color theme="1"/>
        <rFont val="宋体"/>
        <family val="3"/>
        <charset val="134"/>
      </rPr>
      <t>扣除退票）</t>
    </r>
    <phoneticPr fontId="2" type="noConversion"/>
  </si>
  <si>
    <r>
      <t>21</t>
    </r>
    <r>
      <rPr>
        <sz val="12"/>
        <color theme="1"/>
        <rFont val="宋体"/>
        <family val="3"/>
        <charset val="134"/>
      </rPr>
      <t>年票量比</t>
    </r>
    <r>
      <rPr>
        <sz val="12"/>
        <color theme="1"/>
        <rFont val="Arial"/>
        <family val="2"/>
      </rPr>
      <t>20</t>
    </r>
    <r>
      <rPr>
        <sz val="12"/>
        <color theme="1"/>
        <rFont val="宋体"/>
        <family val="3"/>
        <charset val="134"/>
      </rPr>
      <t>年微降</t>
    </r>
    <phoneticPr fontId="2" type="noConversion"/>
  </si>
  <si>
    <r>
      <t>TCOM</t>
    </r>
    <r>
      <rPr>
        <sz val="12"/>
        <color theme="1"/>
        <rFont val="宋体"/>
        <family val="3"/>
        <charset val="134"/>
      </rPr>
      <t>国内火车票</t>
    </r>
    <phoneticPr fontId="2" type="noConversion"/>
  </si>
  <si>
    <t>用增速倒算</t>
    <phoneticPr fontId="2" type="noConversion"/>
  </si>
  <si>
    <t>1Q25</t>
    <phoneticPr fontId="2" type="noConversion"/>
  </si>
  <si>
    <t>25Q1</t>
    <phoneticPr fontId="2" type="noConversion"/>
  </si>
  <si>
    <r>
      <t>TCEL-</t>
    </r>
    <r>
      <rPr>
        <b/>
        <sz val="12"/>
        <color theme="0"/>
        <rFont val="宋体"/>
        <family val="2"/>
        <charset val="134"/>
      </rPr>
      <t>酒店整体</t>
    </r>
    <phoneticPr fontId="2" type="noConversion"/>
  </si>
  <si>
    <r>
      <rPr>
        <sz val="12"/>
        <color theme="0"/>
        <rFont val="微软雅黑"/>
        <family val="2"/>
        <charset val="134"/>
      </rPr>
      <t>同程</t>
    </r>
    <r>
      <rPr>
        <sz val="12"/>
        <color theme="0"/>
        <rFont val="宋体"/>
        <family val="2"/>
        <charset val="134"/>
      </rPr>
      <t>酒店</t>
    </r>
    <r>
      <rPr>
        <sz val="12"/>
        <color theme="0"/>
        <rFont val="微软雅黑"/>
        <family val="2"/>
        <charset val="134"/>
      </rPr>
      <t>业务</t>
    </r>
    <r>
      <rPr>
        <sz val="12"/>
        <color theme="0"/>
        <rFont val="宋体"/>
        <family val="2"/>
        <charset val="134"/>
      </rPr>
      <t>（</t>
    </r>
    <r>
      <rPr>
        <sz val="12"/>
        <color theme="0"/>
        <rFont val="Arial"/>
        <family val="2"/>
      </rPr>
      <t>mn RMB)</t>
    </r>
    <phoneticPr fontId="2" type="noConversion"/>
  </si>
  <si>
    <t>公司披露</t>
    <phoneticPr fontId="2" type="noConversion"/>
  </si>
  <si>
    <t>% of Total hotel</t>
    <phoneticPr fontId="2" type="noConversion"/>
  </si>
  <si>
    <t>% of Total Hotel</t>
    <phoneticPr fontId="2" type="noConversion"/>
  </si>
  <si>
    <t xml:space="preserve">24Q1： 国际机票+国际酒店的收入占整体酒店+交通的3-4%，机票占比更高，酒店占比低一些。 </t>
    <phoneticPr fontId="2" type="noConversion"/>
  </si>
  <si>
    <t>国际酒店量占比1-2%</t>
    <phoneticPr fontId="2" type="noConversion"/>
  </si>
  <si>
    <t>25Q1</t>
    <phoneticPr fontId="2" type="noConversion"/>
  </si>
  <si>
    <r>
      <t>op data</t>
    </r>
    <r>
      <rPr>
        <sz val="12"/>
        <color theme="1"/>
        <rFont val="微软雅黑"/>
        <family val="2"/>
        <charset val="134"/>
      </rPr>
      <t>机票63</t>
    </r>
    <phoneticPr fontId="2" type="noConversion"/>
  </si>
  <si>
    <t>25Q1</t>
    <phoneticPr fontId="2" type="noConversion"/>
  </si>
  <si>
    <t>2Q25</t>
  </si>
  <si>
    <t>% New paying wechat users from Non-tier 1cities</t>
  </si>
  <si>
    <t>25Q2</t>
    <phoneticPr fontId="2" type="noConversion"/>
  </si>
  <si>
    <t xml:space="preserve">   YoY</t>
    <phoneticPr fontId="2" type="noConversion"/>
  </si>
  <si>
    <t xml:space="preserve">   -Others</t>
    <phoneticPr fontId="2" type="noConversion"/>
  </si>
  <si>
    <t>机票占比 为估算，非实际数</t>
    <phoneticPr fontId="2" type="noConversion"/>
  </si>
  <si>
    <t>酒店占比 为估算，非实际数</t>
    <phoneticPr fontId="2" type="noConversion"/>
  </si>
  <si>
    <t>TCEL AS % of TCOM</t>
    <phoneticPr fontId="2" type="noConversion"/>
  </si>
  <si>
    <t>地面交通 GMV</t>
    <phoneticPr fontId="2" type="noConversion"/>
  </si>
  <si>
    <t>地面交通 Revenue</t>
    <phoneticPr fontId="2" type="noConversion"/>
  </si>
  <si>
    <t xml:space="preserve">  % of Transportation Revenue</t>
    <phoneticPr fontId="2" type="noConversion"/>
  </si>
  <si>
    <t>同程增速&lt;携程增速&lt;12306</t>
    <phoneticPr fontId="2" type="noConversion"/>
  </si>
  <si>
    <t>3Q25</t>
  </si>
  <si>
    <t>Core OTA</t>
  </si>
  <si>
    <t>Revenue</t>
  </si>
  <si>
    <t>Operating Profit</t>
  </si>
  <si>
    <t>OP Margin</t>
  </si>
  <si>
    <t>25Q3</t>
  </si>
  <si>
    <t>25Q3</t>
    <phoneticPr fontId="2" type="noConversion"/>
  </si>
  <si>
    <r>
      <rPr>
        <sz val="10"/>
        <color theme="1"/>
        <rFont val="微软雅黑"/>
        <family val="2"/>
        <charset val="134"/>
      </rPr>
      <t>国内</t>
    </r>
    <r>
      <rPr>
        <sz val="10"/>
        <color theme="1"/>
        <rFont val="Arial"/>
        <family val="2"/>
      </rPr>
      <t>chart</t>
    </r>
    <phoneticPr fontId="2" type="noConversion"/>
  </si>
  <si>
    <t>同程单段收入</t>
    <phoneticPr fontId="2" type="noConversion"/>
  </si>
  <si>
    <r>
      <t>C+Q</t>
    </r>
    <r>
      <rPr>
        <sz val="10"/>
        <color theme="1"/>
        <rFont val="微软雅黑"/>
        <family val="2"/>
        <charset val="134"/>
      </rPr>
      <t>单段收入</t>
    </r>
    <phoneticPr fontId="2" type="noConversion"/>
  </si>
  <si>
    <t>1Q19</t>
  </si>
  <si>
    <t>2Q19</t>
  </si>
  <si>
    <t>3Q19</t>
  </si>
  <si>
    <t>4Q19</t>
  </si>
  <si>
    <t>20Q1</t>
  </si>
  <si>
    <t>21Q1</t>
  </si>
  <si>
    <t>22Q1</t>
  </si>
  <si>
    <t>22Q2</t>
  </si>
  <si>
    <t>CHECK</t>
    <phoneticPr fontId="2" type="noConversion"/>
  </si>
  <si>
    <t>同程国内票量(mm)-左轴</t>
    <phoneticPr fontId="2" type="noConversion"/>
  </si>
  <si>
    <r>
      <t>C+Q</t>
    </r>
    <r>
      <rPr>
        <sz val="10"/>
        <color theme="1"/>
        <rFont val="微软雅黑"/>
        <family val="2"/>
        <charset val="134"/>
      </rPr>
      <t>国内票量</t>
    </r>
    <r>
      <rPr>
        <sz val="10"/>
        <color theme="1"/>
        <rFont val="Arial"/>
        <family val="2"/>
      </rPr>
      <t>(mm)-</t>
    </r>
    <r>
      <rPr>
        <sz val="10"/>
        <color theme="1"/>
        <rFont val="微软雅黑"/>
        <family val="2"/>
        <charset val="134"/>
      </rPr>
      <t>左轴</t>
    </r>
    <phoneticPr fontId="2" type="noConversion"/>
  </si>
  <si>
    <r>
      <t xml:space="preserve">T / C+Q </t>
    </r>
    <r>
      <rPr>
        <sz val="10"/>
        <color theme="1"/>
        <rFont val="微软雅黑"/>
        <family val="2"/>
        <charset val="134"/>
      </rPr>
      <t>票量比例-右轴</t>
    </r>
    <phoneticPr fontId="2" type="noConversion"/>
  </si>
  <si>
    <r>
      <t xml:space="preserve">T / C+Q </t>
    </r>
    <r>
      <rPr>
        <sz val="10"/>
        <color theme="1"/>
        <rFont val="微软雅黑"/>
        <family val="2"/>
        <charset val="134"/>
      </rPr>
      <t>单段收入比例-右轴</t>
    </r>
    <phoneticPr fontId="2" type="noConversion"/>
  </si>
  <si>
    <t>4Q25</t>
  </si>
  <si>
    <t>25Q4</t>
  </si>
  <si>
    <r>
      <t xml:space="preserve">From </t>
    </r>
    <r>
      <rPr>
        <sz val="12"/>
        <color theme="1"/>
        <rFont val="宋体"/>
        <family val="2"/>
        <charset val="134"/>
      </rPr>
      <t>公司：</t>
    </r>
    <r>
      <rPr>
        <sz val="12"/>
        <color theme="1"/>
        <rFont val="Arial"/>
        <family val="2"/>
      </rPr>
      <t>2025</t>
    </r>
    <r>
      <rPr>
        <sz val="12"/>
        <color theme="1"/>
        <rFont val="宋体"/>
        <family val="2"/>
        <charset val="134"/>
      </rPr>
      <t>年国际机票票量增速约</t>
    </r>
    <r>
      <rPr>
        <sz val="12"/>
        <color theme="1"/>
        <rFont val="Arial"/>
        <family val="2"/>
      </rPr>
      <t>25%</t>
    </r>
    <phoneticPr fontId="2" type="noConversion"/>
  </si>
  <si>
    <t>25Q4</t>
    <phoneticPr fontId="2" type="noConversion"/>
  </si>
  <si>
    <t>Net income</t>
    <phoneticPr fontId="2" type="noConversion"/>
  </si>
  <si>
    <t>1Q26</t>
  </si>
  <si>
    <t>26Q1</t>
    <phoneticPr fontId="2" type="noConversion"/>
  </si>
  <si>
    <r>
      <t xml:space="preserve">From Analyst: </t>
    </r>
    <r>
      <rPr>
        <i/>
        <sz val="12"/>
        <color rgb="FFFF0000"/>
        <rFont val="宋体"/>
        <family val="2"/>
        <charset val="134"/>
      </rPr>
      <t>交通LSD</t>
    </r>
    <phoneticPr fontId="2" type="noConversion"/>
  </si>
  <si>
    <r>
      <rPr>
        <sz val="12"/>
        <color theme="1"/>
        <rFont val="Microsoft YaHei UI"/>
        <family val="2"/>
        <charset val="134"/>
      </rPr>
      <t>⽕⻋票</t>
    </r>
    <r>
      <rPr>
        <sz val="12"/>
        <color theme="1"/>
        <rFont val="等线"/>
        <family val="2"/>
        <charset val="134"/>
      </rPr>
      <t>占交通收入</t>
    </r>
    <r>
      <rPr>
        <sz val="12"/>
        <color theme="1"/>
        <rFont val="Arial"/>
        <family val="2"/>
      </rPr>
      <t xml:space="preserve"> ~40%</t>
    </r>
    <phoneticPr fontId="2" type="noConversion"/>
  </si>
  <si>
    <t>汽车票收入（含小交通）</t>
    <phoneticPr fontId="2" type="noConversion"/>
  </si>
  <si>
    <t>国际机票占比总交通收入7-8%</t>
    <phoneticPr fontId="2" type="noConversion"/>
  </si>
  <si>
    <t>火车票票量整体下降</t>
    <phoneticPr fontId="2" type="noConversion"/>
  </si>
  <si>
    <r>
      <rPr>
        <sz val="12"/>
        <color theme="4" tint="-0.499984740745262"/>
        <rFont val="宋体"/>
        <family val="3"/>
        <charset val="134"/>
      </rPr>
      <t>假设用车占比提升至</t>
    </r>
    <r>
      <rPr>
        <sz val="12"/>
        <color theme="4" tint="-0.499984740745262"/>
        <rFont val="Arial"/>
        <family val="3"/>
      </rPr>
      <t>3</t>
    </r>
    <r>
      <rPr>
        <sz val="12"/>
        <color theme="4" tint="-0.499984740745262"/>
        <rFont val="Arial"/>
        <family val="3"/>
        <charset val="134"/>
      </rPr>
      <t>%</t>
    </r>
    <phoneticPr fontId="2" type="noConversion"/>
  </si>
  <si>
    <t>价格略有提升</t>
    <phoneticPr fontId="2" type="noConversion"/>
  </si>
  <si>
    <t>2Q26</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</si>
</sst>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76" formatCode="#,##0.0_);[Red]\(#,##0.0\)"/>
    <numFmt numFmtId="177" formatCode="0_);[Red]\(0\)"/>
    <numFmt numFmtId="178" formatCode="0.0%"/>
    <numFmt numFmtId="179" formatCode="0.00_);\(0.00\)"/>
    <numFmt numFmtId="180" formatCode="_(* #,##0_);[Red]_(* \(#,##0\);_ * &quot;-&quot;??_ ;_ @_ "/>
    <numFmt numFmtId="181" formatCode="_(* #,##0.000_);[Red]_(* \(#,##0.000\);_ * &quot;-&quot;??_ ;_ @_ "/>
    <numFmt numFmtId="182" formatCode="_ * #,##0_ ;_ * \-#,##0_ ;_ * &quot;-&quot;??_ ;_ @_ "/>
    <numFmt numFmtId="183" formatCode="#,##0.0"/>
    <numFmt numFmtId="184" formatCode="0.00_);[Red]\(0.00\)"/>
    <numFmt numFmtId="185" formatCode="_ [$HKD]\ * #,##0.000_ ;_ [$HKD]\ * \-#,##0.000_ ;_ [$HKD]\ * &quot;-&quot;??_ ;_ @_ "/>
    <numFmt numFmtId="186" formatCode="_ * #,##0.0_ ;_ * \-#,##0.0_ ;_ * &quot;-&quot;??_ ;_ @_ "/>
    <numFmt numFmtId="187" formatCode="#,##0_ "/>
    <numFmt numFmtId="188" formatCode="_ * #,##0.0000_ ;_ * \-#,##0.0000_ ;_ * &quot;-&quot;??_ ;_ @_ "/>
  </numFmts>
  <fonts count="102" x14ac:knownFonts="1">
    <font>
      <sz val="11"/>
      <color theme="1"/>
      <name val="等线"/>
      <family val="2"/>
      <scheme val="minor"/>
    </font>
    <font>
      <sz val="11"/>
      <color theme="1"/>
      <name val="等线"/>
      <family val="2"/>
      <scheme val="minor"/>
    </font>
    <font>
      <sz val="9"/>
      <name val="等线"/>
      <family val="3"/>
      <charset val="134"/>
      <scheme val="minor"/>
    </font>
    <font>
      <b/>
      <sz val="11"/>
      <color theme="1"/>
      <name val="等线"/>
      <family val="3"/>
      <charset val="134"/>
      <scheme val="minor"/>
    </font>
    <font>
      <b/>
      <sz val="11"/>
      <color theme="0"/>
      <name val="等线"/>
      <family val="3"/>
      <charset val="134"/>
      <scheme val="minor"/>
    </font>
    <font>
      <i/>
      <sz val="11"/>
      <color theme="1"/>
      <name val="等线"/>
      <family val="3"/>
      <charset val="134"/>
      <scheme val="minor"/>
    </font>
    <font>
      <b/>
      <sz val="11"/>
      <name val="等线"/>
      <family val="3"/>
      <charset val="134"/>
      <scheme val="minor"/>
    </font>
    <font>
      <sz val="9"/>
      <color indexed="81"/>
      <name val="宋体"/>
      <family val="3"/>
      <charset val="134"/>
    </font>
    <font>
      <b/>
      <sz val="9"/>
      <color indexed="81"/>
      <name val="宋体"/>
      <family val="3"/>
      <charset val="134"/>
    </font>
    <font>
      <sz val="11"/>
      <color theme="6"/>
      <name val="等线"/>
      <family val="2"/>
      <scheme val="minor"/>
    </font>
    <font>
      <sz val="11"/>
      <color rgb="FFFF0000"/>
      <name val="等线"/>
      <family val="3"/>
      <charset val="134"/>
      <scheme val="minor"/>
    </font>
    <font>
      <sz val="11"/>
      <color theme="0"/>
      <name val="等线"/>
      <family val="2"/>
      <scheme val="minor"/>
    </font>
    <font>
      <b/>
      <i/>
      <sz val="11"/>
      <color theme="1"/>
      <name val="等线"/>
      <family val="3"/>
      <charset val="134"/>
      <scheme val="minor"/>
    </font>
    <font>
      <sz val="11"/>
      <color rgb="FF0000FF"/>
      <name val="等线"/>
      <family val="2"/>
      <scheme val="minor"/>
    </font>
    <font>
      <sz val="11"/>
      <color rgb="FF0000FF"/>
      <name val="等线"/>
      <family val="3"/>
      <charset val="134"/>
      <scheme val="minor"/>
    </font>
    <font>
      <sz val="11"/>
      <name val="等线"/>
      <family val="3"/>
      <charset val="134"/>
      <scheme val="minor"/>
    </font>
    <font>
      <u/>
      <sz val="11"/>
      <name val="等线"/>
      <family val="3"/>
      <charset val="134"/>
      <scheme val="minor"/>
    </font>
    <font>
      <b/>
      <i/>
      <sz val="11"/>
      <name val="等线"/>
      <family val="3"/>
      <charset val="134"/>
      <scheme val="minor"/>
    </font>
    <font>
      <i/>
      <sz val="11"/>
      <name val="等线"/>
      <family val="3"/>
      <charset val="134"/>
      <scheme val="minor"/>
    </font>
    <font>
      <sz val="11"/>
      <color theme="1"/>
      <name val="等线"/>
      <family val="3"/>
      <charset val="134"/>
      <scheme val="minor"/>
    </font>
    <font>
      <sz val="11"/>
      <color theme="6"/>
      <name val="等线"/>
      <family val="3"/>
      <charset val="134"/>
      <scheme val="minor"/>
    </font>
    <font>
      <i/>
      <sz val="11"/>
      <color rgb="FF0000FF"/>
      <name val="等线"/>
      <family val="3"/>
      <charset val="134"/>
      <scheme val="minor"/>
    </font>
    <font>
      <sz val="10"/>
      <color theme="1"/>
      <name val="Arial"/>
      <family val="2"/>
    </font>
    <font>
      <i/>
      <sz val="10"/>
      <color theme="1"/>
      <name val="Arial"/>
      <family val="2"/>
    </font>
    <font>
      <sz val="10"/>
      <name val="Arial"/>
      <family val="2"/>
    </font>
    <font>
      <sz val="10"/>
      <color rgb="FF009900"/>
      <name val="Arial"/>
      <family val="2"/>
    </font>
    <font>
      <sz val="10"/>
      <color theme="1"/>
      <name val="宋体"/>
      <family val="3"/>
      <charset val="134"/>
    </font>
    <font>
      <sz val="10"/>
      <color rgb="FF0000FF"/>
      <name val="Arial"/>
      <family val="2"/>
    </font>
    <font>
      <sz val="10"/>
      <color theme="0"/>
      <name val="Arial"/>
      <family val="2"/>
    </font>
    <font>
      <i/>
      <sz val="10"/>
      <color rgb="FF009900"/>
      <name val="Arial"/>
      <family val="2"/>
    </font>
    <font>
      <sz val="10"/>
      <color rgb="FFC00000"/>
      <name val="Arial"/>
      <family val="2"/>
    </font>
    <font>
      <i/>
      <sz val="10"/>
      <color rgb="FF0000FF"/>
      <name val="Arial"/>
      <family val="2"/>
    </font>
    <font>
      <b/>
      <sz val="10"/>
      <color theme="1"/>
      <name val="Arial"/>
      <family val="2"/>
    </font>
    <font>
      <sz val="9"/>
      <name val="等线"/>
      <family val="2"/>
      <charset val="134"/>
      <scheme val="minor"/>
    </font>
    <font>
      <sz val="11"/>
      <color rgb="FFFF0000"/>
      <name val="等线"/>
      <family val="2"/>
      <scheme val="minor"/>
    </font>
    <font>
      <sz val="11"/>
      <color theme="2" tint="-0.89999084444715716"/>
      <name val="等线"/>
      <family val="2"/>
      <scheme val="minor"/>
    </font>
    <font>
      <sz val="11"/>
      <color theme="2" tint="-0.89999084444715716"/>
      <name val="等线"/>
      <family val="3"/>
      <charset val="134"/>
      <scheme val="minor"/>
    </font>
    <font>
      <sz val="10"/>
      <name val="Helv"/>
      <family val="2"/>
    </font>
    <font>
      <sz val="9"/>
      <name val="宋体"/>
      <family val="3"/>
      <charset val="134"/>
    </font>
    <font>
      <b/>
      <sz val="9"/>
      <name val="arial"/>
      <family val="2"/>
    </font>
    <font>
      <b/>
      <sz val="9"/>
      <name val="宋体"/>
      <family val="3"/>
      <charset val="134"/>
    </font>
    <font>
      <sz val="10.5"/>
      <color theme="1"/>
      <name val="Calibri"/>
      <family val="2"/>
    </font>
    <font>
      <sz val="10.5"/>
      <color theme="1"/>
      <name val="宋体"/>
      <family val="3"/>
      <charset val="134"/>
    </font>
    <font>
      <sz val="11"/>
      <color theme="1"/>
      <name val="Times New Roman"/>
      <family val="1"/>
    </font>
    <font>
      <sz val="11"/>
      <color theme="1"/>
      <name val="等线"/>
      <family val="2"/>
    </font>
    <font>
      <b/>
      <sz val="11"/>
      <color theme="1"/>
      <name val="Times New Roman"/>
      <family val="1"/>
    </font>
    <font>
      <b/>
      <sz val="11"/>
      <color rgb="FF0000FF"/>
      <name val="等线"/>
      <family val="3"/>
      <charset val="134"/>
      <scheme val="minor"/>
    </font>
    <font>
      <sz val="10"/>
      <color theme="1"/>
      <name val="楷体"/>
      <family val="3"/>
      <charset val="134"/>
    </font>
    <font>
      <b/>
      <sz val="10"/>
      <color theme="1"/>
      <name val="楷体"/>
      <family val="3"/>
      <charset val="134"/>
    </font>
    <font>
      <sz val="10"/>
      <color theme="1"/>
      <name val="Arial"/>
      <family val="3"/>
    </font>
    <font>
      <sz val="10"/>
      <color theme="0"/>
      <name val="微软雅黑"/>
      <family val="2"/>
      <charset val="134"/>
    </font>
    <font>
      <sz val="12"/>
      <color theme="1"/>
      <name val="Arial"/>
      <family val="2"/>
    </font>
    <font>
      <sz val="12"/>
      <color theme="0"/>
      <name val="Arial"/>
      <family val="2"/>
    </font>
    <font>
      <sz val="12"/>
      <color theme="2" tint="-0.89999084444715716"/>
      <name val="Arial"/>
      <family val="2"/>
    </font>
    <font>
      <sz val="12"/>
      <color theme="1"/>
      <name val="宋体"/>
      <family val="3"/>
      <charset val="134"/>
    </font>
    <font>
      <sz val="12"/>
      <name val="Arial"/>
      <family val="2"/>
    </font>
    <font>
      <sz val="12"/>
      <color rgb="FFFF0000"/>
      <name val="Arial"/>
      <family val="2"/>
    </font>
    <font>
      <i/>
      <sz val="12"/>
      <color rgb="FFFF0000"/>
      <name val="宋体"/>
      <family val="3"/>
      <charset val="134"/>
    </font>
    <font>
      <i/>
      <sz val="12"/>
      <color rgb="FFFF0000"/>
      <name val="Arial"/>
      <family val="2"/>
    </font>
    <font>
      <i/>
      <sz val="12"/>
      <name val="Arial"/>
      <family val="2"/>
    </font>
    <font>
      <b/>
      <sz val="12"/>
      <color theme="0"/>
      <name val="Arial"/>
      <family val="2"/>
    </font>
    <font>
      <sz val="12"/>
      <color rgb="FFC00000"/>
      <name val="Arial"/>
      <family val="2"/>
    </font>
    <font>
      <sz val="12"/>
      <color rgb="FFFF0000"/>
      <name val="宋体"/>
      <family val="2"/>
      <charset val="134"/>
    </font>
    <font>
      <i/>
      <sz val="12"/>
      <color theme="1"/>
      <name val="Arial"/>
      <family val="2"/>
    </font>
    <font>
      <sz val="12"/>
      <color rgb="FF009900"/>
      <name val="Arial"/>
      <family val="2"/>
    </font>
    <font>
      <sz val="12"/>
      <color rgb="FF009900"/>
      <name val="宋体"/>
      <family val="3"/>
      <charset val="134"/>
    </font>
    <font>
      <sz val="12"/>
      <color theme="9"/>
      <name val="Arial"/>
      <family val="2"/>
    </font>
    <font>
      <b/>
      <sz val="12"/>
      <color theme="0"/>
      <name val="宋体"/>
      <family val="3"/>
      <charset val="134"/>
    </font>
    <font>
      <sz val="12"/>
      <color rgb="FF0000FF"/>
      <name val="Arial"/>
      <family val="2"/>
    </font>
    <font>
      <sz val="12"/>
      <color theme="1"/>
      <name val="微软雅黑"/>
      <family val="2"/>
      <charset val="134"/>
    </font>
    <font>
      <i/>
      <sz val="12"/>
      <color rgb="FF0000FF"/>
      <name val="Arial"/>
      <family val="2"/>
    </font>
    <font>
      <strike/>
      <sz val="12"/>
      <color rgb="FF0000FF"/>
      <name val="Arial"/>
      <family val="2"/>
    </font>
    <font>
      <sz val="12"/>
      <color theme="0"/>
      <name val="宋体"/>
      <family val="3"/>
      <charset val="134"/>
    </font>
    <font>
      <sz val="12"/>
      <color rgb="FFFF0000"/>
      <name val="宋体"/>
      <family val="3"/>
      <charset val="134"/>
    </font>
    <font>
      <b/>
      <sz val="12"/>
      <color theme="1"/>
      <name val="Arial"/>
      <family val="2"/>
    </font>
    <font>
      <sz val="12"/>
      <name val="宋体"/>
      <family val="2"/>
      <charset val="134"/>
    </font>
    <font>
      <b/>
      <sz val="12"/>
      <color rgb="FF0000FF"/>
      <name val="Arial"/>
      <family val="2"/>
    </font>
    <font>
      <sz val="12"/>
      <color theme="4" tint="-0.499984740745262"/>
      <name val="Arial"/>
      <family val="2"/>
    </font>
    <font>
      <i/>
      <sz val="12"/>
      <color theme="1"/>
      <name val="宋体"/>
      <family val="3"/>
      <charset val="134"/>
    </font>
    <font>
      <i/>
      <sz val="12"/>
      <color theme="4" tint="-0.499984740745262"/>
      <name val="Arial"/>
      <family val="2"/>
    </font>
    <font>
      <sz val="12"/>
      <color theme="4" tint="-0.499984740745262"/>
      <name val="Arial"/>
      <family val="3"/>
      <charset val="134"/>
    </font>
    <font>
      <b/>
      <sz val="12"/>
      <name val="Arial"/>
      <family val="2"/>
    </font>
    <font>
      <i/>
      <sz val="11"/>
      <color rgb="FFFF0000"/>
      <name val="等线"/>
      <family val="3"/>
      <charset val="134"/>
      <scheme val="minor"/>
    </font>
    <font>
      <b/>
      <sz val="12"/>
      <color theme="0"/>
      <name val="宋体"/>
      <family val="2"/>
      <charset val="134"/>
    </font>
    <font>
      <sz val="12"/>
      <color theme="0"/>
      <name val="微软雅黑"/>
      <family val="2"/>
      <charset val="134"/>
    </font>
    <font>
      <sz val="12"/>
      <color theme="0"/>
      <name val="宋体"/>
      <family val="2"/>
      <charset val="134"/>
    </font>
    <font>
      <sz val="12"/>
      <color theme="0"/>
      <name val="Arial"/>
      <family val="2"/>
      <charset val="134"/>
    </font>
    <font>
      <sz val="10"/>
      <color theme="1"/>
      <name val="微软雅黑"/>
      <family val="2"/>
      <charset val="134"/>
    </font>
    <font>
      <sz val="10"/>
      <color theme="1"/>
      <name val="Arial"/>
      <family val="2"/>
      <charset val="134"/>
    </font>
    <font>
      <sz val="10"/>
      <color rgb="FFFF0000"/>
      <name val="Arial"/>
      <family val="2"/>
    </font>
    <font>
      <b/>
      <sz val="9"/>
      <color theme="1"/>
      <name val="Arial"/>
      <family val="2"/>
    </font>
    <font>
      <sz val="12"/>
      <color theme="1"/>
      <name val="宋体"/>
      <family val="2"/>
      <charset val="134"/>
    </font>
    <font>
      <i/>
      <sz val="12"/>
      <color rgb="FFFF0000"/>
      <name val="宋体"/>
      <family val="2"/>
      <charset val="134"/>
    </font>
    <font>
      <b/>
      <sz val="12"/>
      <color rgb="FFFF0000"/>
      <name val="Arial"/>
      <family val="2"/>
    </font>
    <font>
      <b/>
      <i/>
      <sz val="12"/>
      <color rgb="FFFF0000"/>
      <name val="Arial"/>
      <family val="2"/>
    </font>
    <font>
      <sz val="12"/>
      <color theme="1"/>
      <name val="Microsoft YaHei UI"/>
      <family val="2"/>
      <charset val="134"/>
    </font>
    <font>
      <sz val="12"/>
      <color theme="1"/>
      <name val="Arial"/>
      <family val="2"/>
      <charset val="134"/>
    </font>
    <font>
      <sz val="12"/>
      <color theme="1"/>
      <name val="等线"/>
      <family val="2"/>
      <charset val="134"/>
    </font>
    <font>
      <sz val="12"/>
      <color theme="4" tint="-0.499984740745262"/>
      <name val="宋体"/>
      <family val="3"/>
      <charset val="134"/>
    </font>
    <font>
      <sz val="12"/>
      <color theme="4" tint="-0.499984740745262"/>
      <name val="宋体"/>
      <family val="2"/>
      <charset val="134"/>
    </font>
    <font>
      <sz val="12"/>
      <color theme="4" tint="-0.499984740745262"/>
      <name val="Arial"/>
      <family val="3"/>
    </font>
    <font>
      <sz val="11"/>
      <color indexed="8"/>
      <name val="等线"/>
      <family val="2"/>
      <scheme val="minor"/>
    </font>
  </fonts>
  <fills count="25">
    <fill>
      <patternFill patternType="none"/>
    </fill>
    <fill>
      <patternFill patternType="gray125"/>
    </fill>
    <fill>
      <patternFill patternType="solid">
        <fgColor theme="2" tint="-0.89999084444715716"/>
        <bgColor indexed="64"/>
      </patternFill>
    </fill>
    <fill>
      <patternFill patternType="solid">
        <fgColor theme="8" tint="0.79998168889431442"/>
        <bgColor indexed="64"/>
      </patternFill>
    </fill>
    <fill>
      <patternFill patternType="solid">
        <fgColor rgb="FFFFFF00"/>
        <bgColor indexed="64"/>
      </patternFill>
    </fill>
    <fill>
      <patternFill patternType="solid">
        <fgColor rgb="FFC00000"/>
        <bgColor indexed="64"/>
      </patternFill>
    </fill>
    <fill>
      <patternFill patternType="solid">
        <fgColor theme="9"/>
        <bgColor indexed="64"/>
      </patternFill>
    </fill>
    <fill>
      <patternFill patternType="solid">
        <fgColor theme="2" tint="-0.499984740745262"/>
        <bgColor indexed="64"/>
      </patternFill>
    </fill>
    <fill>
      <patternFill patternType="solid">
        <fgColor theme="0"/>
        <bgColor indexed="64"/>
      </patternFill>
    </fill>
    <fill>
      <patternFill patternType="solid">
        <fgColor rgb="FF1F497D"/>
        <bgColor indexed="64"/>
      </patternFill>
    </fill>
    <fill>
      <patternFill patternType="solid">
        <fgColor rgb="FFCCFFFF"/>
        <bgColor indexed="64"/>
      </patternFill>
    </fill>
    <fill>
      <patternFill patternType="solid">
        <fgColor theme="0" tint="-0.249977111117893"/>
        <bgColor indexed="64"/>
      </patternFill>
    </fill>
    <fill>
      <patternFill patternType="solid">
        <fgColor theme="7"/>
        <bgColor indexed="64"/>
      </patternFill>
    </fill>
    <fill>
      <patternFill patternType="solid">
        <fgColor theme="1"/>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0070C0"/>
        <bgColor indexed="64"/>
      </patternFill>
    </fill>
    <fill>
      <patternFill patternType="solid">
        <fgColor rgb="FF002060"/>
        <bgColor indexed="64"/>
      </patternFill>
    </fill>
  </fills>
  <borders count="33">
    <border>
      <left/>
      <right/>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7">
    <xf numFmtId="185" fontId="0" fillId="0" borderId="0"/>
    <xf numFmtId="43" fontId="1" fillId="0" borderId="0" applyFont="0" applyFill="0" applyBorder="0" applyAlignment="0" applyProtection="0">
      <alignment vertical="center"/>
    </xf>
    <xf numFmtId="9" fontId="1" fillId="0" borderId="0" applyFont="0" applyFill="0" applyBorder="0" applyAlignment="0" applyProtection="0">
      <alignment vertical="center"/>
    </xf>
    <xf numFmtId="185" fontId="37" fillId="0" borderId="0"/>
    <xf numFmtId="185" fontId="1" fillId="0" borderId="0"/>
    <xf numFmtId="185" fontId="1" fillId="0" borderId="0"/>
    <xf numFmtId="43" fontId="1" fillId="0" borderId="0" applyFont="0" applyFill="0" applyBorder="0" applyAlignment="0" applyProtection="0">
      <alignment vertical="center"/>
    </xf>
  </cellStyleXfs>
  <cellXfs count="1025">
    <xf numFmtId="185" fontId="0" fillId="0" borderId="0" xfId="0"/>
    <xf numFmtId="185" fontId="3" fillId="0" borderId="0" xfId="0" applyFont="1"/>
    <xf numFmtId="176" fontId="0" fillId="0" borderId="0" xfId="0" applyNumberFormat="1"/>
    <xf numFmtId="38" fontId="0" fillId="0" borderId="0" xfId="1" applyNumberFormat="1" applyFont="1" applyAlignment="1"/>
    <xf numFmtId="38" fontId="0" fillId="3" borderId="0" xfId="1" applyNumberFormat="1" applyFont="1" applyFill="1" applyAlignment="1"/>
    <xf numFmtId="38" fontId="3" fillId="0" borderId="0" xfId="1" applyNumberFormat="1" applyFont="1" applyAlignment="1"/>
    <xf numFmtId="38" fontId="0" fillId="0" borderId="0" xfId="0" applyNumberFormat="1"/>
    <xf numFmtId="177" fontId="0" fillId="0" borderId="0" xfId="0" applyNumberFormat="1"/>
    <xf numFmtId="177" fontId="3" fillId="0" borderId="0" xfId="0" applyNumberFormat="1" applyFont="1"/>
    <xf numFmtId="178" fontId="0" fillId="0" borderId="0" xfId="0" applyNumberFormat="1"/>
    <xf numFmtId="185" fontId="0" fillId="0" borderId="0" xfId="0" applyFill="1"/>
    <xf numFmtId="9" fontId="0" fillId="3" borderId="0" xfId="2" applyFont="1" applyFill="1" applyAlignment="1">
      <alignment horizontal="right"/>
    </xf>
    <xf numFmtId="185" fontId="6" fillId="5" borderId="0" xfId="0" applyFont="1" applyFill="1"/>
    <xf numFmtId="177" fontId="0" fillId="0" borderId="0" xfId="0" applyNumberFormat="1" applyFill="1"/>
    <xf numFmtId="177" fontId="3" fillId="0" borderId="0" xfId="0" applyNumberFormat="1" applyFont="1" applyFill="1"/>
    <xf numFmtId="9" fontId="9" fillId="0" borderId="0" xfId="2" applyFont="1" applyAlignment="1"/>
    <xf numFmtId="178" fontId="0" fillId="3" borderId="0" xfId="2" applyNumberFormat="1" applyFont="1" applyFill="1" applyAlignment="1">
      <alignment horizontal="right"/>
    </xf>
    <xf numFmtId="185" fontId="10" fillId="3" borderId="0" xfId="0" applyFont="1" applyFill="1"/>
    <xf numFmtId="9" fontId="10" fillId="3" borderId="0" xfId="2" applyFont="1" applyFill="1" applyAlignment="1">
      <alignment horizontal="right"/>
    </xf>
    <xf numFmtId="178" fontId="10" fillId="3" borderId="0" xfId="2" applyNumberFormat="1" applyFont="1" applyFill="1" applyAlignment="1">
      <alignment horizontal="right"/>
    </xf>
    <xf numFmtId="185" fontId="0" fillId="0" borderId="0" xfId="0" applyBorder="1"/>
    <xf numFmtId="1" fontId="0" fillId="0" borderId="0" xfId="0" applyNumberFormat="1" applyBorder="1"/>
    <xf numFmtId="185" fontId="5" fillId="0" borderId="1" xfId="0" applyFont="1" applyBorder="1"/>
    <xf numFmtId="9" fontId="5" fillId="0" borderId="1" xfId="2" applyFont="1" applyBorder="1" applyAlignment="1"/>
    <xf numFmtId="185" fontId="5" fillId="0" borderId="0" xfId="0" applyFont="1" applyBorder="1"/>
    <xf numFmtId="9" fontId="5" fillId="0" borderId="0" xfId="2" applyFont="1" applyBorder="1" applyAlignment="1"/>
    <xf numFmtId="185" fontId="0" fillId="0" borderId="1" xfId="0" applyBorder="1"/>
    <xf numFmtId="185" fontId="0" fillId="0" borderId="1" xfId="0" applyBorder="1" applyAlignment="1">
      <alignment horizontal="center"/>
    </xf>
    <xf numFmtId="9" fontId="0" fillId="0" borderId="1" xfId="0" applyNumberFormat="1" applyBorder="1" applyAlignment="1">
      <alignment horizontal="center"/>
    </xf>
    <xf numFmtId="185" fontId="11" fillId="2" borderId="2" xfId="0" applyFont="1" applyFill="1" applyBorder="1"/>
    <xf numFmtId="185" fontId="11" fillId="2" borderId="3" xfId="0" applyFont="1" applyFill="1" applyBorder="1" applyAlignment="1">
      <alignment horizontal="center"/>
    </xf>
    <xf numFmtId="185" fontId="4" fillId="2" borderId="3" xfId="0" applyFont="1" applyFill="1" applyBorder="1" applyAlignment="1">
      <alignment horizontal="center"/>
    </xf>
    <xf numFmtId="185" fontId="4" fillId="2" borderId="4" xfId="0" applyFont="1" applyFill="1" applyBorder="1" applyAlignment="1">
      <alignment horizontal="center"/>
    </xf>
    <xf numFmtId="185" fontId="0" fillId="0" borderId="5" xfId="0" applyBorder="1"/>
    <xf numFmtId="1" fontId="0" fillId="0" borderId="6" xfId="0" applyNumberFormat="1" applyBorder="1"/>
    <xf numFmtId="185" fontId="5" fillId="0" borderId="7" xfId="0" applyFont="1" applyBorder="1"/>
    <xf numFmtId="9" fontId="12" fillId="0" borderId="8" xfId="0" applyNumberFormat="1" applyFont="1" applyBorder="1"/>
    <xf numFmtId="185" fontId="0" fillId="0" borderId="6" xfId="0" applyBorder="1" applyAlignment="1">
      <alignment horizontal="center"/>
    </xf>
    <xf numFmtId="185" fontId="12" fillId="0" borderId="8" xfId="0" applyFont="1" applyBorder="1" applyAlignment="1">
      <alignment horizontal="center"/>
    </xf>
    <xf numFmtId="185" fontId="3" fillId="0" borderId="5" xfId="0" applyFont="1" applyBorder="1"/>
    <xf numFmtId="185" fontId="12" fillId="0" borderId="6" xfId="0" applyFont="1" applyBorder="1" applyAlignment="1">
      <alignment horizontal="center"/>
    </xf>
    <xf numFmtId="9" fontId="0" fillId="0" borderId="0" xfId="0" applyNumberFormat="1" applyBorder="1" applyAlignment="1">
      <alignment horizontal="center"/>
    </xf>
    <xf numFmtId="9" fontId="0" fillId="0" borderId="6" xfId="0" applyNumberFormat="1" applyBorder="1" applyAlignment="1">
      <alignment horizontal="center"/>
    </xf>
    <xf numFmtId="185" fontId="0" fillId="0" borderId="7" xfId="0" applyBorder="1"/>
    <xf numFmtId="9" fontId="0" fillId="0" borderId="8" xfId="0" applyNumberFormat="1" applyBorder="1" applyAlignment="1">
      <alignment horizontal="center"/>
    </xf>
    <xf numFmtId="10" fontId="0" fillId="0" borderId="0" xfId="0" applyNumberFormat="1" applyBorder="1" applyAlignment="1">
      <alignment horizontal="center"/>
    </xf>
    <xf numFmtId="10" fontId="0" fillId="0" borderId="6" xfId="0" applyNumberFormat="1" applyBorder="1" applyAlignment="1">
      <alignment horizontal="center"/>
    </xf>
    <xf numFmtId="185" fontId="0" fillId="0" borderId="9" xfId="0" applyBorder="1"/>
    <xf numFmtId="185" fontId="0" fillId="0" borderId="10" xfId="0" applyBorder="1"/>
    <xf numFmtId="185" fontId="0" fillId="0" borderId="10" xfId="0" applyBorder="1" applyAlignment="1">
      <alignment horizontal="center"/>
    </xf>
    <xf numFmtId="185" fontId="0" fillId="0" borderId="11" xfId="0" applyBorder="1" applyAlignment="1">
      <alignment horizontal="center"/>
    </xf>
    <xf numFmtId="37" fontId="0" fillId="0" borderId="0" xfId="0" applyNumberFormat="1"/>
    <xf numFmtId="37" fontId="0" fillId="0" borderId="0" xfId="0" applyNumberFormat="1" applyFill="1"/>
    <xf numFmtId="37" fontId="0" fillId="0" borderId="0" xfId="1" applyNumberFormat="1" applyFont="1" applyAlignment="1"/>
    <xf numFmtId="37" fontId="0" fillId="3" borderId="0" xfId="1" applyNumberFormat="1" applyFont="1" applyFill="1" applyAlignment="1"/>
    <xf numFmtId="185" fontId="13" fillId="0" borderId="0" xfId="0" applyFont="1"/>
    <xf numFmtId="38" fontId="14" fillId="0" borderId="0" xfId="1" applyNumberFormat="1" applyFont="1" applyAlignment="1"/>
    <xf numFmtId="37" fontId="14" fillId="0" borderId="0" xfId="1" applyNumberFormat="1" applyFont="1" applyAlignment="1"/>
    <xf numFmtId="37" fontId="14" fillId="0" borderId="0" xfId="0" applyNumberFormat="1" applyFont="1"/>
    <xf numFmtId="37" fontId="14" fillId="0" borderId="0" xfId="0" applyNumberFormat="1" applyFont="1" applyFill="1"/>
    <xf numFmtId="177" fontId="14" fillId="0" borderId="0" xfId="0" applyNumberFormat="1" applyFont="1" applyFill="1"/>
    <xf numFmtId="177" fontId="14" fillId="0" borderId="0" xfId="0" applyNumberFormat="1" applyFont="1"/>
    <xf numFmtId="37" fontId="14" fillId="6" borderId="0" xfId="1" applyNumberFormat="1" applyFont="1" applyFill="1" applyAlignment="1"/>
    <xf numFmtId="185" fontId="14" fillId="0" borderId="0" xfId="0" applyFont="1"/>
    <xf numFmtId="9" fontId="14" fillId="0" borderId="0" xfId="2" applyFont="1" applyAlignment="1"/>
    <xf numFmtId="37" fontId="14" fillId="4" borderId="0" xfId="1" applyNumberFormat="1" applyFont="1" applyFill="1" applyAlignment="1"/>
    <xf numFmtId="37" fontId="14" fillId="0" borderId="0" xfId="1" applyNumberFormat="1" applyFont="1" applyFill="1" applyAlignment="1"/>
    <xf numFmtId="179" fontId="14" fillId="0" borderId="0" xfId="1" applyNumberFormat="1" applyFont="1" applyAlignment="1"/>
    <xf numFmtId="179" fontId="14" fillId="4" borderId="0" xfId="1" applyNumberFormat="1" applyFont="1" applyFill="1" applyAlignment="1"/>
    <xf numFmtId="179" fontId="14" fillId="0" borderId="0" xfId="0" applyNumberFormat="1" applyFont="1" applyFill="1"/>
    <xf numFmtId="179" fontId="14" fillId="0" borderId="0" xfId="1" applyNumberFormat="1" applyFont="1" applyFill="1" applyAlignment="1"/>
    <xf numFmtId="179" fontId="14" fillId="0" borderId="0" xfId="0" applyNumberFormat="1" applyFont="1"/>
    <xf numFmtId="38" fontId="14" fillId="3" borderId="0" xfId="1" applyNumberFormat="1" applyFont="1" applyFill="1" applyAlignment="1"/>
    <xf numFmtId="37" fontId="14" fillId="3" borderId="0" xfId="1" applyNumberFormat="1" applyFont="1" applyFill="1" applyAlignment="1"/>
    <xf numFmtId="185" fontId="5" fillId="0" borderId="0" xfId="0" applyFont="1"/>
    <xf numFmtId="185" fontId="5" fillId="0" borderId="0" xfId="0" applyFont="1" applyFill="1"/>
    <xf numFmtId="9" fontId="5" fillId="0" borderId="0" xfId="2" applyFont="1" applyFill="1" applyAlignment="1">
      <alignment horizontal="right"/>
    </xf>
    <xf numFmtId="178" fontId="5" fillId="0" borderId="0" xfId="2" applyNumberFormat="1" applyFont="1" applyFill="1" applyAlignment="1">
      <alignment horizontal="right"/>
    </xf>
    <xf numFmtId="176" fontId="5" fillId="0" borderId="0" xfId="0" applyNumberFormat="1" applyFont="1"/>
    <xf numFmtId="176" fontId="5" fillId="0" borderId="0" xfId="0" applyNumberFormat="1" applyFont="1" applyFill="1"/>
    <xf numFmtId="9" fontId="5" fillId="0" borderId="0" xfId="2" applyFont="1" applyAlignment="1"/>
    <xf numFmtId="176" fontId="14" fillId="0" borderId="0" xfId="0" applyNumberFormat="1" applyFont="1"/>
    <xf numFmtId="176" fontId="14" fillId="0" borderId="0" xfId="0" applyNumberFormat="1" applyFont="1" applyFill="1"/>
    <xf numFmtId="185" fontId="14" fillId="0" borderId="0" xfId="0" applyFont="1" applyFill="1"/>
    <xf numFmtId="185" fontId="15" fillId="0" borderId="0" xfId="0" applyFont="1"/>
    <xf numFmtId="185" fontId="6" fillId="0" borderId="0" xfId="0" applyFont="1"/>
    <xf numFmtId="185" fontId="6" fillId="2" borderId="0" xfId="0" applyFont="1" applyFill="1"/>
    <xf numFmtId="185" fontId="6" fillId="0" borderId="0" xfId="0" quotePrefix="1" applyFont="1"/>
    <xf numFmtId="185" fontId="15" fillId="0" borderId="0" xfId="0" quotePrefix="1" applyFont="1"/>
    <xf numFmtId="185" fontId="6" fillId="3" borderId="0" xfId="0" applyFont="1" applyFill="1"/>
    <xf numFmtId="185" fontId="15" fillId="0" borderId="0" xfId="0" applyFont="1" applyAlignment="1">
      <alignment wrapText="1"/>
    </xf>
    <xf numFmtId="179" fontId="15" fillId="0" borderId="0" xfId="0" applyNumberFormat="1" applyFont="1" applyAlignment="1">
      <alignment wrapText="1"/>
    </xf>
    <xf numFmtId="185" fontId="16" fillId="0" borderId="0" xfId="0" applyFont="1"/>
    <xf numFmtId="185" fontId="15" fillId="3" borderId="0" xfId="0" applyFont="1" applyFill="1"/>
    <xf numFmtId="185" fontId="15" fillId="0" borderId="0" xfId="0" applyFont="1" applyFill="1"/>
    <xf numFmtId="177" fontId="0" fillId="3" borderId="0" xfId="0" applyNumberFormat="1" applyFill="1"/>
    <xf numFmtId="185" fontId="0" fillId="3" borderId="0" xfId="0" applyFill="1"/>
    <xf numFmtId="37" fontId="0" fillId="3" borderId="0" xfId="0" applyNumberFormat="1" applyFill="1"/>
    <xf numFmtId="37" fontId="14" fillId="3" borderId="0" xfId="0" applyNumberFormat="1" applyFont="1" applyFill="1"/>
    <xf numFmtId="177" fontId="14" fillId="3" borderId="0" xfId="0" applyNumberFormat="1" applyFont="1" applyFill="1"/>
    <xf numFmtId="185" fontId="14" fillId="3" borderId="0" xfId="0" applyFont="1" applyFill="1"/>
    <xf numFmtId="185" fontId="6" fillId="7" borderId="0" xfId="0" applyFont="1" applyFill="1"/>
    <xf numFmtId="185" fontId="0" fillId="0" borderId="12" xfId="0" applyBorder="1"/>
    <xf numFmtId="37" fontId="0" fillId="0" borderId="12" xfId="0" applyNumberFormat="1" applyBorder="1"/>
    <xf numFmtId="37" fontId="14" fillId="0" borderId="12" xfId="0" applyNumberFormat="1" applyFont="1" applyBorder="1"/>
    <xf numFmtId="37" fontId="14" fillId="0" borderId="12" xfId="1" applyNumberFormat="1" applyFont="1" applyBorder="1" applyAlignment="1"/>
    <xf numFmtId="37" fontId="0" fillId="3" borderId="12" xfId="1" applyNumberFormat="1" applyFont="1" applyFill="1" applyBorder="1" applyAlignment="1"/>
    <xf numFmtId="179" fontId="14" fillId="0" borderId="12" xfId="1" applyNumberFormat="1" applyFont="1" applyBorder="1" applyAlignment="1"/>
    <xf numFmtId="37" fontId="14" fillId="3" borderId="12" xfId="1" applyNumberFormat="1" applyFont="1" applyFill="1" applyBorder="1" applyAlignment="1"/>
    <xf numFmtId="38" fontId="0" fillId="0" borderId="12" xfId="1" applyNumberFormat="1" applyFont="1" applyBorder="1" applyAlignment="1"/>
    <xf numFmtId="38" fontId="0" fillId="3" borderId="12" xfId="1" applyNumberFormat="1" applyFont="1" applyFill="1" applyBorder="1" applyAlignment="1"/>
    <xf numFmtId="38" fontId="3" fillId="0" borderId="12" xfId="1" applyNumberFormat="1" applyFont="1" applyBorder="1" applyAlignment="1"/>
    <xf numFmtId="38" fontId="0" fillId="0" borderId="12" xfId="0" applyNumberFormat="1" applyBorder="1"/>
    <xf numFmtId="9" fontId="5" fillId="0" borderId="12" xfId="2" applyFont="1" applyFill="1" applyBorder="1" applyAlignment="1">
      <alignment horizontal="right"/>
    </xf>
    <xf numFmtId="185" fontId="5" fillId="0" borderId="12" xfId="0" applyFont="1" applyFill="1" applyBorder="1"/>
    <xf numFmtId="9" fontId="0" fillId="3" borderId="12" xfId="2" applyFont="1" applyFill="1" applyBorder="1" applyAlignment="1">
      <alignment horizontal="right"/>
    </xf>
    <xf numFmtId="9" fontId="10" fillId="3" borderId="12" xfId="2" applyFont="1" applyFill="1" applyBorder="1" applyAlignment="1">
      <alignment horizontal="right"/>
    </xf>
    <xf numFmtId="176" fontId="14" fillId="0" borderId="12" xfId="0" applyNumberFormat="1" applyFont="1" applyBorder="1"/>
    <xf numFmtId="176" fontId="5" fillId="0" borderId="12" xfId="0" applyNumberFormat="1" applyFont="1" applyBorder="1"/>
    <xf numFmtId="185" fontId="14" fillId="0" borderId="12" xfId="0" applyFont="1" applyBorder="1"/>
    <xf numFmtId="185" fontId="5" fillId="0" borderId="12" xfId="0" applyFont="1" applyBorder="1"/>
    <xf numFmtId="179" fontId="14" fillId="0" borderId="12" xfId="0" applyNumberFormat="1" applyFont="1" applyBorder="1"/>
    <xf numFmtId="177" fontId="0" fillId="0" borderId="12" xfId="0" applyNumberFormat="1" applyBorder="1"/>
    <xf numFmtId="177" fontId="3" fillId="0" borderId="12" xfId="0" applyNumberFormat="1" applyFont="1" applyBorder="1"/>
    <xf numFmtId="185" fontId="0" fillId="0" borderId="13" xfId="0" applyBorder="1"/>
    <xf numFmtId="37" fontId="0" fillId="0" borderId="13" xfId="0" applyNumberFormat="1" applyBorder="1"/>
    <xf numFmtId="37" fontId="14" fillId="0" borderId="13" xfId="0" applyNumberFormat="1" applyFont="1" applyBorder="1"/>
    <xf numFmtId="37" fontId="14" fillId="0" borderId="13" xfId="1" applyNumberFormat="1" applyFont="1" applyBorder="1" applyAlignment="1"/>
    <xf numFmtId="37" fontId="0" fillId="3" borderId="13" xfId="1" applyNumberFormat="1" applyFont="1" applyFill="1" applyBorder="1" applyAlignment="1"/>
    <xf numFmtId="179" fontId="14" fillId="0" borderId="13" xfId="1" applyNumberFormat="1" applyFont="1" applyFill="1" applyBorder="1" applyAlignment="1"/>
    <xf numFmtId="37" fontId="14" fillId="0" borderId="13" xfId="1" applyNumberFormat="1" applyFont="1" applyFill="1" applyBorder="1" applyAlignment="1"/>
    <xf numFmtId="37" fontId="14" fillId="3" borderId="13" xfId="1" applyNumberFormat="1" applyFont="1" applyFill="1" applyBorder="1" applyAlignment="1"/>
    <xf numFmtId="38" fontId="0" fillId="0" borderId="13" xfId="1" applyNumberFormat="1" applyFont="1" applyBorder="1" applyAlignment="1"/>
    <xf numFmtId="38" fontId="0" fillId="3" borderId="13" xfId="1" applyNumberFormat="1" applyFont="1" applyFill="1" applyBorder="1" applyAlignment="1"/>
    <xf numFmtId="38" fontId="3" fillId="0" borderId="13" xfId="1" applyNumberFormat="1" applyFont="1" applyBorder="1" applyAlignment="1"/>
    <xf numFmtId="38" fontId="0" fillId="0" borderId="13" xfId="0" applyNumberFormat="1" applyBorder="1"/>
    <xf numFmtId="9" fontId="5" fillId="0" borderId="13" xfId="2" applyFont="1" applyFill="1" applyBorder="1" applyAlignment="1">
      <alignment horizontal="right"/>
    </xf>
    <xf numFmtId="185" fontId="5" fillId="0" borderId="13" xfId="0" applyFont="1" applyFill="1" applyBorder="1"/>
    <xf numFmtId="9" fontId="0" fillId="3" borderId="13" xfId="2" applyFont="1" applyFill="1" applyBorder="1" applyAlignment="1">
      <alignment horizontal="right"/>
    </xf>
    <xf numFmtId="9" fontId="10" fillId="3" borderId="13" xfId="2" applyFont="1" applyFill="1" applyBorder="1" applyAlignment="1">
      <alignment horizontal="right"/>
    </xf>
    <xf numFmtId="176" fontId="14" fillId="0" borderId="13" xfId="0" applyNumberFormat="1" applyFont="1" applyBorder="1"/>
    <xf numFmtId="176" fontId="5" fillId="0" borderId="13" xfId="0" applyNumberFormat="1" applyFont="1" applyBorder="1"/>
    <xf numFmtId="185" fontId="14" fillId="0" borderId="13" xfId="0" applyFont="1" applyBorder="1"/>
    <xf numFmtId="185" fontId="5" fillId="0" borderId="13" xfId="0" applyFont="1" applyBorder="1"/>
    <xf numFmtId="185" fontId="17" fillId="7" borderId="0" xfId="0" applyFont="1" applyFill="1"/>
    <xf numFmtId="185" fontId="18" fillId="0" borderId="0" xfId="0" applyFont="1"/>
    <xf numFmtId="185" fontId="17" fillId="0" borderId="0" xfId="0" applyFont="1"/>
    <xf numFmtId="185" fontId="17" fillId="0" borderId="0" xfId="0" quotePrefix="1" applyFont="1"/>
    <xf numFmtId="185" fontId="18" fillId="0" borderId="0" xfId="0" quotePrefix="1" applyFont="1"/>
    <xf numFmtId="185" fontId="17" fillId="3" borderId="0" xfId="0" applyFont="1" applyFill="1"/>
    <xf numFmtId="185" fontId="18" fillId="0" borderId="0" xfId="0" applyFont="1" applyAlignment="1">
      <alignment wrapText="1"/>
    </xf>
    <xf numFmtId="178" fontId="13" fillId="0" borderId="0" xfId="0" applyNumberFormat="1" applyFont="1"/>
    <xf numFmtId="185" fontId="0" fillId="0" borderId="0" xfId="0" applyFill="1" applyBorder="1"/>
    <xf numFmtId="37" fontId="0" fillId="0" borderId="0" xfId="0" applyNumberFormat="1" applyFill="1" applyBorder="1"/>
    <xf numFmtId="37" fontId="14" fillId="0" borderId="0" xfId="0" applyNumberFormat="1" applyFont="1" applyFill="1" applyBorder="1"/>
    <xf numFmtId="37" fontId="0" fillId="3" borderId="0" xfId="1" applyNumberFormat="1" applyFont="1" applyFill="1" applyBorder="1" applyAlignment="1"/>
    <xf numFmtId="37" fontId="0" fillId="3" borderId="0" xfId="0" applyNumberFormat="1" applyFill="1" applyBorder="1"/>
    <xf numFmtId="179" fontId="14" fillId="0" borderId="0" xfId="0" applyNumberFormat="1" applyFont="1" applyFill="1" applyBorder="1"/>
    <xf numFmtId="37" fontId="14" fillId="3" borderId="0" xfId="0" applyNumberFormat="1" applyFont="1" applyFill="1" applyBorder="1"/>
    <xf numFmtId="177" fontId="0" fillId="0" borderId="0" xfId="0" applyNumberFormat="1" applyFill="1" applyBorder="1"/>
    <xf numFmtId="177" fontId="3" fillId="0" borderId="0" xfId="0" applyNumberFormat="1" applyFont="1" applyFill="1" applyBorder="1"/>
    <xf numFmtId="185" fontId="5" fillId="0" borderId="0" xfId="0" applyFont="1" applyFill="1" applyBorder="1"/>
    <xf numFmtId="176" fontId="14" fillId="0" borderId="0" xfId="0" applyNumberFormat="1" applyFont="1" applyFill="1" applyBorder="1"/>
    <xf numFmtId="176" fontId="5" fillId="0" borderId="0" xfId="0" applyNumberFormat="1" applyFont="1" applyFill="1" applyBorder="1"/>
    <xf numFmtId="185" fontId="14" fillId="0" borderId="0" xfId="0" applyFont="1" applyFill="1" applyBorder="1"/>
    <xf numFmtId="37" fontId="13" fillId="0" borderId="0" xfId="0" applyNumberFormat="1" applyFont="1" applyFill="1" applyBorder="1"/>
    <xf numFmtId="185" fontId="6" fillId="5" borderId="0" xfId="0" applyFont="1" applyFill="1" applyAlignment="1"/>
    <xf numFmtId="176" fontId="15" fillId="0" borderId="0" xfId="0" quotePrefix="1" applyNumberFormat="1" applyFont="1" applyFill="1"/>
    <xf numFmtId="38" fontId="18" fillId="0" borderId="0" xfId="0" quotePrefix="1" applyNumberFormat="1" applyFont="1" applyFill="1" applyAlignment="1">
      <alignment horizontal="left" indent="2"/>
    </xf>
    <xf numFmtId="185" fontId="15" fillId="0" borderId="0" xfId="0" quotePrefix="1" applyFont="1" applyFill="1"/>
    <xf numFmtId="37" fontId="15" fillId="0" borderId="0" xfId="0" applyNumberFormat="1" applyFont="1" applyFill="1" applyBorder="1"/>
    <xf numFmtId="178" fontId="13" fillId="0" borderId="0" xfId="0" applyNumberFormat="1" applyFont="1" applyFill="1" applyBorder="1"/>
    <xf numFmtId="38" fontId="15" fillId="0" borderId="0" xfId="0" quotePrefix="1" applyNumberFormat="1" applyFont="1" applyFill="1" applyAlignment="1">
      <alignment horizontal="left" indent="2"/>
    </xf>
    <xf numFmtId="185" fontId="19" fillId="0" borderId="0" xfId="0" applyFont="1"/>
    <xf numFmtId="185" fontId="19" fillId="0" borderId="12" xfId="0" applyFont="1" applyBorder="1"/>
    <xf numFmtId="185" fontId="19" fillId="0" borderId="13" xfId="0" applyFont="1" applyBorder="1"/>
    <xf numFmtId="185" fontId="19" fillId="0" borderId="0" xfId="0" applyFont="1" applyFill="1"/>
    <xf numFmtId="185" fontId="19" fillId="0" borderId="0" xfId="0" applyFont="1" applyFill="1" applyBorder="1"/>
    <xf numFmtId="178" fontId="0" fillId="0" borderId="0" xfId="2" applyNumberFormat="1" applyFont="1" applyAlignment="1"/>
    <xf numFmtId="9" fontId="20" fillId="0" borderId="0" xfId="2" applyFont="1" applyAlignment="1"/>
    <xf numFmtId="178" fontId="14" fillId="0" borderId="0" xfId="2" applyNumberFormat="1" applyFont="1" applyFill="1" applyBorder="1" applyAlignment="1"/>
    <xf numFmtId="178" fontId="0" fillId="3" borderId="0" xfId="2" applyNumberFormat="1" applyFont="1" applyFill="1" applyBorder="1" applyAlignment="1"/>
    <xf numFmtId="3" fontId="22" fillId="8" borderId="0" xfId="0" applyNumberFormat="1" applyFont="1" applyFill="1" applyAlignment="1">
      <alignment vertical="center"/>
    </xf>
    <xf numFmtId="3" fontId="25" fillId="8" borderId="0" xfId="0" applyNumberFormat="1" applyFont="1" applyFill="1" applyAlignment="1">
      <alignment vertical="center"/>
    </xf>
    <xf numFmtId="9" fontId="23" fillId="8" borderId="0" xfId="2" applyFont="1" applyFill="1" applyAlignment="1">
      <alignment vertical="center"/>
    </xf>
    <xf numFmtId="3" fontId="23" fillId="8" borderId="0" xfId="0" applyNumberFormat="1" applyFont="1" applyFill="1" applyAlignment="1">
      <alignment vertical="center"/>
    </xf>
    <xf numFmtId="178" fontId="22" fillId="8" borderId="0" xfId="2" applyNumberFormat="1" applyFont="1" applyFill="1" applyAlignment="1">
      <alignment vertical="center"/>
    </xf>
    <xf numFmtId="3" fontId="22" fillId="8" borderId="0" xfId="0" quotePrefix="1" applyNumberFormat="1" applyFont="1" applyFill="1" applyAlignment="1">
      <alignment horizontal="center" vertical="center"/>
    </xf>
    <xf numFmtId="3" fontId="22" fillId="8" borderId="0" xfId="0" applyNumberFormat="1" applyFont="1" applyFill="1" applyAlignment="1">
      <alignment horizontal="center" vertical="center"/>
    </xf>
    <xf numFmtId="9" fontId="23" fillId="8" borderId="0" xfId="2" applyFont="1" applyFill="1" applyAlignment="1">
      <alignment horizontal="left" vertical="center" indent="1"/>
    </xf>
    <xf numFmtId="3" fontId="23" fillId="8" borderId="0" xfId="0" applyNumberFormat="1" applyFont="1" applyFill="1" applyAlignment="1">
      <alignment horizontal="left" vertical="center" indent="1"/>
    </xf>
    <xf numFmtId="3" fontId="24" fillId="8" borderId="0" xfId="0" applyNumberFormat="1" applyFont="1" applyFill="1" applyAlignment="1">
      <alignment vertical="center"/>
    </xf>
    <xf numFmtId="3" fontId="27" fillId="8" borderId="0" xfId="0" applyNumberFormat="1" applyFont="1" applyFill="1" applyAlignment="1">
      <alignment vertical="center"/>
    </xf>
    <xf numFmtId="37" fontId="13" fillId="0" borderId="0" xfId="1" applyNumberFormat="1" applyFont="1" applyAlignment="1"/>
    <xf numFmtId="9" fontId="22" fillId="8" borderId="0" xfId="2" applyFont="1" applyFill="1" applyAlignment="1">
      <alignment vertical="center"/>
    </xf>
    <xf numFmtId="178" fontId="27" fillId="8" borderId="0" xfId="2" applyNumberFormat="1" applyFont="1" applyFill="1" applyAlignment="1">
      <alignment vertical="center"/>
    </xf>
    <xf numFmtId="3" fontId="28" fillId="9" borderId="0" xfId="0" applyNumberFormat="1" applyFont="1" applyFill="1" applyAlignment="1">
      <alignment vertical="center"/>
    </xf>
    <xf numFmtId="3" fontId="22" fillId="10" borderId="0" xfId="0" applyNumberFormat="1" applyFont="1" applyFill="1" applyAlignment="1">
      <alignment vertical="center"/>
    </xf>
    <xf numFmtId="3" fontId="22" fillId="10" borderId="0" xfId="0" quotePrefix="1" applyNumberFormat="1" applyFont="1" applyFill="1" applyAlignment="1">
      <alignment vertical="center"/>
    </xf>
    <xf numFmtId="9" fontId="29" fillId="8" borderId="0" xfId="2" applyFont="1" applyFill="1" applyAlignment="1">
      <alignment vertical="center"/>
    </xf>
    <xf numFmtId="3" fontId="26" fillId="8" borderId="0" xfId="0" applyNumberFormat="1" applyFont="1" applyFill="1" applyAlignment="1">
      <alignment vertical="center"/>
    </xf>
    <xf numFmtId="3" fontId="30" fillId="8" borderId="0" xfId="0" applyNumberFormat="1" applyFont="1" applyFill="1" applyAlignment="1">
      <alignment vertical="center"/>
    </xf>
    <xf numFmtId="9" fontId="31" fillId="8" borderId="0" xfId="2" applyFont="1" applyFill="1" applyAlignment="1">
      <alignment vertical="center"/>
    </xf>
    <xf numFmtId="3" fontId="22" fillId="11" borderId="0" xfId="0" applyNumberFormat="1" applyFont="1" applyFill="1" applyAlignment="1">
      <alignment vertical="center"/>
    </xf>
    <xf numFmtId="3" fontId="25" fillId="11" borderId="0" xfId="0" applyNumberFormat="1" applyFont="1" applyFill="1" applyAlignment="1">
      <alignment vertical="center"/>
    </xf>
    <xf numFmtId="9" fontId="23" fillId="11" borderId="0" xfId="2" applyFont="1" applyFill="1" applyAlignment="1">
      <alignment vertical="center"/>
    </xf>
    <xf numFmtId="178" fontId="22" fillId="11" borderId="0" xfId="2" applyNumberFormat="1" applyFont="1" applyFill="1" applyAlignment="1">
      <alignment vertical="center"/>
    </xf>
    <xf numFmtId="3" fontId="22" fillId="0" borderId="0" xfId="0" applyNumberFormat="1" applyFont="1"/>
    <xf numFmtId="185" fontId="32" fillId="0" borderId="0" xfId="0" applyFont="1" applyAlignment="1">
      <alignment horizontal="center" vertical="center"/>
    </xf>
    <xf numFmtId="185" fontId="32" fillId="0" borderId="0" xfId="0" applyFont="1" applyAlignment="1">
      <alignment vertical="center"/>
    </xf>
    <xf numFmtId="180" fontId="32" fillId="0" borderId="0" xfId="0" applyNumberFormat="1" applyFont="1" applyAlignment="1">
      <alignment vertical="center"/>
    </xf>
    <xf numFmtId="185" fontId="22" fillId="0" borderId="0" xfId="0" applyFont="1" applyAlignment="1">
      <alignment vertical="center"/>
    </xf>
    <xf numFmtId="180" fontId="22" fillId="0" borderId="0" xfId="0" applyNumberFormat="1" applyFont="1" applyAlignment="1">
      <alignment vertical="center"/>
    </xf>
    <xf numFmtId="3" fontId="22" fillId="0" borderId="0" xfId="0" applyNumberFormat="1" applyFont="1" applyAlignment="1">
      <alignment vertical="center"/>
    </xf>
    <xf numFmtId="178" fontId="22" fillId="0" borderId="0" xfId="2" applyNumberFormat="1" applyFont="1" applyAlignment="1"/>
    <xf numFmtId="3" fontId="23" fillId="11" borderId="0" xfId="0" applyNumberFormat="1" applyFont="1" applyFill="1" applyAlignment="1">
      <alignment vertical="center"/>
    </xf>
    <xf numFmtId="178" fontId="24" fillId="8" borderId="0" xfId="2" applyNumberFormat="1" applyFont="1" applyFill="1" applyAlignment="1">
      <alignment vertical="center"/>
    </xf>
    <xf numFmtId="9" fontId="5" fillId="0" borderId="0" xfId="2" applyFont="1" applyFill="1" applyBorder="1" applyAlignment="1"/>
    <xf numFmtId="178" fontId="14" fillId="4" borderId="0" xfId="0" applyNumberFormat="1" applyFont="1" applyFill="1" applyBorder="1"/>
    <xf numFmtId="181" fontId="32" fillId="0" borderId="0" xfId="0" applyNumberFormat="1" applyFont="1" applyAlignment="1">
      <alignment vertical="center"/>
    </xf>
    <xf numFmtId="181" fontId="22" fillId="0" borderId="0" xfId="0" applyNumberFormat="1" applyFont="1" applyAlignment="1">
      <alignment vertical="center"/>
    </xf>
    <xf numFmtId="9" fontId="22" fillId="8" borderId="0" xfId="2" applyNumberFormat="1" applyFont="1" applyFill="1" applyAlignment="1">
      <alignment vertical="center"/>
    </xf>
    <xf numFmtId="37" fontId="0" fillId="4" borderId="0" xfId="0" applyNumberFormat="1" applyFill="1" applyBorder="1"/>
    <xf numFmtId="37" fontId="15" fillId="4" borderId="0" xfId="0" applyNumberFormat="1" applyFont="1" applyFill="1" applyBorder="1"/>
    <xf numFmtId="9" fontId="5" fillId="0" borderId="0" xfId="2" applyFont="1" applyFill="1" applyBorder="1" applyAlignment="1">
      <alignment horizontal="right"/>
    </xf>
    <xf numFmtId="9" fontId="0" fillId="3" borderId="0" xfId="2" applyFont="1" applyFill="1" applyBorder="1" applyAlignment="1">
      <alignment horizontal="right"/>
    </xf>
    <xf numFmtId="9" fontId="10" fillId="3" borderId="0" xfId="2" applyFont="1" applyFill="1" applyBorder="1" applyAlignment="1">
      <alignment horizontal="right"/>
    </xf>
    <xf numFmtId="178" fontId="15" fillId="3" borderId="13" xfId="0" applyNumberFormat="1" applyFont="1" applyFill="1" applyBorder="1"/>
    <xf numFmtId="178" fontId="15" fillId="3" borderId="0" xfId="0" applyNumberFormat="1" applyFont="1" applyFill="1" applyBorder="1"/>
    <xf numFmtId="178" fontId="15" fillId="3" borderId="0" xfId="2" applyNumberFormat="1" applyFont="1" applyFill="1" applyAlignment="1">
      <alignment horizontal="right"/>
    </xf>
    <xf numFmtId="38" fontId="14" fillId="4" borderId="0" xfId="1" applyNumberFormat="1" applyFont="1" applyFill="1" applyAlignment="1"/>
    <xf numFmtId="9" fontId="0" fillId="0" borderId="0" xfId="2" applyFont="1" applyAlignment="1"/>
    <xf numFmtId="9" fontId="0" fillId="0" borderId="0" xfId="0" applyNumberFormat="1"/>
    <xf numFmtId="182" fontId="0" fillId="0" borderId="0" xfId="1" applyNumberFormat="1" applyFont="1" applyAlignment="1"/>
    <xf numFmtId="185" fontId="3" fillId="0" borderId="0" xfId="0" applyFont="1" applyAlignment="1">
      <alignment horizontal="center"/>
    </xf>
    <xf numFmtId="9" fontId="0" fillId="0" borderId="0" xfId="2" applyFont="1" applyAlignment="1">
      <alignment horizontal="center"/>
    </xf>
    <xf numFmtId="185" fontId="0" fillId="0" borderId="0" xfId="0" applyAlignment="1">
      <alignment horizontal="center"/>
    </xf>
    <xf numFmtId="182" fontId="0" fillId="0" borderId="15" xfId="1" applyNumberFormat="1" applyFont="1" applyBorder="1" applyAlignment="1"/>
    <xf numFmtId="9" fontId="0" fillId="0" borderId="15" xfId="2" applyFont="1" applyBorder="1" applyAlignment="1">
      <alignment horizontal="center"/>
    </xf>
    <xf numFmtId="182" fontId="3" fillId="0" borderId="0" xfId="1" applyNumberFormat="1" applyFont="1" applyAlignment="1"/>
    <xf numFmtId="182" fontId="0" fillId="0" borderId="0" xfId="1" applyNumberFormat="1" applyFont="1" applyAlignment="1">
      <alignment horizontal="right"/>
    </xf>
    <xf numFmtId="178" fontId="0" fillId="0" borderId="0" xfId="2" applyNumberFormat="1" applyFont="1" applyAlignment="1">
      <alignment horizontal="right"/>
    </xf>
    <xf numFmtId="182" fontId="0" fillId="0" borderId="0" xfId="0" applyNumberFormat="1"/>
    <xf numFmtId="185" fontId="0" fillId="4" borderId="0" xfId="0" applyFill="1"/>
    <xf numFmtId="185" fontId="0" fillId="0" borderId="0" xfId="0" applyAlignment="1">
      <alignment horizontal="left" indent="1"/>
    </xf>
    <xf numFmtId="185" fontId="3" fillId="0" borderId="0" xfId="0" applyFont="1" applyAlignment="1">
      <alignment horizontal="left"/>
    </xf>
    <xf numFmtId="178" fontId="5" fillId="0" borderId="0" xfId="2" applyNumberFormat="1" applyFont="1" applyAlignment="1"/>
    <xf numFmtId="9" fontId="3" fillId="0" borderId="0" xfId="0" applyNumberFormat="1" applyFont="1" applyAlignment="1">
      <alignment horizontal="center"/>
    </xf>
    <xf numFmtId="9" fontId="3" fillId="0" borderId="0" xfId="2" applyFont="1" applyAlignment="1">
      <alignment horizontal="center"/>
    </xf>
    <xf numFmtId="182" fontId="3" fillId="0" borderId="0" xfId="0" applyNumberFormat="1" applyFont="1"/>
    <xf numFmtId="183" fontId="22" fillId="8" borderId="0" xfId="0" applyNumberFormat="1" applyFont="1" applyFill="1" applyAlignment="1">
      <alignment vertical="center"/>
    </xf>
    <xf numFmtId="3" fontId="0" fillId="0" borderId="0" xfId="0" applyNumberFormat="1"/>
    <xf numFmtId="3" fontId="34" fillId="0" borderId="0" xfId="0" applyNumberFormat="1" applyFont="1"/>
    <xf numFmtId="185" fontId="35" fillId="0" borderId="0" xfId="0" applyFont="1"/>
    <xf numFmtId="185" fontId="36" fillId="0" borderId="0" xfId="0" applyFont="1"/>
    <xf numFmtId="3" fontId="36" fillId="0" borderId="0" xfId="0" applyNumberFormat="1" applyFont="1"/>
    <xf numFmtId="3" fontId="22" fillId="8" borderId="12" xfId="0" applyNumberFormat="1" applyFont="1" applyFill="1" applyBorder="1" applyAlignment="1">
      <alignment horizontal="center" vertical="center"/>
    </xf>
    <xf numFmtId="3" fontId="28" fillId="9" borderId="12" xfId="0" applyNumberFormat="1" applyFont="1" applyFill="1" applyBorder="1" applyAlignment="1">
      <alignment vertical="center"/>
    </xf>
    <xf numFmtId="3" fontId="22" fillId="8" borderId="12" xfId="0" applyNumberFormat="1" applyFont="1" applyFill="1" applyBorder="1" applyAlignment="1">
      <alignment vertical="center"/>
    </xf>
    <xf numFmtId="3" fontId="30" fillId="8" borderId="12" xfId="0" applyNumberFormat="1" applyFont="1" applyFill="1" applyBorder="1" applyAlignment="1">
      <alignment vertical="center"/>
    </xf>
    <xf numFmtId="9" fontId="23" fillId="8" borderId="12" xfId="2" applyFont="1" applyFill="1" applyBorder="1" applyAlignment="1">
      <alignment vertical="center"/>
    </xf>
    <xf numFmtId="178" fontId="22" fillId="8" borderId="12" xfId="2" applyNumberFormat="1" applyFont="1" applyFill="1" applyBorder="1" applyAlignment="1">
      <alignment vertical="center"/>
    </xf>
    <xf numFmtId="3" fontId="25" fillId="8" borderId="12" xfId="0" applyNumberFormat="1" applyFont="1" applyFill="1" applyBorder="1" applyAlignment="1">
      <alignment vertical="center"/>
    </xf>
    <xf numFmtId="3" fontId="22" fillId="10" borderId="12" xfId="0" applyNumberFormat="1" applyFont="1" applyFill="1" applyBorder="1" applyAlignment="1">
      <alignment vertical="center"/>
    </xf>
    <xf numFmtId="9" fontId="22" fillId="8" borderId="12" xfId="2" applyFont="1" applyFill="1" applyBorder="1" applyAlignment="1">
      <alignment vertical="center"/>
    </xf>
    <xf numFmtId="9" fontId="31" fillId="8" borderId="12" xfId="2" applyFont="1" applyFill="1" applyBorder="1" applyAlignment="1">
      <alignment vertical="center"/>
    </xf>
    <xf numFmtId="3" fontId="27" fillId="8" borderId="12" xfId="0" applyNumberFormat="1" applyFont="1" applyFill="1" applyBorder="1" applyAlignment="1">
      <alignment vertical="center"/>
    </xf>
    <xf numFmtId="178" fontId="27" fillId="8" borderId="12" xfId="2" applyNumberFormat="1" applyFont="1" applyFill="1" applyBorder="1" applyAlignment="1">
      <alignment vertical="center"/>
    </xf>
    <xf numFmtId="185" fontId="23" fillId="8" borderId="12" xfId="2" applyNumberFormat="1" applyFont="1" applyFill="1" applyBorder="1" applyAlignment="1">
      <alignment vertical="center"/>
    </xf>
    <xf numFmtId="3" fontId="36" fillId="0" borderId="12" xfId="0" applyNumberFormat="1" applyFont="1" applyBorder="1"/>
    <xf numFmtId="3" fontId="34" fillId="0" borderId="12" xfId="0" applyNumberFormat="1" applyFont="1" applyBorder="1"/>
    <xf numFmtId="3" fontId="0" fillId="0" borderId="12" xfId="0" applyNumberFormat="1" applyBorder="1"/>
    <xf numFmtId="3" fontId="22" fillId="8" borderId="0" xfId="0" applyNumberFormat="1" applyFont="1" applyFill="1" applyBorder="1" applyAlignment="1">
      <alignment vertical="center"/>
    </xf>
    <xf numFmtId="9" fontId="23" fillId="8" borderId="0" xfId="2" applyFont="1" applyFill="1" applyBorder="1" applyAlignment="1">
      <alignment horizontal="left" vertical="center" indent="1"/>
    </xf>
    <xf numFmtId="3" fontId="23" fillId="8" borderId="0" xfId="0" applyNumberFormat="1" applyFont="1" applyFill="1" applyBorder="1" applyAlignment="1">
      <alignment horizontal="left" vertical="center" indent="1"/>
    </xf>
    <xf numFmtId="178" fontId="27" fillId="8" borderId="0" xfId="2" applyNumberFormat="1" applyFont="1" applyFill="1" applyBorder="1" applyAlignment="1">
      <alignment vertical="center"/>
    </xf>
    <xf numFmtId="178" fontId="23" fillId="8" borderId="0" xfId="2" applyNumberFormat="1" applyFont="1" applyFill="1" applyAlignment="1">
      <alignment horizontal="left" vertical="center" indent="1"/>
    </xf>
    <xf numFmtId="3" fontId="22" fillId="4" borderId="0" xfId="0" applyNumberFormat="1" applyFont="1" applyFill="1" applyAlignment="1">
      <alignment vertical="center"/>
    </xf>
    <xf numFmtId="3" fontId="22" fillId="4" borderId="0" xfId="0" applyNumberFormat="1" applyFont="1" applyFill="1" applyBorder="1" applyAlignment="1">
      <alignment vertical="center"/>
    </xf>
    <xf numFmtId="3" fontId="22" fillId="4" borderId="12" xfId="0" applyNumberFormat="1" applyFont="1" applyFill="1" applyBorder="1" applyAlignment="1">
      <alignment vertical="center"/>
    </xf>
    <xf numFmtId="185" fontId="0" fillId="12" borderId="0" xfId="0" applyFill="1"/>
    <xf numFmtId="9" fontId="3" fillId="0" borderId="0" xfId="2" applyFont="1" applyAlignment="1"/>
    <xf numFmtId="185" fontId="0" fillId="0" borderId="15" xfId="0" applyBorder="1"/>
    <xf numFmtId="9" fontId="3" fillId="0" borderId="15" xfId="0" applyNumberFormat="1" applyFont="1" applyBorder="1" applyAlignment="1">
      <alignment horizontal="center"/>
    </xf>
    <xf numFmtId="37" fontId="39" fillId="0" borderId="14" xfId="3" applyNumberFormat="1" applyFont="1" applyFill="1" applyBorder="1"/>
    <xf numFmtId="178" fontId="10" fillId="3" borderId="0" xfId="0" applyNumberFormat="1" applyFont="1" applyFill="1" applyBorder="1"/>
    <xf numFmtId="178" fontId="0" fillId="0" borderId="0" xfId="2" applyNumberFormat="1" applyFont="1" applyFill="1" applyBorder="1" applyAlignment="1"/>
    <xf numFmtId="182" fontId="0" fillId="0" borderId="0" xfId="1" applyNumberFormat="1" applyFont="1" applyBorder="1" applyAlignment="1"/>
    <xf numFmtId="178" fontId="0" fillId="4" borderId="0" xfId="0" applyNumberFormat="1" applyFill="1" applyBorder="1"/>
    <xf numFmtId="178" fontId="0" fillId="4" borderId="0" xfId="2" applyNumberFormat="1" applyFont="1" applyFill="1" applyBorder="1" applyAlignment="1"/>
    <xf numFmtId="176" fontId="15" fillId="4" borderId="0" xfId="0" applyNumberFormat="1" applyFont="1" applyFill="1" applyBorder="1"/>
    <xf numFmtId="178" fontId="19" fillId="0" borderId="0" xfId="2" applyNumberFormat="1" applyFont="1" applyFill="1" applyBorder="1" applyAlignment="1"/>
    <xf numFmtId="9" fontId="0" fillId="0" borderId="13" xfId="0" applyNumberFormat="1" applyFill="1" applyBorder="1"/>
    <xf numFmtId="9" fontId="0" fillId="0" borderId="0" xfId="0" applyNumberFormat="1" applyFill="1" applyBorder="1"/>
    <xf numFmtId="10" fontId="0" fillId="0" borderId="0" xfId="2" applyNumberFormat="1" applyFont="1" applyFill="1" applyBorder="1" applyAlignment="1"/>
    <xf numFmtId="37" fontId="14" fillId="16" borderId="0" xfId="0" applyNumberFormat="1" applyFont="1" applyFill="1" applyBorder="1"/>
    <xf numFmtId="37" fontId="0" fillId="3" borderId="13" xfId="0" applyNumberFormat="1" applyFill="1" applyBorder="1"/>
    <xf numFmtId="178" fontId="0" fillId="0" borderId="13" xfId="2" applyNumberFormat="1" applyFont="1" applyFill="1" applyBorder="1" applyAlignment="1"/>
    <xf numFmtId="185" fontId="0" fillId="0" borderId="13" xfId="0" applyFill="1" applyBorder="1"/>
    <xf numFmtId="37" fontId="13" fillId="0" borderId="13" xfId="0" applyNumberFormat="1" applyFont="1" applyFill="1" applyBorder="1"/>
    <xf numFmtId="37" fontId="14" fillId="0" borderId="13" xfId="0" applyNumberFormat="1" applyFont="1" applyFill="1" applyBorder="1"/>
    <xf numFmtId="179" fontId="14" fillId="0" borderId="13" xfId="0" applyNumberFormat="1" applyFont="1" applyFill="1" applyBorder="1"/>
    <xf numFmtId="37" fontId="14" fillId="3" borderId="13" xfId="0" applyNumberFormat="1" applyFont="1" applyFill="1" applyBorder="1"/>
    <xf numFmtId="177" fontId="0" fillId="0" borderId="13" xfId="0" applyNumberFormat="1" applyFill="1" applyBorder="1"/>
    <xf numFmtId="177" fontId="3" fillId="0" borderId="13" xfId="0" applyNumberFormat="1" applyFont="1" applyFill="1" applyBorder="1"/>
    <xf numFmtId="37" fontId="0" fillId="4" borderId="13" xfId="0" applyNumberFormat="1" applyFill="1" applyBorder="1"/>
    <xf numFmtId="37" fontId="15" fillId="4" borderId="13" xfId="0" applyNumberFormat="1" applyFont="1" applyFill="1" applyBorder="1"/>
    <xf numFmtId="37" fontId="0" fillId="0" borderId="13" xfId="0" applyNumberFormat="1" applyFill="1" applyBorder="1"/>
    <xf numFmtId="176" fontId="14" fillId="0" borderId="13" xfId="0" applyNumberFormat="1" applyFont="1" applyFill="1" applyBorder="1"/>
    <xf numFmtId="176" fontId="5" fillId="0" borderId="13" xfId="0" applyNumberFormat="1" applyFont="1" applyFill="1" applyBorder="1"/>
    <xf numFmtId="176" fontId="15" fillId="0" borderId="13" xfId="0" applyNumberFormat="1" applyFont="1" applyFill="1" applyBorder="1"/>
    <xf numFmtId="9" fontId="5" fillId="0" borderId="13" xfId="2" applyFont="1" applyFill="1" applyBorder="1" applyAlignment="1"/>
    <xf numFmtId="178" fontId="19" fillId="0" borderId="13" xfId="2" applyNumberFormat="1" applyFont="1" applyFill="1" applyBorder="1" applyAlignment="1"/>
    <xf numFmtId="178" fontId="13" fillId="0" borderId="13" xfId="0" applyNumberFormat="1" applyFont="1" applyFill="1" applyBorder="1"/>
    <xf numFmtId="185" fontId="6" fillId="5" borderId="0" xfId="0" applyFont="1" applyFill="1" applyBorder="1" applyAlignment="1"/>
    <xf numFmtId="178" fontId="0" fillId="0" borderId="0" xfId="0" applyNumberFormat="1" applyFill="1" applyBorder="1"/>
    <xf numFmtId="9" fontId="5" fillId="0" borderId="0" xfId="2" applyNumberFormat="1" applyFont="1" applyFill="1" applyBorder="1" applyAlignment="1">
      <alignment horizontal="right"/>
    </xf>
    <xf numFmtId="9" fontId="18" fillId="0" borderId="0" xfId="2" applyFont="1" applyFill="1" applyBorder="1" applyAlignment="1">
      <alignment horizontal="right"/>
    </xf>
    <xf numFmtId="178" fontId="10" fillId="3" borderId="0" xfId="2" applyNumberFormat="1" applyFont="1" applyFill="1" applyBorder="1" applyAlignment="1">
      <alignment horizontal="right"/>
    </xf>
    <xf numFmtId="178" fontId="0" fillId="0" borderId="0" xfId="2" applyNumberFormat="1" applyFont="1" applyBorder="1" applyAlignment="1"/>
    <xf numFmtId="176" fontId="14" fillId="4" borderId="0" xfId="0" applyNumberFormat="1" applyFont="1" applyFill="1" applyBorder="1"/>
    <xf numFmtId="176" fontId="5" fillId="4" borderId="0" xfId="0" applyNumberFormat="1" applyFont="1" applyFill="1" applyBorder="1"/>
    <xf numFmtId="176" fontId="15" fillId="0" borderId="0" xfId="0" applyNumberFormat="1" applyFont="1" applyFill="1" applyBorder="1"/>
    <xf numFmtId="185" fontId="6" fillId="5" borderId="13" xfId="0" applyFont="1" applyFill="1" applyBorder="1" applyAlignment="1"/>
    <xf numFmtId="178" fontId="0" fillId="0" borderId="13" xfId="0" applyNumberFormat="1" applyFill="1" applyBorder="1"/>
    <xf numFmtId="10" fontId="0" fillId="0" borderId="13" xfId="2" applyNumberFormat="1" applyFont="1" applyFill="1" applyBorder="1" applyAlignment="1"/>
    <xf numFmtId="9" fontId="21" fillId="0" borderId="13" xfId="2" applyFont="1" applyFill="1" applyBorder="1" applyAlignment="1">
      <alignment horizontal="right"/>
    </xf>
    <xf numFmtId="9" fontId="5" fillId="0" borderId="13" xfId="2" applyNumberFormat="1" applyFont="1" applyFill="1" applyBorder="1" applyAlignment="1">
      <alignment horizontal="right"/>
    </xf>
    <xf numFmtId="9" fontId="18" fillId="0" borderId="13" xfId="2" applyFont="1" applyFill="1" applyBorder="1" applyAlignment="1">
      <alignment horizontal="right"/>
    </xf>
    <xf numFmtId="178" fontId="0" fillId="3" borderId="13" xfId="2" applyNumberFormat="1" applyFont="1" applyFill="1" applyBorder="1" applyAlignment="1"/>
    <xf numFmtId="178" fontId="10" fillId="3" borderId="13" xfId="0" applyNumberFormat="1" applyFont="1" applyFill="1" applyBorder="1"/>
    <xf numFmtId="185" fontId="19" fillId="0" borderId="13" xfId="0" applyFont="1" applyFill="1" applyBorder="1"/>
    <xf numFmtId="178" fontId="0" fillId="0" borderId="13" xfId="2" applyNumberFormat="1" applyFont="1" applyBorder="1" applyAlignment="1"/>
    <xf numFmtId="176" fontId="15" fillId="4" borderId="13" xfId="0" applyNumberFormat="1" applyFont="1" applyFill="1" applyBorder="1"/>
    <xf numFmtId="178" fontId="10" fillId="3" borderId="13" xfId="2" applyNumberFormat="1" applyFont="1" applyFill="1" applyBorder="1" applyAlignment="1">
      <alignment horizontal="right"/>
    </xf>
    <xf numFmtId="178" fontId="14" fillId="0" borderId="13" xfId="0" applyNumberFormat="1" applyFont="1" applyFill="1" applyBorder="1"/>
    <xf numFmtId="9" fontId="5" fillId="10" borderId="0" xfId="2" applyFont="1" applyFill="1" applyBorder="1" applyAlignment="1">
      <alignment horizontal="right"/>
    </xf>
    <xf numFmtId="9" fontId="5" fillId="10" borderId="0" xfId="2" applyNumberFormat="1" applyFont="1" applyFill="1" applyBorder="1" applyAlignment="1">
      <alignment horizontal="right"/>
    </xf>
    <xf numFmtId="9" fontId="18" fillId="10" borderId="0" xfId="2" applyFont="1" applyFill="1" applyBorder="1" applyAlignment="1">
      <alignment horizontal="right"/>
    </xf>
    <xf numFmtId="9" fontId="13" fillId="0" borderId="0" xfId="2" applyFont="1" applyFill="1" applyBorder="1" applyAlignment="1"/>
    <xf numFmtId="9" fontId="5" fillId="10" borderId="0" xfId="2" applyFont="1" applyFill="1" applyBorder="1" applyAlignment="1"/>
    <xf numFmtId="178" fontId="34" fillId="4" borderId="13" xfId="0" applyNumberFormat="1" applyFont="1" applyFill="1" applyBorder="1"/>
    <xf numFmtId="182" fontId="0" fillId="0" borderId="0" xfId="1" applyNumberFormat="1" applyFont="1" applyFill="1" applyAlignment="1"/>
    <xf numFmtId="182" fontId="14" fillId="0" borderId="0" xfId="1" applyNumberFormat="1" applyFont="1" applyFill="1" applyAlignment="1"/>
    <xf numFmtId="182" fontId="0" fillId="3" borderId="0" xfId="1" applyNumberFormat="1" applyFont="1" applyFill="1" applyAlignment="1"/>
    <xf numFmtId="182" fontId="14" fillId="0" borderId="0" xfId="1" applyNumberFormat="1" applyFont="1" applyAlignment="1"/>
    <xf numFmtId="185" fontId="0" fillId="0" borderId="0" xfId="0" applyNumberFormat="1"/>
    <xf numFmtId="182" fontId="0" fillId="0" borderId="0" xfId="0" applyNumberFormat="1" applyFill="1"/>
    <xf numFmtId="185" fontId="21" fillId="0" borderId="0" xfId="0" applyFont="1"/>
    <xf numFmtId="185" fontId="21" fillId="0" borderId="0" xfId="0" quotePrefix="1" applyFont="1"/>
    <xf numFmtId="185" fontId="21" fillId="3" borderId="0" xfId="0" applyFont="1" applyFill="1"/>
    <xf numFmtId="38" fontId="21" fillId="0" borderId="0" xfId="0" quotePrefix="1" applyNumberFormat="1" applyFont="1" applyFill="1" applyAlignment="1">
      <alignment horizontal="left" indent="2"/>
    </xf>
    <xf numFmtId="9" fontId="5" fillId="10" borderId="13" xfId="2" applyFont="1" applyFill="1" applyBorder="1" applyAlignment="1">
      <alignment horizontal="right"/>
    </xf>
    <xf numFmtId="9" fontId="5" fillId="10" borderId="13" xfId="2" applyNumberFormat="1" applyFont="1" applyFill="1" applyBorder="1" applyAlignment="1">
      <alignment horizontal="right"/>
    </xf>
    <xf numFmtId="9" fontId="18" fillId="10" borderId="13" xfId="2" applyFont="1" applyFill="1" applyBorder="1" applyAlignment="1">
      <alignment horizontal="right"/>
    </xf>
    <xf numFmtId="9" fontId="5" fillId="10" borderId="13" xfId="2" applyFont="1" applyFill="1" applyBorder="1" applyAlignment="1"/>
    <xf numFmtId="178" fontId="34" fillId="4" borderId="0" xfId="0" applyNumberFormat="1" applyFont="1" applyFill="1" applyBorder="1"/>
    <xf numFmtId="9" fontId="5" fillId="0" borderId="0" xfId="2" applyNumberFormat="1" applyFont="1" applyFill="1" applyBorder="1" applyAlignment="1"/>
    <xf numFmtId="9" fontId="5" fillId="10" borderId="0" xfId="2" applyNumberFormat="1" applyFont="1" applyFill="1" applyBorder="1" applyAlignment="1"/>
    <xf numFmtId="178" fontId="5" fillId="0" borderId="0" xfId="2" applyNumberFormat="1" applyFont="1" applyFill="1" applyBorder="1" applyAlignment="1">
      <alignment horizontal="right"/>
    </xf>
    <xf numFmtId="178" fontId="5" fillId="10" borderId="0" xfId="2" applyNumberFormat="1" applyFont="1" applyFill="1" applyBorder="1" applyAlignment="1">
      <alignment horizontal="right"/>
    </xf>
    <xf numFmtId="178" fontId="18" fillId="0" borderId="0" xfId="2" applyNumberFormat="1" applyFont="1" applyFill="1" applyBorder="1" applyAlignment="1">
      <alignment horizontal="right"/>
    </xf>
    <xf numFmtId="178" fontId="18" fillId="10" borderId="0" xfId="2" applyNumberFormat="1" applyFont="1" applyFill="1" applyBorder="1" applyAlignment="1">
      <alignment horizontal="right"/>
    </xf>
    <xf numFmtId="178" fontId="5" fillId="0" borderId="0" xfId="2" applyNumberFormat="1" applyFont="1" applyFill="1" applyBorder="1" applyAlignment="1"/>
    <xf numFmtId="178" fontId="5" fillId="10" borderId="0" xfId="2" applyNumberFormat="1" applyFont="1" applyFill="1" applyBorder="1" applyAlignment="1"/>
    <xf numFmtId="185" fontId="0" fillId="0" borderId="0" xfId="0" applyNumberFormat="1" applyFill="1" applyBorder="1"/>
    <xf numFmtId="185" fontId="6" fillId="0" borderId="0" xfId="0" applyNumberFormat="1" applyFont="1"/>
    <xf numFmtId="185" fontId="4" fillId="2" borderId="0" xfId="0" applyNumberFormat="1" applyFont="1" applyFill="1" applyAlignment="1">
      <alignment horizontal="center"/>
    </xf>
    <xf numFmtId="185" fontId="4" fillId="2" borderId="12" xfId="0" applyNumberFormat="1" applyFont="1" applyFill="1" applyBorder="1" applyAlignment="1">
      <alignment horizontal="center"/>
    </xf>
    <xf numFmtId="185" fontId="0" fillId="0" borderId="0" xfId="0" applyNumberFormat="1"/>
    <xf numFmtId="185" fontId="4" fillId="2" borderId="13" xfId="0" applyNumberFormat="1" applyFont="1" applyFill="1" applyBorder="1" applyAlignment="1">
      <alignment horizontal="center"/>
    </xf>
    <xf numFmtId="185" fontId="0" fillId="0" borderId="0" xfId="0" applyNumberFormat="1" applyFill="1"/>
    <xf numFmtId="185" fontId="4" fillId="2" borderId="0" xfId="0" applyNumberFormat="1" applyFont="1" applyFill="1" applyBorder="1" applyAlignment="1">
      <alignment horizontal="center"/>
    </xf>
    <xf numFmtId="185" fontId="15" fillId="0" borderId="0" xfId="0" quotePrefix="1" applyNumberFormat="1" applyFont="1" applyFill="1"/>
    <xf numFmtId="185" fontId="14" fillId="0" borderId="0" xfId="0" applyNumberFormat="1" applyFont="1"/>
    <xf numFmtId="185" fontId="14" fillId="0" borderId="12" xfId="0" applyNumberFormat="1" applyFont="1" applyBorder="1"/>
    <xf numFmtId="185" fontId="14" fillId="0" borderId="13" xfId="0" applyNumberFormat="1" applyFont="1" applyBorder="1"/>
    <xf numFmtId="185" fontId="14" fillId="0" borderId="0" xfId="0" applyNumberFormat="1" applyFont="1" applyFill="1"/>
    <xf numFmtId="185" fontId="14" fillId="0" borderId="0" xfId="0" applyNumberFormat="1" applyFont="1" applyFill="1" applyBorder="1"/>
    <xf numFmtId="185" fontId="14" fillId="0" borderId="13" xfId="0" applyNumberFormat="1" applyFont="1" applyFill="1" applyBorder="1"/>
    <xf numFmtId="185" fontId="14" fillId="0" borderId="0" xfId="2" applyNumberFormat="1" applyFont="1" applyFill="1" applyBorder="1" applyAlignment="1"/>
    <xf numFmtId="185" fontId="15" fillId="0" borderId="0" xfId="0" applyNumberFormat="1" applyFont="1" applyFill="1"/>
    <xf numFmtId="37" fontId="14" fillId="0" borderId="0" xfId="1" applyNumberFormat="1" applyFont="1" applyBorder="1" applyAlignment="1"/>
    <xf numFmtId="38" fontId="14" fillId="0" borderId="0" xfId="1" applyNumberFormat="1" applyFont="1" applyBorder="1" applyAlignment="1"/>
    <xf numFmtId="177" fontId="14" fillId="0" borderId="0" xfId="0" applyNumberFormat="1" applyFont="1" applyFill="1" applyBorder="1"/>
    <xf numFmtId="38" fontId="0" fillId="3" borderId="0" xfId="1" applyNumberFormat="1" applyFont="1" applyFill="1" applyBorder="1" applyAlignment="1"/>
    <xf numFmtId="37" fontId="14" fillId="3" borderId="0" xfId="1" applyNumberFormat="1" applyFont="1" applyFill="1" applyBorder="1" applyAlignment="1"/>
    <xf numFmtId="38" fontId="14" fillId="3" borderId="0" xfId="1" applyNumberFormat="1" applyFont="1" applyFill="1" applyBorder="1" applyAlignment="1"/>
    <xf numFmtId="177" fontId="14" fillId="3" borderId="0" xfId="0" applyNumberFormat="1" applyFont="1" applyFill="1" applyBorder="1"/>
    <xf numFmtId="38" fontId="0" fillId="0" borderId="0" xfId="1" applyNumberFormat="1" applyFont="1" applyBorder="1" applyAlignment="1"/>
    <xf numFmtId="38" fontId="3" fillId="0" borderId="0" xfId="1" applyNumberFormat="1" applyFont="1" applyBorder="1" applyAlignment="1"/>
    <xf numFmtId="38" fontId="0" fillId="0" borderId="0" xfId="0" applyNumberFormat="1" applyBorder="1"/>
    <xf numFmtId="182" fontId="14" fillId="4" borderId="0" xfId="1" applyNumberFormat="1" applyFont="1" applyFill="1" applyAlignment="1"/>
    <xf numFmtId="178" fontId="10" fillId="4" borderId="0" xfId="2" applyNumberFormat="1" applyFont="1" applyFill="1" applyAlignment="1">
      <alignment horizontal="right"/>
    </xf>
    <xf numFmtId="182" fontId="14" fillId="3" borderId="0" xfId="1" applyNumberFormat="1" applyFont="1" applyFill="1" applyBorder="1" applyAlignment="1"/>
    <xf numFmtId="43" fontId="0" fillId="0" borderId="0" xfId="1" applyFont="1" applyAlignment="1"/>
    <xf numFmtId="186" fontId="0" fillId="0" borderId="0" xfId="1" applyNumberFormat="1" applyFont="1" applyAlignment="1"/>
    <xf numFmtId="9" fontId="34" fillId="0" borderId="0" xfId="2" applyFont="1" applyAlignment="1"/>
    <xf numFmtId="185" fontId="34" fillId="0" borderId="0" xfId="0" applyFont="1"/>
    <xf numFmtId="43" fontId="10" fillId="0" borderId="0" xfId="1" applyFont="1" applyAlignment="1"/>
    <xf numFmtId="186" fontId="10" fillId="0" borderId="0" xfId="1" applyNumberFormat="1" applyFont="1" applyAlignment="1"/>
    <xf numFmtId="185" fontId="4" fillId="13" borderId="13" xfId="0" applyNumberFormat="1" applyFont="1" applyFill="1" applyBorder="1" applyAlignment="1">
      <alignment horizontal="center"/>
    </xf>
    <xf numFmtId="185" fontId="4" fillId="13" borderId="0" xfId="0" applyNumberFormat="1" applyFont="1" applyFill="1" applyBorder="1" applyAlignment="1">
      <alignment horizontal="center"/>
    </xf>
    <xf numFmtId="9" fontId="0" fillId="0" borderId="0" xfId="2" applyFont="1" applyFill="1" applyBorder="1" applyAlignment="1"/>
    <xf numFmtId="9" fontId="0" fillId="0" borderId="24" xfId="2" applyFont="1" applyBorder="1" applyAlignment="1">
      <alignment horizontal="center"/>
    </xf>
    <xf numFmtId="185" fontId="0" fillId="0" borderId="17" xfId="0" applyBorder="1" applyAlignment="1">
      <alignment horizontal="center"/>
    </xf>
    <xf numFmtId="185" fontId="0" fillId="0" borderId="18" xfId="0" applyBorder="1" applyAlignment="1">
      <alignment horizontal="center"/>
    </xf>
    <xf numFmtId="185" fontId="0" fillId="0" borderId="0" xfId="0" applyFill="1" applyBorder="1" applyAlignment="1">
      <alignment horizontal="center"/>
    </xf>
    <xf numFmtId="185" fontId="0" fillId="0" borderId="16" xfId="0" applyBorder="1" applyAlignment="1">
      <alignment horizontal="center"/>
    </xf>
    <xf numFmtId="185" fontId="0" fillId="0" borderId="23" xfId="0" applyBorder="1" applyAlignment="1">
      <alignment horizontal="center"/>
    </xf>
    <xf numFmtId="185" fontId="41" fillId="0" borderId="27" xfId="0" applyFont="1" applyBorder="1" applyAlignment="1">
      <alignment vertical="center" wrapText="1"/>
    </xf>
    <xf numFmtId="185" fontId="42" fillId="0" borderId="26" xfId="0" applyFont="1" applyBorder="1" applyAlignment="1">
      <alignment vertical="center"/>
    </xf>
    <xf numFmtId="185" fontId="41" fillId="0" borderId="26" xfId="0" applyFont="1" applyBorder="1" applyAlignment="1">
      <alignment vertical="center"/>
    </xf>
    <xf numFmtId="185" fontId="41" fillId="0" borderId="28" xfId="0" applyFont="1" applyBorder="1" applyAlignment="1">
      <alignment horizontal="center" vertical="center" wrapText="1"/>
    </xf>
    <xf numFmtId="9" fontId="41" fillId="0" borderId="11" xfId="2" applyFont="1" applyBorder="1" applyAlignment="1">
      <alignment horizontal="center" vertical="center" wrapText="1"/>
    </xf>
    <xf numFmtId="182" fontId="41" fillId="0" borderId="11" xfId="1" applyNumberFormat="1" applyFont="1" applyBorder="1" applyAlignment="1">
      <alignment horizontal="center" vertical="center" wrapText="1"/>
    </xf>
    <xf numFmtId="43" fontId="0" fillId="0" borderId="0" xfId="1" applyFont="1" applyFill="1" applyBorder="1" applyAlignment="1"/>
    <xf numFmtId="185" fontId="6" fillId="5" borderId="12" xfId="0" applyFont="1" applyFill="1" applyBorder="1" applyAlignment="1"/>
    <xf numFmtId="178" fontId="0" fillId="0" borderId="12" xfId="0" applyNumberFormat="1" applyFill="1" applyBorder="1"/>
    <xf numFmtId="37" fontId="13" fillId="0" borderId="12" xfId="0" applyNumberFormat="1" applyFont="1" applyFill="1" applyBorder="1"/>
    <xf numFmtId="37" fontId="0" fillId="4" borderId="12" xfId="0" applyNumberFormat="1" applyFill="1" applyBorder="1"/>
    <xf numFmtId="37" fontId="15" fillId="4" borderId="12" xfId="0" applyNumberFormat="1" applyFont="1" applyFill="1" applyBorder="1"/>
    <xf numFmtId="178" fontId="34" fillId="4" borderId="12" xfId="0" applyNumberFormat="1" applyFont="1" applyFill="1" applyBorder="1"/>
    <xf numFmtId="10" fontId="0" fillId="0" borderId="12" xfId="2" applyNumberFormat="1" applyFont="1" applyFill="1" applyBorder="1" applyAlignment="1"/>
    <xf numFmtId="37" fontId="14" fillId="0" borderId="12" xfId="0" applyNumberFormat="1" applyFont="1" applyFill="1" applyBorder="1"/>
    <xf numFmtId="179" fontId="14" fillId="0" borderId="12" xfId="0" applyNumberFormat="1" applyFont="1" applyFill="1" applyBorder="1"/>
    <xf numFmtId="37" fontId="14" fillId="3" borderId="12" xfId="0" applyNumberFormat="1" applyFont="1" applyFill="1" applyBorder="1"/>
    <xf numFmtId="178" fontId="0" fillId="0" borderId="12" xfId="2" applyNumberFormat="1" applyFont="1" applyFill="1" applyBorder="1" applyAlignment="1"/>
    <xf numFmtId="177" fontId="0" fillId="0" borderId="12" xfId="0" applyNumberFormat="1" applyFill="1" applyBorder="1"/>
    <xf numFmtId="177" fontId="3" fillId="0" borderId="12" xfId="0" applyNumberFormat="1" applyFont="1" applyFill="1" applyBorder="1"/>
    <xf numFmtId="185" fontId="0" fillId="0" borderId="12" xfId="0" applyFill="1" applyBorder="1"/>
    <xf numFmtId="185" fontId="0" fillId="0" borderId="12" xfId="0" applyNumberFormat="1" applyFill="1" applyBorder="1"/>
    <xf numFmtId="185" fontId="19" fillId="0" borderId="12" xfId="0" applyFont="1" applyFill="1" applyBorder="1"/>
    <xf numFmtId="176" fontId="5" fillId="0" borderId="12" xfId="0" applyNumberFormat="1" applyFont="1" applyFill="1" applyBorder="1"/>
    <xf numFmtId="185" fontId="14" fillId="0" borderId="12" xfId="0" applyNumberFormat="1" applyFont="1" applyFill="1" applyBorder="1"/>
    <xf numFmtId="178" fontId="13" fillId="0" borderId="12" xfId="0" applyNumberFormat="1" applyFont="1" applyFill="1" applyBorder="1"/>
    <xf numFmtId="9" fontId="0" fillId="0" borderId="12" xfId="2" applyFont="1" applyFill="1" applyBorder="1" applyAlignment="1"/>
    <xf numFmtId="37" fontId="0" fillId="3" borderId="12" xfId="0" applyNumberFormat="1" applyFill="1" applyBorder="1"/>
    <xf numFmtId="178" fontId="5" fillId="0" borderId="12" xfId="2" applyNumberFormat="1" applyFont="1" applyFill="1" applyBorder="1" applyAlignment="1">
      <alignment horizontal="right"/>
    </xf>
    <xf numFmtId="178" fontId="5" fillId="10" borderId="12" xfId="2" applyNumberFormat="1" applyFont="1" applyFill="1" applyBorder="1" applyAlignment="1">
      <alignment horizontal="right"/>
    </xf>
    <xf numFmtId="178" fontId="18" fillId="0" borderId="12" xfId="2" applyNumberFormat="1" applyFont="1" applyFill="1" applyBorder="1" applyAlignment="1">
      <alignment horizontal="right"/>
    </xf>
    <xf numFmtId="178" fontId="18" fillId="10" borderId="12" xfId="2" applyNumberFormat="1" applyFont="1" applyFill="1" applyBorder="1" applyAlignment="1">
      <alignment horizontal="right"/>
    </xf>
    <xf numFmtId="178" fontId="0" fillId="3" borderId="12" xfId="2" applyNumberFormat="1" applyFont="1" applyFill="1" applyBorder="1" applyAlignment="1"/>
    <xf numFmtId="178" fontId="15" fillId="3" borderId="12" xfId="0" applyNumberFormat="1" applyFont="1" applyFill="1" applyBorder="1"/>
    <xf numFmtId="178" fontId="10" fillId="3" borderId="12" xfId="0" applyNumberFormat="1" applyFont="1" applyFill="1" applyBorder="1"/>
    <xf numFmtId="178" fontId="0" fillId="0" borderId="12" xfId="2" applyNumberFormat="1" applyFont="1" applyBorder="1" applyAlignment="1"/>
    <xf numFmtId="176" fontId="14" fillId="0" borderId="12" xfId="0" applyNumberFormat="1" applyFont="1" applyFill="1" applyBorder="1"/>
    <xf numFmtId="176" fontId="15" fillId="0" borderId="12" xfId="0" applyNumberFormat="1" applyFont="1" applyFill="1" applyBorder="1"/>
    <xf numFmtId="178" fontId="5" fillId="0" borderId="12" xfId="2" applyNumberFormat="1" applyFont="1" applyFill="1" applyBorder="1" applyAlignment="1"/>
    <xf numFmtId="178" fontId="5" fillId="10" borderId="12" xfId="2" applyNumberFormat="1" applyFont="1" applyFill="1" applyBorder="1" applyAlignment="1"/>
    <xf numFmtId="9" fontId="5" fillId="10" borderId="12" xfId="2" applyNumberFormat="1" applyFont="1" applyFill="1" applyBorder="1" applyAlignment="1"/>
    <xf numFmtId="178" fontId="19" fillId="0" borderId="12" xfId="2" applyNumberFormat="1" applyFont="1" applyFill="1" applyBorder="1" applyAlignment="1"/>
    <xf numFmtId="185" fontId="4" fillId="13" borderId="12" xfId="0" applyNumberFormat="1" applyFont="1" applyFill="1" applyBorder="1" applyAlignment="1">
      <alignment horizontal="center"/>
    </xf>
    <xf numFmtId="182" fontId="13" fillId="0" borderId="0" xfId="1" applyNumberFormat="1" applyFont="1" applyFill="1" applyBorder="1" applyAlignment="1"/>
    <xf numFmtId="9" fontId="43" fillId="0" borderId="0" xfId="2" applyFont="1" applyAlignment="1"/>
    <xf numFmtId="185" fontId="43" fillId="0" borderId="0" xfId="0" applyFont="1"/>
    <xf numFmtId="182" fontId="43" fillId="0" borderId="0" xfId="1" applyNumberFormat="1" applyFont="1" applyAlignment="1"/>
    <xf numFmtId="185" fontId="45" fillId="0" borderId="0" xfId="0" applyFont="1"/>
    <xf numFmtId="185" fontId="4" fillId="18" borderId="0" xfId="0" applyNumberFormat="1" applyFont="1" applyFill="1" applyBorder="1" applyAlignment="1">
      <alignment horizontal="center"/>
    </xf>
    <xf numFmtId="185" fontId="10" fillId="0" borderId="0" xfId="0" applyFont="1"/>
    <xf numFmtId="182" fontId="14" fillId="0" borderId="0" xfId="1" applyNumberFormat="1" applyFont="1" applyFill="1" applyBorder="1" applyAlignment="1"/>
    <xf numFmtId="0" fontId="4" fillId="2" borderId="0" xfId="0" applyNumberFormat="1" applyFont="1" applyFill="1" applyAlignment="1">
      <alignment horizontal="center"/>
    </xf>
    <xf numFmtId="186" fontId="14" fillId="0" borderId="0" xfId="1" applyNumberFormat="1" applyFont="1" applyFill="1" applyBorder="1" applyAlignment="1"/>
    <xf numFmtId="186" fontId="14" fillId="0" borderId="12" xfId="1" applyNumberFormat="1" applyFont="1" applyFill="1" applyBorder="1" applyAlignment="1"/>
    <xf numFmtId="185" fontId="6" fillId="21" borderId="0" xfId="0" applyFont="1" applyFill="1"/>
    <xf numFmtId="38" fontId="14" fillId="21" borderId="0" xfId="1" applyNumberFormat="1" applyFont="1" applyFill="1" applyAlignment="1"/>
    <xf numFmtId="37" fontId="14" fillId="21" borderId="0" xfId="1" applyNumberFormat="1" applyFont="1" applyFill="1" applyAlignment="1"/>
    <xf numFmtId="37" fontId="14" fillId="21" borderId="12" xfId="1" applyNumberFormat="1" applyFont="1" applyFill="1" applyBorder="1" applyAlignment="1"/>
    <xf numFmtId="37" fontId="14" fillId="21" borderId="0" xfId="0" applyNumberFormat="1" applyFont="1" applyFill="1"/>
    <xf numFmtId="37" fontId="14" fillId="21" borderId="13" xfId="1" applyNumberFormat="1" applyFont="1" applyFill="1" applyBorder="1" applyAlignment="1"/>
    <xf numFmtId="37" fontId="14" fillId="21" borderId="12" xfId="0" applyNumberFormat="1" applyFont="1" applyFill="1" applyBorder="1"/>
    <xf numFmtId="37" fontId="14" fillId="21" borderId="0" xfId="0" applyNumberFormat="1" applyFont="1" applyFill="1" applyBorder="1"/>
    <xf numFmtId="37" fontId="15" fillId="21" borderId="0" xfId="0" applyNumberFormat="1" applyFont="1" applyFill="1" applyBorder="1"/>
    <xf numFmtId="37" fontId="14" fillId="21" borderId="13" xfId="0" applyNumberFormat="1" applyFont="1" applyFill="1" applyBorder="1"/>
    <xf numFmtId="182" fontId="13" fillId="21" borderId="0" xfId="1" applyNumberFormat="1" applyFont="1" applyFill="1" applyBorder="1" applyAlignment="1"/>
    <xf numFmtId="37" fontId="6" fillId="0" borderId="0" xfId="0" applyNumberFormat="1" applyFont="1" applyFill="1" applyBorder="1"/>
    <xf numFmtId="185" fontId="6" fillId="21" borderId="0" xfId="0" quotePrefix="1" applyFont="1" applyFill="1"/>
    <xf numFmtId="38" fontId="46" fillId="3" borderId="0" xfId="1" applyNumberFormat="1" applyFont="1" applyFill="1" applyAlignment="1"/>
    <xf numFmtId="37" fontId="46" fillId="3" borderId="0" xfId="1" applyNumberFormat="1" applyFont="1" applyFill="1" applyAlignment="1"/>
    <xf numFmtId="37" fontId="46" fillId="3" borderId="12" xfId="1" applyNumberFormat="1" applyFont="1" applyFill="1" applyBorder="1" applyAlignment="1"/>
    <xf numFmtId="37" fontId="46" fillId="3" borderId="0" xfId="0" applyNumberFormat="1" applyFont="1" applyFill="1"/>
    <xf numFmtId="37" fontId="46" fillId="3" borderId="13" xfId="1" applyNumberFormat="1" applyFont="1" applyFill="1" applyBorder="1" applyAlignment="1"/>
    <xf numFmtId="37" fontId="46" fillId="3" borderId="12" xfId="0" applyNumberFormat="1" applyFont="1" applyFill="1" applyBorder="1"/>
    <xf numFmtId="37" fontId="46" fillId="3" borderId="0" xfId="0" applyNumberFormat="1" applyFont="1" applyFill="1" applyBorder="1"/>
    <xf numFmtId="37" fontId="6" fillId="3" borderId="0" xfId="0" applyNumberFormat="1" applyFont="1" applyFill="1" applyBorder="1"/>
    <xf numFmtId="37" fontId="46" fillId="3" borderId="13" xfId="0" applyNumberFormat="1" applyFont="1" applyFill="1" applyBorder="1"/>
    <xf numFmtId="182" fontId="46" fillId="3" borderId="0" xfId="1" applyNumberFormat="1" applyFont="1" applyFill="1" applyBorder="1" applyAlignment="1"/>
    <xf numFmtId="9" fontId="18" fillId="0" borderId="0" xfId="2" applyFont="1" applyFill="1" applyBorder="1" applyAlignment="1"/>
    <xf numFmtId="185" fontId="18" fillId="0" borderId="0" xfId="0" quotePrefix="1" applyFont="1" applyAlignment="1">
      <alignment horizontal="left" indent="1"/>
    </xf>
    <xf numFmtId="38" fontId="6" fillId="0" borderId="0" xfId="1" applyNumberFormat="1" applyFont="1" applyAlignment="1"/>
    <xf numFmtId="37" fontId="6" fillId="0" borderId="0" xfId="1" applyNumberFormat="1" applyFont="1" applyAlignment="1"/>
    <xf numFmtId="37" fontId="6" fillId="0" borderId="12" xfId="1" applyNumberFormat="1" applyFont="1" applyBorder="1" applyAlignment="1"/>
    <xf numFmtId="37" fontId="6" fillId="0" borderId="0" xfId="0" applyNumberFormat="1" applyFont="1" applyFill="1"/>
    <xf numFmtId="37" fontId="6" fillId="0" borderId="13" xfId="1" applyNumberFormat="1" applyFont="1" applyBorder="1" applyAlignment="1"/>
    <xf numFmtId="37" fontId="6" fillId="0" borderId="12" xfId="0" applyNumberFormat="1" applyFont="1" applyBorder="1"/>
    <xf numFmtId="37" fontId="6" fillId="0" borderId="13" xfId="0" applyNumberFormat="1" applyFont="1" applyFill="1" applyBorder="1"/>
    <xf numFmtId="37" fontId="6" fillId="0" borderId="12" xfId="0" applyNumberFormat="1" applyFont="1" applyFill="1" applyBorder="1"/>
    <xf numFmtId="38" fontId="15" fillId="0" borderId="0" xfId="1" applyNumberFormat="1" applyFont="1" applyAlignment="1"/>
    <xf numFmtId="37" fontId="15" fillId="0" borderId="0" xfId="1" applyNumberFormat="1" applyFont="1" applyAlignment="1"/>
    <xf numFmtId="37" fontId="15" fillId="0" borderId="12" xfId="1" applyNumberFormat="1" applyFont="1" applyBorder="1" applyAlignment="1"/>
    <xf numFmtId="37" fontId="15" fillId="0" borderId="0" xfId="0" applyNumberFormat="1" applyFont="1" applyFill="1"/>
    <xf numFmtId="37" fontId="15" fillId="0" borderId="13" xfId="1" applyNumberFormat="1" applyFont="1" applyBorder="1" applyAlignment="1"/>
    <xf numFmtId="37" fontId="15" fillId="0" borderId="12" xfId="0" applyNumberFormat="1" applyFont="1" applyBorder="1"/>
    <xf numFmtId="37" fontId="15" fillId="0" borderId="13" xfId="0" applyNumberFormat="1" applyFont="1" applyFill="1" applyBorder="1"/>
    <xf numFmtId="37" fontId="15" fillId="0" borderId="12" xfId="0" applyNumberFormat="1" applyFont="1" applyFill="1" applyBorder="1"/>
    <xf numFmtId="185" fontId="0" fillId="3" borderId="12" xfId="0" applyFill="1" applyBorder="1"/>
    <xf numFmtId="185" fontId="0" fillId="3" borderId="13" xfId="0" applyFill="1" applyBorder="1"/>
    <xf numFmtId="185" fontId="0" fillId="3" borderId="0" xfId="0" applyFill="1" applyBorder="1"/>
    <xf numFmtId="185" fontId="0" fillId="8" borderId="12" xfId="0" applyFill="1" applyBorder="1"/>
    <xf numFmtId="185" fontId="0" fillId="8" borderId="0" xfId="0" applyFill="1" applyBorder="1"/>
    <xf numFmtId="185" fontId="6" fillId="8" borderId="17" xfId="0" applyNumberFormat="1" applyFont="1" applyFill="1" applyBorder="1" applyAlignment="1">
      <alignment horizontal="center"/>
    </xf>
    <xf numFmtId="185" fontId="6" fillId="8" borderId="18" xfId="0" applyNumberFormat="1" applyFont="1" applyFill="1" applyBorder="1" applyAlignment="1">
      <alignment horizontal="center"/>
    </xf>
    <xf numFmtId="185" fontId="15" fillId="8" borderId="23" xfId="0" applyFont="1" applyFill="1" applyBorder="1"/>
    <xf numFmtId="178" fontId="19" fillId="8" borderId="15" xfId="2" applyNumberFormat="1" applyFont="1" applyFill="1" applyBorder="1" applyAlignment="1"/>
    <xf numFmtId="178" fontId="19" fillId="8" borderId="24" xfId="2" applyNumberFormat="1" applyFont="1" applyFill="1" applyBorder="1" applyAlignment="1"/>
    <xf numFmtId="185" fontId="15" fillId="8" borderId="16" xfId="0" applyFont="1" applyFill="1" applyBorder="1"/>
    <xf numFmtId="9" fontId="14" fillId="0" borderId="0" xfId="2" applyFont="1" applyFill="1" applyBorder="1" applyAlignment="1"/>
    <xf numFmtId="182" fontId="0" fillId="0" borderId="0" xfId="1" applyNumberFormat="1" applyFont="1" applyFill="1" applyBorder="1" applyAlignment="1"/>
    <xf numFmtId="43" fontId="22" fillId="0" borderId="0" xfId="1" applyFont="1" applyAlignment="1">
      <alignment horizontal="right"/>
    </xf>
    <xf numFmtId="185" fontId="28" fillId="23" borderId="0" xfId="0" applyFont="1" applyFill="1"/>
    <xf numFmtId="185" fontId="28" fillId="23" borderId="0" xfId="0" applyFont="1" applyFill="1" applyAlignment="1">
      <alignment horizontal="right"/>
    </xf>
    <xf numFmtId="185" fontId="22" fillId="0" borderId="0" xfId="0" applyFont="1"/>
    <xf numFmtId="185" fontId="22" fillId="0" borderId="0" xfId="0" applyFont="1" applyAlignment="1">
      <alignment horizontal="right"/>
    </xf>
    <xf numFmtId="185" fontId="22" fillId="0" borderId="0" xfId="0" applyFont="1" applyAlignment="1">
      <alignment horizontal="left" indent="2"/>
    </xf>
    <xf numFmtId="9" fontId="22" fillId="0" borderId="0" xfId="0" applyNumberFormat="1" applyFont="1" applyAlignment="1">
      <alignment horizontal="right"/>
    </xf>
    <xf numFmtId="178" fontId="22" fillId="0" borderId="0" xfId="0" applyNumberFormat="1" applyFont="1" applyAlignment="1">
      <alignment horizontal="right"/>
    </xf>
    <xf numFmtId="182" fontId="22" fillId="0" borderId="0" xfId="1" applyNumberFormat="1" applyFont="1" applyAlignment="1">
      <alignment horizontal="right"/>
    </xf>
    <xf numFmtId="185" fontId="28" fillId="23" borderId="12" xfId="0" applyFont="1" applyFill="1" applyBorder="1" applyAlignment="1">
      <alignment horizontal="right"/>
    </xf>
    <xf numFmtId="185" fontId="22" fillId="0" borderId="12" xfId="0" applyFont="1" applyBorder="1" applyAlignment="1">
      <alignment horizontal="right"/>
    </xf>
    <xf numFmtId="9" fontId="22" fillId="0" borderId="12" xfId="0" applyNumberFormat="1" applyFont="1" applyBorder="1" applyAlignment="1">
      <alignment horizontal="right"/>
    </xf>
    <xf numFmtId="43" fontId="22" fillId="0" borderId="12" xfId="1" applyFont="1" applyBorder="1" applyAlignment="1">
      <alignment horizontal="right"/>
    </xf>
    <xf numFmtId="178" fontId="22" fillId="0" borderId="12" xfId="0" applyNumberFormat="1" applyFont="1" applyBorder="1" applyAlignment="1">
      <alignment horizontal="right"/>
    </xf>
    <xf numFmtId="182" fontId="22" fillId="0" borderId="12" xfId="1" applyNumberFormat="1" applyFont="1" applyBorder="1" applyAlignment="1">
      <alignment horizontal="right"/>
    </xf>
    <xf numFmtId="185" fontId="0" fillId="17" borderId="0" xfId="0" applyFill="1"/>
    <xf numFmtId="185" fontId="0" fillId="20" borderId="0" xfId="0" applyFill="1" applyAlignment="1">
      <alignment horizontal="left" indent="1"/>
    </xf>
    <xf numFmtId="182" fontId="0" fillId="20" borderId="0" xfId="1" applyNumberFormat="1" applyFont="1" applyFill="1" applyAlignment="1"/>
    <xf numFmtId="185" fontId="0" fillId="20" borderId="0" xfId="0" applyFill="1"/>
    <xf numFmtId="185" fontId="6" fillId="8" borderId="0" xfId="0" applyNumberFormat="1" applyFont="1" applyFill="1" applyBorder="1" applyAlignment="1">
      <alignment horizontal="center"/>
    </xf>
    <xf numFmtId="178" fontId="19" fillId="8" borderId="0" xfId="2" applyNumberFormat="1" applyFont="1" applyFill="1" applyBorder="1" applyAlignment="1"/>
    <xf numFmtId="185" fontId="22" fillId="19" borderId="0" xfId="0" applyFont="1" applyFill="1"/>
    <xf numFmtId="185" fontId="32" fillId="19" borderId="0" xfId="0" applyFont="1" applyFill="1"/>
    <xf numFmtId="43" fontId="32" fillId="19" borderId="0" xfId="1" applyFont="1" applyFill="1" applyAlignment="1">
      <alignment horizontal="right"/>
    </xf>
    <xf numFmtId="43" fontId="32" fillId="19" borderId="12" xfId="1" applyFont="1" applyFill="1" applyBorder="1" applyAlignment="1">
      <alignment horizontal="right"/>
    </xf>
    <xf numFmtId="182" fontId="32" fillId="19" borderId="0" xfId="1" applyNumberFormat="1" applyFont="1" applyFill="1" applyAlignment="1">
      <alignment horizontal="right"/>
    </xf>
    <xf numFmtId="182" fontId="32" fillId="19" borderId="12" xfId="1" applyNumberFormat="1" applyFont="1" applyFill="1" applyBorder="1" applyAlignment="1">
      <alignment horizontal="right"/>
    </xf>
    <xf numFmtId="185" fontId="22" fillId="14" borderId="0" xfId="0" applyFont="1" applyFill="1"/>
    <xf numFmtId="185" fontId="22" fillId="14" borderId="0" xfId="0" applyFont="1" applyFill="1" applyAlignment="1">
      <alignment horizontal="right"/>
    </xf>
    <xf numFmtId="185" fontId="22" fillId="14" borderId="12" xfId="0" applyFont="1" applyFill="1" applyBorder="1" applyAlignment="1">
      <alignment horizontal="right"/>
    </xf>
    <xf numFmtId="185" fontId="28" fillId="0" borderId="0" xfId="0" applyFont="1" applyFill="1"/>
    <xf numFmtId="185" fontId="22" fillId="0" borderId="0" xfId="0" applyFont="1" applyFill="1"/>
    <xf numFmtId="185" fontId="32" fillId="0" borderId="0" xfId="0" applyFont="1" applyFill="1"/>
    <xf numFmtId="185" fontId="49" fillId="0" borderId="0" xfId="0" applyFont="1"/>
    <xf numFmtId="178" fontId="0" fillId="20" borderId="0" xfId="2" applyNumberFormat="1" applyFont="1" applyFill="1" applyAlignment="1"/>
    <xf numFmtId="185" fontId="51" fillId="8" borderId="0" xfId="4" applyNumberFormat="1" applyFont="1" applyFill="1" applyAlignment="1">
      <alignment vertical="center"/>
    </xf>
    <xf numFmtId="185" fontId="51" fillId="8" borderId="16" xfId="4" applyNumberFormat="1" applyFont="1" applyFill="1" applyBorder="1" applyAlignment="1">
      <alignment horizontal="center" vertical="center"/>
    </xf>
    <xf numFmtId="185" fontId="51" fillId="8" borderId="17" xfId="4" applyNumberFormat="1" applyFont="1" applyFill="1" applyBorder="1" applyAlignment="1">
      <alignment horizontal="center" vertical="center"/>
    </xf>
    <xf numFmtId="185" fontId="51" fillId="8" borderId="18" xfId="4" applyNumberFormat="1" applyFont="1" applyFill="1" applyBorder="1" applyAlignment="1">
      <alignment horizontal="center" vertical="center"/>
    </xf>
    <xf numFmtId="185" fontId="51" fillId="8" borderId="0" xfId="4" applyNumberFormat="1" applyFont="1" applyFill="1" applyAlignment="1">
      <alignment horizontal="center" vertical="center"/>
    </xf>
    <xf numFmtId="185" fontId="51" fillId="8" borderId="13" xfId="4" applyNumberFormat="1" applyFont="1" applyFill="1" applyBorder="1" applyAlignment="1">
      <alignment horizontal="center" vertical="center"/>
    </xf>
    <xf numFmtId="185" fontId="51" fillId="8" borderId="0" xfId="4" applyNumberFormat="1" applyFont="1" applyFill="1" applyBorder="1" applyAlignment="1">
      <alignment horizontal="center" vertical="center"/>
    </xf>
    <xf numFmtId="185" fontId="51" fillId="0" borderId="12" xfId="4" applyNumberFormat="1" applyFont="1" applyFill="1" applyBorder="1" applyAlignment="1">
      <alignment horizontal="center" vertical="center"/>
    </xf>
    <xf numFmtId="185" fontId="51" fillId="8" borderId="12" xfId="4" applyNumberFormat="1" applyFont="1" applyFill="1" applyBorder="1" applyAlignment="1">
      <alignment horizontal="center" vertical="center"/>
    </xf>
    <xf numFmtId="0" fontId="52" fillId="13" borderId="2" xfId="4" applyNumberFormat="1" applyFont="1" applyFill="1" applyBorder="1" applyAlignment="1">
      <alignment horizontal="right" vertical="center"/>
    </xf>
    <xf numFmtId="0" fontId="52" fillId="13" borderId="25" xfId="4" applyNumberFormat="1" applyFont="1" applyFill="1" applyBorder="1" applyAlignment="1">
      <alignment horizontal="right" vertical="center"/>
    </xf>
    <xf numFmtId="0" fontId="52" fillId="13" borderId="0" xfId="4" applyNumberFormat="1" applyFont="1" applyFill="1" applyBorder="1" applyAlignment="1">
      <alignment horizontal="right" vertical="center"/>
    </xf>
    <xf numFmtId="185" fontId="51" fillId="8" borderId="13" xfId="4" applyNumberFormat="1" applyFont="1" applyFill="1" applyBorder="1" applyAlignment="1">
      <alignment vertical="center"/>
    </xf>
    <xf numFmtId="185" fontId="51" fillId="0" borderId="0" xfId="4" applyFont="1"/>
    <xf numFmtId="185" fontId="53" fillId="0" borderId="0" xfId="4" applyFont="1"/>
    <xf numFmtId="3" fontId="53" fillId="0" borderId="13" xfId="4" applyNumberFormat="1" applyFont="1" applyBorder="1"/>
    <xf numFmtId="3" fontId="53" fillId="0" borderId="0" xfId="4" applyNumberFormat="1" applyFont="1" applyBorder="1"/>
    <xf numFmtId="3" fontId="53" fillId="0" borderId="12" xfId="4" applyNumberFormat="1" applyFont="1" applyBorder="1"/>
    <xf numFmtId="3" fontId="53" fillId="0" borderId="0" xfId="4" applyNumberFormat="1" applyFont="1"/>
    <xf numFmtId="3" fontId="53" fillId="8" borderId="0" xfId="4" applyNumberFormat="1" applyFont="1" applyFill="1" applyBorder="1"/>
    <xf numFmtId="3" fontId="53" fillId="0" borderId="5" xfId="4" applyNumberFormat="1" applyFont="1" applyBorder="1"/>
    <xf numFmtId="3" fontId="53" fillId="0" borderId="25" xfId="4" applyNumberFormat="1" applyFont="1" applyBorder="1"/>
    <xf numFmtId="185" fontId="51" fillId="0" borderId="0" xfId="4" applyFont="1" applyBorder="1"/>
    <xf numFmtId="185" fontId="51" fillId="0" borderId="13" xfId="4" applyFont="1" applyBorder="1"/>
    <xf numFmtId="185" fontId="54" fillId="0" borderId="0" xfId="4" applyFont="1"/>
    <xf numFmtId="3" fontId="55" fillId="0" borderId="13" xfId="4" applyNumberFormat="1" applyFont="1" applyBorder="1"/>
    <xf numFmtId="3" fontId="55" fillId="0" borderId="0" xfId="4" applyNumberFormat="1" applyFont="1" applyBorder="1"/>
    <xf numFmtId="3" fontId="55" fillId="0" borderId="12" xfId="4" applyNumberFormat="1" applyFont="1" applyBorder="1"/>
    <xf numFmtId="3" fontId="55" fillId="0" borderId="0" xfId="4" applyNumberFormat="1" applyFont="1"/>
    <xf numFmtId="9" fontId="56" fillId="8" borderId="0" xfId="2" applyFont="1" applyFill="1" applyBorder="1" applyAlignment="1"/>
    <xf numFmtId="3" fontId="56" fillId="0" borderId="5" xfId="4" applyNumberFormat="1" applyFont="1" applyBorder="1"/>
    <xf numFmtId="3" fontId="56" fillId="0" borderId="25" xfId="4" applyNumberFormat="1" applyFont="1" applyBorder="1"/>
    <xf numFmtId="3" fontId="56" fillId="0" borderId="0" xfId="4" applyNumberFormat="1" applyFont="1" applyBorder="1"/>
    <xf numFmtId="185" fontId="57" fillId="4" borderId="0" xfId="4" applyFont="1" applyFill="1"/>
    <xf numFmtId="185" fontId="58" fillId="4" borderId="0" xfId="4" applyFont="1" applyFill="1"/>
    <xf numFmtId="9" fontId="58" fillId="4" borderId="0" xfId="2" applyFont="1" applyFill="1" applyBorder="1" applyAlignment="1"/>
    <xf numFmtId="9" fontId="58" fillId="4" borderId="12" xfId="2" applyFont="1" applyFill="1" applyBorder="1" applyAlignment="1"/>
    <xf numFmtId="9" fontId="58" fillId="4" borderId="0" xfId="2" applyNumberFormat="1" applyFont="1" applyFill="1" applyBorder="1" applyAlignment="1"/>
    <xf numFmtId="9" fontId="58" fillId="4" borderId="13" xfId="2" applyNumberFormat="1" applyFont="1" applyFill="1" applyBorder="1" applyAlignment="1"/>
    <xf numFmtId="9" fontId="58" fillId="4" borderId="12" xfId="2" applyNumberFormat="1" applyFont="1" applyFill="1" applyBorder="1" applyAlignment="1"/>
    <xf numFmtId="9" fontId="51" fillId="8" borderId="0" xfId="2" applyFont="1" applyFill="1" applyBorder="1" applyAlignment="1"/>
    <xf numFmtId="185" fontId="51" fillId="0" borderId="5" xfId="4" applyFont="1" applyBorder="1"/>
    <xf numFmtId="185" fontId="51" fillId="0" borderId="25" xfId="4" applyFont="1" applyBorder="1"/>
    <xf numFmtId="185" fontId="56" fillId="0" borderId="13" xfId="4" applyFont="1" applyBorder="1"/>
    <xf numFmtId="185" fontId="51" fillId="8" borderId="0" xfId="4" applyFont="1" applyFill="1"/>
    <xf numFmtId="185" fontId="54" fillId="8" borderId="0" xfId="4" applyFont="1" applyFill="1"/>
    <xf numFmtId="185" fontId="58" fillId="8" borderId="0" xfId="4" applyFont="1" applyFill="1"/>
    <xf numFmtId="182" fontId="59" fillId="8" borderId="0" xfId="1" applyNumberFormat="1" applyFont="1" applyFill="1" applyBorder="1" applyAlignment="1"/>
    <xf numFmtId="182" fontId="59" fillId="8" borderId="12" xfId="1" applyNumberFormat="1" applyFont="1" applyFill="1" applyBorder="1" applyAlignment="1"/>
    <xf numFmtId="182" fontId="59" fillId="8" borderId="13" xfId="1" applyNumberFormat="1" applyFont="1" applyFill="1" applyBorder="1" applyAlignment="1"/>
    <xf numFmtId="185" fontId="51" fillId="8" borderId="5" xfId="4" applyFont="1" applyFill="1" applyBorder="1"/>
    <xf numFmtId="185" fontId="51" fillId="8" borderId="25" xfId="4" applyFont="1" applyFill="1" applyBorder="1"/>
    <xf numFmtId="185" fontId="51" fillId="8" borderId="0" xfId="4" applyFont="1" applyFill="1" applyBorder="1"/>
    <xf numFmtId="185" fontId="56" fillId="8" borderId="13" xfId="4" applyFont="1" applyFill="1" applyBorder="1"/>
    <xf numFmtId="9" fontId="58" fillId="4" borderId="13" xfId="2" applyFont="1" applyFill="1" applyBorder="1" applyAlignment="1"/>
    <xf numFmtId="185" fontId="57" fillId="8" borderId="0" xfId="4" applyFont="1" applyFill="1"/>
    <xf numFmtId="9" fontId="58" fillId="8" borderId="0" xfId="2" applyFont="1" applyFill="1" applyBorder="1" applyAlignment="1"/>
    <xf numFmtId="9" fontId="58" fillId="8" borderId="12" xfId="2" applyFont="1" applyFill="1" applyBorder="1" applyAlignment="1"/>
    <xf numFmtId="178" fontId="59" fillId="8" borderId="0" xfId="2" applyNumberFormat="1" applyFont="1" applyFill="1" applyBorder="1" applyAlignment="1"/>
    <xf numFmtId="178" fontId="59" fillId="8" borderId="13" xfId="2" applyNumberFormat="1" applyFont="1" applyFill="1" applyBorder="1" applyAlignment="1"/>
    <xf numFmtId="178" fontId="59" fillId="8" borderId="12" xfId="2" applyNumberFormat="1" applyFont="1" applyFill="1" applyBorder="1" applyAlignment="1"/>
    <xf numFmtId="3" fontId="52" fillId="13" borderId="0" xfId="4" applyNumberFormat="1" applyFont="1" applyFill="1" applyAlignment="1">
      <alignment vertical="center"/>
    </xf>
    <xf numFmtId="185" fontId="52" fillId="13" borderId="2" xfId="4" applyNumberFormat="1" applyFont="1" applyFill="1" applyBorder="1" applyAlignment="1">
      <alignment vertical="center"/>
    </xf>
    <xf numFmtId="185" fontId="52" fillId="13" borderId="19" xfId="4" applyNumberFormat="1" applyFont="1" applyFill="1" applyBorder="1" applyAlignment="1">
      <alignment horizontal="right" vertical="center"/>
    </xf>
    <xf numFmtId="185" fontId="52" fillId="13" borderId="3" xfId="4" applyNumberFormat="1" applyFont="1" applyFill="1" applyBorder="1" applyAlignment="1">
      <alignment horizontal="right" vertical="center"/>
    </xf>
    <xf numFmtId="185" fontId="52" fillId="13" borderId="20" xfId="4" applyNumberFormat="1" applyFont="1" applyFill="1" applyBorder="1" applyAlignment="1">
      <alignment horizontal="right" vertical="center"/>
    </xf>
    <xf numFmtId="185" fontId="52" fillId="13" borderId="0" xfId="4" applyNumberFormat="1" applyFont="1" applyFill="1" applyBorder="1" applyAlignment="1">
      <alignment horizontal="right" vertical="center"/>
    </xf>
    <xf numFmtId="185" fontId="52" fillId="13" borderId="13" xfId="4" applyNumberFormat="1" applyFont="1" applyFill="1" applyBorder="1" applyAlignment="1">
      <alignment horizontal="right" vertical="center"/>
    </xf>
    <xf numFmtId="185" fontId="52" fillId="13" borderId="12" xfId="4" applyNumberFormat="1" applyFont="1" applyFill="1" applyBorder="1" applyAlignment="1">
      <alignment horizontal="right" vertical="center"/>
    </xf>
    <xf numFmtId="3" fontId="56" fillId="8" borderId="0" xfId="4" applyNumberFormat="1" applyFont="1" applyFill="1" applyBorder="1" applyAlignment="1">
      <alignment vertical="center"/>
    </xf>
    <xf numFmtId="3" fontId="60" fillId="9" borderId="13" xfId="4" applyNumberFormat="1" applyFont="1" applyFill="1" applyBorder="1" applyAlignment="1">
      <alignment horizontal="center" vertical="center"/>
    </xf>
    <xf numFmtId="3" fontId="52" fillId="9" borderId="0" xfId="4" applyNumberFormat="1" applyFont="1" applyFill="1" applyAlignment="1">
      <alignment vertical="center"/>
    </xf>
    <xf numFmtId="3" fontId="51" fillId="8" borderId="0" xfId="4" applyNumberFormat="1" applyFont="1" applyFill="1" applyAlignment="1">
      <alignment vertical="center"/>
    </xf>
    <xf numFmtId="3" fontId="51" fillId="8" borderId="13" xfId="4" applyNumberFormat="1" applyFont="1" applyFill="1" applyBorder="1" applyAlignment="1">
      <alignment vertical="center"/>
    </xf>
    <xf numFmtId="3" fontId="51" fillId="8" borderId="0" xfId="4" applyNumberFormat="1" applyFont="1" applyFill="1" applyBorder="1" applyAlignment="1">
      <alignment vertical="center"/>
    </xf>
    <xf numFmtId="3" fontId="51" fillId="8" borderId="12" xfId="4" applyNumberFormat="1" applyFont="1" applyFill="1" applyBorder="1" applyAlignment="1">
      <alignment vertical="center"/>
    </xf>
    <xf numFmtId="178" fontId="51" fillId="8" borderId="0" xfId="2" applyNumberFormat="1" applyFont="1" applyFill="1" applyBorder="1" applyAlignment="1">
      <alignment vertical="center"/>
    </xf>
    <xf numFmtId="182" fontId="51" fillId="8" borderId="0" xfId="1" applyNumberFormat="1" applyFont="1" applyFill="1" applyBorder="1" applyAlignment="1">
      <alignment vertical="center"/>
    </xf>
    <xf numFmtId="9" fontId="51" fillId="8" borderId="13" xfId="2" applyFont="1" applyFill="1" applyBorder="1" applyAlignment="1">
      <alignment vertical="center"/>
    </xf>
    <xf numFmtId="9" fontId="51" fillId="8" borderId="0" xfId="2" applyFont="1" applyFill="1" applyBorder="1" applyAlignment="1">
      <alignment vertical="center"/>
    </xf>
    <xf numFmtId="9" fontId="51" fillId="8" borderId="12" xfId="2" applyFont="1" applyFill="1" applyBorder="1" applyAlignment="1">
      <alignment vertical="center"/>
    </xf>
    <xf numFmtId="9" fontId="56" fillId="8" borderId="0" xfId="2" applyFont="1" applyFill="1" applyBorder="1" applyAlignment="1">
      <alignment vertical="center"/>
    </xf>
    <xf numFmtId="3" fontId="51" fillId="8" borderId="5" xfId="4" applyNumberFormat="1" applyFont="1" applyFill="1" applyBorder="1" applyAlignment="1">
      <alignment vertical="center"/>
    </xf>
    <xf numFmtId="3" fontId="51" fillId="8" borderId="25" xfId="4" applyNumberFormat="1" applyFont="1" applyFill="1" applyBorder="1" applyAlignment="1">
      <alignment vertical="center"/>
    </xf>
    <xf numFmtId="3" fontId="61" fillId="8" borderId="13" xfId="4" applyNumberFormat="1" applyFont="1" applyFill="1" applyBorder="1" applyAlignment="1">
      <alignment vertical="center"/>
    </xf>
    <xf numFmtId="3" fontId="61" fillId="8" borderId="0" xfId="4" applyNumberFormat="1" applyFont="1" applyFill="1" applyBorder="1" applyAlignment="1">
      <alignment vertical="center"/>
    </xf>
    <xf numFmtId="3" fontId="61" fillId="8" borderId="12" xfId="4" applyNumberFormat="1" applyFont="1" applyFill="1" applyBorder="1" applyAlignment="1">
      <alignment vertical="center"/>
    </xf>
    <xf numFmtId="3" fontId="62" fillId="8" borderId="0" xfId="4" applyNumberFormat="1" applyFont="1" applyFill="1" applyBorder="1" applyAlignment="1">
      <alignment vertical="center"/>
    </xf>
    <xf numFmtId="3" fontId="56" fillId="8" borderId="5" xfId="4" applyNumberFormat="1" applyFont="1" applyFill="1" applyBorder="1" applyAlignment="1">
      <alignment vertical="center"/>
    </xf>
    <xf numFmtId="3" fontId="56" fillId="8" borderId="25" xfId="4" applyNumberFormat="1" applyFont="1" applyFill="1" applyBorder="1" applyAlignment="1">
      <alignment vertical="center"/>
    </xf>
    <xf numFmtId="3" fontId="63" fillId="8" borderId="0" xfId="4" applyNumberFormat="1" applyFont="1" applyFill="1" applyAlignment="1">
      <alignment vertical="center"/>
    </xf>
    <xf numFmtId="3" fontId="63" fillId="8" borderId="0" xfId="4" applyNumberFormat="1" applyFont="1" applyFill="1" applyAlignment="1">
      <alignment horizontal="left" vertical="center" indent="1"/>
    </xf>
    <xf numFmtId="3" fontId="63" fillId="8" borderId="13" xfId="4" applyNumberFormat="1" applyFont="1" applyFill="1" applyBorder="1" applyAlignment="1">
      <alignment horizontal="left" vertical="center" indent="1"/>
    </xf>
    <xf numFmtId="3" fontId="63" fillId="8" borderId="0" xfId="4" applyNumberFormat="1" applyFont="1" applyFill="1" applyBorder="1" applyAlignment="1">
      <alignment horizontal="left" vertical="center" indent="1"/>
    </xf>
    <xf numFmtId="9" fontId="63" fillId="8" borderId="12" xfId="2" applyFont="1" applyFill="1" applyBorder="1" applyAlignment="1">
      <alignment vertical="center"/>
    </xf>
    <xf numFmtId="9" fontId="63" fillId="8" borderId="0" xfId="2" applyFont="1" applyFill="1" applyAlignment="1">
      <alignment vertical="center"/>
    </xf>
    <xf numFmtId="9" fontId="63" fillId="8" borderId="0" xfId="2" applyFont="1" applyFill="1" applyBorder="1" applyAlignment="1">
      <alignment vertical="center"/>
    </xf>
    <xf numFmtId="9" fontId="63" fillId="8" borderId="13" xfId="2" applyFont="1" applyFill="1" applyBorder="1" applyAlignment="1">
      <alignment vertical="center"/>
    </xf>
    <xf numFmtId="9" fontId="58" fillId="8" borderId="0" xfId="2" applyFont="1" applyFill="1" applyBorder="1" applyAlignment="1">
      <alignment vertical="center"/>
    </xf>
    <xf numFmtId="9" fontId="63" fillId="8" borderId="5" xfId="2" applyFont="1" applyFill="1" applyBorder="1" applyAlignment="1">
      <alignment vertical="center"/>
    </xf>
    <xf numFmtId="9" fontId="63" fillId="8" borderId="25" xfId="2" applyFont="1" applyFill="1" applyBorder="1" applyAlignment="1">
      <alignment vertical="center"/>
    </xf>
    <xf numFmtId="3" fontId="63" fillId="8" borderId="0" xfId="4" applyNumberFormat="1" applyFont="1" applyFill="1" applyBorder="1" applyAlignment="1">
      <alignment vertical="center"/>
    </xf>
    <xf numFmtId="178" fontId="51" fillId="8" borderId="0" xfId="2" applyNumberFormat="1" applyFont="1" applyFill="1" applyAlignment="1">
      <alignment vertical="center"/>
    </xf>
    <xf numFmtId="178" fontId="51" fillId="8" borderId="13" xfId="2" applyNumberFormat="1" applyFont="1" applyFill="1" applyBorder="1" applyAlignment="1">
      <alignment vertical="center"/>
    </xf>
    <xf numFmtId="178" fontId="51" fillId="8" borderId="12" xfId="2" applyNumberFormat="1" applyFont="1" applyFill="1" applyBorder="1" applyAlignment="1">
      <alignment vertical="center"/>
    </xf>
    <xf numFmtId="178" fontId="51" fillId="8" borderId="5" xfId="2" applyNumberFormat="1" applyFont="1" applyFill="1" applyBorder="1" applyAlignment="1">
      <alignment vertical="center"/>
    </xf>
    <xf numFmtId="3" fontId="64" fillId="8" borderId="13" xfId="4" applyNumberFormat="1" applyFont="1" applyFill="1" applyBorder="1" applyAlignment="1">
      <alignment vertical="center"/>
    </xf>
    <xf numFmtId="3" fontId="64" fillId="8" borderId="0" xfId="4" applyNumberFormat="1" applyFont="1" applyFill="1" applyBorder="1" applyAlignment="1">
      <alignment vertical="center"/>
    </xf>
    <xf numFmtId="3" fontId="64" fillId="8" borderId="12" xfId="4" applyNumberFormat="1" applyFont="1" applyFill="1" applyBorder="1" applyAlignment="1">
      <alignment vertical="center"/>
    </xf>
    <xf numFmtId="9" fontId="65" fillId="8" borderId="0" xfId="2" applyFont="1" applyFill="1" applyBorder="1" applyAlignment="1">
      <alignment vertical="center"/>
    </xf>
    <xf numFmtId="3" fontId="66" fillId="8" borderId="5" xfId="4" applyNumberFormat="1" applyFont="1" applyFill="1" applyBorder="1" applyAlignment="1">
      <alignment vertical="center"/>
    </xf>
    <xf numFmtId="3" fontId="66" fillId="8" borderId="25" xfId="4" applyNumberFormat="1" applyFont="1" applyFill="1" applyBorder="1" applyAlignment="1">
      <alignment vertical="center"/>
    </xf>
    <xf numFmtId="3" fontId="66" fillId="8" borderId="0" xfId="4" applyNumberFormat="1" applyFont="1" applyFill="1" applyBorder="1" applyAlignment="1">
      <alignment vertical="center"/>
    </xf>
    <xf numFmtId="182" fontId="63" fillId="8" borderId="0" xfId="1" applyNumberFormat="1" applyFont="1" applyFill="1" applyAlignment="1">
      <alignment vertical="center"/>
    </xf>
    <xf numFmtId="182" fontId="63" fillId="8" borderId="12" xfId="1" applyNumberFormat="1" applyFont="1" applyFill="1" applyBorder="1" applyAlignment="1">
      <alignment vertical="center"/>
    </xf>
    <xf numFmtId="182" fontId="63" fillId="8" borderId="13" xfId="1" applyNumberFormat="1" applyFont="1" applyFill="1" applyBorder="1" applyAlignment="1">
      <alignment vertical="center"/>
    </xf>
    <xf numFmtId="182" fontId="63" fillId="8" borderId="0" xfId="1" applyNumberFormat="1" applyFont="1" applyFill="1" applyBorder="1" applyAlignment="1">
      <alignment vertical="center"/>
    </xf>
    <xf numFmtId="3" fontId="63" fillId="8" borderId="13" xfId="4" applyNumberFormat="1" applyFont="1" applyFill="1" applyBorder="1" applyAlignment="1">
      <alignment vertical="center"/>
    </xf>
    <xf numFmtId="185" fontId="51" fillId="10" borderId="0" xfId="4" applyNumberFormat="1" applyFont="1" applyFill="1" applyAlignment="1">
      <alignment vertical="center"/>
    </xf>
    <xf numFmtId="185" fontId="52" fillId="13" borderId="3" xfId="4" applyNumberFormat="1" applyFont="1" applyFill="1" applyBorder="1" applyAlignment="1">
      <alignment vertical="center"/>
    </xf>
    <xf numFmtId="185" fontId="52" fillId="8" borderId="3" xfId="4" applyNumberFormat="1" applyFont="1" applyFill="1" applyBorder="1" applyAlignment="1">
      <alignment horizontal="right" vertical="center"/>
    </xf>
    <xf numFmtId="185" fontId="51" fillId="10" borderId="13" xfId="4" applyNumberFormat="1" applyFont="1" applyFill="1" applyBorder="1" applyAlignment="1">
      <alignment vertical="center"/>
    </xf>
    <xf numFmtId="3" fontId="60" fillId="23" borderId="5" xfId="4" applyNumberFormat="1" applyFont="1" applyFill="1" applyBorder="1" applyAlignment="1">
      <alignment vertical="center"/>
    </xf>
    <xf numFmtId="3" fontId="52" fillId="23" borderId="0" xfId="4" applyNumberFormat="1" applyFont="1" applyFill="1" applyBorder="1" applyAlignment="1">
      <alignment vertical="center"/>
    </xf>
    <xf numFmtId="3" fontId="52" fillId="23" borderId="13" xfId="4" applyNumberFormat="1" applyFont="1" applyFill="1" applyBorder="1" applyAlignment="1">
      <alignment vertical="center"/>
    </xf>
    <xf numFmtId="9" fontId="52" fillId="23" borderId="12" xfId="2" applyFont="1" applyFill="1" applyBorder="1" applyAlignment="1">
      <alignment vertical="center"/>
    </xf>
    <xf numFmtId="9" fontId="52" fillId="23" borderId="0" xfId="2" applyFont="1" applyFill="1" applyBorder="1" applyAlignment="1">
      <alignment vertical="center"/>
    </xf>
    <xf numFmtId="9" fontId="52" fillId="23" borderId="13" xfId="2" applyFont="1" applyFill="1" applyBorder="1" applyAlignment="1">
      <alignment vertical="center"/>
    </xf>
    <xf numFmtId="9" fontId="51" fillId="8" borderId="0" xfId="4" applyNumberFormat="1" applyFont="1" applyFill="1" applyBorder="1" applyAlignment="1">
      <alignment vertical="center"/>
    </xf>
    <xf numFmtId="9" fontId="51" fillId="8" borderId="13" xfId="4" applyNumberFormat="1" applyFont="1" applyFill="1" applyBorder="1" applyAlignment="1">
      <alignment vertical="center"/>
    </xf>
    <xf numFmtId="9" fontId="51" fillId="8" borderId="12" xfId="4" applyNumberFormat="1" applyFont="1" applyFill="1" applyBorder="1" applyAlignment="1">
      <alignment vertical="center"/>
    </xf>
    <xf numFmtId="3" fontId="51" fillId="0" borderId="5" xfId="4" applyNumberFormat="1" applyFont="1" applyFill="1" applyBorder="1" applyAlignment="1">
      <alignment vertical="center"/>
    </xf>
    <xf numFmtId="9" fontId="51" fillId="0" borderId="25" xfId="2" applyFont="1" applyFill="1" applyBorder="1" applyAlignment="1">
      <alignment vertical="center"/>
    </xf>
    <xf numFmtId="9" fontId="51" fillId="0" borderId="0" xfId="2" applyFont="1" applyFill="1" applyBorder="1" applyAlignment="1">
      <alignment vertical="center"/>
    </xf>
    <xf numFmtId="183" fontId="51" fillId="8" borderId="13" xfId="4" applyNumberFormat="1" applyFont="1" applyFill="1" applyBorder="1" applyAlignment="1">
      <alignment vertical="center"/>
    </xf>
    <xf numFmtId="183" fontId="51" fillId="8" borderId="0" xfId="4" applyNumberFormat="1" applyFont="1" applyFill="1" applyBorder="1" applyAlignment="1">
      <alignment vertical="center"/>
    </xf>
    <xf numFmtId="183" fontId="51" fillId="8" borderId="12" xfId="4" applyNumberFormat="1" applyFont="1" applyFill="1" applyBorder="1" applyAlignment="1">
      <alignment vertical="center"/>
    </xf>
    <xf numFmtId="3" fontId="51" fillId="0" borderId="25" xfId="4" applyNumberFormat="1" applyFont="1" applyFill="1" applyBorder="1" applyAlignment="1">
      <alignment vertical="center"/>
    </xf>
    <xf numFmtId="3" fontId="51" fillId="0" borderId="0" xfId="4" applyNumberFormat="1" applyFont="1" applyFill="1" applyBorder="1" applyAlignment="1">
      <alignment vertical="center"/>
    </xf>
    <xf numFmtId="3" fontId="69" fillId="8" borderId="0" xfId="4" applyNumberFormat="1" applyFont="1" applyFill="1" applyAlignment="1">
      <alignment horizontal="center" vertical="center"/>
    </xf>
    <xf numFmtId="9" fontId="63" fillId="8" borderId="0" xfId="2" applyFont="1" applyFill="1" applyBorder="1" applyAlignment="1">
      <alignment horizontal="left" vertical="center" indent="1"/>
    </xf>
    <xf numFmtId="182" fontId="63" fillId="8" borderId="0" xfId="1" applyNumberFormat="1" applyFont="1" applyFill="1" applyBorder="1" applyAlignment="1">
      <alignment horizontal="left" vertical="center" indent="1"/>
    </xf>
    <xf numFmtId="9" fontId="70" fillId="8" borderId="12" xfId="2" applyFont="1" applyFill="1" applyBorder="1" applyAlignment="1">
      <alignment vertical="center"/>
    </xf>
    <xf numFmtId="9" fontId="59" fillId="8" borderId="0" xfId="2" applyFont="1" applyFill="1" applyBorder="1" applyAlignment="1">
      <alignment vertical="center"/>
    </xf>
    <xf numFmtId="9" fontId="70" fillId="17" borderId="0" xfId="2" applyFont="1" applyFill="1" applyBorder="1" applyAlignment="1">
      <alignment vertical="center"/>
    </xf>
    <xf numFmtId="9" fontId="70" fillId="17" borderId="13" xfId="2" applyFont="1" applyFill="1" applyBorder="1" applyAlignment="1">
      <alignment vertical="center"/>
    </xf>
    <xf numFmtId="9" fontId="70" fillId="17" borderId="0" xfId="2" applyNumberFormat="1" applyFont="1" applyFill="1" applyBorder="1" applyAlignment="1">
      <alignment vertical="center"/>
    </xf>
    <xf numFmtId="9" fontId="70" fillId="17" borderId="12" xfId="2" applyFont="1" applyFill="1" applyBorder="1" applyAlignment="1">
      <alignment vertical="center"/>
    </xf>
    <xf numFmtId="9" fontId="70" fillId="17" borderId="12" xfId="2" applyNumberFormat="1" applyFont="1" applyFill="1" applyBorder="1" applyAlignment="1">
      <alignment vertical="center"/>
    </xf>
    <xf numFmtId="9" fontId="70" fillId="8" borderId="5" xfId="2" applyFont="1" applyFill="1" applyBorder="1" applyAlignment="1">
      <alignment vertical="center"/>
    </xf>
    <xf numFmtId="3" fontId="51" fillId="8" borderId="0" xfId="4" applyNumberFormat="1" applyFont="1" applyFill="1" applyAlignment="1">
      <alignment horizontal="center" vertical="center"/>
    </xf>
    <xf numFmtId="10" fontId="51" fillId="8" borderId="0" xfId="2" applyNumberFormat="1" applyFont="1" applyFill="1" applyAlignment="1">
      <alignment vertical="center"/>
    </xf>
    <xf numFmtId="3" fontId="51" fillId="0" borderId="0" xfId="4" applyNumberFormat="1" applyFont="1" applyFill="1" applyAlignment="1">
      <alignment vertical="center"/>
    </xf>
    <xf numFmtId="3" fontId="68" fillId="8" borderId="13" xfId="4" applyNumberFormat="1" applyFont="1" applyFill="1" applyBorder="1" applyAlignment="1">
      <alignment vertical="center"/>
    </xf>
    <xf numFmtId="3" fontId="68" fillId="8" borderId="0" xfId="4" applyNumberFormat="1" applyFont="1" applyFill="1" applyBorder="1" applyAlignment="1">
      <alignment vertical="center"/>
    </xf>
    <xf numFmtId="3" fontId="71" fillId="8" borderId="12" xfId="4" applyNumberFormat="1" applyFont="1" applyFill="1" applyBorder="1" applyAlignment="1">
      <alignment vertical="center"/>
    </xf>
    <xf numFmtId="3" fontId="68" fillId="8" borderId="12" xfId="4" applyNumberFormat="1" applyFont="1" applyFill="1" applyBorder="1" applyAlignment="1">
      <alignment vertical="center"/>
    </xf>
    <xf numFmtId="3" fontId="55" fillId="0" borderId="5" xfId="4" applyNumberFormat="1" applyFont="1" applyFill="1" applyBorder="1" applyAlignment="1">
      <alignment vertical="center"/>
    </xf>
    <xf numFmtId="3" fontId="55" fillId="0" borderId="25" xfId="4" applyNumberFormat="1" applyFont="1" applyFill="1" applyBorder="1" applyAlignment="1">
      <alignment vertical="center"/>
    </xf>
    <xf numFmtId="3" fontId="55" fillId="0" borderId="0" xfId="4" applyNumberFormat="1" applyFont="1" applyFill="1" applyBorder="1" applyAlignment="1">
      <alignment vertical="center"/>
    </xf>
    <xf numFmtId="178" fontId="68" fillId="4" borderId="13" xfId="2" applyNumberFormat="1" applyFont="1" applyFill="1" applyBorder="1" applyAlignment="1">
      <alignment vertical="center"/>
    </xf>
    <xf numFmtId="178" fontId="68" fillId="4" borderId="0" xfId="2" applyNumberFormat="1" applyFont="1" applyFill="1" applyBorder="1" applyAlignment="1">
      <alignment vertical="center"/>
    </xf>
    <xf numFmtId="178" fontId="68" fillId="4" borderId="12" xfId="2" applyNumberFormat="1" applyFont="1" applyFill="1" applyBorder="1" applyAlignment="1">
      <alignment vertical="center"/>
    </xf>
    <xf numFmtId="178" fontId="55" fillId="4" borderId="0" xfId="2" applyNumberFormat="1" applyFont="1" applyFill="1" applyBorder="1" applyAlignment="1">
      <alignment vertical="center"/>
    </xf>
    <xf numFmtId="178" fontId="55" fillId="4" borderId="13" xfId="2" applyNumberFormat="1" applyFont="1" applyFill="1" applyBorder="1" applyAlignment="1">
      <alignment vertical="center"/>
    </xf>
    <xf numFmtId="178" fontId="55" fillId="4" borderId="12" xfId="2" applyNumberFormat="1" applyFont="1" applyFill="1" applyBorder="1" applyAlignment="1">
      <alignment vertical="center"/>
    </xf>
    <xf numFmtId="178" fontId="55" fillId="8" borderId="5" xfId="2" applyNumberFormat="1" applyFont="1" applyFill="1" applyBorder="1" applyAlignment="1">
      <alignment vertical="center"/>
    </xf>
    <xf numFmtId="178" fontId="55" fillId="8" borderId="25" xfId="2" applyNumberFormat="1" applyFont="1" applyFill="1" applyBorder="1" applyAlignment="1">
      <alignment vertical="center"/>
    </xf>
    <xf numFmtId="178" fontId="55" fillId="8" borderId="0" xfId="2" applyNumberFormat="1" applyFont="1" applyFill="1" applyBorder="1" applyAlignment="1">
      <alignment vertical="center"/>
    </xf>
    <xf numFmtId="183" fontId="51" fillId="8" borderId="0" xfId="4" applyNumberFormat="1" applyFont="1" applyFill="1" applyAlignment="1">
      <alignment vertical="center"/>
    </xf>
    <xf numFmtId="9" fontId="51" fillId="8" borderId="25" xfId="2" applyFont="1" applyFill="1" applyBorder="1" applyAlignment="1">
      <alignment vertical="center"/>
    </xf>
    <xf numFmtId="3" fontId="54" fillId="15" borderId="0" xfId="4" applyNumberFormat="1" applyFont="1" applyFill="1" applyBorder="1" applyAlignment="1">
      <alignment vertical="center"/>
    </xf>
    <xf numFmtId="43" fontId="51" fillId="15" borderId="0" xfId="1" applyFont="1" applyFill="1" applyBorder="1" applyAlignment="1">
      <alignment vertical="center"/>
    </xf>
    <xf numFmtId="43" fontId="51" fillId="15" borderId="12" xfId="1" applyFont="1" applyFill="1" applyBorder="1" applyAlignment="1">
      <alignment vertical="center"/>
    </xf>
    <xf numFmtId="43" fontId="51" fillId="15" borderId="13" xfId="1" applyFont="1" applyFill="1" applyBorder="1" applyAlignment="1">
      <alignment vertical="center"/>
    </xf>
    <xf numFmtId="43" fontId="51" fillId="15" borderId="5" xfId="1" applyFont="1" applyFill="1" applyBorder="1" applyAlignment="1">
      <alignment vertical="center"/>
    </xf>
    <xf numFmtId="43" fontId="51" fillId="15" borderId="25" xfId="1" applyFont="1" applyFill="1" applyBorder="1" applyAlignment="1">
      <alignment vertical="center"/>
    </xf>
    <xf numFmtId="3" fontId="52" fillId="23" borderId="5" xfId="4" applyNumberFormat="1" applyFont="1" applyFill="1" applyBorder="1" applyAlignment="1">
      <alignment vertical="center"/>
    </xf>
    <xf numFmtId="3" fontId="63" fillId="20" borderId="0" xfId="4" applyNumberFormat="1" applyFont="1" applyFill="1" applyBorder="1" applyAlignment="1">
      <alignment horizontal="left" vertical="center" indent="1"/>
    </xf>
    <xf numFmtId="178" fontId="51" fillId="20" borderId="0" xfId="2" applyNumberFormat="1" applyFont="1" applyFill="1" applyBorder="1" applyAlignment="1">
      <alignment vertical="center"/>
    </xf>
    <xf numFmtId="178" fontId="51" fillId="20" borderId="12" xfId="2" applyNumberFormat="1" applyFont="1" applyFill="1" applyBorder="1" applyAlignment="1">
      <alignment vertical="center"/>
    </xf>
    <xf numFmtId="9" fontId="51" fillId="20" borderId="0" xfId="2" applyFont="1" applyFill="1" applyBorder="1" applyAlignment="1">
      <alignment vertical="center"/>
    </xf>
    <xf numFmtId="9" fontId="51" fillId="20" borderId="12" xfId="2" applyFont="1" applyFill="1" applyBorder="1" applyAlignment="1">
      <alignment vertical="center"/>
    </xf>
    <xf numFmtId="9" fontId="51" fillId="20" borderId="13" xfId="2" applyFont="1" applyFill="1" applyBorder="1" applyAlignment="1">
      <alignment vertical="center"/>
    </xf>
    <xf numFmtId="3" fontId="73" fillId="8" borderId="0" xfId="4" applyNumberFormat="1" applyFont="1" applyFill="1" applyBorder="1" applyAlignment="1">
      <alignment vertical="center"/>
    </xf>
    <xf numFmtId="4" fontId="51" fillId="8" borderId="0" xfId="4" applyNumberFormat="1" applyFont="1" applyFill="1" applyBorder="1" applyAlignment="1">
      <alignment vertical="center"/>
    </xf>
    <xf numFmtId="4" fontId="51" fillId="8" borderId="12" xfId="4" applyNumberFormat="1" applyFont="1" applyFill="1" applyBorder="1" applyAlignment="1">
      <alignment vertical="center"/>
    </xf>
    <xf numFmtId="4" fontId="51" fillId="0" borderId="12" xfId="4" applyNumberFormat="1" applyFont="1" applyFill="1" applyBorder="1" applyAlignment="1">
      <alignment vertical="center"/>
    </xf>
    <xf numFmtId="9" fontId="63" fillId="8" borderId="0" xfId="4" applyNumberFormat="1" applyFont="1" applyFill="1" applyBorder="1" applyAlignment="1">
      <alignment vertical="center"/>
    </xf>
    <xf numFmtId="9" fontId="63" fillId="8" borderId="13" xfId="4" applyNumberFormat="1" applyFont="1" applyFill="1" applyBorder="1" applyAlignment="1">
      <alignment vertical="center"/>
    </xf>
    <xf numFmtId="9" fontId="63" fillId="8" borderId="12" xfId="4" applyNumberFormat="1" applyFont="1" applyFill="1" applyBorder="1" applyAlignment="1">
      <alignment vertical="center"/>
    </xf>
    <xf numFmtId="3" fontId="54" fillId="15" borderId="0" xfId="4" applyNumberFormat="1" applyFont="1" applyFill="1" applyBorder="1" applyAlignment="1">
      <alignment horizontal="left" vertical="center" indent="1"/>
    </xf>
    <xf numFmtId="9" fontId="51" fillId="15" borderId="0" xfId="4" applyNumberFormat="1" applyFont="1" applyFill="1" applyBorder="1" applyAlignment="1">
      <alignment vertical="center"/>
    </xf>
    <xf numFmtId="9" fontId="51" fillId="15" borderId="12" xfId="4" applyNumberFormat="1" applyFont="1" applyFill="1" applyBorder="1" applyAlignment="1">
      <alignment vertical="center"/>
    </xf>
    <xf numFmtId="3" fontId="52" fillId="24" borderId="5" xfId="4" applyNumberFormat="1" applyFont="1" applyFill="1" applyBorder="1" applyAlignment="1">
      <alignment vertical="center"/>
    </xf>
    <xf numFmtId="3" fontId="52" fillId="24" borderId="0" xfId="4" applyNumberFormat="1" applyFont="1" applyFill="1" applyBorder="1" applyAlignment="1">
      <alignment vertical="center"/>
    </xf>
    <xf numFmtId="3" fontId="52" fillId="24" borderId="13" xfId="4" applyNumberFormat="1" applyFont="1" applyFill="1" applyBorder="1" applyAlignment="1">
      <alignment vertical="center"/>
    </xf>
    <xf numFmtId="9" fontId="52" fillId="24" borderId="12" xfId="2" applyFont="1" applyFill="1" applyBorder="1" applyAlignment="1">
      <alignment vertical="center"/>
    </xf>
    <xf numFmtId="9" fontId="52" fillId="24" borderId="0" xfId="2" applyFont="1" applyFill="1" applyBorder="1" applyAlignment="1">
      <alignment vertical="center"/>
    </xf>
    <xf numFmtId="9" fontId="52" fillId="24" borderId="13" xfId="2" applyFont="1" applyFill="1" applyBorder="1" applyAlignment="1">
      <alignment vertical="center"/>
    </xf>
    <xf numFmtId="3" fontId="74" fillId="8" borderId="0" xfId="4" applyNumberFormat="1" applyFont="1" applyFill="1" applyBorder="1" applyAlignment="1">
      <alignment vertical="center"/>
    </xf>
    <xf numFmtId="3" fontId="74" fillId="8" borderId="12" xfId="4" applyNumberFormat="1" applyFont="1" applyFill="1" applyBorder="1" applyAlignment="1">
      <alignment vertical="center"/>
    </xf>
    <xf numFmtId="3" fontId="58" fillId="8" borderId="0" xfId="4" applyNumberFormat="1" applyFont="1" applyFill="1" applyBorder="1" applyAlignment="1">
      <alignment horizontal="left" vertical="center" indent="1"/>
    </xf>
    <xf numFmtId="4" fontId="74" fillId="8" borderId="0" xfId="4" applyNumberFormat="1" applyFont="1" applyFill="1" applyBorder="1" applyAlignment="1">
      <alignment vertical="center"/>
    </xf>
    <xf numFmtId="4" fontId="74" fillId="8" borderId="12" xfId="4" applyNumberFormat="1" applyFont="1" applyFill="1" applyBorder="1" applyAlignment="1">
      <alignment vertical="center"/>
    </xf>
    <xf numFmtId="183" fontId="56" fillId="8" borderId="0" xfId="4" applyNumberFormat="1" applyFont="1" applyFill="1" applyBorder="1" applyAlignment="1">
      <alignment vertical="center"/>
    </xf>
    <xf numFmtId="9" fontId="70" fillId="8" borderId="0" xfId="2" applyFont="1" applyFill="1" applyBorder="1" applyAlignment="1">
      <alignment vertical="center"/>
    </xf>
    <xf numFmtId="9" fontId="70" fillId="8" borderId="13" xfId="2" applyFont="1" applyFill="1" applyBorder="1" applyAlignment="1">
      <alignment vertical="center"/>
    </xf>
    <xf numFmtId="9" fontId="63" fillId="8" borderId="0" xfId="2" applyFont="1" applyFill="1" applyBorder="1" applyAlignment="1">
      <alignment horizontal="center" vertical="center"/>
    </xf>
    <xf numFmtId="9" fontId="70" fillId="8" borderId="12" xfId="2" applyFont="1" applyFill="1" applyBorder="1" applyAlignment="1">
      <alignment horizontal="center" vertical="center"/>
    </xf>
    <xf numFmtId="9" fontId="75" fillId="8" borderId="0" xfId="2" applyFont="1" applyFill="1" applyBorder="1" applyAlignment="1">
      <alignment horizontal="left" vertical="center"/>
    </xf>
    <xf numFmtId="9" fontId="68" fillId="8" borderId="0" xfId="2" applyFont="1" applyFill="1" applyBorder="1" applyAlignment="1">
      <alignment vertical="center"/>
    </xf>
    <xf numFmtId="9" fontId="68" fillId="8" borderId="12" xfId="2" applyFont="1" applyFill="1" applyBorder="1" applyAlignment="1">
      <alignment vertical="center"/>
    </xf>
    <xf numFmtId="178" fontId="62" fillId="8" borderId="0" xfId="2" applyNumberFormat="1" applyFont="1" applyFill="1" applyBorder="1" applyAlignment="1">
      <alignment vertical="center"/>
    </xf>
    <xf numFmtId="3" fontId="51" fillId="8" borderId="29" xfId="4" applyNumberFormat="1" applyFont="1" applyFill="1" applyBorder="1" applyAlignment="1">
      <alignment vertical="center"/>
    </xf>
    <xf numFmtId="3" fontId="54" fillId="15" borderId="15" xfId="4" applyNumberFormat="1" applyFont="1" applyFill="1" applyBorder="1" applyAlignment="1">
      <alignment vertical="center"/>
    </xf>
    <xf numFmtId="43" fontId="51" fillId="15" borderId="15" xfId="1" applyFont="1" applyFill="1" applyBorder="1" applyAlignment="1">
      <alignment vertical="center"/>
    </xf>
    <xf numFmtId="43" fontId="51" fillId="15" borderId="24" xfId="1" applyFont="1" applyFill="1" applyBorder="1" applyAlignment="1">
      <alignment vertical="center"/>
    </xf>
    <xf numFmtId="43" fontId="51" fillId="15" borderId="23" xfId="1" applyFont="1" applyFill="1" applyBorder="1" applyAlignment="1">
      <alignment vertical="center"/>
    </xf>
    <xf numFmtId="3" fontId="73" fillId="15" borderId="30" xfId="4" applyNumberFormat="1" applyFont="1" applyFill="1" applyBorder="1" applyAlignment="1">
      <alignment vertical="center"/>
    </xf>
    <xf numFmtId="185" fontId="52" fillId="23" borderId="5" xfId="4" applyFont="1" applyFill="1" applyBorder="1"/>
    <xf numFmtId="3" fontId="52" fillId="23" borderId="12" xfId="4" applyNumberFormat="1" applyFont="1" applyFill="1" applyBorder="1" applyAlignment="1">
      <alignment vertical="center"/>
    </xf>
    <xf numFmtId="182" fontId="52" fillId="23" borderId="0" xfId="1" applyNumberFormat="1" applyFont="1" applyFill="1" applyBorder="1" applyAlignment="1">
      <alignment vertical="center"/>
    </xf>
    <xf numFmtId="3" fontId="51" fillId="8" borderId="0" xfId="5" applyNumberFormat="1" applyFont="1" applyFill="1" applyBorder="1" applyAlignment="1">
      <alignment vertical="center"/>
    </xf>
    <xf numFmtId="3" fontId="51" fillId="8" borderId="13" xfId="5" applyNumberFormat="1" applyFont="1" applyFill="1" applyBorder="1" applyAlignment="1">
      <alignment vertical="center"/>
    </xf>
    <xf numFmtId="3" fontId="51" fillId="8" borderId="12" xfId="5" applyNumberFormat="1" applyFont="1" applyFill="1" applyBorder="1" applyAlignment="1">
      <alignment vertical="center"/>
    </xf>
    <xf numFmtId="9" fontId="51" fillId="8" borderId="0" xfId="2" applyFont="1" applyFill="1" applyBorder="1" applyAlignment="1">
      <alignment horizontal="center" vertical="center"/>
    </xf>
    <xf numFmtId="9" fontId="51" fillId="19" borderId="13" xfId="4" applyNumberFormat="1" applyFont="1" applyFill="1" applyBorder="1" applyAlignment="1">
      <alignment vertical="center"/>
    </xf>
    <xf numFmtId="9" fontId="51" fillId="19" borderId="0" xfId="4" applyNumberFormat="1" applyFont="1" applyFill="1" applyBorder="1" applyAlignment="1">
      <alignment vertical="center"/>
    </xf>
    <xf numFmtId="9" fontId="51" fillId="19" borderId="12" xfId="4" applyNumberFormat="1" applyFont="1" applyFill="1" applyBorder="1" applyAlignment="1">
      <alignment vertical="center"/>
    </xf>
    <xf numFmtId="1" fontId="68" fillId="0" borderId="13" xfId="4" applyNumberFormat="1" applyFont="1" applyBorder="1"/>
    <xf numFmtId="1" fontId="68" fillId="0" borderId="0" xfId="4" applyNumberFormat="1" applyFont="1" applyBorder="1"/>
    <xf numFmtId="1" fontId="68" fillId="0" borderId="12" xfId="4" applyNumberFormat="1" applyFont="1" applyBorder="1"/>
    <xf numFmtId="2" fontId="68" fillId="0" borderId="0" xfId="4" applyNumberFormat="1" applyFont="1" applyBorder="1"/>
    <xf numFmtId="2" fontId="68" fillId="0" borderId="12" xfId="4" applyNumberFormat="1" applyFont="1" applyBorder="1"/>
    <xf numFmtId="9" fontId="68" fillId="8" borderId="0" xfId="2" applyFont="1" applyFill="1" applyBorder="1" applyAlignment="1">
      <alignment horizontal="center"/>
    </xf>
    <xf numFmtId="1" fontId="51" fillId="0" borderId="0" xfId="5" applyNumberFormat="1" applyFont="1" applyBorder="1"/>
    <xf numFmtId="1" fontId="51" fillId="0" borderId="13" xfId="5" applyNumberFormat="1" applyFont="1" applyBorder="1"/>
    <xf numFmtId="1" fontId="51" fillId="0" borderId="12" xfId="5" applyNumberFormat="1" applyFont="1" applyBorder="1"/>
    <xf numFmtId="1" fontId="56" fillId="0" borderId="5" xfId="4" applyNumberFormat="1" applyFont="1" applyBorder="1"/>
    <xf numFmtId="1" fontId="56" fillId="0" borderId="25" xfId="4" applyNumberFormat="1" applyFont="1" applyBorder="1"/>
    <xf numFmtId="178" fontId="68" fillId="0" borderId="13" xfId="2" applyNumberFormat="1" applyFont="1" applyBorder="1" applyAlignment="1"/>
    <xf numFmtId="178" fontId="68" fillId="0" borderId="0" xfId="2" applyNumberFormat="1" applyFont="1" applyBorder="1" applyAlignment="1"/>
    <xf numFmtId="178" fontId="68" fillId="0" borderId="12" xfId="2" applyNumberFormat="1" applyFont="1" applyBorder="1" applyAlignment="1"/>
    <xf numFmtId="178" fontId="68" fillId="8" borderId="0" xfId="2" applyNumberFormat="1" applyFont="1" applyFill="1" applyBorder="1" applyAlignment="1"/>
    <xf numFmtId="178" fontId="51" fillId="0" borderId="5" xfId="2" applyNumberFormat="1" applyFont="1" applyBorder="1" applyAlignment="1"/>
    <xf numFmtId="178" fontId="51" fillId="0" borderId="25" xfId="2" applyNumberFormat="1" applyFont="1" applyBorder="1" applyAlignment="1"/>
    <xf numFmtId="3" fontId="68" fillId="8" borderId="0" xfId="5" applyNumberFormat="1" applyFont="1" applyFill="1" applyBorder="1" applyAlignment="1">
      <alignment vertical="center"/>
    </xf>
    <xf numFmtId="3" fontId="68" fillId="8" borderId="13" xfId="5" applyNumberFormat="1" applyFont="1" applyFill="1" applyBorder="1" applyAlignment="1">
      <alignment vertical="center"/>
    </xf>
    <xf numFmtId="3" fontId="68" fillId="8" borderId="12" xfId="5" applyNumberFormat="1" applyFont="1" applyFill="1" applyBorder="1" applyAlignment="1">
      <alignment vertical="center"/>
    </xf>
    <xf numFmtId="185" fontId="54" fillId="15" borderId="0" xfId="4" applyFont="1" applyFill="1" applyBorder="1"/>
    <xf numFmtId="43" fontId="51" fillId="15" borderId="13" xfId="1" applyFont="1" applyFill="1" applyBorder="1" applyAlignment="1"/>
    <xf numFmtId="43" fontId="51" fillId="15" borderId="0" xfId="1" applyFont="1" applyFill="1" applyBorder="1" applyAlignment="1"/>
    <xf numFmtId="43" fontId="51" fillId="15" borderId="12" xfId="1" applyFont="1" applyFill="1" applyBorder="1" applyAlignment="1"/>
    <xf numFmtId="43" fontId="51" fillId="15" borderId="5" xfId="1" applyFont="1" applyFill="1" applyBorder="1" applyAlignment="1"/>
    <xf numFmtId="43" fontId="51" fillId="15" borderId="25" xfId="1" applyFont="1" applyFill="1" applyBorder="1" applyAlignment="1"/>
    <xf numFmtId="182" fontId="51" fillId="15" borderId="0" xfId="1" applyNumberFormat="1" applyFont="1" applyFill="1" applyBorder="1" applyAlignment="1"/>
    <xf numFmtId="182" fontId="51" fillId="15" borderId="12" xfId="1" applyNumberFormat="1" applyFont="1" applyFill="1" applyBorder="1" applyAlignment="1"/>
    <xf numFmtId="185" fontId="74" fillId="14" borderId="5" xfId="4" applyFont="1" applyFill="1" applyBorder="1"/>
    <xf numFmtId="185" fontId="51" fillId="14" borderId="0" xfId="4" applyFont="1" applyFill="1" applyBorder="1"/>
    <xf numFmtId="43" fontId="51" fillId="14" borderId="13" xfId="1" applyFont="1" applyFill="1" applyBorder="1" applyAlignment="1"/>
    <xf numFmtId="43" fontId="51" fillId="14" borderId="0" xfId="1" applyFont="1" applyFill="1" applyBorder="1" applyAlignment="1"/>
    <xf numFmtId="43" fontId="51" fillId="14" borderId="12" xfId="1" applyFont="1" applyFill="1" applyBorder="1" applyAlignment="1"/>
    <xf numFmtId="43" fontId="51" fillId="8" borderId="0" xfId="1" applyFont="1" applyFill="1" applyBorder="1" applyAlignment="1"/>
    <xf numFmtId="185" fontId="51" fillId="14" borderId="5" xfId="4" applyFont="1" applyFill="1" applyBorder="1"/>
    <xf numFmtId="185" fontId="51" fillId="14" borderId="25" xfId="4" applyFont="1" applyFill="1" applyBorder="1"/>
    <xf numFmtId="9" fontId="51" fillId="14" borderId="0" xfId="4" applyNumberFormat="1" applyFont="1" applyFill="1" applyBorder="1"/>
    <xf numFmtId="9" fontId="51" fillId="14" borderId="12" xfId="4" applyNumberFormat="1" applyFont="1" applyFill="1" applyBorder="1"/>
    <xf numFmtId="9" fontId="51" fillId="8" borderId="0" xfId="4" applyNumberFormat="1" applyFont="1" applyFill="1" applyBorder="1"/>
    <xf numFmtId="9" fontId="51" fillId="14" borderId="5" xfId="4" applyNumberFormat="1" applyFont="1" applyFill="1" applyBorder="1"/>
    <xf numFmtId="9" fontId="51" fillId="14" borderId="25" xfId="4" applyNumberFormat="1" applyFont="1" applyFill="1" applyBorder="1"/>
    <xf numFmtId="9" fontId="51" fillId="14" borderId="0" xfId="2" applyFont="1" applyFill="1" applyBorder="1" applyAlignment="1"/>
    <xf numFmtId="9" fontId="51" fillId="14" borderId="12" xfId="2" applyFont="1" applyFill="1" applyBorder="1" applyAlignment="1"/>
    <xf numFmtId="9" fontId="51" fillId="14" borderId="5" xfId="2" applyFont="1" applyFill="1" applyBorder="1" applyAlignment="1"/>
    <xf numFmtId="9" fontId="51" fillId="14" borderId="25" xfId="2" applyFont="1" applyFill="1" applyBorder="1" applyAlignment="1"/>
    <xf numFmtId="185" fontId="51" fillId="4" borderId="5" xfId="4" applyFont="1" applyFill="1" applyBorder="1"/>
    <xf numFmtId="185" fontId="51" fillId="4" borderId="0" xfId="4" applyFont="1" applyFill="1" applyBorder="1"/>
    <xf numFmtId="9" fontId="51" fillId="4" borderId="0" xfId="2" applyFont="1" applyFill="1" applyBorder="1" applyAlignment="1"/>
    <xf numFmtId="9" fontId="51" fillId="4" borderId="12" xfId="2" applyFont="1" applyFill="1" applyBorder="1" applyAlignment="1"/>
    <xf numFmtId="9" fontId="51" fillId="4" borderId="0" xfId="2" applyNumberFormat="1" applyFont="1" applyFill="1" applyBorder="1" applyAlignment="1"/>
    <xf numFmtId="9" fontId="51" fillId="4" borderId="5" xfId="2" applyFont="1" applyFill="1" applyBorder="1" applyAlignment="1"/>
    <xf numFmtId="9" fontId="51" fillId="4" borderId="25" xfId="2" applyFont="1" applyFill="1" applyBorder="1" applyAlignment="1"/>
    <xf numFmtId="185" fontId="51" fillId="14" borderId="9" xfId="4" applyFont="1" applyFill="1" applyBorder="1"/>
    <xf numFmtId="185" fontId="51" fillId="14" borderId="10" xfId="4" applyFont="1" applyFill="1" applyBorder="1"/>
    <xf numFmtId="9" fontId="51" fillId="14" borderId="10" xfId="2" applyFont="1" applyFill="1" applyBorder="1" applyAlignment="1"/>
    <xf numFmtId="9" fontId="51" fillId="14" borderId="22" xfId="2" applyFont="1" applyFill="1" applyBorder="1" applyAlignment="1"/>
    <xf numFmtId="9" fontId="51" fillId="8" borderId="10" xfId="2" applyFont="1" applyFill="1" applyBorder="1" applyAlignment="1"/>
    <xf numFmtId="9" fontId="51" fillId="14" borderId="9" xfId="2" applyFont="1" applyFill="1" applyBorder="1" applyAlignment="1"/>
    <xf numFmtId="9" fontId="51" fillId="14" borderId="26" xfId="2" applyFont="1" applyFill="1" applyBorder="1" applyAlignment="1"/>
    <xf numFmtId="185" fontId="52" fillId="24" borderId="5" xfId="4" applyFont="1" applyFill="1" applyBorder="1"/>
    <xf numFmtId="3" fontId="52" fillId="24" borderId="12" xfId="4" applyNumberFormat="1" applyFont="1" applyFill="1" applyBorder="1" applyAlignment="1">
      <alignment vertical="center"/>
    </xf>
    <xf numFmtId="182" fontId="52" fillId="24" borderId="0" xfId="1" applyNumberFormat="1" applyFont="1" applyFill="1" applyBorder="1" applyAlignment="1">
      <alignment vertical="center"/>
    </xf>
    <xf numFmtId="9" fontId="51" fillId="0" borderId="13" xfId="2" applyFont="1" applyBorder="1" applyAlignment="1"/>
    <xf numFmtId="9" fontId="51" fillId="0" borderId="0" xfId="2" applyFont="1" applyBorder="1" applyAlignment="1"/>
    <xf numFmtId="43" fontId="51" fillId="8" borderId="0" xfId="1" applyFont="1" applyFill="1" applyAlignment="1"/>
    <xf numFmtId="43" fontId="51" fillId="8" borderId="12" xfId="1" applyFont="1" applyFill="1" applyBorder="1" applyAlignment="1"/>
    <xf numFmtId="43" fontId="51" fillId="8" borderId="13" xfId="1" applyFont="1" applyFill="1" applyBorder="1" applyAlignment="1"/>
    <xf numFmtId="9" fontId="51" fillId="0" borderId="5" xfId="2" applyFont="1" applyBorder="1" applyAlignment="1"/>
    <xf numFmtId="185" fontId="52" fillId="8" borderId="3" xfId="4" applyNumberFormat="1" applyFont="1" applyFill="1" applyBorder="1" applyAlignment="1">
      <alignment horizontal="center" vertical="center"/>
    </xf>
    <xf numFmtId="3" fontId="51" fillId="8" borderId="0" xfId="4" applyNumberFormat="1" applyFont="1" applyFill="1" applyBorder="1" applyAlignment="1">
      <alignment horizontal="center" vertical="center"/>
    </xf>
    <xf numFmtId="3" fontId="76" fillId="8" borderId="0" xfId="4" applyNumberFormat="1" applyFont="1" applyFill="1" applyBorder="1" applyAlignment="1">
      <alignment vertical="center"/>
    </xf>
    <xf numFmtId="9" fontId="77" fillId="8" borderId="0" xfId="4" applyNumberFormat="1" applyFont="1" applyFill="1" applyBorder="1" applyAlignment="1">
      <alignment vertical="center"/>
    </xf>
    <xf numFmtId="9" fontId="77" fillId="8" borderId="13" xfId="4" applyNumberFormat="1" applyFont="1" applyFill="1" applyBorder="1" applyAlignment="1">
      <alignment vertical="center"/>
    </xf>
    <xf numFmtId="9" fontId="77" fillId="8" borderId="12" xfId="4" applyNumberFormat="1" applyFont="1" applyFill="1" applyBorder="1" applyAlignment="1">
      <alignment vertical="center"/>
    </xf>
    <xf numFmtId="178" fontId="77" fillId="8" borderId="13" xfId="4" applyNumberFormat="1" applyFont="1" applyFill="1" applyBorder="1" applyAlignment="1">
      <alignment vertical="center"/>
    </xf>
    <xf numFmtId="178" fontId="77" fillId="8" borderId="0" xfId="4" applyNumberFormat="1" applyFont="1" applyFill="1" applyBorder="1" applyAlignment="1">
      <alignment vertical="center"/>
    </xf>
    <xf numFmtId="9" fontId="77" fillId="8" borderId="0" xfId="4" applyNumberFormat="1" applyFont="1" applyFill="1" applyBorder="1" applyAlignment="1">
      <alignment horizontal="center" vertical="center"/>
    </xf>
    <xf numFmtId="9" fontId="63" fillId="0" borderId="25" xfId="2" applyFont="1" applyFill="1" applyBorder="1" applyAlignment="1">
      <alignment vertical="center"/>
    </xf>
    <xf numFmtId="9" fontId="63" fillId="0" borderId="0" xfId="2" applyFont="1" applyFill="1" applyBorder="1" applyAlignment="1">
      <alignment vertical="center"/>
    </xf>
    <xf numFmtId="3" fontId="78" fillId="8" borderId="0" xfId="4" applyNumberFormat="1" applyFont="1" applyFill="1" applyBorder="1" applyAlignment="1">
      <alignment horizontal="left" vertical="center" indent="1"/>
    </xf>
    <xf numFmtId="9" fontId="79" fillId="8" borderId="0" xfId="2" applyFont="1" applyFill="1" applyBorder="1" applyAlignment="1">
      <alignment vertical="center"/>
    </xf>
    <xf numFmtId="9" fontId="79" fillId="8" borderId="13" xfId="2" applyFont="1" applyFill="1" applyBorder="1" applyAlignment="1">
      <alignment vertical="center"/>
    </xf>
    <xf numFmtId="178" fontId="79" fillId="8" borderId="12" xfId="2" applyNumberFormat="1" applyFont="1" applyFill="1" applyBorder="1" applyAlignment="1">
      <alignment vertical="center"/>
    </xf>
    <xf numFmtId="178" fontId="79" fillId="8" borderId="13" xfId="2" applyNumberFormat="1" applyFont="1" applyFill="1" applyBorder="1" applyAlignment="1">
      <alignment vertical="center"/>
    </xf>
    <xf numFmtId="9" fontId="79" fillId="8" borderId="12" xfId="2" applyFont="1" applyFill="1" applyBorder="1" applyAlignment="1">
      <alignment vertical="center"/>
    </xf>
    <xf numFmtId="9" fontId="80" fillId="8" borderId="0" xfId="4" applyNumberFormat="1" applyFont="1" applyFill="1" applyBorder="1" applyAlignment="1">
      <alignment horizontal="center" vertical="center"/>
    </xf>
    <xf numFmtId="9" fontId="68" fillId="22" borderId="0" xfId="2" applyFont="1" applyFill="1" applyBorder="1" applyAlignment="1"/>
    <xf numFmtId="9" fontId="68" fillId="22" borderId="0" xfId="2" applyNumberFormat="1" applyFont="1" applyFill="1" applyBorder="1" applyAlignment="1"/>
    <xf numFmtId="9" fontId="68" fillId="22" borderId="13" xfId="2" applyNumberFormat="1" applyFont="1" applyFill="1" applyBorder="1" applyAlignment="1"/>
    <xf numFmtId="9" fontId="68" fillId="22" borderId="12" xfId="2" applyFont="1" applyFill="1" applyBorder="1" applyAlignment="1"/>
    <xf numFmtId="178" fontId="68" fillId="22" borderId="0" xfId="2" applyNumberFormat="1" applyFont="1" applyFill="1" applyBorder="1" applyAlignment="1"/>
    <xf numFmtId="3" fontId="54" fillId="8" borderId="13" xfId="4" applyNumberFormat="1" applyFont="1" applyFill="1" applyBorder="1" applyAlignment="1">
      <alignment vertical="center"/>
    </xf>
    <xf numFmtId="3" fontId="56" fillId="8" borderId="13" xfId="4" applyNumberFormat="1" applyFont="1" applyFill="1" applyBorder="1" applyAlignment="1">
      <alignment vertical="center"/>
    </xf>
    <xf numFmtId="3" fontId="56" fillId="8" borderId="12" xfId="4" applyNumberFormat="1" applyFont="1" applyFill="1" applyBorder="1" applyAlignment="1">
      <alignment vertical="center"/>
    </xf>
    <xf numFmtId="3" fontId="74" fillId="0" borderId="5" xfId="4" applyNumberFormat="1" applyFont="1" applyFill="1" applyBorder="1" applyAlignment="1">
      <alignment vertical="center"/>
    </xf>
    <xf numFmtId="3" fontId="74" fillId="0" borderId="25" xfId="4" applyNumberFormat="1" applyFont="1" applyFill="1" applyBorder="1" applyAlignment="1">
      <alignment vertical="center"/>
    </xf>
    <xf numFmtId="3" fontId="74" fillId="0" borderId="0" xfId="4" applyNumberFormat="1" applyFont="1" applyFill="1" applyBorder="1" applyAlignment="1">
      <alignment vertical="center"/>
    </xf>
    <xf numFmtId="3" fontId="51" fillId="4" borderId="13" xfId="4" applyNumberFormat="1" applyFont="1" applyFill="1" applyBorder="1" applyAlignment="1">
      <alignment vertical="center"/>
    </xf>
    <xf numFmtId="3" fontId="51" fillId="4" borderId="0" xfId="4" applyNumberFormat="1" applyFont="1" applyFill="1" applyAlignment="1">
      <alignment vertical="center"/>
    </xf>
    <xf numFmtId="9" fontId="55" fillId="8" borderId="0" xfId="4" applyNumberFormat="1" applyFont="1" applyFill="1" applyBorder="1" applyAlignment="1">
      <alignment vertical="center"/>
    </xf>
    <xf numFmtId="9" fontId="55" fillId="8" borderId="13" xfId="4" applyNumberFormat="1" applyFont="1" applyFill="1" applyBorder="1" applyAlignment="1">
      <alignment vertical="center"/>
    </xf>
    <xf numFmtId="9" fontId="55" fillId="8" borderId="12" xfId="4" applyNumberFormat="1" applyFont="1" applyFill="1" applyBorder="1" applyAlignment="1">
      <alignment vertical="center"/>
    </xf>
    <xf numFmtId="178" fontId="55" fillId="8" borderId="13" xfId="4" applyNumberFormat="1" applyFont="1" applyFill="1" applyBorder="1" applyAlignment="1">
      <alignment vertical="center"/>
    </xf>
    <xf numFmtId="178" fontId="55" fillId="8" borderId="0" xfId="4" applyNumberFormat="1" applyFont="1" applyFill="1" applyBorder="1" applyAlignment="1">
      <alignment vertical="center"/>
    </xf>
    <xf numFmtId="3" fontId="81" fillId="0" borderId="5" xfId="4" applyNumberFormat="1" applyFont="1" applyFill="1" applyBorder="1" applyAlignment="1">
      <alignment vertical="center"/>
    </xf>
    <xf numFmtId="3" fontId="81" fillId="0" borderId="25" xfId="4" applyNumberFormat="1" applyFont="1" applyFill="1" applyBorder="1" applyAlignment="1">
      <alignment vertical="center"/>
    </xf>
    <xf numFmtId="178" fontId="56" fillId="4" borderId="0" xfId="2" applyNumberFormat="1" applyFont="1" applyFill="1" applyBorder="1" applyAlignment="1">
      <alignment vertical="center"/>
    </xf>
    <xf numFmtId="178" fontId="56" fillId="8" borderId="5" xfId="2" applyNumberFormat="1" applyFont="1" applyFill="1" applyBorder="1" applyAlignment="1">
      <alignment vertical="center"/>
    </xf>
    <xf numFmtId="178" fontId="56" fillId="8" borderId="25" xfId="2" applyNumberFormat="1" applyFont="1" applyFill="1" applyBorder="1" applyAlignment="1">
      <alignment vertical="center"/>
    </xf>
    <xf numFmtId="9" fontId="58" fillId="8" borderId="0" xfId="4" applyNumberFormat="1" applyFont="1" applyFill="1" applyBorder="1" applyAlignment="1">
      <alignment vertical="center"/>
    </xf>
    <xf numFmtId="178" fontId="63" fillId="8" borderId="13" xfId="4" applyNumberFormat="1" applyFont="1" applyFill="1" applyBorder="1" applyAlignment="1">
      <alignment vertical="center"/>
    </xf>
    <xf numFmtId="9" fontId="51" fillId="8" borderId="0" xfId="4" applyNumberFormat="1" applyFont="1" applyFill="1" applyBorder="1" applyAlignment="1">
      <alignment horizontal="center" vertical="center"/>
    </xf>
    <xf numFmtId="9" fontId="51" fillId="8" borderId="0" xfId="2" applyNumberFormat="1" applyFont="1" applyFill="1" applyBorder="1" applyAlignment="1">
      <alignment vertical="center"/>
    </xf>
    <xf numFmtId="178" fontId="51" fillId="0" borderId="0" xfId="2" applyNumberFormat="1" applyFont="1" applyFill="1" applyBorder="1" applyAlignment="1">
      <alignment vertical="center"/>
    </xf>
    <xf numFmtId="3" fontId="73" fillId="8" borderId="13" xfId="4" applyNumberFormat="1" applyFont="1" applyFill="1" applyBorder="1" applyAlignment="1">
      <alignment vertical="center"/>
    </xf>
    <xf numFmtId="9" fontId="51" fillId="8" borderId="0" xfId="2" applyFont="1" applyFill="1" applyBorder="1" applyAlignment="1">
      <alignment horizontal="center"/>
    </xf>
    <xf numFmtId="43" fontId="51" fillId="0" borderId="13" xfId="1" applyFont="1" applyBorder="1" applyAlignment="1"/>
    <xf numFmtId="43" fontId="51" fillId="0" borderId="0" xfId="1" applyFont="1" applyBorder="1" applyAlignment="1"/>
    <xf numFmtId="43" fontId="51" fillId="0" borderId="12" xfId="1" applyFont="1" applyBorder="1" applyAlignment="1"/>
    <xf numFmtId="185" fontId="51" fillId="8" borderId="13" xfId="4" applyFont="1" applyFill="1" applyBorder="1"/>
    <xf numFmtId="9" fontId="51" fillId="8" borderId="13" xfId="2" applyFont="1" applyFill="1" applyBorder="1" applyAlignment="1"/>
    <xf numFmtId="9" fontId="51" fillId="8" borderId="12" xfId="2" applyFont="1" applyFill="1" applyBorder="1" applyAlignment="1"/>
    <xf numFmtId="9" fontId="68" fillId="8" borderId="0" xfId="2" applyFont="1" applyFill="1" applyBorder="1" applyAlignment="1">
      <alignment horizontal="center" vertical="center"/>
    </xf>
    <xf numFmtId="3" fontId="51" fillId="0" borderId="0" xfId="4" applyNumberFormat="1" applyFont="1"/>
    <xf numFmtId="182" fontId="56" fillId="8" borderId="13" xfId="1" applyNumberFormat="1" applyFont="1" applyFill="1" applyBorder="1" applyAlignment="1"/>
    <xf numFmtId="182" fontId="56" fillId="8" borderId="0" xfId="1" applyNumberFormat="1" applyFont="1" applyFill="1" applyBorder="1" applyAlignment="1"/>
    <xf numFmtId="182" fontId="56" fillId="8" borderId="12" xfId="1" applyNumberFormat="1" applyFont="1" applyFill="1" applyBorder="1" applyAlignment="1"/>
    <xf numFmtId="1" fontId="68" fillId="8" borderId="0" xfId="4" applyNumberFormat="1" applyFont="1" applyFill="1" applyBorder="1"/>
    <xf numFmtId="183" fontId="68" fillId="0" borderId="13" xfId="4" applyNumberFormat="1" applyFont="1" applyBorder="1"/>
    <xf numFmtId="183" fontId="68" fillId="0" borderId="0" xfId="4" applyNumberFormat="1" applyFont="1" applyBorder="1"/>
    <xf numFmtId="183" fontId="56" fillId="8" borderId="13" xfId="4" applyNumberFormat="1" applyFont="1" applyFill="1" applyBorder="1" applyAlignment="1">
      <alignment vertical="center"/>
    </xf>
    <xf numFmtId="1" fontId="51" fillId="0" borderId="13" xfId="4" applyNumberFormat="1" applyFont="1" applyBorder="1"/>
    <xf numFmtId="1" fontId="51" fillId="0" borderId="0" xfId="4" applyNumberFormat="1" applyFont="1" applyBorder="1"/>
    <xf numFmtId="1" fontId="51" fillId="0" borderId="12" xfId="4" applyNumberFormat="1" applyFont="1" applyBorder="1"/>
    <xf numFmtId="1" fontId="51" fillId="8" borderId="0" xfId="4" applyNumberFormat="1" applyFont="1" applyFill="1" applyBorder="1" applyAlignment="1">
      <alignment horizontal="center"/>
    </xf>
    <xf numFmtId="184" fontId="51" fillId="0" borderId="13" xfId="4" applyNumberFormat="1" applyFont="1" applyBorder="1"/>
    <xf numFmtId="9" fontId="51" fillId="0" borderId="13" xfId="4" applyNumberFormat="1" applyFont="1" applyBorder="1"/>
    <xf numFmtId="9" fontId="51" fillId="0" borderId="0" xfId="4" applyNumberFormat="1" applyFont="1" applyBorder="1"/>
    <xf numFmtId="9" fontId="51" fillId="0" borderId="12" xfId="4" applyNumberFormat="1" applyFont="1" applyBorder="1"/>
    <xf numFmtId="178" fontId="51" fillId="0" borderId="0" xfId="4" applyNumberFormat="1" applyFont="1" applyBorder="1"/>
    <xf numFmtId="178" fontId="51" fillId="0" borderId="13" xfId="4" applyNumberFormat="1" applyFont="1" applyBorder="1"/>
    <xf numFmtId="178" fontId="51" fillId="0" borderId="12" xfId="4" applyNumberFormat="1" applyFont="1" applyBorder="1"/>
    <xf numFmtId="9" fontId="51" fillId="15" borderId="0" xfId="2" applyFont="1" applyFill="1" applyBorder="1" applyAlignment="1">
      <alignment horizontal="center"/>
    </xf>
    <xf numFmtId="185" fontId="51" fillId="14" borderId="13" xfId="4" applyFont="1" applyFill="1" applyBorder="1"/>
    <xf numFmtId="43" fontId="51" fillId="8" borderId="0" xfId="1" applyFont="1" applyFill="1" applyBorder="1" applyAlignment="1">
      <alignment horizontal="center"/>
    </xf>
    <xf numFmtId="9" fontId="51" fillId="14" borderId="13" xfId="2" applyFont="1" applyFill="1" applyBorder="1" applyAlignment="1"/>
    <xf numFmtId="9" fontId="51" fillId="4" borderId="13" xfId="2" applyNumberFormat="1" applyFont="1" applyFill="1" applyBorder="1" applyAlignment="1"/>
    <xf numFmtId="9" fontId="51" fillId="4" borderId="12" xfId="2" applyNumberFormat="1" applyFont="1" applyFill="1" applyBorder="1" applyAlignment="1"/>
    <xf numFmtId="9" fontId="51" fillId="4" borderId="5" xfId="4" applyNumberFormat="1" applyFont="1" applyFill="1" applyBorder="1"/>
    <xf numFmtId="9" fontId="51" fillId="14" borderId="23" xfId="2" applyFont="1" applyFill="1" applyBorder="1" applyAlignment="1"/>
    <xf numFmtId="9" fontId="51" fillId="14" borderId="15" xfId="2" applyFont="1" applyFill="1" applyBorder="1" applyAlignment="1"/>
    <xf numFmtId="9" fontId="51" fillId="14" borderId="24" xfId="2" applyFont="1" applyFill="1" applyBorder="1" applyAlignment="1"/>
    <xf numFmtId="9" fontId="51" fillId="14" borderId="21" xfId="2" applyFont="1" applyFill="1" applyBorder="1" applyAlignment="1"/>
    <xf numFmtId="9" fontId="51" fillId="8" borderId="10" xfId="2" applyFont="1" applyFill="1" applyBorder="1" applyAlignment="1">
      <alignment horizontal="center"/>
    </xf>
    <xf numFmtId="9" fontId="51" fillId="14" borderId="9" xfId="4" applyNumberFormat="1" applyFont="1" applyFill="1" applyBorder="1"/>
    <xf numFmtId="185" fontId="51" fillId="0" borderId="12" xfId="4" applyFont="1" applyBorder="1"/>
    <xf numFmtId="185" fontId="51" fillId="8" borderId="12" xfId="4" applyFont="1" applyFill="1" applyBorder="1"/>
    <xf numFmtId="9" fontId="54" fillId="8" borderId="0" xfId="2" applyFont="1" applyFill="1" applyBorder="1" applyAlignment="1">
      <alignment horizontal="left" vertical="center"/>
    </xf>
    <xf numFmtId="9" fontId="68" fillId="22" borderId="13" xfId="2" applyFont="1" applyFill="1" applyBorder="1" applyAlignment="1"/>
    <xf numFmtId="9" fontId="63" fillId="22" borderId="5" xfId="2" applyFont="1" applyFill="1" applyBorder="1" applyAlignment="1">
      <alignment vertical="center"/>
    </xf>
    <xf numFmtId="3" fontId="54" fillId="8" borderId="0" xfId="4" applyNumberFormat="1" applyFont="1" applyFill="1" applyBorder="1" applyAlignment="1">
      <alignment vertical="center"/>
    </xf>
    <xf numFmtId="9" fontId="51" fillId="8" borderId="5" xfId="2" applyFont="1" applyFill="1" applyBorder="1" applyAlignment="1"/>
    <xf numFmtId="9" fontId="51" fillId="8" borderId="25" xfId="2" applyFont="1" applyFill="1" applyBorder="1" applyAlignment="1"/>
    <xf numFmtId="0" fontId="0" fillId="17" borderId="0" xfId="0" applyNumberFormat="1" applyFill="1"/>
    <xf numFmtId="178" fontId="82" fillId="0" borderId="0" xfId="2" applyNumberFormat="1" applyFont="1" applyFill="1" applyBorder="1" applyAlignment="1">
      <alignment horizontal="right"/>
    </xf>
    <xf numFmtId="185" fontId="86" fillId="13" borderId="2" xfId="4" applyNumberFormat="1" applyFont="1" applyFill="1" applyBorder="1" applyAlignment="1">
      <alignment vertical="center"/>
    </xf>
    <xf numFmtId="182" fontId="34" fillId="0" borderId="0" xfId="1" applyNumberFormat="1" applyFont="1" applyAlignment="1"/>
    <xf numFmtId="43" fontId="3" fillId="0" borderId="0" xfId="1" applyFont="1" applyAlignment="1"/>
    <xf numFmtId="178" fontId="55" fillId="0" borderId="13" xfId="2" applyNumberFormat="1" applyFont="1" applyBorder="1" applyAlignment="1"/>
    <xf numFmtId="178" fontId="55" fillId="0" borderId="0" xfId="2" applyNumberFormat="1" applyFont="1" applyBorder="1" applyAlignment="1"/>
    <xf numFmtId="178" fontId="55" fillId="0" borderId="12" xfId="2" applyNumberFormat="1" applyFont="1" applyBorder="1" applyAlignment="1"/>
    <xf numFmtId="1" fontId="68" fillId="0" borderId="0" xfId="5" applyNumberFormat="1" applyFont="1" applyBorder="1"/>
    <xf numFmtId="1" fontId="68" fillId="0" borderId="13" xfId="5" applyNumberFormat="1" applyFont="1" applyBorder="1"/>
    <xf numFmtId="1" fontId="68" fillId="0" borderId="12" xfId="5" applyNumberFormat="1" applyFont="1" applyBorder="1"/>
    <xf numFmtId="185" fontId="52" fillId="13" borderId="32" xfId="4" applyNumberFormat="1" applyFont="1" applyFill="1" applyBorder="1" applyAlignment="1">
      <alignment horizontal="right" vertical="center"/>
    </xf>
    <xf numFmtId="185" fontId="52" fillId="13" borderId="31" xfId="4" applyNumberFormat="1" applyFont="1" applyFill="1" applyBorder="1" applyAlignment="1">
      <alignment horizontal="right" vertical="center"/>
    </xf>
    <xf numFmtId="10" fontId="68" fillId="4" borderId="0" xfId="2" applyNumberFormat="1" applyFont="1" applyFill="1" applyBorder="1" applyAlignment="1">
      <alignment vertical="center"/>
    </xf>
    <xf numFmtId="10" fontId="68" fillId="4" borderId="12" xfId="2" applyNumberFormat="1" applyFont="1" applyFill="1" applyBorder="1" applyAlignment="1">
      <alignment vertical="center"/>
    </xf>
    <xf numFmtId="185" fontId="69" fillId="0" borderId="0" xfId="4" applyFont="1"/>
    <xf numFmtId="187" fontId="51" fillId="8" borderId="13" xfId="4" applyNumberFormat="1" applyFont="1" applyFill="1" applyBorder="1"/>
    <xf numFmtId="187" fontId="51" fillId="8" borderId="0" xfId="4" applyNumberFormat="1" applyFont="1" applyFill="1" applyBorder="1"/>
    <xf numFmtId="3" fontId="55" fillId="8" borderId="0" xfId="4" applyNumberFormat="1" applyFont="1" applyFill="1" applyBorder="1" applyAlignment="1">
      <alignment vertical="center"/>
    </xf>
    <xf numFmtId="3" fontId="55" fillId="8" borderId="12" xfId="4" applyNumberFormat="1" applyFont="1" applyFill="1" applyBorder="1" applyAlignment="1">
      <alignment vertical="center"/>
    </xf>
    <xf numFmtId="178" fontId="51" fillId="8" borderId="13" xfId="4" applyNumberFormat="1" applyFont="1" applyFill="1" applyBorder="1"/>
    <xf numFmtId="178" fontId="68" fillId="22" borderId="13" xfId="2" applyNumberFormat="1" applyFont="1" applyFill="1" applyBorder="1" applyAlignment="1"/>
    <xf numFmtId="9" fontId="68" fillId="22" borderId="12" xfId="2" applyNumberFormat="1" applyFont="1" applyFill="1" applyBorder="1" applyAlignment="1"/>
    <xf numFmtId="178" fontId="79" fillId="8" borderId="0" xfId="2" applyNumberFormat="1" applyFont="1" applyFill="1" applyBorder="1" applyAlignment="1">
      <alignment vertical="center"/>
    </xf>
    <xf numFmtId="9" fontId="69" fillId="8" borderId="0" xfId="2" applyFont="1" applyFill="1" applyBorder="1" applyAlignment="1">
      <alignment horizontal="center"/>
    </xf>
    <xf numFmtId="9" fontId="63" fillId="8" borderId="12" xfId="2" applyFont="1" applyFill="1" applyBorder="1" applyAlignment="1">
      <alignment horizontal="center" vertical="center"/>
    </xf>
    <xf numFmtId="178" fontId="18" fillId="0" borderId="0" xfId="2" applyNumberFormat="1" applyFont="1" applyFill="1" applyBorder="1" applyAlignment="1"/>
    <xf numFmtId="9" fontId="0" fillId="0" borderId="0" xfId="2" applyFont="1" applyFill="1" applyAlignment="1"/>
    <xf numFmtId="178" fontId="51" fillId="8" borderId="0" xfId="4" applyNumberFormat="1" applyFont="1" applyFill="1" applyBorder="1"/>
    <xf numFmtId="188" fontId="22" fillId="19" borderId="0" xfId="1" applyNumberFormat="1" applyFont="1" applyFill="1" applyAlignment="1"/>
    <xf numFmtId="185" fontId="88" fillId="0" borderId="0" xfId="0" applyFont="1"/>
    <xf numFmtId="185" fontId="87" fillId="0" borderId="0" xfId="0" applyFont="1"/>
    <xf numFmtId="185" fontId="22" fillId="0" borderId="0" xfId="0" applyFont="1" applyBorder="1" applyAlignment="1">
      <alignment horizontal="right"/>
    </xf>
    <xf numFmtId="185" fontId="89" fillId="0" borderId="0" xfId="0" applyFont="1" applyFill="1"/>
    <xf numFmtId="185" fontId="89" fillId="0" borderId="0" xfId="0" applyFont="1"/>
    <xf numFmtId="9" fontId="89" fillId="0" borderId="0" xfId="0" applyNumberFormat="1" applyFont="1" applyAlignment="1">
      <alignment horizontal="right"/>
    </xf>
    <xf numFmtId="182" fontId="90" fillId="19" borderId="0" xfId="1" applyNumberFormat="1" applyFont="1" applyFill="1" applyAlignment="1">
      <alignment horizontal="right"/>
    </xf>
    <xf numFmtId="187" fontId="51" fillId="8" borderId="12" xfId="4" applyNumberFormat="1" applyFont="1" applyFill="1" applyBorder="1"/>
    <xf numFmtId="178" fontId="51" fillId="8" borderId="14" xfId="4" applyNumberFormat="1" applyFont="1" applyFill="1" applyBorder="1"/>
    <xf numFmtId="186" fontId="51" fillId="15" borderId="15" xfId="1" applyNumberFormat="1" applyFont="1" applyFill="1" applyBorder="1" applyAlignment="1">
      <alignment vertical="center"/>
    </xf>
    <xf numFmtId="186" fontId="51" fillId="15" borderId="24" xfId="1" applyNumberFormat="1" applyFont="1" applyFill="1" applyBorder="1" applyAlignment="1">
      <alignment vertical="center"/>
    </xf>
    <xf numFmtId="186" fontId="51" fillId="15" borderId="0" xfId="1" applyNumberFormat="1" applyFont="1" applyFill="1" applyBorder="1" applyAlignment="1"/>
    <xf numFmtId="186" fontId="51" fillId="15" borderId="12" xfId="1" applyNumberFormat="1" applyFont="1" applyFill="1" applyBorder="1" applyAlignment="1"/>
    <xf numFmtId="182" fontId="56" fillId="8" borderId="0" xfId="1" applyNumberFormat="1" applyFont="1" applyFill="1" applyBorder="1" applyAlignment="1">
      <alignment vertical="center"/>
    </xf>
    <xf numFmtId="182" fontId="80" fillId="8" borderId="0" xfId="1" applyNumberFormat="1" applyFont="1" applyFill="1" applyBorder="1" applyAlignment="1">
      <alignment horizontal="center" vertical="center"/>
    </xf>
    <xf numFmtId="178" fontId="68" fillId="8" borderId="0" xfId="2" applyNumberFormat="1" applyFont="1" applyFill="1" applyBorder="1" applyAlignment="1">
      <alignment vertical="center"/>
    </xf>
    <xf numFmtId="10" fontId="68" fillId="8" borderId="0" xfId="2" applyNumberFormat="1" applyFont="1" applyFill="1" applyBorder="1" applyAlignment="1">
      <alignment vertical="center"/>
    </xf>
    <xf numFmtId="10" fontId="68" fillId="8" borderId="12" xfId="2" applyNumberFormat="1" applyFont="1" applyFill="1" applyBorder="1" applyAlignment="1">
      <alignment vertical="center"/>
    </xf>
    <xf numFmtId="9" fontId="93" fillId="4" borderId="0" xfId="2" applyNumberFormat="1" applyFont="1" applyFill="1" applyBorder="1" applyAlignment="1"/>
    <xf numFmtId="9" fontId="94" fillId="4" borderId="0" xfId="2" applyFont="1" applyFill="1" applyBorder="1" applyAlignment="1">
      <alignment vertical="center"/>
    </xf>
    <xf numFmtId="9" fontId="93" fillId="4" borderId="0" xfId="4" applyNumberFormat="1" applyFont="1" applyFill="1" applyBorder="1" applyAlignment="1">
      <alignment vertical="center"/>
    </xf>
    <xf numFmtId="185" fontId="4" fillId="18" borderId="0" xfId="0" applyFont="1" applyFill="1" applyAlignment="1">
      <alignment horizontal="center"/>
    </xf>
    <xf numFmtId="178" fontId="34" fillId="4" borderId="0" xfId="0" applyNumberFormat="1" applyFont="1" applyFill="1"/>
    <xf numFmtId="37" fontId="6" fillId="0" borderId="0" xfId="0" applyNumberFormat="1" applyFont="1"/>
    <xf numFmtId="178" fontId="15" fillId="3" borderId="0" xfId="0" applyNumberFormat="1" applyFont="1" applyFill="1"/>
    <xf numFmtId="178" fontId="10" fillId="3" borderId="0" xfId="0" applyNumberFormat="1" applyFont="1" applyFill="1"/>
    <xf numFmtId="176" fontId="15" fillId="0" borderId="0" xfId="0" applyNumberFormat="1" applyFont="1"/>
    <xf numFmtId="185" fontId="6" fillId="8" borderId="0" xfId="0" applyFont="1" applyFill="1" applyAlignment="1">
      <alignment horizontal="center"/>
    </xf>
    <xf numFmtId="185" fontId="0" fillId="8" borderId="0" xfId="0" applyFill="1"/>
    <xf numFmtId="178" fontId="73" fillId="8" borderId="0" xfId="2" applyNumberFormat="1" applyFont="1" applyFill="1" applyBorder="1" applyAlignment="1">
      <alignment vertical="center"/>
    </xf>
    <xf numFmtId="9" fontId="96" fillId="8" borderId="0" xfId="2" applyFont="1" applyFill="1" applyBorder="1" applyAlignment="1">
      <alignment horizontal="center" vertical="center"/>
    </xf>
    <xf numFmtId="185" fontId="22" fillId="0" borderId="12" xfId="0" applyFont="1" applyBorder="1"/>
    <xf numFmtId="185" fontId="22" fillId="14" borderId="12" xfId="0" applyFont="1" applyFill="1" applyBorder="1"/>
    <xf numFmtId="182" fontId="90" fillId="19" borderId="12" xfId="1" applyNumberFormat="1" applyFont="1" applyFill="1" applyBorder="1" applyAlignment="1">
      <alignment horizontal="right"/>
    </xf>
    <xf numFmtId="9" fontId="89" fillId="0" borderId="12" xfId="0" applyNumberFormat="1" applyFont="1" applyBorder="1" applyAlignment="1">
      <alignment horizontal="right"/>
    </xf>
    <xf numFmtId="185" fontId="22" fillId="0" borderId="0" xfId="0" applyFont="1" applyFill="1" applyAlignment="1">
      <alignment horizontal="left" indent="2"/>
    </xf>
    <xf numFmtId="9" fontId="22" fillId="0" borderId="0" xfId="0" applyNumberFormat="1" applyFont="1" applyFill="1" applyAlignment="1">
      <alignment horizontal="right"/>
    </xf>
    <xf numFmtId="9" fontId="22" fillId="0" borderId="12" xfId="0" applyNumberFormat="1" applyFont="1" applyFill="1" applyBorder="1" applyAlignment="1">
      <alignment horizontal="right"/>
    </xf>
    <xf numFmtId="9" fontId="51" fillId="8" borderId="0" xfId="2" applyFont="1" applyFill="1" applyAlignment="1">
      <alignment vertical="center"/>
    </xf>
    <xf numFmtId="178" fontId="51" fillId="8" borderId="0" xfId="2" applyNumberFormat="1" applyFont="1" applyFill="1" applyBorder="1" applyAlignment="1"/>
    <xf numFmtId="178" fontId="51" fillId="14" borderId="0" xfId="2" applyNumberFormat="1" applyFont="1" applyFill="1" applyBorder="1" applyAlignment="1"/>
    <xf numFmtId="178" fontId="91" fillId="8" borderId="0" xfId="2" applyNumberFormat="1" applyFont="1" applyFill="1" applyBorder="1" applyAlignment="1">
      <alignment horizontal="center"/>
    </xf>
    <xf numFmtId="43" fontId="56" fillId="4" borderId="0" xfId="1" applyFont="1" applyFill="1" applyBorder="1" applyAlignment="1">
      <alignment vertical="center"/>
    </xf>
    <xf numFmtId="9" fontId="99" fillId="8" borderId="0" xfId="4" applyNumberFormat="1" applyFont="1" applyFill="1" applyBorder="1" applyAlignment="1">
      <alignment horizontal="center" vertical="center"/>
    </xf>
    <xf numFmtId="37" fontId="101" fillId="3" borderId="0" xfId="1" applyNumberFormat="1" applyFont="1" applyFill="1" applyBorder="1" applyAlignment="1"/>
    <xf numFmtId="37" fontId="101" fillId="3" borderId="0" xfId="0" applyNumberFormat="1" applyFont="1" applyFill="1"/>
    <xf numFmtId="185" fontId="3" fillId="5" borderId="0" xfId="0" applyFont="1" applyFill="1"/>
    <xf numFmtId="185" fontId="0" fillId="0" borderId="16" xfId="0" applyBorder="1" applyAlignment="1">
      <alignment horizontal="center"/>
    </xf>
    <xf numFmtId="185" fontId="0" fillId="0" borderId="23" xfId="0" applyBorder="1" applyAlignment="1">
      <alignment horizontal="center"/>
    </xf>
  </cellXfs>
  <cellStyles count="7">
    <cellStyle name="百分比" xfId="2" builtinId="5"/>
    <cellStyle name="常规" xfId="0" builtinId="0"/>
    <cellStyle name="常规 2" xfId="4" xr:uid="{00000000-0005-0000-0000-000002000000}"/>
    <cellStyle name="常规 2 2" xfId="5" xr:uid="{00000000-0005-0000-0000-000003000000}"/>
    <cellStyle name="常规_Sheet1" xfId="3" xr:uid="{00000000-0005-0000-0000-000004000000}"/>
    <cellStyle name="千位分隔" xfId="1" builtinId="3"/>
    <cellStyle name="千位分隔 2" xfId="6" xr:uid="{00000000-0005-0000-0000-000034000000}"/>
  </cellStyles>
  <dxfs count="0"/>
  <tableStyles count="0" defaultTableStyle="TableStyleMedium2" defaultPivotStyle="PivotStyleLight16"/>
  <colors>
    <mruColors>
      <color rgb="FF0000FF"/>
      <color rgb="FFCCFFFF"/>
      <color rgb="FF009900"/>
      <color rgb="FFC5D9F1"/>
      <color rgb="FF1F497D"/>
      <color rgb="FF974700"/>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9" Type="http://schemas.openxmlformats.org/officeDocument/2006/relationships/externalLink" Target="externalLinks/externalLink21.xml"/><Relationship Id="rId21" Type="http://schemas.openxmlformats.org/officeDocument/2006/relationships/externalLink" Target="externalLinks/externalLink3.xml"/><Relationship Id="rId34" Type="http://schemas.openxmlformats.org/officeDocument/2006/relationships/externalLink" Target="externalLinks/externalLink16.xml"/><Relationship Id="rId42"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externalLink" Target="externalLinks/externalLink14.xml"/><Relationship Id="rId37" Type="http://schemas.openxmlformats.org/officeDocument/2006/relationships/externalLink" Target="externalLinks/externalLink19.xml"/><Relationship Id="rId40" Type="http://schemas.openxmlformats.org/officeDocument/2006/relationships/externalLink" Target="externalLinks/externalLink22.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36" Type="http://schemas.openxmlformats.org/officeDocument/2006/relationships/externalLink" Target="externalLinks/externalLink18.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externalLink" Target="externalLinks/externalLink17.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externalLink" Target="externalLinks/externalLink15.xml"/><Relationship Id="rId38" Type="http://schemas.openxmlformats.org/officeDocument/2006/relationships/externalLink" Target="externalLinks/externalLink20.xml"/><Relationship Id="rId46" Type="http://schemas.openxmlformats.org/officeDocument/2006/relationships/calcChain" Target="calcChain.xml"/><Relationship Id="rId20" Type="http://schemas.openxmlformats.org/officeDocument/2006/relationships/externalLink" Target="externalLinks/externalLink2.xml"/><Relationship Id="rId41" Type="http://schemas.openxmlformats.org/officeDocument/2006/relationships/externalLink" Target="externalLinks/externalLink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同程艺龙交易额</a:t>
            </a:r>
            <a:r>
              <a:rPr lang="en-US" altLang="zh-CN"/>
              <a:t>-</a:t>
            </a:r>
            <a:r>
              <a:rPr lang="zh-CN" altLang="en-US"/>
              <a:t>不再披露 </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1"/>
          <c:order val="0"/>
          <c:tx>
            <c:strRef>
              <c:f>Tongchengelong!$A$4</c:f>
              <c:strCache>
                <c:ptCount val="1"/>
                <c:pt idx="0">
                  <c:v> GMV【公司仅披露总GMV，不拆分业务线】 </c:v>
                </c:pt>
              </c:strCache>
            </c:strRef>
          </c:tx>
          <c:spPr>
            <a:solidFill>
              <a:schemeClr val="accent1"/>
            </a:solidFill>
            <a:ln>
              <a:noFill/>
            </a:ln>
            <a:effectLst/>
          </c:spPr>
          <c:invertIfNegative val="0"/>
          <c:cat>
            <c:strRef>
              <c:f>Tongchengelong!$Z$2:$AZ$2</c:f>
              <c:strCache>
                <c:ptCount val="27"/>
                <c:pt idx="0">
                  <c:v> 1Q19 </c:v>
                </c:pt>
                <c:pt idx="1">
                  <c:v> 2Q19 </c:v>
                </c:pt>
                <c:pt idx="2">
                  <c:v> 3Q19 </c:v>
                </c:pt>
                <c:pt idx="3">
                  <c:v> 4Q19 </c:v>
                </c:pt>
                <c:pt idx="4">
                  <c:v> 1Q20 </c:v>
                </c:pt>
                <c:pt idx="5">
                  <c:v> 2Q20 </c:v>
                </c:pt>
                <c:pt idx="6">
                  <c:v> 3Q20 </c:v>
                </c:pt>
                <c:pt idx="7">
                  <c:v> 4Q20 </c:v>
                </c:pt>
                <c:pt idx="8">
                  <c:v> 1Q21 </c:v>
                </c:pt>
                <c:pt idx="9">
                  <c:v> 2Q21 </c:v>
                </c:pt>
                <c:pt idx="10">
                  <c:v> 3Q21 </c:v>
                </c:pt>
                <c:pt idx="11">
                  <c:v> 4Q21 </c:v>
                </c:pt>
                <c:pt idx="12">
                  <c:v> 1Q22 </c:v>
                </c:pt>
                <c:pt idx="13">
                  <c:v> 2Q22 </c:v>
                </c:pt>
                <c:pt idx="14">
                  <c:v> 3Q22 </c:v>
                </c:pt>
                <c:pt idx="15">
                  <c:v> 4Q22 </c:v>
                </c:pt>
                <c:pt idx="16">
                  <c:v> 1Q23 </c:v>
                </c:pt>
                <c:pt idx="17">
                  <c:v> 2Q23 </c:v>
                </c:pt>
                <c:pt idx="18">
                  <c:v> 3Q23 </c:v>
                </c:pt>
                <c:pt idx="19">
                  <c:v> 4Q23 </c:v>
                </c:pt>
                <c:pt idx="20">
                  <c:v> 1Q24 </c:v>
                </c:pt>
                <c:pt idx="21">
                  <c:v> 2Q24 </c:v>
                </c:pt>
                <c:pt idx="22">
                  <c:v> 3Q24 </c:v>
                </c:pt>
                <c:pt idx="23">
                  <c:v> 4Q24 </c:v>
                </c:pt>
                <c:pt idx="24">
                  <c:v> 1Q25 </c:v>
                </c:pt>
                <c:pt idx="25">
                  <c:v> 2Q25 </c:v>
                </c:pt>
                <c:pt idx="26">
                  <c:v> 3Q25 </c:v>
                </c:pt>
              </c:strCache>
            </c:strRef>
          </c:cat>
          <c:val>
            <c:numRef>
              <c:f>Tongchengelong!$Z$4:$AZ$4</c:f>
              <c:numCache>
                <c:formatCode>#,##0_);\(#,##0\)</c:formatCode>
                <c:ptCount val="27"/>
                <c:pt idx="0">
                  <c:v>35900000</c:v>
                </c:pt>
                <c:pt idx="1">
                  <c:v>41300000</c:v>
                </c:pt>
                <c:pt idx="2">
                  <c:v>47600000</c:v>
                </c:pt>
                <c:pt idx="3">
                  <c:v>41300000</c:v>
                </c:pt>
                <c:pt idx="4">
                  <c:v>18200000</c:v>
                </c:pt>
                <c:pt idx="5">
                  <c:v>22400000</c:v>
                </c:pt>
                <c:pt idx="6">
                  <c:v>39700000</c:v>
                </c:pt>
                <c:pt idx="7">
                  <c:v>36100000</c:v>
                </c:pt>
                <c:pt idx="8">
                  <c:v>33300000</c:v>
                </c:pt>
                <c:pt idx="9">
                  <c:v>43900000</c:v>
                </c:pt>
                <c:pt idx="10">
                  <c:v>41100000</c:v>
                </c:pt>
                <c:pt idx="11">
                  <c:v>31900000</c:v>
                </c:pt>
                <c:pt idx="12">
                  <c:v>32400000</c:v>
                </c:pt>
                <c:pt idx="13">
                  <c:v>24300000</c:v>
                </c:pt>
                <c:pt idx="14">
                  <c:v>40600000</c:v>
                </c:pt>
                <c:pt idx="15">
                  <c:v>25400000</c:v>
                </c:pt>
                <c:pt idx="16">
                  <c:v>57200000</c:v>
                </c:pt>
                <c:pt idx="17">
                  <c:v>59700000</c:v>
                </c:pt>
                <c:pt idx="18">
                  <c:v>71100000</c:v>
                </c:pt>
                <c:pt idx="19">
                  <c:v>53500000</c:v>
                </c:pt>
                <c:pt idx="20">
                  <c:v>65900000</c:v>
                </c:pt>
                <c:pt idx="21">
                  <c:v>62300000</c:v>
                </c:pt>
                <c:pt idx="22">
                  <c:v>72800000</c:v>
                </c:pt>
                <c:pt idx="23">
                  <c:v>54700000</c:v>
                </c:pt>
                <c:pt idx="24">
                  <c:v>64582000</c:v>
                </c:pt>
                <c:pt idx="25">
                  <c:v>62923000</c:v>
                </c:pt>
                <c:pt idx="26">
                  <c:v>76440000</c:v>
                </c:pt>
              </c:numCache>
            </c:numRef>
          </c:val>
          <c:extLst>
            <c:ext xmlns:c16="http://schemas.microsoft.com/office/drawing/2014/chart" uri="{C3380CC4-5D6E-409C-BE32-E72D297353CC}">
              <c16:uniqueId val="{00000001-9CE0-4307-A9C0-F455A647D3EE}"/>
            </c:ext>
          </c:extLst>
        </c:ser>
        <c:dLbls>
          <c:showLegendKey val="0"/>
          <c:showVal val="0"/>
          <c:showCatName val="0"/>
          <c:showSerName val="0"/>
          <c:showPercent val="0"/>
          <c:showBubbleSize val="0"/>
        </c:dLbls>
        <c:gapWidth val="150"/>
        <c:axId val="461034192"/>
        <c:axId val="461037472"/>
      </c:barChart>
      <c:lineChart>
        <c:grouping val="standard"/>
        <c:varyColors val="0"/>
        <c:ser>
          <c:idx val="0"/>
          <c:order val="1"/>
          <c:tx>
            <c:v>交易额同比</c:v>
          </c:tx>
          <c:spPr>
            <a:ln w="28575" cap="rnd">
              <a:solidFill>
                <a:schemeClr val="accent2"/>
              </a:solidFill>
              <a:round/>
            </a:ln>
            <a:effectLst/>
          </c:spPr>
          <c:marker>
            <c:symbol val="none"/>
          </c:marker>
          <c:dLbls>
            <c:dLbl>
              <c:idx val="22"/>
              <c:layout>
                <c:manualLayout>
                  <c:x val="-3.8042734464732615E-2"/>
                  <c:y val="-0.641580677245991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E9B-40B5-A275-FC7B4EBC2983}"/>
                </c:ext>
              </c:extLst>
            </c:dLbl>
            <c:dLbl>
              <c:idx val="23"/>
              <c:layout>
                <c:manualLayout>
                  <c:x val="-4.1724709595029129E-2"/>
                  <c:y val="-0.499375508349652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9B-40B5-A275-FC7B4EBC29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Tongchengelong!$Z$77:$AZ$77</c:f>
              <c:numCache>
                <c:formatCode>0%</c:formatCode>
                <c:ptCount val="27"/>
                <c:pt idx="0">
                  <c:v>0.23793103448275854</c:v>
                </c:pt>
                <c:pt idx="1">
                  <c:v>0.42906574394463659</c:v>
                </c:pt>
                <c:pt idx="2">
                  <c:v>0.21739130434782616</c:v>
                </c:pt>
                <c:pt idx="3">
                  <c:v>0.19710144927536222</c:v>
                </c:pt>
                <c:pt idx="4">
                  <c:v>-0.49303621169916434</c:v>
                </c:pt>
                <c:pt idx="5">
                  <c:v>-0.4576271186440678</c:v>
                </c:pt>
                <c:pt idx="6">
                  <c:v>-0.16596638655462181</c:v>
                </c:pt>
                <c:pt idx="7">
                  <c:v>-0.12590799031476996</c:v>
                </c:pt>
                <c:pt idx="8">
                  <c:v>0.82967032967032961</c:v>
                </c:pt>
                <c:pt idx="9">
                  <c:v>0.9598214285714286</c:v>
                </c:pt>
                <c:pt idx="10" formatCode="0.0%">
                  <c:v>3.5264483627204024E-2</c:v>
                </c:pt>
                <c:pt idx="11" formatCode="0.0%">
                  <c:v>-0.11634349030470914</c:v>
                </c:pt>
                <c:pt idx="12" formatCode="0.0%">
                  <c:v>-2.7027027027026973E-2</c:v>
                </c:pt>
                <c:pt idx="13" formatCode="0.0%">
                  <c:v>-0.44646924829157175</c:v>
                </c:pt>
                <c:pt idx="14" formatCode="0.0%">
                  <c:v>-1.2165450121654486E-2</c:v>
                </c:pt>
                <c:pt idx="15" formatCode="0.0%">
                  <c:v>-0.20376175548589337</c:v>
                </c:pt>
                <c:pt idx="16" formatCode="0.0%">
                  <c:v>0.76543209876543217</c:v>
                </c:pt>
                <c:pt idx="17" formatCode="0.0%">
                  <c:v>1.4567901234567899</c:v>
                </c:pt>
                <c:pt idx="18" formatCode="0.0%">
                  <c:v>0.75123152709359609</c:v>
                </c:pt>
                <c:pt idx="19" formatCode="0.0%">
                  <c:v>1.106299212598425</c:v>
                </c:pt>
                <c:pt idx="20" formatCode="0.0%">
                  <c:v>0.15209790209790208</c:v>
                </c:pt>
                <c:pt idx="21" formatCode="0.0%">
                  <c:v>4.3551088777219471E-2</c:v>
                </c:pt>
                <c:pt idx="22" formatCode="0.0%">
                  <c:v>2.3909985935302469E-2</c:v>
                </c:pt>
                <c:pt idx="23" formatCode="0.0%">
                  <c:v>2.2429906542056122E-2</c:v>
                </c:pt>
                <c:pt idx="24" formatCode="0.0%">
                  <c:v>-0.02</c:v>
                </c:pt>
                <c:pt idx="25" formatCode="0.0%">
                  <c:v>0.01</c:v>
                </c:pt>
                <c:pt idx="26" formatCode="0.0%">
                  <c:v>0.05</c:v>
                </c:pt>
              </c:numCache>
            </c:numRef>
          </c:val>
          <c:smooth val="0"/>
          <c:extLst>
            <c:ext xmlns:c16="http://schemas.microsoft.com/office/drawing/2014/chart" uri="{C3380CC4-5D6E-409C-BE32-E72D297353CC}">
              <c16:uniqueId val="{00000002-9CE0-4307-A9C0-F455A647D3EE}"/>
            </c:ext>
          </c:extLst>
        </c:ser>
        <c:dLbls>
          <c:showLegendKey val="0"/>
          <c:showVal val="0"/>
          <c:showCatName val="0"/>
          <c:showSerName val="0"/>
          <c:showPercent val="0"/>
          <c:showBubbleSize val="0"/>
        </c:dLbls>
        <c:marker val="1"/>
        <c:smooth val="0"/>
        <c:axId val="624454272"/>
        <c:axId val="624450008"/>
      </c:lineChart>
      <c:valAx>
        <c:axId val="461037472"/>
        <c:scaling>
          <c:orientation val="minMax"/>
        </c:scaling>
        <c:delete val="0"/>
        <c:axPos val="r"/>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61034192"/>
        <c:crosses val="max"/>
        <c:crossBetween val="between"/>
      </c:valAx>
      <c:catAx>
        <c:axId val="461034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61037472"/>
        <c:crosses val="autoZero"/>
        <c:auto val="1"/>
        <c:lblAlgn val="ctr"/>
        <c:lblOffset val="100"/>
        <c:noMultiLvlLbl val="0"/>
      </c:catAx>
      <c:valAx>
        <c:axId val="62445000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24454272"/>
        <c:crosses val="autoZero"/>
        <c:crossBetween val="between"/>
      </c:valAx>
      <c:catAx>
        <c:axId val="624454272"/>
        <c:scaling>
          <c:orientation val="minMax"/>
        </c:scaling>
        <c:delete val="1"/>
        <c:axPos val="b"/>
        <c:majorTickMark val="out"/>
        <c:minorTickMark val="none"/>
        <c:tickLblPos val="nextTo"/>
        <c:crossAx val="624450008"/>
        <c:crosses val="autoZero"/>
        <c:auto val="1"/>
        <c:lblAlgn val="ctr"/>
        <c:lblOffset val="100"/>
        <c:noMultiLvlLbl val="0"/>
      </c:cat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zh-CN" sz="1400" b="0" i="0" u="none" strike="noStrike" baseline="0">
                <a:effectLst/>
              </a:rPr>
              <a:t>同程艺龙</a:t>
            </a:r>
            <a:r>
              <a:rPr lang="en-US" altLang="zh-TW"/>
              <a:t>MAU(Mn)-</a:t>
            </a:r>
            <a:r>
              <a:rPr lang="zh-CN" altLang="en-US"/>
              <a:t>不再披露</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stacked"/>
        <c:varyColors val="0"/>
        <c:ser>
          <c:idx val="1"/>
          <c:order val="1"/>
          <c:tx>
            <c:strRef>
              <c:f>Tongchengelong!$A$133</c:f>
              <c:strCache>
                <c:ptCount val="1"/>
                <c:pt idx="0">
                  <c:v> -Tencent-based Platforms</c:v>
                </c:pt>
              </c:strCache>
            </c:strRef>
          </c:tx>
          <c:spPr>
            <a:solidFill>
              <a:schemeClr val="accent1"/>
            </a:solidFill>
            <a:ln>
              <a:noFill/>
            </a:ln>
            <a:effectLst/>
          </c:spPr>
          <c:invertIfNegative val="0"/>
          <c:cat>
            <c:strRef>
              <c:f>Tongchengelong!$Z$2:$AS$2</c:f>
              <c:strCache>
                <c:ptCount val="20"/>
                <c:pt idx="0">
                  <c:v> 1Q19 </c:v>
                </c:pt>
                <c:pt idx="1">
                  <c:v> 2Q19 </c:v>
                </c:pt>
                <c:pt idx="2">
                  <c:v> 3Q19 </c:v>
                </c:pt>
                <c:pt idx="3">
                  <c:v> 4Q19 </c:v>
                </c:pt>
                <c:pt idx="4">
                  <c:v> 1Q20 </c:v>
                </c:pt>
                <c:pt idx="5">
                  <c:v> 2Q20 </c:v>
                </c:pt>
                <c:pt idx="6">
                  <c:v> 3Q20 </c:v>
                </c:pt>
                <c:pt idx="7">
                  <c:v> 4Q20 </c:v>
                </c:pt>
                <c:pt idx="8">
                  <c:v> 1Q21 </c:v>
                </c:pt>
                <c:pt idx="9">
                  <c:v> 2Q21 </c:v>
                </c:pt>
                <c:pt idx="10">
                  <c:v> 3Q21 </c:v>
                </c:pt>
                <c:pt idx="11">
                  <c:v> 4Q21 </c:v>
                </c:pt>
                <c:pt idx="12">
                  <c:v> 1Q22 </c:v>
                </c:pt>
                <c:pt idx="13">
                  <c:v> 2Q22 </c:v>
                </c:pt>
                <c:pt idx="14">
                  <c:v> 3Q22 </c:v>
                </c:pt>
                <c:pt idx="15">
                  <c:v> 4Q22 </c:v>
                </c:pt>
                <c:pt idx="16">
                  <c:v> 1Q23 </c:v>
                </c:pt>
                <c:pt idx="17">
                  <c:v> 2Q23 </c:v>
                </c:pt>
                <c:pt idx="18">
                  <c:v> 3Q23 </c:v>
                </c:pt>
                <c:pt idx="19">
                  <c:v> 4Q23 </c:v>
                </c:pt>
              </c:strCache>
            </c:strRef>
          </c:cat>
          <c:val>
            <c:numRef>
              <c:f>Tongchengelong!$Z$133:$AS$133</c:f>
              <c:numCache>
                <c:formatCode>#,##0.0_);[Red]\(#,##0.0\)</c:formatCode>
                <c:ptCount val="20"/>
                <c:pt idx="0">
                  <c:v>173.1</c:v>
                </c:pt>
                <c:pt idx="1">
                  <c:v>152.6</c:v>
                </c:pt>
                <c:pt idx="2">
                  <c:v>192.2</c:v>
                </c:pt>
                <c:pt idx="3">
                  <c:v>173.30000000000007</c:v>
                </c:pt>
                <c:pt idx="4">
                  <c:v>122.42999999999999</c:v>
                </c:pt>
                <c:pt idx="5">
                  <c:v>142.93839999999997</c:v>
                </c:pt>
                <c:pt idx="6">
                  <c:v>198.11480000000003</c:v>
                </c:pt>
                <c:pt idx="7">
                  <c:v>155.88720000000001</c:v>
                </c:pt>
                <c:pt idx="8">
                  <c:v>194.38599999999997</c:v>
                </c:pt>
                <c:pt idx="9">
                  <c:v>217.03989999999999</c:v>
                </c:pt>
                <c:pt idx="10">
                  <c:v>220.41239999999999</c:v>
                </c:pt>
                <c:pt idx="11">
                  <c:v>197.43490000000008</c:v>
                </c:pt>
                <c:pt idx="12">
                  <c:v>205.8768</c:v>
                </c:pt>
                <c:pt idx="13">
                  <c:v>158.08000000000001</c:v>
                </c:pt>
                <c:pt idx="14">
                  <c:v>225.20000000000002</c:v>
                </c:pt>
                <c:pt idx="15">
                  <c:v>159.00319999999999</c:v>
                </c:pt>
                <c:pt idx="16">
                  <c:v>228.88000000000002</c:v>
                </c:pt>
                <c:pt idx="17">
                  <c:v>223.04000000000002</c:v>
                </c:pt>
                <c:pt idx="18">
                  <c:v>0</c:v>
                </c:pt>
              </c:numCache>
            </c:numRef>
          </c:val>
          <c:extLst>
            <c:ext xmlns:c16="http://schemas.microsoft.com/office/drawing/2014/chart" uri="{C3380CC4-5D6E-409C-BE32-E72D297353CC}">
              <c16:uniqueId val="{00000000-99EA-4965-99D1-1892BE276041}"/>
            </c:ext>
          </c:extLst>
        </c:ser>
        <c:ser>
          <c:idx val="2"/>
          <c:order val="2"/>
          <c:tx>
            <c:strRef>
              <c:f>Tongchengelong!$A$135</c:f>
              <c:strCache>
                <c:ptCount val="1"/>
                <c:pt idx="0">
                  <c:v>  - Own Mobile Apps and Websites </c:v>
                </c:pt>
              </c:strCache>
            </c:strRef>
          </c:tx>
          <c:spPr>
            <a:solidFill>
              <a:schemeClr val="accent3"/>
            </a:solidFill>
            <a:ln>
              <a:noFill/>
            </a:ln>
            <a:effectLst/>
          </c:spPr>
          <c:invertIfNegative val="0"/>
          <c:cat>
            <c:strRef>
              <c:f>Tongchengelong!$Z$2:$AS$2</c:f>
              <c:strCache>
                <c:ptCount val="20"/>
                <c:pt idx="0">
                  <c:v> 1Q19 </c:v>
                </c:pt>
                <c:pt idx="1">
                  <c:v> 2Q19 </c:v>
                </c:pt>
                <c:pt idx="2">
                  <c:v> 3Q19 </c:v>
                </c:pt>
                <c:pt idx="3">
                  <c:v> 4Q19 </c:v>
                </c:pt>
                <c:pt idx="4">
                  <c:v> 1Q20 </c:v>
                </c:pt>
                <c:pt idx="5">
                  <c:v> 2Q20 </c:v>
                </c:pt>
                <c:pt idx="6">
                  <c:v> 3Q20 </c:v>
                </c:pt>
                <c:pt idx="7">
                  <c:v> 4Q20 </c:v>
                </c:pt>
                <c:pt idx="8">
                  <c:v> 1Q21 </c:v>
                </c:pt>
                <c:pt idx="9">
                  <c:v> 2Q21 </c:v>
                </c:pt>
                <c:pt idx="10">
                  <c:v> 3Q21 </c:v>
                </c:pt>
                <c:pt idx="11">
                  <c:v> 4Q21 </c:v>
                </c:pt>
                <c:pt idx="12">
                  <c:v> 1Q22 </c:v>
                </c:pt>
                <c:pt idx="13">
                  <c:v> 2Q22 </c:v>
                </c:pt>
                <c:pt idx="14">
                  <c:v> 3Q22 </c:v>
                </c:pt>
                <c:pt idx="15">
                  <c:v> 4Q22 </c:v>
                </c:pt>
                <c:pt idx="16">
                  <c:v> 1Q23 </c:v>
                </c:pt>
                <c:pt idx="17">
                  <c:v> 2Q23 </c:v>
                </c:pt>
                <c:pt idx="18">
                  <c:v> 3Q23 </c:v>
                </c:pt>
                <c:pt idx="19">
                  <c:v> 4Q23 </c:v>
                </c:pt>
              </c:strCache>
            </c:strRef>
          </c:cat>
          <c:val>
            <c:numRef>
              <c:f>Tongchengelong!$Z$135:$AS$135</c:f>
              <c:numCache>
                <c:formatCode>#,##0.0_);[Red]\(#,##0.0\)</c:formatCode>
                <c:ptCount val="20"/>
                <c:pt idx="0">
                  <c:v>26.200000000000017</c:v>
                </c:pt>
                <c:pt idx="1">
                  <c:v>29</c:v>
                </c:pt>
                <c:pt idx="2">
                  <c:v>41.800000000000011</c:v>
                </c:pt>
                <c:pt idx="3">
                  <c:v>32.599999999999937</c:v>
                </c:pt>
                <c:pt idx="4">
                  <c:v>25.970000000000013</c:v>
                </c:pt>
                <c:pt idx="5">
                  <c:v>32.661600000000021</c:v>
                </c:pt>
                <c:pt idx="6">
                  <c:v>47.68519999999998</c:v>
                </c:pt>
                <c:pt idx="7">
                  <c:v>40.112799999999993</c:v>
                </c:pt>
                <c:pt idx="8">
                  <c:v>39.814000000000021</c:v>
                </c:pt>
                <c:pt idx="9">
                  <c:v>60.860099999999989</c:v>
                </c:pt>
                <c:pt idx="10">
                  <c:v>56.487599999999986</c:v>
                </c:pt>
                <c:pt idx="11">
                  <c:v>41.16509999999991</c:v>
                </c:pt>
                <c:pt idx="12">
                  <c:v>38.923200000000008</c:v>
                </c:pt>
                <c:pt idx="13">
                  <c:v>39.519999999999982</c:v>
                </c:pt>
                <c:pt idx="14">
                  <c:v>56.299999999999983</c:v>
                </c:pt>
                <c:pt idx="15">
                  <c:v>52.096800000000002</c:v>
                </c:pt>
                <c:pt idx="16">
                  <c:v>57.22</c:v>
                </c:pt>
                <c:pt idx="17">
                  <c:v>55.759999999999991</c:v>
                </c:pt>
                <c:pt idx="18">
                  <c:v>0</c:v>
                </c:pt>
              </c:numCache>
            </c:numRef>
          </c:val>
          <c:extLst>
            <c:ext xmlns:c16="http://schemas.microsoft.com/office/drawing/2014/chart" uri="{C3380CC4-5D6E-409C-BE32-E72D297353CC}">
              <c16:uniqueId val="{00000001-99EA-4965-99D1-1892BE276041}"/>
            </c:ext>
          </c:extLst>
        </c:ser>
        <c:dLbls>
          <c:showLegendKey val="0"/>
          <c:showVal val="0"/>
          <c:showCatName val="0"/>
          <c:showSerName val="0"/>
          <c:showPercent val="0"/>
          <c:showBubbleSize val="0"/>
        </c:dLbls>
        <c:gapWidth val="150"/>
        <c:overlap val="100"/>
        <c:axId val="670235136"/>
        <c:axId val="670238088"/>
      </c:barChart>
      <c:lineChart>
        <c:grouping val="standard"/>
        <c:varyColors val="0"/>
        <c:ser>
          <c:idx val="0"/>
          <c:order val="0"/>
          <c:tx>
            <c:v>MAU YoY</c:v>
          </c:tx>
          <c:spPr>
            <a:ln w="28575" cap="rnd">
              <a:solidFill>
                <a:schemeClr val="accent2"/>
              </a:solidFill>
              <a:round/>
            </a:ln>
            <a:effectLst/>
          </c:spPr>
          <c:marker>
            <c:symbol val="none"/>
          </c:marker>
          <c:cat>
            <c:strRef>
              <c:f>Tongchengelong!$Z$2:$AS$2</c:f>
              <c:strCache>
                <c:ptCount val="20"/>
                <c:pt idx="0">
                  <c:v> 1Q19 </c:v>
                </c:pt>
                <c:pt idx="1">
                  <c:v> 2Q19 </c:v>
                </c:pt>
                <c:pt idx="2">
                  <c:v> 3Q19 </c:v>
                </c:pt>
                <c:pt idx="3">
                  <c:v> 4Q19 </c:v>
                </c:pt>
                <c:pt idx="4">
                  <c:v> 1Q20 </c:v>
                </c:pt>
                <c:pt idx="5">
                  <c:v> 2Q20 </c:v>
                </c:pt>
                <c:pt idx="6">
                  <c:v> 3Q20 </c:v>
                </c:pt>
                <c:pt idx="7">
                  <c:v> 4Q20 </c:v>
                </c:pt>
                <c:pt idx="8">
                  <c:v> 1Q21 </c:v>
                </c:pt>
                <c:pt idx="9">
                  <c:v> 2Q21 </c:v>
                </c:pt>
                <c:pt idx="10">
                  <c:v> 3Q21 </c:v>
                </c:pt>
                <c:pt idx="11">
                  <c:v> 4Q21 </c:v>
                </c:pt>
                <c:pt idx="12">
                  <c:v> 1Q22 </c:v>
                </c:pt>
                <c:pt idx="13">
                  <c:v> 2Q22 </c:v>
                </c:pt>
                <c:pt idx="14">
                  <c:v> 3Q22 </c:v>
                </c:pt>
                <c:pt idx="15">
                  <c:v> 4Q22 </c:v>
                </c:pt>
                <c:pt idx="16">
                  <c:v> 1Q23 </c:v>
                </c:pt>
                <c:pt idx="17">
                  <c:v> 2Q23 </c:v>
                </c:pt>
                <c:pt idx="18">
                  <c:v> 3Q23 </c:v>
                </c:pt>
                <c:pt idx="19">
                  <c:v> 4Q23 </c:v>
                </c:pt>
              </c:strCache>
            </c:strRef>
          </c:cat>
          <c:val>
            <c:numRef>
              <c:f>Tongchengelong!$Z$138:$AS$138</c:f>
              <c:numCache>
                <c:formatCode>0%</c:formatCode>
                <c:ptCount val="20"/>
                <c:pt idx="0">
                  <c:v>0.21970624235006131</c:v>
                </c:pt>
                <c:pt idx="1">
                  <c:v>0.15374841168996189</c:v>
                </c:pt>
                <c:pt idx="2">
                  <c:v>0.13427047988366447</c:v>
                </c:pt>
                <c:pt idx="3">
                  <c:v>0.18537708693149124</c:v>
                </c:pt>
                <c:pt idx="4">
                  <c:v>-0.25539387857501261</c:v>
                </c:pt>
                <c:pt idx="5">
                  <c:v>-3.3039647577092546E-2</c:v>
                </c:pt>
                <c:pt idx="6">
                  <c:v>5.042735042735047E-2</c:v>
                </c:pt>
                <c:pt idx="7">
                  <c:v>-4.8081593006313761E-2</c:v>
                </c:pt>
                <c:pt idx="8">
                  <c:v>0.57816711590296488</c:v>
                </c:pt>
                <c:pt idx="9">
                  <c:v>0.58257403189066048</c:v>
                </c:pt>
                <c:pt idx="10" formatCode="0.0%">
                  <c:v>0.12652563059397881</c:v>
                </c:pt>
                <c:pt idx="11" formatCode="0.0%">
                  <c:v>0.21734693877551026</c:v>
                </c:pt>
                <c:pt idx="12" formatCode="0.0%">
                  <c:v>4.5260461144321251E-2</c:v>
                </c:pt>
                <c:pt idx="13" formatCode="0.0%">
                  <c:v>-0.2889528607412738</c:v>
                </c:pt>
                <c:pt idx="14" formatCode="0.0%">
                  <c:v>1.6612495485734957E-2</c:v>
                </c:pt>
                <c:pt idx="15" formatCode="0.0%">
                  <c:v>-0.11525565800502935</c:v>
                </c:pt>
                <c:pt idx="16" formatCode="0.0%">
                  <c:v>0.16870915032679745</c:v>
                </c:pt>
                <c:pt idx="17" formatCode="0.0%">
                  <c:v>0.41093117408906887</c:v>
                </c:pt>
                <c:pt idx="18" formatCode="0.0%">
                  <c:v>-1</c:v>
                </c:pt>
              </c:numCache>
            </c:numRef>
          </c:val>
          <c:smooth val="0"/>
          <c:extLst>
            <c:ext xmlns:c16="http://schemas.microsoft.com/office/drawing/2014/chart" uri="{C3380CC4-5D6E-409C-BE32-E72D297353CC}">
              <c16:uniqueId val="{00000003-99EA-4965-99D1-1892BE276041}"/>
            </c:ext>
          </c:extLst>
        </c:ser>
        <c:dLbls>
          <c:showLegendKey val="0"/>
          <c:showVal val="0"/>
          <c:showCatName val="0"/>
          <c:showSerName val="0"/>
          <c:showPercent val="0"/>
          <c:showBubbleSize val="0"/>
        </c:dLbls>
        <c:marker val="1"/>
        <c:smooth val="0"/>
        <c:axId val="462253160"/>
        <c:axId val="462251520"/>
      </c:lineChart>
      <c:catAx>
        <c:axId val="67023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0238088"/>
        <c:crossesAt val="-400000000000"/>
        <c:auto val="1"/>
        <c:lblAlgn val="ctr"/>
        <c:lblOffset val="100"/>
        <c:noMultiLvlLbl val="0"/>
      </c:catAx>
      <c:valAx>
        <c:axId val="670238088"/>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0235136"/>
        <c:crosses val="autoZero"/>
        <c:crossBetween val="between"/>
      </c:valAx>
      <c:valAx>
        <c:axId val="46225152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62253160"/>
        <c:crosses val="max"/>
        <c:crossBetween val="between"/>
      </c:valAx>
      <c:catAx>
        <c:axId val="462253160"/>
        <c:scaling>
          <c:orientation val="minMax"/>
        </c:scaling>
        <c:delete val="1"/>
        <c:axPos val="b"/>
        <c:numFmt formatCode="General" sourceLinked="1"/>
        <c:majorTickMark val="out"/>
        <c:minorTickMark val="none"/>
        <c:tickLblPos val="nextTo"/>
        <c:crossAx val="462251520"/>
        <c:crosses val="autoZero"/>
        <c:auto val="1"/>
        <c:lblAlgn val="ctr"/>
        <c:lblOffset val="100"/>
        <c:noMultiLvlLbl val="0"/>
      </c:cat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同程艺龙月度活跃付费用户比例</a:t>
            </a:r>
            <a:r>
              <a:rPr lang="en-US" altLang="zh-CN"/>
              <a:t>-</a:t>
            </a:r>
            <a:r>
              <a:rPr lang="zh-CN" altLang="en-US"/>
              <a:t>不再披露</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Tongchengelong!$A$144</c:f>
              <c:strCache>
                <c:ptCount val="1"/>
                <c:pt idx="0">
                  <c:v>Paying raio</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Tongchengelong!$Z$2:$AS$2</c:f>
              <c:strCache>
                <c:ptCount val="20"/>
                <c:pt idx="0">
                  <c:v> 1Q19 </c:v>
                </c:pt>
                <c:pt idx="1">
                  <c:v> 2Q19 </c:v>
                </c:pt>
                <c:pt idx="2">
                  <c:v> 3Q19 </c:v>
                </c:pt>
                <c:pt idx="3">
                  <c:v> 4Q19 </c:v>
                </c:pt>
                <c:pt idx="4">
                  <c:v> 1Q20 </c:v>
                </c:pt>
                <c:pt idx="5">
                  <c:v> 2Q20 </c:v>
                </c:pt>
                <c:pt idx="6">
                  <c:v> 3Q20 </c:v>
                </c:pt>
                <c:pt idx="7">
                  <c:v> 4Q20 </c:v>
                </c:pt>
                <c:pt idx="8">
                  <c:v> 1Q21 </c:v>
                </c:pt>
                <c:pt idx="9">
                  <c:v> 2Q21 </c:v>
                </c:pt>
                <c:pt idx="10">
                  <c:v> 3Q21 </c:v>
                </c:pt>
                <c:pt idx="11">
                  <c:v> 4Q21 </c:v>
                </c:pt>
                <c:pt idx="12">
                  <c:v> 1Q22 </c:v>
                </c:pt>
                <c:pt idx="13">
                  <c:v> 2Q22 </c:v>
                </c:pt>
                <c:pt idx="14">
                  <c:v> 3Q22 </c:v>
                </c:pt>
                <c:pt idx="15">
                  <c:v> 4Q22 </c:v>
                </c:pt>
                <c:pt idx="16">
                  <c:v> 1Q23 </c:v>
                </c:pt>
                <c:pt idx="17">
                  <c:v> 2Q23 </c:v>
                </c:pt>
                <c:pt idx="18">
                  <c:v> 3Q23 </c:v>
                </c:pt>
                <c:pt idx="19">
                  <c:v> 4Q23 </c:v>
                </c:pt>
              </c:strCache>
            </c:strRef>
          </c:cat>
          <c:val>
            <c:numRef>
              <c:f>Tongchengelong!$Z$144:$AS$144</c:f>
              <c:numCache>
                <c:formatCode>0.0%</c:formatCode>
                <c:ptCount val="20"/>
                <c:pt idx="0">
                  <c:v>0.11590566984445559</c:v>
                </c:pt>
                <c:pt idx="1">
                  <c:v>0.15253303964757708</c:v>
                </c:pt>
                <c:pt idx="2">
                  <c:v>0.12735042735042734</c:v>
                </c:pt>
                <c:pt idx="3">
                  <c:v>0.13161728994657601</c:v>
                </c:pt>
                <c:pt idx="4">
                  <c:v>9.9730458221024262E-2</c:v>
                </c:pt>
                <c:pt idx="5">
                  <c:v>0.10592255125284739</c:v>
                </c:pt>
                <c:pt idx="6">
                  <c:v>0.12123677786818551</c:v>
                </c:pt>
                <c:pt idx="7">
                  <c:v>0.14642857142857144</c:v>
                </c:pt>
                <c:pt idx="8">
                  <c:v>0.1165670367207515</c:v>
                </c:pt>
                <c:pt idx="9">
                  <c:v>0.12018711766822598</c:v>
                </c:pt>
                <c:pt idx="10">
                  <c:v>0.12134344528710728</c:v>
                </c:pt>
                <c:pt idx="11">
                  <c:v>0.12908633696563288</c:v>
                </c:pt>
                <c:pt idx="12">
                  <c:v>0.12949346405228757</c:v>
                </c:pt>
                <c:pt idx="13">
                  <c:v>0.13208502024291499</c:v>
                </c:pt>
                <c:pt idx="14">
                  <c:v>0.13072824156305504</c:v>
                </c:pt>
                <c:pt idx="15">
                  <c:v>0.11511132164850782</c:v>
                </c:pt>
                <c:pt idx="16">
                  <c:v>0.14470464872422228</c:v>
                </c:pt>
                <c:pt idx="17">
                  <c:v>0.15136298421807748</c:v>
                </c:pt>
                <c:pt idx="18">
                  <c:v>0</c:v>
                </c:pt>
                <c:pt idx="19">
                  <c:v>0</c:v>
                </c:pt>
              </c:numCache>
            </c:numRef>
          </c:val>
          <c:extLst>
            <c:ext xmlns:c16="http://schemas.microsoft.com/office/drawing/2014/chart" uri="{C3380CC4-5D6E-409C-BE32-E72D297353CC}">
              <c16:uniqueId val="{00000000-326A-4CA2-B20B-A5C449CA1CC8}"/>
            </c:ext>
          </c:extLst>
        </c:ser>
        <c:dLbls>
          <c:dLblPos val="outEnd"/>
          <c:showLegendKey val="0"/>
          <c:showVal val="1"/>
          <c:showCatName val="0"/>
          <c:showSerName val="0"/>
          <c:showPercent val="0"/>
          <c:showBubbleSize val="0"/>
        </c:dLbls>
        <c:gapWidth val="150"/>
        <c:axId val="670235136"/>
        <c:axId val="670238088"/>
      </c:barChart>
      <c:catAx>
        <c:axId val="67023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0238088"/>
        <c:crossesAt val="-0.4"/>
        <c:auto val="1"/>
        <c:lblAlgn val="ctr"/>
        <c:lblOffset val="100"/>
        <c:noMultiLvlLbl val="0"/>
      </c:catAx>
      <c:valAx>
        <c:axId val="670238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0235136"/>
        <c:crosses val="autoZero"/>
        <c:crossBetween val="between"/>
      </c:valAx>
      <c:spPr>
        <a:noFill/>
        <a:ln>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同程艺龙总收入</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stacked"/>
        <c:varyColors val="0"/>
        <c:ser>
          <c:idx val="1"/>
          <c:order val="0"/>
          <c:tx>
            <c:v>Accommodation</c:v>
          </c:tx>
          <c:spPr>
            <a:solidFill>
              <a:schemeClr val="accent2"/>
            </a:solidFill>
            <a:ln>
              <a:noFill/>
            </a:ln>
            <a:effectLst/>
          </c:spPr>
          <c:invertIfNegative val="0"/>
          <c:cat>
            <c:strRef>
              <c:extLst>
                <c:ext xmlns:c15="http://schemas.microsoft.com/office/drawing/2012/chart" uri="{02D57815-91ED-43cb-92C2-25804820EDAC}">
                  <c15:fullRef>
                    <c15:sqref>(Tongchengelong!$Z$2:$AC$2,Tongchengelong!$AP$2:$BC$2)</c15:sqref>
                  </c15:fullRef>
                </c:ext>
              </c:extLst>
              <c:f>(Tongchengelong!$AA$2:$AC$2,Tongchengelong!$AT$2:$BC$2)</c:f>
              <c:strCache>
                <c:ptCount val="13"/>
                <c:pt idx="0">
                  <c:v> 2Q19 </c:v>
                </c:pt>
                <c:pt idx="1">
                  <c:v> 3Q19 </c:v>
                </c:pt>
                <c:pt idx="2">
                  <c:v> 4Q19 </c:v>
                </c:pt>
                <c:pt idx="3">
                  <c:v> 1Q24 </c:v>
                </c:pt>
                <c:pt idx="4">
                  <c:v> 2Q24 </c:v>
                </c:pt>
                <c:pt idx="5">
                  <c:v> 3Q24 </c:v>
                </c:pt>
                <c:pt idx="6">
                  <c:v> 4Q24 </c:v>
                </c:pt>
                <c:pt idx="7">
                  <c:v> 1Q25 </c:v>
                </c:pt>
                <c:pt idx="8">
                  <c:v> 2Q25 </c:v>
                </c:pt>
                <c:pt idx="9">
                  <c:v> 3Q25 </c:v>
                </c:pt>
                <c:pt idx="10">
                  <c:v> 4Q25 </c:v>
                </c:pt>
                <c:pt idx="11">
                  <c:v> 1Q26 </c:v>
                </c:pt>
                <c:pt idx="12">
                  <c:v> 2Q26 </c:v>
                </c:pt>
              </c:strCache>
            </c:strRef>
          </c:cat>
          <c:val>
            <c:numRef>
              <c:extLst>
                <c:ext xmlns:c15="http://schemas.microsoft.com/office/drawing/2012/chart" uri="{02D57815-91ED-43cb-92C2-25804820EDAC}">
                  <c15:fullRef>
                    <c15:sqref>(Tongchengelong!$Z$13:$AC$13,Tongchengelong!$AP$13:$BC$13)</c15:sqref>
                  </c15:fullRef>
                </c:ext>
              </c:extLst>
              <c:f>(Tongchengelong!$AA$13:$AC$13,Tongchengelong!$AT$13:$BC$13)</c:f>
              <c:numCache>
                <c:formatCode>#,##0_);\(#,##0\)</c:formatCode>
                <c:ptCount val="13"/>
                <c:pt idx="0">
                  <c:v>553360</c:v>
                </c:pt>
                <c:pt idx="1">
                  <c:v>693736</c:v>
                </c:pt>
                <c:pt idx="2">
                  <c:v>621863</c:v>
                </c:pt>
                <c:pt idx="3" formatCode="_ * #,##0_ ;_ * \-#,##0_ ;_ * &quot;-&quot;??_ ;_ @_ ">
                  <c:v>964683</c:v>
                </c:pt>
                <c:pt idx="4" formatCode="_ * #,##0_ ;_ * \-#,##0_ ;_ * &quot;-&quot;??_ ;_ @_ ">
                  <c:v>1190879</c:v>
                </c:pt>
                <c:pt idx="5" formatCode="_ * #,##0_ ;_ * \-#,##0_ ;_ * &quot;-&quot;??_ ;_ @_ ">
                  <c:v>1377541</c:v>
                </c:pt>
                <c:pt idx="6" formatCode="_ * #,##0_ ;_ * \-#,##0_ ;_ * &quot;-&quot;??_ ;_ @_ ">
                  <c:v>1135076</c:v>
                </c:pt>
                <c:pt idx="7" formatCode="_ * #,##0_ ;_ * \-#,##0_ ;_ * &quot;-&quot;??_ ;_ @_ ">
                  <c:v>1189642</c:v>
                </c:pt>
                <c:pt idx="8" formatCode="_ * #,##0_ ;_ * \-#,##0_ ;_ * &quot;-&quot;??_ ;_ @_ ">
                  <c:v>1371367</c:v>
                </c:pt>
                <c:pt idx="9" formatCode="_ * #,##0_ ;_ * \-#,##0_ ;_ * &quot;-&quot;??_ ;_ @_ ">
                  <c:v>1579472</c:v>
                </c:pt>
                <c:pt idx="10" formatCode="_ * #,##0_ ;_ * \-#,##0_ ;_ * &quot;-&quot;??_ ;_ @_ ">
                  <c:v>1310303</c:v>
                </c:pt>
                <c:pt idx="11" formatCode="_ * #,##0_ ;_ * \-#,##0_ ;_ * &quot;-&quot;??_ ;_ @_ ">
                  <c:v>1364460</c:v>
                </c:pt>
                <c:pt idx="12" formatCode="_ * #,##0_ ;_ * \-#,##0_ ;_ * &quot;-&quot;??_ ;_ @_ ">
                  <c:v>1480655</c:v>
                </c:pt>
              </c:numCache>
            </c:numRef>
          </c:val>
          <c:extLst>
            <c:ext xmlns:c16="http://schemas.microsoft.com/office/drawing/2014/chart" uri="{C3380CC4-5D6E-409C-BE32-E72D297353CC}">
              <c16:uniqueId val="{00000000-9D9D-4A8C-AD1F-196144C4023B}"/>
            </c:ext>
          </c:extLst>
        </c:ser>
        <c:ser>
          <c:idx val="2"/>
          <c:order val="1"/>
          <c:tx>
            <c:v>Transportation</c:v>
          </c:tx>
          <c:spPr>
            <a:solidFill>
              <a:schemeClr val="accent1"/>
            </a:solidFill>
            <a:ln>
              <a:noFill/>
            </a:ln>
            <a:effectLst/>
          </c:spPr>
          <c:invertIfNegative val="0"/>
          <c:cat>
            <c:strRef>
              <c:extLst>
                <c:ext xmlns:c15="http://schemas.microsoft.com/office/drawing/2012/chart" uri="{02D57815-91ED-43cb-92C2-25804820EDAC}">
                  <c15:fullRef>
                    <c15:sqref>(Tongchengelong!$Z$2:$AC$2,Tongchengelong!$AP$2:$BC$2)</c15:sqref>
                  </c15:fullRef>
                </c:ext>
              </c:extLst>
              <c:f>(Tongchengelong!$AA$2:$AC$2,Tongchengelong!$AT$2:$BC$2)</c:f>
              <c:strCache>
                <c:ptCount val="13"/>
                <c:pt idx="0">
                  <c:v> 2Q19 </c:v>
                </c:pt>
                <c:pt idx="1">
                  <c:v> 3Q19 </c:v>
                </c:pt>
                <c:pt idx="2">
                  <c:v> 4Q19 </c:v>
                </c:pt>
                <c:pt idx="3">
                  <c:v> 1Q24 </c:v>
                </c:pt>
                <c:pt idx="4">
                  <c:v> 2Q24 </c:v>
                </c:pt>
                <c:pt idx="5">
                  <c:v> 3Q24 </c:v>
                </c:pt>
                <c:pt idx="6">
                  <c:v> 4Q24 </c:v>
                </c:pt>
                <c:pt idx="7">
                  <c:v> 1Q25 </c:v>
                </c:pt>
                <c:pt idx="8">
                  <c:v> 2Q25 </c:v>
                </c:pt>
                <c:pt idx="9">
                  <c:v> 3Q25 </c:v>
                </c:pt>
                <c:pt idx="10">
                  <c:v> 4Q25 </c:v>
                </c:pt>
                <c:pt idx="11">
                  <c:v> 1Q26 </c:v>
                </c:pt>
                <c:pt idx="12">
                  <c:v> 2Q26 </c:v>
                </c:pt>
              </c:strCache>
            </c:strRef>
          </c:cat>
          <c:val>
            <c:numRef>
              <c:extLst>
                <c:ext xmlns:c15="http://schemas.microsoft.com/office/drawing/2012/chart" uri="{02D57815-91ED-43cb-92C2-25804820EDAC}">
                  <c15:fullRef>
                    <c15:sqref>(Tongchengelong!$Z$15:$AC$15,Tongchengelong!$AP$15:$BC$15)</c15:sqref>
                  </c15:fullRef>
                </c:ext>
              </c:extLst>
              <c:f>(Tongchengelong!$AA$15:$AC$15,Tongchengelong!$AT$15:$BC$15)</c:f>
              <c:numCache>
                <c:formatCode>#,##0_);\(#,##0\)</c:formatCode>
                <c:ptCount val="13"/>
                <c:pt idx="0">
                  <c:v>937092</c:v>
                </c:pt>
                <c:pt idx="1">
                  <c:v>1139621</c:v>
                </c:pt>
                <c:pt idx="2">
                  <c:v>1181997</c:v>
                </c:pt>
                <c:pt idx="3" formatCode="_ * #,##0_ ;_ * \-#,##0_ ;_ * &quot;-&quot;??_ ;_ @_ ">
                  <c:v>1736504</c:v>
                </c:pt>
                <c:pt idx="4" formatCode="_ * #,##0_ ;_ * \-#,##0_ ;_ * &quot;-&quot;??_ ;_ @_ ">
                  <c:v>1742736</c:v>
                </c:pt>
                <c:pt idx="5" formatCode="_ * #,##0_ ;_ * \-#,##0_ ;_ * &quot;-&quot;??_ ;_ @_ ">
                  <c:v>2026751</c:v>
                </c:pt>
                <c:pt idx="6" formatCode="_ * #,##0_ ;_ * \-#,##0_ ;_ * &quot;-&quot;??_ ;_ @_ ">
                  <c:v>1723040</c:v>
                </c:pt>
                <c:pt idx="7" formatCode="_ * #,##0_ ;_ * \-#,##0_ ;_ * &quot;-&quot;??_ ;_ @_ ">
                  <c:v>2000211</c:v>
                </c:pt>
                <c:pt idx="8" formatCode="_ * #,##0_ ;_ * \-#,##0_ ;_ * &quot;-&quot;??_ ;_ @_ ">
                  <c:v>1881010</c:v>
                </c:pt>
                <c:pt idx="9" formatCode="_ * #,##0_ ;_ * \-#,##0_ ;_ * &quot;-&quot;??_ ;_ @_ ">
                  <c:v>2208716</c:v>
                </c:pt>
                <c:pt idx="10" formatCode="_ * #,##0_ ;_ * \-#,##0_ ;_ * &quot;-&quot;??_ ;_ @_ ">
                  <c:v>1835511</c:v>
                </c:pt>
                <c:pt idx="11" formatCode="_ * #,##0_ ;_ * \-#,##0_ ;_ * &quot;-&quot;??_ ;_ @_ ">
                  <c:v>2124018</c:v>
                </c:pt>
                <c:pt idx="12" formatCode="_ * #,##0_ ;_ * \-#,##0_ ;_ * &quot;-&quot;??_ ;_ @_ ">
                  <c:v>1838210</c:v>
                </c:pt>
              </c:numCache>
            </c:numRef>
          </c:val>
          <c:extLst>
            <c:ext xmlns:c16="http://schemas.microsoft.com/office/drawing/2014/chart" uri="{C3380CC4-5D6E-409C-BE32-E72D297353CC}">
              <c16:uniqueId val="{00000001-9D9D-4A8C-AD1F-196144C4023B}"/>
            </c:ext>
          </c:extLst>
        </c:ser>
        <c:ser>
          <c:idx val="3"/>
          <c:order val="2"/>
          <c:tx>
            <c:v>others</c:v>
          </c:tx>
          <c:spPr>
            <a:solidFill>
              <a:schemeClr val="accent4"/>
            </a:solidFill>
            <a:ln>
              <a:noFill/>
            </a:ln>
            <a:effectLst/>
          </c:spPr>
          <c:invertIfNegative val="0"/>
          <c:cat>
            <c:strRef>
              <c:extLst>
                <c:ext xmlns:c15="http://schemas.microsoft.com/office/drawing/2012/chart" uri="{02D57815-91ED-43cb-92C2-25804820EDAC}">
                  <c15:fullRef>
                    <c15:sqref>(Tongchengelong!$Z$2:$AC$2,Tongchengelong!$AP$2:$BC$2)</c15:sqref>
                  </c15:fullRef>
                </c:ext>
              </c:extLst>
              <c:f>(Tongchengelong!$AA$2:$AC$2,Tongchengelong!$AT$2:$BC$2)</c:f>
              <c:strCache>
                <c:ptCount val="13"/>
                <c:pt idx="0">
                  <c:v> 2Q19 </c:v>
                </c:pt>
                <c:pt idx="1">
                  <c:v> 3Q19 </c:v>
                </c:pt>
                <c:pt idx="2">
                  <c:v> 4Q19 </c:v>
                </c:pt>
                <c:pt idx="3">
                  <c:v> 1Q24 </c:v>
                </c:pt>
                <c:pt idx="4">
                  <c:v> 2Q24 </c:v>
                </c:pt>
                <c:pt idx="5">
                  <c:v> 3Q24 </c:v>
                </c:pt>
                <c:pt idx="6">
                  <c:v> 4Q24 </c:v>
                </c:pt>
                <c:pt idx="7">
                  <c:v> 1Q25 </c:v>
                </c:pt>
                <c:pt idx="8">
                  <c:v> 2Q25 </c:v>
                </c:pt>
                <c:pt idx="9">
                  <c:v> 3Q25 </c:v>
                </c:pt>
                <c:pt idx="10">
                  <c:v> 4Q25 </c:v>
                </c:pt>
                <c:pt idx="11">
                  <c:v> 1Q26 </c:v>
                </c:pt>
                <c:pt idx="12">
                  <c:v> 2Q26 </c:v>
                </c:pt>
              </c:strCache>
            </c:strRef>
          </c:cat>
          <c:val>
            <c:numRef>
              <c:extLst>
                <c:ext xmlns:c15="http://schemas.microsoft.com/office/drawing/2012/chart" uri="{02D57815-91ED-43cb-92C2-25804820EDAC}">
                  <c15:fullRef>
                    <c15:sqref>(Tongchengelong!$Z$16:$AC$16,Tongchengelong!$AP$16:$BC$16)</c15:sqref>
                  </c15:fullRef>
                </c:ext>
              </c:extLst>
              <c:f>(Tongchengelong!$AA$16:$AC$16,Tongchengelong!$AT$16:$BC$16)</c:f>
              <c:numCache>
                <c:formatCode>#,##0_);\(#,##0\)</c:formatCode>
                <c:ptCount val="13"/>
                <c:pt idx="0">
                  <c:v>100446</c:v>
                </c:pt>
                <c:pt idx="1">
                  <c:v>228773</c:v>
                </c:pt>
                <c:pt idx="2">
                  <c:v>152633</c:v>
                </c:pt>
                <c:pt idx="3">
                  <c:v>502157</c:v>
                </c:pt>
                <c:pt idx="4">
                  <c:v>592344</c:v>
                </c:pt>
                <c:pt idx="5">
                  <c:v>608518</c:v>
                </c:pt>
                <c:pt idx="6">
                  <c:v>599216</c:v>
                </c:pt>
                <c:pt idx="7">
                  <c:v>602577</c:v>
                </c:pt>
                <c:pt idx="8">
                  <c:v>755398</c:v>
                </c:pt>
                <c:pt idx="9">
                  <c:v>820608</c:v>
                </c:pt>
                <c:pt idx="10">
                  <c:v>916662</c:v>
                </c:pt>
                <c:pt idx="11">
                  <c:v>961421</c:v>
                </c:pt>
                <c:pt idx="12">
                  <c:v>1025369</c:v>
                </c:pt>
              </c:numCache>
            </c:numRef>
          </c:val>
          <c:extLst>
            <c:ext xmlns:c16="http://schemas.microsoft.com/office/drawing/2014/chart" uri="{C3380CC4-5D6E-409C-BE32-E72D297353CC}">
              <c16:uniqueId val="{00000002-9D9D-4A8C-AD1F-196144C4023B}"/>
            </c:ext>
          </c:extLst>
        </c:ser>
        <c:ser>
          <c:idx val="4"/>
          <c:order val="4"/>
          <c:tx>
            <c:v>度假（旅行社业务）</c:v>
          </c:tx>
          <c:spPr>
            <a:solidFill>
              <a:schemeClr val="accent5"/>
            </a:solidFill>
            <a:ln>
              <a:noFill/>
            </a:ln>
            <a:effectLst/>
          </c:spPr>
          <c:invertIfNegative val="0"/>
          <c:cat>
            <c:strRef>
              <c:extLst>
                <c:ext xmlns:c15="http://schemas.microsoft.com/office/drawing/2012/chart" uri="{02D57815-91ED-43cb-92C2-25804820EDAC}">
                  <c15:fullRef>
                    <c15:sqref>(Tongchengelong!$Z$2:$AC$2,Tongchengelong!$AP$2:$BC$2)</c15:sqref>
                  </c15:fullRef>
                </c:ext>
              </c:extLst>
              <c:f>(Tongchengelong!$AA$2:$AC$2,Tongchengelong!$AT$2:$BC$2)</c:f>
              <c:strCache>
                <c:ptCount val="13"/>
                <c:pt idx="0">
                  <c:v> 2Q19 </c:v>
                </c:pt>
                <c:pt idx="1">
                  <c:v> 3Q19 </c:v>
                </c:pt>
                <c:pt idx="2">
                  <c:v> 4Q19 </c:v>
                </c:pt>
                <c:pt idx="3">
                  <c:v> 1Q24 </c:v>
                </c:pt>
                <c:pt idx="4">
                  <c:v> 2Q24 </c:v>
                </c:pt>
                <c:pt idx="5">
                  <c:v> 3Q24 </c:v>
                </c:pt>
                <c:pt idx="6">
                  <c:v> 4Q24 </c:v>
                </c:pt>
                <c:pt idx="7">
                  <c:v> 1Q25 </c:v>
                </c:pt>
                <c:pt idx="8">
                  <c:v> 2Q25 </c:v>
                </c:pt>
                <c:pt idx="9">
                  <c:v> 3Q25 </c:v>
                </c:pt>
                <c:pt idx="10">
                  <c:v> 4Q25 </c:v>
                </c:pt>
                <c:pt idx="11">
                  <c:v> 1Q26 </c:v>
                </c:pt>
                <c:pt idx="12">
                  <c:v> 2Q26 </c:v>
                </c:pt>
              </c:strCache>
            </c:strRef>
          </c:cat>
          <c:val>
            <c:numRef>
              <c:extLst>
                <c:ext xmlns:c15="http://schemas.microsoft.com/office/drawing/2012/chart" uri="{02D57815-91ED-43cb-92C2-25804820EDAC}">
                  <c15:fullRef>
                    <c15:sqref>(Tongchengelong!$Z$19:$AC$19,Tongchengelong!$AP$19:$BC$19)</c15:sqref>
                  </c15:fullRef>
                </c:ext>
              </c:extLst>
              <c:f>(Tongchengelong!$AA$19:$AC$19,Tongchengelong!$AT$19:$BC$19)</c:f>
              <c:numCache>
                <c:formatCode>#,##0_);\(#,##0\)</c:formatCode>
                <c:ptCount val="13"/>
                <c:pt idx="3">
                  <c:v>662934</c:v>
                </c:pt>
                <c:pt idx="4">
                  <c:v>719398</c:v>
                </c:pt>
                <c:pt idx="5">
                  <c:v>978686</c:v>
                </c:pt>
                <c:pt idx="6">
                  <c:v>780223</c:v>
                </c:pt>
                <c:pt idx="7">
                  <c:v>585002</c:v>
                </c:pt>
                <c:pt idx="8">
                  <c:v>661656</c:v>
                </c:pt>
                <c:pt idx="9">
                  <c:v>900316</c:v>
                </c:pt>
                <c:pt idx="10">
                  <c:v>777508</c:v>
                </c:pt>
                <c:pt idx="11">
                  <c:v>555893</c:v>
                </c:pt>
                <c:pt idx="12">
                  <c:v>642793</c:v>
                </c:pt>
              </c:numCache>
            </c:numRef>
          </c:val>
          <c:extLst>
            <c:ext xmlns:c16="http://schemas.microsoft.com/office/drawing/2014/chart" uri="{C3380CC4-5D6E-409C-BE32-E72D297353CC}">
              <c16:uniqueId val="{00000000-62E1-4989-95DF-54A53E9EA9FE}"/>
            </c:ext>
          </c:extLst>
        </c:ser>
        <c:dLbls>
          <c:showLegendKey val="0"/>
          <c:showVal val="0"/>
          <c:showCatName val="0"/>
          <c:showSerName val="0"/>
          <c:showPercent val="0"/>
          <c:showBubbleSize val="0"/>
        </c:dLbls>
        <c:gapWidth val="150"/>
        <c:overlap val="100"/>
        <c:axId val="595467848"/>
        <c:axId val="595465224"/>
      </c:barChart>
      <c:lineChart>
        <c:grouping val="standard"/>
        <c:varyColors val="0"/>
        <c:ser>
          <c:idx val="0"/>
          <c:order val="3"/>
          <c:tx>
            <c:v>收入YoY</c:v>
          </c:tx>
          <c:spPr>
            <a:ln w="28575" cap="rnd">
              <a:solidFill>
                <a:schemeClr val="accent1"/>
              </a:solidFill>
              <a:round/>
            </a:ln>
            <a:effectLst/>
          </c:spPr>
          <c:marker>
            <c:symbol val="none"/>
          </c:marker>
          <c:dLbls>
            <c:dLbl>
              <c:idx val="0"/>
              <c:layout>
                <c:manualLayout>
                  <c:x val="-3.6832594629049212E-2"/>
                  <c:y val="-8.7626158621118069E-2"/>
                </c:manualLayout>
              </c:layout>
              <c:spPr>
                <a:solidFill>
                  <a:schemeClr val="bg1"/>
                </a:solidFill>
                <a:ln>
                  <a:solidFill>
                    <a:schemeClr val="accent1"/>
                  </a:solidFill>
                </a:ln>
                <a:effectLst/>
              </c:spPr>
              <c:txPr>
                <a:bodyPr rot="0" spcFirstLastPara="1" vertOverflow="ellipsis" vert="horz" wrap="square" lIns="38100" tIns="19050" rIns="38100" bIns="19050" anchor="ctr" anchorCtr="0">
                  <a:spAutoFit/>
                </a:bodyPr>
                <a:lstStyle/>
                <a:p>
                  <a:pPr algn="ctr" rtl="0">
                    <a:defRPr lang="en-US" altLang="zh-CN" sz="900" b="0" i="0" u="none" strike="noStrike" kern="1200" baseline="0">
                      <a:solidFill>
                        <a:sysClr val="windowText" lastClr="000000"/>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D30-4B17-B265-476B68C7A1D0}"/>
                </c:ext>
              </c:extLst>
            </c:dLbl>
            <c:dLbl>
              <c:idx val="4"/>
              <c:layout>
                <c:manualLayout>
                  <c:x val="-4.6166524471347857E-2"/>
                  <c:y val="5.0056271617275314E-2"/>
                </c:manualLayout>
              </c:layout>
              <c:spPr>
                <a:solidFill>
                  <a:schemeClr val="bg1"/>
                </a:solidFill>
                <a:ln>
                  <a:solidFill>
                    <a:schemeClr val="accent1"/>
                  </a:solidFill>
                </a:ln>
                <a:effectLst/>
              </c:spPr>
              <c:txPr>
                <a:bodyPr rot="0" spcFirstLastPara="1" vertOverflow="ellipsis" vert="horz" wrap="square" lIns="38100" tIns="19050" rIns="38100" bIns="19050" anchor="ctr" anchorCtr="0">
                  <a:spAutoFit/>
                </a:bodyPr>
                <a:lstStyle/>
                <a:p>
                  <a:pPr algn="ctr" rtl="0">
                    <a:defRPr lang="en-US" altLang="zh-CN" sz="900" b="0" i="0" u="none" strike="noStrike" kern="1200" baseline="0">
                      <a:solidFill>
                        <a:sysClr val="windowText" lastClr="000000"/>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D30-4B17-B265-476B68C7A1D0}"/>
                </c:ext>
              </c:extLst>
            </c:dLbl>
            <c:dLbl>
              <c:idx val="8"/>
              <c:layout>
                <c:manualLayout>
                  <c:x val="-4.616652447134794E-2"/>
                  <c:y val="-4.620578918517728E-2"/>
                </c:manualLayout>
              </c:layout>
              <c:spPr>
                <a:solidFill>
                  <a:schemeClr val="bg1"/>
                </a:solidFill>
                <a:ln>
                  <a:solidFill>
                    <a:schemeClr val="accent1"/>
                  </a:solidFill>
                </a:ln>
                <a:effectLst/>
              </c:spPr>
              <c:txPr>
                <a:bodyPr rot="0" spcFirstLastPara="1" vertOverflow="ellipsis" vert="horz" wrap="square" lIns="38100" tIns="19050" rIns="38100" bIns="19050" anchor="ctr" anchorCtr="0">
                  <a:spAutoFit/>
                </a:bodyPr>
                <a:lstStyle/>
                <a:p>
                  <a:pPr algn="ctr" rtl="0">
                    <a:defRPr lang="en-US" altLang="zh-CN" sz="900" b="0" i="0" u="none" strike="noStrike" kern="1200" baseline="0">
                      <a:solidFill>
                        <a:sysClr val="windowText" lastClr="000000"/>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D30-4B17-B265-476B68C7A1D0}"/>
                </c:ext>
              </c:extLst>
            </c:dLbl>
            <c:dLbl>
              <c:idx val="10"/>
              <c:delete val="1"/>
              <c:extLst>
                <c:ext xmlns:c15="http://schemas.microsoft.com/office/drawing/2012/chart" uri="{CE6537A1-D6FC-4f65-9D91-7224C49458BB}"/>
                <c:ext xmlns:c16="http://schemas.microsoft.com/office/drawing/2014/chart" uri="{C3380CC4-5D6E-409C-BE32-E72D297353CC}">
                  <c16:uniqueId val="{00000000-FE9E-42DC-88F4-9803714AEC08}"/>
                </c:ext>
              </c:extLst>
            </c:dLbl>
            <c:dLbl>
              <c:idx val="12"/>
              <c:layout>
                <c:manualLayout>
                  <c:x val="-3.9241545800645677E-2"/>
                  <c:y val="-7.7009648641962136E-2"/>
                </c:manualLayout>
              </c:layout>
              <c:spPr>
                <a:solidFill>
                  <a:schemeClr val="bg1"/>
                </a:soli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D30-4B17-B265-476B68C7A1D0}"/>
                </c:ext>
              </c:extLst>
            </c:dLbl>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(Tongchengelong!$Z$2:$AC$2,Tongchengelong!$AP$2:$BC$2)</c15:sqref>
                  </c15:fullRef>
                </c:ext>
              </c:extLst>
              <c:f>(Tongchengelong!$AA$2:$AC$2,Tongchengelong!$AT$2:$BC$2)</c:f>
              <c:strCache>
                <c:ptCount val="13"/>
                <c:pt idx="0">
                  <c:v> 2Q19 </c:v>
                </c:pt>
                <c:pt idx="1">
                  <c:v> 3Q19 </c:v>
                </c:pt>
                <c:pt idx="2">
                  <c:v> 4Q19 </c:v>
                </c:pt>
                <c:pt idx="3">
                  <c:v> 1Q24 </c:v>
                </c:pt>
                <c:pt idx="4">
                  <c:v> 2Q24 </c:v>
                </c:pt>
                <c:pt idx="5">
                  <c:v> 3Q24 </c:v>
                </c:pt>
                <c:pt idx="6">
                  <c:v> 4Q24 </c:v>
                </c:pt>
                <c:pt idx="7">
                  <c:v> 1Q25 </c:v>
                </c:pt>
                <c:pt idx="8">
                  <c:v> 2Q25 </c:v>
                </c:pt>
                <c:pt idx="9">
                  <c:v> 3Q25 </c:v>
                </c:pt>
                <c:pt idx="10">
                  <c:v> 4Q25 </c:v>
                </c:pt>
                <c:pt idx="11">
                  <c:v> 1Q26 </c:v>
                </c:pt>
                <c:pt idx="12">
                  <c:v> 2Q26 </c:v>
                </c:pt>
              </c:strCache>
            </c:strRef>
          </c:cat>
          <c:val>
            <c:numRef>
              <c:extLst>
                <c:ext xmlns:c15="http://schemas.microsoft.com/office/drawing/2012/chart" uri="{02D57815-91ED-43cb-92C2-25804820EDAC}">
                  <c15:fullRef>
                    <c15:sqref>(Tongchengelong!$Z$82:$AC$82,Tongchengelong!$AP$82:$BC$82)</c15:sqref>
                  </c15:fullRef>
                </c:ext>
              </c:extLst>
              <c:f>(Tongchengelong!$AA$82:$AC$82,Tongchengelong!$AT$82:$BC$82)</c:f>
              <c:numCache>
                <c:formatCode>0%</c:formatCode>
                <c:ptCount val="13"/>
                <c:pt idx="0">
                  <c:v>0.21028695758018379</c:v>
                </c:pt>
                <c:pt idx="1">
                  <c:v>0.22280222272691419</c:v>
                </c:pt>
                <c:pt idx="2">
                  <c:v>0.24427339643016599</c:v>
                </c:pt>
                <c:pt idx="3" formatCode="0.0%">
                  <c:v>0.49499776307806642</c:v>
                </c:pt>
                <c:pt idx="4" formatCode="0.0%">
                  <c:v>0.48114395403920573</c:v>
                </c:pt>
                <c:pt idx="5" formatCode="0.0%">
                  <c:v>0.51290004819218682</c:v>
                </c:pt>
                <c:pt idx="6" formatCode="0.0%">
                  <c:v>0.34759052351662012</c:v>
                </c:pt>
                <c:pt idx="7" formatCode="0.0%">
                  <c:v>0.13220828921251915</c:v>
                </c:pt>
                <c:pt idx="8" formatCode="0.0%">
                  <c:v>9.989124589522147E-2</c:v>
                </c:pt>
                <c:pt idx="9" formatCode="0.0%">
                  <c:v>0.10369957223245296</c:v>
                </c:pt>
                <c:pt idx="10" formatCode="0.0%">
                  <c:v>0.14216429049298474</c:v>
                </c:pt>
                <c:pt idx="11" formatCode="0.0%">
                  <c:v>0.14354534804881025</c:v>
                </c:pt>
                <c:pt idx="12" formatCode="0.0%">
                  <c:v>6.8015995953254249E-2</c:v>
                </c:pt>
              </c:numCache>
            </c:numRef>
          </c:val>
          <c:smooth val="0"/>
          <c:extLst>
            <c:ext xmlns:c16="http://schemas.microsoft.com/office/drawing/2014/chart" uri="{C3380CC4-5D6E-409C-BE32-E72D297353CC}">
              <c16:uniqueId val="{00000004-9D9D-4A8C-AD1F-196144C4023B}"/>
            </c:ext>
          </c:extLst>
        </c:ser>
        <c:dLbls>
          <c:showLegendKey val="0"/>
          <c:showVal val="0"/>
          <c:showCatName val="0"/>
          <c:showSerName val="0"/>
          <c:showPercent val="0"/>
          <c:showBubbleSize val="0"/>
        </c:dLbls>
        <c:marker val="1"/>
        <c:smooth val="0"/>
        <c:axId val="1380118608"/>
        <c:axId val="1467619104"/>
      </c:lineChart>
      <c:catAx>
        <c:axId val="595467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lgn="ctr">
              <a:defRPr lang="en-US" altLang="zh-CN" sz="900" b="0" i="0" u="none" strike="noStrike" kern="1200" baseline="0">
                <a:solidFill>
                  <a:sysClr val="windowText" lastClr="000000"/>
                </a:solidFill>
                <a:latin typeface="+mn-lt"/>
                <a:ea typeface="+mn-ea"/>
                <a:cs typeface="+mn-cs"/>
              </a:defRPr>
            </a:pPr>
            <a:endParaRPr lang="zh-CN"/>
          </a:p>
        </c:txPr>
        <c:crossAx val="595465224"/>
        <c:crosses val="autoZero"/>
        <c:auto val="1"/>
        <c:lblAlgn val="ctr"/>
        <c:lblOffset val="100"/>
        <c:noMultiLvlLbl val="0"/>
      </c:catAx>
      <c:valAx>
        <c:axId val="595465224"/>
        <c:scaling>
          <c:orientation val="minMax"/>
          <c:max val="6000000"/>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95467848"/>
        <c:crosses val="autoZero"/>
        <c:crossBetween val="between"/>
        <c:dispUnits>
          <c:builtInUnit val="millions"/>
          <c:dispUnitsLbl>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zh-CN" altLang="en-US"/>
                    <a:t>十亿</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CN"/>
              </a:p>
            </c:txPr>
          </c:dispUnitsLbl>
        </c:dispUnits>
      </c:valAx>
      <c:valAx>
        <c:axId val="146761910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80118608"/>
        <c:crosses val="max"/>
        <c:crossBetween val="between"/>
      </c:valAx>
      <c:catAx>
        <c:axId val="1380118608"/>
        <c:scaling>
          <c:orientation val="minMax"/>
        </c:scaling>
        <c:delete val="1"/>
        <c:axPos val="b"/>
        <c:numFmt formatCode="General" sourceLinked="1"/>
        <c:majorTickMark val="out"/>
        <c:minorTickMark val="none"/>
        <c:tickLblPos val="nextTo"/>
        <c:crossAx val="14676191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ea"/>
                <a:ea typeface="+mn-ea"/>
                <a:cs typeface="+mn-cs"/>
              </a:defRPr>
            </a:pPr>
            <a:r>
              <a:rPr lang="zh-CN" altLang="zh-CN" sz="1400" b="0" i="0" u="none" strike="noStrike" baseline="0">
                <a:effectLst/>
                <a:latin typeface="+mn-ea"/>
                <a:ea typeface="+mn-ea"/>
              </a:rPr>
              <a:t>同程艺龙</a:t>
            </a:r>
            <a:r>
              <a:rPr lang="zh-TW" altLang="en-US" sz="1400" b="0" i="0" u="none" strike="noStrike" kern="1200" spc="0" baseline="0">
                <a:solidFill>
                  <a:sysClr val="windowText" lastClr="000000">
                    <a:lumMod val="65000"/>
                    <a:lumOff val="35000"/>
                  </a:sysClr>
                </a:solidFill>
                <a:effectLst/>
                <a:latin typeface="+mn-ea"/>
                <a:ea typeface="+mn-ea"/>
                <a:cs typeface="+mn-cs"/>
              </a:rPr>
              <a:t>毛利率</a:t>
            </a:r>
            <a:endParaRPr lang="zh-CN" altLang="en-US" sz="1400" b="0" i="0" u="none" strike="noStrike" kern="1200" spc="0" baseline="0">
              <a:solidFill>
                <a:sysClr val="windowText" lastClr="000000">
                  <a:lumMod val="65000"/>
                  <a:lumOff val="35000"/>
                </a:sysClr>
              </a:solidFill>
              <a:effectLst/>
              <a:latin typeface="+mn-ea"/>
              <a:ea typeface="+mn-ea"/>
              <a:cs typeface="+mn-cs"/>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ea"/>
              <a:ea typeface="+mn-ea"/>
              <a:cs typeface="+mn-cs"/>
            </a:defRPr>
          </a:pPr>
          <a:endParaRPr lang="zh-CN"/>
        </a:p>
      </c:txPr>
    </c:title>
    <c:autoTitleDeleted val="0"/>
    <c:plotArea>
      <c:layout>
        <c:manualLayout>
          <c:layoutTarget val="inner"/>
          <c:xMode val="edge"/>
          <c:yMode val="edge"/>
          <c:x val="0.11885391374241583"/>
          <c:y val="0.11944511700938482"/>
          <c:w val="0.81978422920896865"/>
          <c:h val="0.73016105429597333"/>
        </c:manualLayout>
      </c:layout>
      <c:lineChart>
        <c:grouping val="standard"/>
        <c:varyColors val="0"/>
        <c:ser>
          <c:idx val="0"/>
          <c:order val="0"/>
          <c:tx>
            <c:strRef>
              <c:f>Tongchengelong!$A$110</c:f>
              <c:strCache>
                <c:ptCount val="1"/>
                <c:pt idx="0">
                  <c:v> Gross Margin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7"/>
              <c:layout>
                <c:manualLayout>
                  <c:x val="-3.8864060388527806E-2"/>
                  <c:y val="-3.28208028816813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E01-4282-80F0-55084F79174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(Tongchengelong!$Z$2:$AC$2,Tongchengelong!$AP$2:$BC$2)</c15:sqref>
                  </c15:fullRef>
                </c:ext>
              </c:extLst>
              <c:f>(Tongchengelong!$AA$2:$AC$2,Tongchengelong!$AT$2:$BC$2)</c:f>
              <c:strCache>
                <c:ptCount val="13"/>
                <c:pt idx="0">
                  <c:v> 2Q19 </c:v>
                </c:pt>
                <c:pt idx="1">
                  <c:v> 3Q19 </c:v>
                </c:pt>
                <c:pt idx="2">
                  <c:v> 4Q19 </c:v>
                </c:pt>
                <c:pt idx="3">
                  <c:v> 1Q24 </c:v>
                </c:pt>
                <c:pt idx="4">
                  <c:v> 2Q24 </c:v>
                </c:pt>
                <c:pt idx="5">
                  <c:v> 3Q24 </c:v>
                </c:pt>
                <c:pt idx="6">
                  <c:v> 4Q24 </c:v>
                </c:pt>
                <c:pt idx="7">
                  <c:v> 1Q25 </c:v>
                </c:pt>
                <c:pt idx="8">
                  <c:v> 2Q25 </c:v>
                </c:pt>
                <c:pt idx="9">
                  <c:v> 3Q25 </c:v>
                </c:pt>
                <c:pt idx="10">
                  <c:v> 4Q25 </c:v>
                </c:pt>
                <c:pt idx="11">
                  <c:v> 1Q26 </c:v>
                </c:pt>
                <c:pt idx="12">
                  <c:v> 2Q26 </c:v>
                </c:pt>
              </c:strCache>
            </c:strRef>
          </c:cat>
          <c:val>
            <c:numRef>
              <c:extLst>
                <c:ext xmlns:c15="http://schemas.microsoft.com/office/drawing/2012/chart" uri="{02D57815-91ED-43cb-92C2-25804820EDAC}">
                  <c15:fullRef>
                    <c15:sqref>(Tongchengelong!$Z$110:$AC$110,Tongchengelong!$AP$110:$BC$110)</c15:sqref>
                  </c15:fullRef>
                </c:ext>
              </c:extLst>
              <c:f>(Tongchengelong!$AA$110:$AC$110,Tongchengelong!$AT$110:$BC$110)</c:f>
              <c:numCache>
                <c:formatCode>0.0%</c:formatCode>
                <c:ptCount val="13"/>
                <c:pt idx="0">
                  <c:v>0.64726839809968961</c:v>
                </c:pt>
                <c:pt idx="1">
                  <c:v>0.66901698728984105</c:v>
                </c:pt>
                <c:pt idx="2">
                  <c:v>0.70609912736718194</c:v>
                </c:pt>
                <c:pt idx="3">
                  <c:v>0.65044313937073328</c:v>
                </c:pt>
                <c:pt idx="4">
                  <c:v>0.64643209039899352</c:v>
                </c:pt>
                <c:pt idx="5">
                  <c:v>0.63401332987144532</c:v>
                </c:pt>
                <c:pt idx="6">
                  <c:v>0.63472521300608487</c:v>
                </c:pt>
                <c:pt idx="7">
                  <c:v>0.68818361998541611</c:v>
                </c:pt>
                <c:pt idx="8">
                  <c:v>0.65024667887800458</c:v>
                </c:pt>
                <c:pt idx="9">
                  <c:v>0.65742627850005586</c:v>
                </c:pt>
                <c:pt idx="10">
                  <c:v>0.65850589588725916</c:v>
                </c:pt>
                <c:pt idx="11">
                  <c:v>0.69844412232869446</c:v>
                </c:pt>
                <c:pt idx="12">
                  <c:v>0.66705514126953791</c:v>
                </c:pt>
              </c:numCache>
            </c:numRef>
          </c:val>
          <c:smooth val="0"/>
          <c:extLst>
            <c:ext xmlns:c16="http://schemas.microsoft.com/office/drawing/2014/chart" uri="{C3380CC4-5D6E-409C-BE32-E72D297353CC}">
              <c16:uniqueId val="{00000003-D498-4339-B03B-3E7E5CF09276}"/>
            </c:ext>
          </c:extLst>
        </c:ser>
        <c:dLbls>
          <c:showLegendKey val="0"/>
          <c:showVal val="0"/>
          <c:showCatName val="0"/>
          <c:showSerName val="0"/>
          <c:showPercent val="0"/>
          <c:showBubbleSize val="0"/>
        </c:dLbls>
        <c:marker val="1"/>
        <c:smooth val="0"/>
        <c:axId val="670235136"/>
        <c:axId val="670238088"/>
      </c:lineChart>
      <c:dateAx>
        <c:axId val="67023513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lgn="ctr">
              <a:defRPr lang="en-US" altLang="zh-CN" sz="900" b="0" i="0" u="none" strike="noStrike" kern="1200" baseline="0">
                <a:solidFill>
                  <a:sysClr val="windowText" lastClr="000000"/>
                </a:solidFill>
                <a:latin typeface="+mn-lt"/>
                <a:ea typeface="+mn-ea"/>
                <a:cs typeface="+mn-cs"/>
              </a:defRPr>
            </a:pPr>
            <a:endParaRPr lang="zh-CN"/>
          </a:p>
        </c:txPr>
        <c:crossAx val="670238088"/>
        <c:crossesAt val="-0.4"/>
        <c:auto val="0"/>
        <c:lblOffset val="100"/>
        <c:baseTimeUnit val="days"/>
      </c:dateAx>
      <c:valAx>
        <c:axId val="670238088"/>
        <c:scaling>
          <c:orientation val="minMax"/>
          <c:min val="0.60000000000000009"/>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0235136"/>
        <c:crosses val="autoZero"/>
        <c:crossBetween val="between"/>
      </c:valAx>
      <c:spPr>
        <a:noFill/>
        <a:ln>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ea"/>
                <a:ea typeface="+mn-ea"/>
                <a:cs typeface="+mn-cs"/>
              </a:defRPr>
            </a:pPr>
            <a:r>
              <a:rPr lang="zh-CN" altLang="zh-CN" sz="1400" b="0" i="0" u="none" strike="noStrike" baseline="0">
                <a:effectLst/>
                <a:latin typeface="+mn-ea"/>
                <a:ea typeface="+mn-ea"/>
              </a:rPr>
              <a:t>同程艺龙</a:t>
            </a:r>
            <a:r>
              <a:rPr lang="en-US" altLang="zh-CN" sz="1400" b="0" i="0" u="none" strike="noStrike" baseline="0">
                <a:effectLst/>
                <a:latin typeface="+mn-ea"/>
                <a:ea typeface="+mn-ea"/>
              </a:rPr>
              <a:t>Adj. EBITDA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ea"/>
              <a:ea typeface="+mn-ea"/>
              <a:cs typeface="+mn-cs"/>
            </a:defRPr>
          </a:pPr>
          <a:endParaRPr lang="zh-CN"/>
        </a:p>
      </c:txPr>
    </c:title>
    <c:autoTitleDeleted val="0"/>
    <c:plotArea>
      <c:layout/>
      <c:lineChart>
        <c:grouping val="standard"/>
        <c:varyColors val="0"/>
        <c:ser>
          <c:idx val="0"/>
          <c:order val="0"/>
          <c:tx>
            <c:strRef>
              <c:f>Tongchengelong!$A$115</c:f>
              <c:strCache>
                <c:ptCount val="1"/>
                <c:pt idx="0">
                  <c:v> Adjusted EBITDA (Reported) Margin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(Tongchengelong!$Z$2:$AC$2,Tongchengelong!$AP$2:$BC$2)</c15:sqref>
                  </c15:fullRef>
                </c:ext>
              </c:extLst>
              <c:f>(Tongchengelong!$AA$2:$AC$2,Tongchengelong!$AT$2:$BC$2)</c:f>
              <c:strCache>
                <c:ptCount val="13"/>
                <c:pt idx="0">
                  <c:v> 2Q19 </c:v>
                </c:pt>
                <c:pt idx="1">
                  <c:v> 3Q19 </c:v>
                </c:pt>
                <c:pt idx="2">
                  <c:v> 4Q19 </c:v>
                </c:pt>
                <c:pt idx="3">
                  <c:v> 1Q24 </c:v>
                </c:pt>
                <c:pt idx="4">
                  <c:v> 2Q24 </c:v>
                </c:pt>
                <c:pt idx="5">
                  <c:v> 3Q24 </c:v>
                </c:pt>
                <c:pt idx="6">
                  <c:v> 4Q24 </c:v>
                </c:pt>
                <c:pt idx="7">
                  <c:v> 1Q25 </c:v>
                </c:pt>
                <c:pt idx="8">
                  <c:v> 2Q25 </c:v>
                </c:pt>
                <c:pt idx="9">
                  <c:v> 3Q25 </c:v>
                </c:pt>
                <c:pt idx="10">
                  <c:v> 4Q25 </c:v>
                </c:pt>
                <c:pt idx="11">
                  <c:v> 1Q26 </c:v>
                </c:pt>
                <c:pt idx="12">
                  <c:v> 2Q26 </c:v>
                </c:pt>
              </c:strCache>
            </c:strRef>
          </c:cat>
          <c:val>
            <c:numRef>
              <c:extLst>
                <c:ext xmlns:c15="http://schemas.microsoft.com/office/drawing/2012/chart" uri="{02D57815-91ED-43cb-92C2-25804820EDAC}">
                  <c15:fullRef>
                    <c15:sqref>(Tongchengelong!$Z$115:$AC$115,Tongchengelong!$AP$115:$BC$115)</c15:sqref>
                  </c15:fullRef>
                </c:ext>
              </c:extLst>
              <c:f>(Tongchengelong!$AA$115:$AC$115,Tongchengelong!$AT$115:$BC$115)</c:f>
              <c:numCache>
                <c:formatCode>0.0%</c:formatCode>
                <c:ptCount val="13"/>
                <c:pt idx="0">
                  <c:v>0.27691027331733398</c:v>
                </c:pt>
                <c:pt idx="1">
                  <c:v>0.2654134317429066</c:v>
                </c:pt>
                <c:pt idx="2">
                  <c:v>0.21216993876287826</c:v>
                </c:pt>
                <c:pt idx="3">
                  <c:v>0.21214925569242563</c:v>
                </c:pt>
                <c:pt idx="4">
                  <c:v>0.21516800589443949</c:v>
                </c:pt>
                <c:pt idx="5">
                  <c:v>0.26420856592893194</c:v>
                </c:pt>
                <c:pt idx="6">
                  <c:v>0.2354345843298789</c:v>
                </c:pt>
                <c:pt idx="7">
                  <c:v>0.26485482812754146</c:v>
                </c:pt>
                <c:pt idx="8">
                  <c:v>0.25381615019046216</c:v>
                </c:pt>
                <c:pt idx="9">
                  <c:v>0.27413928052288644</c:v>
                </c:pt>
                <c:pt idx="10">
                  <c:v>0.26506162003841333</c:v>
                </c:pt>
                <c:pt idx="11">
                  <c:v>0.27748715887515901</c:v>
                </c:pt>
                <c:pt idx="12">
                  <c:v>0.25499019756660629</c:v>
                </c:pt>
              </c:numCache>
            </c:numRef>
          </c:val>
          <c:smooth val="0"/>
          <c:extLst>
            <c:ext xmlns:c16="http://schemas.microsoft.com/office/drawing/2014/chart" uri="{C3380CC4-5D6E-409C-BE32-E72D297353CC}">
              <c16:uniqueId val="{00000000-21D9-4FCC-A347-A1B88357E866}"/>
            </c:ext>
          </c:extLst>
        </c:ser>
        <c:dLbls>
          <c:showLegendKey val="0"/>
          <c:showVal val="0"/>
          <c:showCatName val="0"/>
          <c:showSerName val="0"/>
          <c:showPercent val="0"/>
          <c:showBubbleSize val="0"/>
        </c:dLbls>
        <c:marker val="1"/>
        <c:smooth val="0"/>
        <c:axId val="670235136"/>
        <c:axId val="670238088"/>
      </c:lineChart>
      <c:catAx>
        <c:axId val="67023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0238088"/>
        <c:crossesAt val="-0.4"/>
        <c:auto val="1"/>
        <c:lblAlgn val="ctr"/>
        <c:lblOffset val="100"/>
        <c:noMultiLvlLbl val="0"/>
      </c:catAx>
      <c:valAx>
        <c:axId val="670238088"/>
        <c:scaling>
          <c:orientation val="minMax"/>
          <c:max val="0.4"/>
          <c:min val="0.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0235136"/>
        <c:crosses val="autoZero"/>
        <c:crossBetween val="between"/>
      </c:valAx>
      <c:spPr>
        <a:noFill/>
        <a:ln>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单段收入对比</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Summary!$C$70</c:f>
              <c:strCache>
                <c:ptCount val="1"/>
                <c:pt idx="0">
                  <c:v> 同程单段收入 </c:v>
                </c:pt>
              </c:strCache>
            </c:strRef>
          </c:tx>
          <c:spPr>
            <a:ln w="28575" cap="rnd">
              <a:solidFill>
                <a:schemeClr val="accent1"/>
              </a:solidFill>
              <a:round/>
            </a:ln>
            <a:effectLst/>
          </c:spPr>
          <c:marker>
            <c:symbol val="none"/>
          </c:marker>
          <c:cat>
            <c:strRef>
              <c:f>Summary!$D$64:$AF$64</c:f>
              <c:strCache>
                <c:ptCount val="17"/>
                <c:pt idx="0">
                  <c:v> 1Q19 </c:v>
                </c:pt>
                <c:pt idx="1">
                  <c:v> 2Q19 </c:v>
                </c:pt>
                <c:pt idx="2">
                  <c:v> 3Q19 </c:v>
                </c:pt>
                <c:pt idx="3">
                  <c:v> 4Q19 </c:v>
                </c:pt>
                <c:pt idx="4">
                  <c:v> 23Q1 </c:v>
                </c:pt>
                <c:pt idx="5">
                  <c:v> 23Q2 </c:v>
                </c:pt>
                <c:pt idx="6">
                  <c:v> 23Q3 </c:v>
                </c:pt>
                <c:pt idx="7">
                  <c:v> 23Q4 </c:v>
                </c:pt>
                <c:pt idx="8">
                  <c:v> 24Q1 </c:v>
                </c:pt>
                <c:pt idx="9">
                  <c:v> 24Q2 </c:v>
                </c:pt>
                <c:pt idx="10">
                  <c:v> 24Q3 </c:v>
                </c:pt>
                <c:pt idx="11">
                  <c:v> 24Q4 </c:v>
                </c:pt>
                <c:pt idx="12">
                  <c:v> 25Q1 </c:v>
                </c:pt>
                <c:pt idx="13">
                  <c:v> 25Q2 </c:v>
                </c:pt>
                <c:pt idx="14">
                  <c:v> 25Q3 </c:v>
                </c:pt>
                <c:pt idx="15">
                  <c:v> 25Q4 </c:v>
                </c:pt>
                <c:pt idx="16">
                  <c:v> 26Q1 </c:v>
                </c:pt>
              </c:strCache>
            </c:strRef>
          </c:cat>
          <c:val>
            <c:numRef>
              <c:f>Summary!$D$70:$AF$70</c:f>
              <c:numCache>
                <c:formatCode>_(* #,##0.00_);_(* \(#,##0.00\);_(* "-"??_);_(@_)</c:formatCode>
                <c:ptCount val="17"/>
                <c:pt idx="0">
                  <c:v>26.860090521831737</c:v>
                </c:pt>
                <c:pt idx="1">
                  <c:v>22.10253951527924</c:v>
                </c:pt>
                <c:pt idx="2">
                  <c:v>21.932432432432435</c:v>
                </c:pt>
                <c:pt idx="3">
                  <c:v>22.165806451612902</c:v>
                </c:pt>
                <c:pt idx="4">
                  <c:v>24.487773205303856</c:v>
                </c:pt>
                <c:pt idx="5">
                  <c:v>22.489021851840477</c:v>
                </c:pt>
                <c:pt idx="6">
                  <c:v>23.785966289439681</c:v>
                </c:pt>
                <c:pt idx="7">
                  <c:v>22.942047041687108</c:v>
                </c:pt>
                <c:pt idx="8">
                  <c:v>23.149459822227993</c:v>
                </c:pt>
                <c:pt idx="9">
                  <c:v>21.437234607491998</c:v>
                </c:pt>
                <c:pt idx="10">
                  <c:v>24.8715078708357</c:v>
                </c:pt>
                <c:pt idx="11">
                  <c:v>22.883059602987249</c:v>
                </c:pt>
                <c:pt idx="12">
                  <c:v>24.383739223213947</c:v>
                </c:pt>
                <c:pt idx="13">
                  <c:v>23.920132301255943</c:v>
                </c:pt>
                <c:pt idx="14">
                  <c:v>25.112180933574763</c:v>
                </c:pt>
                <c:pt idx="15">
                  <c:v>24.908830855294468</c:v>
                </c:pt>
                <c:pt idx="16">
                  <c:v>23.517463078115004</c:v>
                </c:pt>
              </c:numCache>
            </c:numRef>
          </c:val>
          <c:smooth val="0"/>
          <c:extLst>
            <c:ext xmlns:c16="http://schemas.microsoft.com/office/drawing/2014/chart" uri="{C3380CC4-5D6E-409C-BE32-E72D297353CC}">
              <c16:uniqueId val="{00000000-6BFE-4E06-837C-4D4B804B001E}"/>
            </c:ext>
          </c:extLst>
        </c:ser>
        <c:ser>
          <c:idx val="1"/>
          <c:order val="1"/>
          <c:tx>
            <c:strRef>
              <c:f>Summary!$C$71</c:f>
              <c:strCache>
                <c:ptCount val="1"/>
                <c:pt idx="0">
                  <c:v> C+Q单段收入 </c:v>
                </c:pt>
              </c:strCache>
            </c:strRef>
          </c:tx>
          <c:spPr>
            <a:ln w="28575" cap="rnd">
              <a:solidFill>
                <a:schemeClr val="accent2"/>
              </a:solidFill>
              <a:round/>
            </a:ln>
            <a:effectLst/>
          </c:spPr>
          <c:marker>
            <c:symbol val="none"/>
          </c:marker>
          <c:cat>
            <c:strRef>
              <c:f>Summary!$D$64:$AF$64</c:f>
              <c:strCache>
                <c:ptCount val="17"/>
                <c:pt idx="0">
                  <c:v> 1Q19 </c:v>
                </c:pt>
                <c:pt idx="1">
                  <c:v> 2Q19 </c:v>
                </c:pt>
                <c:pt idx="2">
                  <c:v> 3Q19 </c:v>
                </c:pt>
                <c:pt idx="3">
                  <c:v> 4Q19 </c:v>
                </c:pt>
                <c:pt idx="4">
                  <c:v> 23Q1 </c:v>
                </c:pt>
                <c:pt idx="5">
                  <c:v> 23Q2 </c:v>
                </c:pt>
                <c:pt idx="6">
                  <c:v> 23Q3 </c:v>
                </c:pt>
                <c:pt idx="7">
                  <c:v> 23Q4 </c:v>
                </c:pt>
                <c:pt idx="8">
                  <c:v> 24Q1 </c:v>
                </c:pt>
                <c:pt idx="9">
                  <c:v> 24Q2 </c:v>
                </c:pt>
                <c:pt idx="10">
                  <c:v> 24Q3 </c:v>
                </c:pt>
                <c:pt idx="11">
                  <c:v> 24Q4 </c:v>
                </c:pt>
                <c:pt idx="12">
                  <c:v> 25Q1 </c:v>
                </c:pt>
                <c:pt idx="13">
                  <c:v> 25Q2 </c:v>
                </c:pt>
                <c:pt idx="14">
                  <c:v> 25Q3 </c:v>
                </c:pt>
                <c:pt idx="15">
                  <c:v> 25Q4 </c:v>
                </c:pt>
                <c:pt idx="16">
                  <c:v> 26Q1 </c:v>
                </c:pt>
              </c:strCache>
            </c:strRef>
          </c:cat>
          <c:val>
            <c:numRef>
              <c:f>Summary!$D$71:$AF$71</c:f>
              <c:numCache>
                <c:formatCode>_(* #,##0.00_);_(* \(#,##0.00\);_(* "-"??_);_(@_)</c:formatCode>
                <c:ptCount val="17"/>
                <c:pt idx="0">
                  <c:v>18.321510118924767</c:v>
                </c:pt>
                <c:pt idx="1">
                  <c:v>19.114091987126027</c:v>
                </c:pt>
                <c:pt idx="2">
                  <c:v>18.186619519484609</c:v>
                </c:pt>
                <c:pt idx="3">
                  <c:v>17.094433225701746</c:v>
                </c:pt>
                <c:pt idx="4">
                  <c:v>26.700893346464809</c:v>
                </c:pt>
                <c:pt idx="5">
                  <c:v>25.154099714106728</c:v>
                </c:pt>
                <c:pt idx="6">
                  <c:v>21.788151794615111</c:v>
                </c:pt>
                <c:pt idx="7">
                  <c:v>17.713495854747485</c:v>
                </c:pt>
                <c:pt idx="8">
                  <c:v>19.227692248331294</c:v>
                </c:pt>
                <c:pt idx="9">
                  <c:v>18.702922988223861</c:v>
                </c:pt>
                <c:pt idx="10">
                  <c:v>17.852852278965557</c:v>
                </c:pt>
                <c:pt idx="11">
                  <c:v>18.184233901399026</c:v>
                </c:pt>
                <c:pt idx="12">
                  <c:v>18.799428284497193</c:v>
                </c:pt>
                <c:pt idx="13">
                  <c:v>18.47156188006247</c:v>
                </c:pt>
                <c:pt idx="14">
                  <c:v>18.586170833730968</c:v>
                </c:pt>
                <c:pt idx="15">
                  <c:v>18.418678937681683</c:v>
                </c:pt>
                <c:pt idx="16">
                  <c:v>17.205775578999937</c:v>
                </c:pt>
              </c:numCache>
            </c:numRef>
          </c:val>
          <c:smooth val="0"/>
          <c:extLst>
            <c:ext xmlns:c16="http://schemas.microsoft.com/office/drawing/2014/chart" uri="{C3380CC4-5D6E-409C-BE32-E72D297353CC}">
              <c16:uniqueId val="{00000001-6BFE-4E06-837C-4D4B804B001E}"/>
            </c:ext>
          </c:extLst>
        </c:ser>
        <c:dLbls>
          <c:showLegendKey val="0"/>
          <c:showVal val="0"/>
          <c:showCatName val="0"/>
          <c:showSerName val="0"/>
          <c:showPercent val="0"/>
          <c:showBubbleSize val="0"/>
        </c:dLbls>
        <c:marker val="1"/>
        <c:smooth val="0"/>
        <c:axId val="278614032"/>
        <c:axId val="1905484544"/>
      </c:lineChart>
      <c:lineChart>
        <c:grouping val="standard"/>
        <c:varyColors val="0"/>
        <c:ser>
          <c:idx val="2"/>
          <c:order val="2"/>
          <c:tx>
            <c:strRef>
              <c:f>Summary!$C$72</c:f>
              <c:strCache>
                <c:ptCount val="1"/>
                <c:pt idx="0">
                  <c:v> T / C+Q 单段收入比例-右轴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Summary!$D$64:$AF$64</c:f>
              <c:strCache>
                <c:ptCount val="17"/>
                <c:pt idx="0">
                  <c:v> 1Q19 </c:v>
                </c:pt>
                <c:pt idx="1">
                  <c:v> 2Q19 </c:v>
                </c:pt>
                <c:pt idx="2">
                  <c:v> 3Q19 </c:v>
                </c:pt>
                <c:pt idx="3">
                  <c:v> 4Q19 </c:v>
                </c:pt>
                <c:pt idx="4">
                  <c:v> 23Q1 </c:v>
                </c:pt>
                <c:pt idx="5">
                  <c:v> 23Q2 </c:v>
                </c:pt>
                <c:pt idx="6">
                  <c:v> 23Q3 </c:v>
                </c:pt>
                <c:pt idx="7">
                  <c:v> 23Q4 </c:v>
                </c:pt>
                <c:pt idx="8">
                  <c:v> 24Q1 </c:v>
                </c:pt>
                <c:pt idx="9">
                  <c:v> 24Q2 </c:v>
                </c:pt>
                <c:pt idx="10">
                  <c:v> 24Q3 </c:v>
                </c:pt>
                <c:pt idx="11">
                  <c:v> 24Q4 </c:v>
                </c:pt>
                <c:pt idx="12">
                  <c:v> 25Q1 </c:v>
                </c:pt>
                <c:pt idx="13">
                  <c:v> 25Q2 </c:v>
                </c:pt>
                <c:pt idx="14">
                  <c:v> 25Q3 </c:v>
                </c:pt>
                <c:pt idx="15">
                  <c:v> 25Q4 </c:v>
                </c:pt>
                <c:pt idx="16">
                  <c:v> 26Q1 </c:v>
                </c:pt>
              </c:strCache>
            </c:strRef>
          </c:cat>
          <c:val>
            <c:numRef>
              <c:f>Summary!$D$72:$AF$72</c:f>
              <c:numCache>
                <c:formatCode>0%</c:formatCode>
                <c:ptCount val="17"/>
                <c:pt idx="0">
                  <c:v>1.4660413004977819</c:v>
                </c:pt>
                <c:pt idx="1">
                  <c:v>1.1563478678540435</c:v>
                </c:pt>
                <c:pt idx="2">
                  <c:v>1.2059653202143847</c:v>
                </c:pt>
                <c:pt idx="3">
                  <c:v>1.2966681117152377</c:v>
                </c:pt>
                <c:pt idx="4">
                  <c:v>0.91711437844254862</c:v>
                </c:pt>
                <c:pt idx="5">
                  <c:v>0.89404996034218454</c:v>
                </c:pt>
                <c:pt idx="6">
                  <c:v>1.0916927013202802</c:v>
                </c:pt>
                <c:pt idx="7">
                  <c:v>1.2951733090867148</c:v>
                </c:pt>
                <c:pt idx="8">
                  <c:v>1.2039645488000286</c:v>
                </c:pt>
                <c:pt idx="9">
                  <c:v>1.1461970207004419</c:v>
                </c:pt>
                <c:pt idx="10">
                  <c:v>1.3931391736288328</c:v>
                </c:pt>
                <c:pt idx="11">
                  <c:v>1.2584010812370112</c:v>
                </c:pt>
                <c:pt idx="12">
                  <c:v>1.2970468492024203</c:v>
                </c:pt>
                <c:pt idx="13">
                  <c:v>1.294970747821518</c:v>
                </c:pt>
                <c:pt idx="14">
                  <c:v>1.3511218183790776</c:v>
                </c:pt>
                <c:pt idx="15">
                  <c:v>1.3523679379814242</c:v>
                </c:pt>
                <c:pt idx="16">
                  <c:v>1.3668353960642514</c:v>
                </c:pt>
              </c:numCache>
            </c:numRef>
          </c:val>
          <c:smooth val="0"/>
          <c:extLst>
            <c:ext xmlns:c16="http://schemas.microsoft.com/office/drawing/2014/chart" uri="{C3380CC4-5D6E-409C-BE32-E72D297353CC}">
              <c16:uniqueId val="{00000002-6BFE-4E06-837C-4D4B804B001E}"/>
            </c:ext>
          </c:extLst>
        </c:ser>
        <c:dLbls>
          <c:showLegendKey val="0"/>
          <c:showVal val="0"/>
          <c:showCatName val="0"/>
          <c:showSerName val="0"/>
          <c:showPercent val="0"/>
          <c:showBubbleSize val="0"/>
        </c:dLbls>
        <c:marker val="1"/>
        <c:smooth val="0"/>
        <c:axId val="278461632"/>
        <c:axId val="1905398432"/>
      </c:lineChart>
      <c:catAx>
        <c:axId val="27861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905484544"/>
        <c:crosses val="autoZero"/>
        <c:auto val="1"/>
        <c:lblAlgn val="ctr"/>
        <c:lblOffset val="100"/>
        <c:noMultiLvlLbl val="0"/>
      </c:catAx>
      <c:valAx>
        <c:axId val="1905484544"/>
        <c:scaling>
          <c:orientation val="minMax"/>
          <c:max val="50"/>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78614032"/>
        <c:crosses val="autoZero"/>
        <c:crossBetween val="between"/>
      </c:valAx>
      <c:valAx>
        <c:axId val="190539843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78461632"/>
        <c:crosses val="max"/>
        <c:crossBetween val="between"/>
      </c:valAx>
      <c:catAx>
        <c:axId val="278461632"/>
        <c:scaling>
          <c:orientation val="minMax"/>
        </c:scaling>
        <c:delete val="1"/>
        <c:axPos val="b"/>
        <c:numFmt formatCode="General" sourceLinked="1"/>
        <c:majorTickMark val="out"/>
        <c:minorTickMark val="none"/>
        <c:tickLblPos val="nextTo"/>
        <c:crossAx val="19053984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同程 </a:t>
            </a:r>
            <a:r>
              <a:rPr lang="en-US" altLang="zh-CN"/>
              <a:t>vs</a:t>
            </a:r>
            <a:r>
              <a:rPr lang="en-US" altLang="zh-CN" baseline="0"/>
              <a:t> CQ </a:t>
            </a:r>
            <a:r>
              <a:rPr lang="zh-CN" altLang="en-US" baseline="0"/>
              <a:t>国内</a:t>
            </a:r>
            <a:r>
              <a:rPr lang="zh-CN" altLang="en-US"/>
              <a:t>票量</a:t>
            </a:r>
            <a:r>
              <a:rPr lang="en-US" altLang="zh-CN"/>
              <a:t>(mm)</a:t>
            </a:r>
            <a:r>
              <a:rPr lang="zh-CN" altLang="en-US"/>
              <a:t>对比</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Summary!$C$65</c:f>
              <c:strCache>
                <c:ptCount val="1"/>
                <c:pt idx="0">
                  <c:v> 同程国内票量(mm)-左轴 </c:v>
                </c:pt>
              </c:strCache>
            </c:strRef>
          </c:tx>
          <c:spPr>
            <a:ln w="28575" cap="rnd">
              <a:solidFill>
                <a:schemeClr val="accent1"/>
              </a:solidFill>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Summary!$D$64:$AF$64</c:f>
              <c:strCache>
                <c:ptCount val="17"/>
                <c:pt idx="0">
                  <c:v> 1Q19 </c:v>
                </c:pt>
                <c:pt idx="1">
                  <c:v> 2Q19 </c:v>
                </c:pt>
                <c:pt idx="2">
                  <c:v> 3Q19 </c:v>
                </c:pt>
                <c:pt idx="3">
                  <c:v> 4Q19 </c:v>
                </c:pt>
                <c:pt idx="4">
                  <c:v> 23Q1 </c:v>
                </c:pt>
                <c:pt idx="5">
                  <c:v> 23Q2 </c:v>
                </c:pt>
                <c:pt idx="6">
                  <c:v> 23Q3 </c:v>
                </c:pt>
                <c:pt idx="7">
                  <c:v> 23Q4 </c:v>
                </c:pt>
                <c:pt idx="8">
                  <c:v> 24Q1 </c:v>
                </c:pt>
                <c:pt idx="9">
                  <c:v> 24Q2 </c:v>
                </c:pt>
                <c:pt idx="10">
                  <c:v> 24Q3 </c:v>
                </c:pt>
                <c:pt idx="11">
                  <c:v> 24Q4 </c:v>
                </c:pt>
                <c:pt idx="12">
                  <c:v> 25Q1 </c:v>
                </c:pt>
                <c:pt idx="13">
                  <c:v> 25Q2 </c:v>
                </c:pt>
                <c:pt idx="14">
                  <c:v> 25Q3 </c:v>
                </c:pt>
                <c:pt idx="15">
                  <c:v> 25Q4 </c:v>
                </c:pt>
                <c:pt idx="16">
                  <c:v> 26Q1 </c:v>
                </c:pt>
              </c:strCache>
            </c:strRef>
          </c:cat>
          <c:val>
            <c:numRef>
              <c:f>Summary!$D$65:$AF$65</c:f>
              <c:numCache>
                <c:formatCode>_(* #,##0.00_);_(* \(#,##0.00\);_(* "-"??_);_(@_)</c:formatCode>
                <c:ptCount val="17"/>
                <c:pt idx="0">
                  <c:v>17.028647927865627</c:v>
                </c:pt>
                <c:pt idx="1">
                  <c:v>20.898102375810552</c:v>
                </c:pt>
                <c:pt idx="2">
                  <c:v>21.392690823786918</c:v>
                </c:pt>
                <c:pt idx="3">
                  <c:v>22.353849264705882</c:v>
                </c:pt>
                <c:pt idx="4" formatCode="_ * #,##0_ ;_ * \-#,##0_ ;_ * &quot;-&quot;??_ ;_ @_ ">
                  <c:v>23.625208826439774</c:v>
                </c:pt>
                <c:pt idx="5" formatCode="_ * #,##0_ ;_ * \-#,##0_ ;_ * &quot;-&quot;??_ ;_ @_ ">
                  <c:v>29.082495135551067</c:v>
                </c:pt>
                <c:pt idx="6" formatCode="_ * #,##0_ ;_ * \-#,##0_ ;_ * &quot;-&quot;??_ ;_ @_ ">
                  <c:v>28.65047918521482</c:v>
                </c:pt>
                <c:pt idx="7" formatCode="_ * #,##0_ ;_ * \-#,##0_ ;_ * &quot;-&quot;??_ ;_ @_ ">
                  <c:v>26.294616562499996</c:v>
                </c:pt>
                <c:pt idx="8" formatCode="_ * #,##0_ ;_ * \-#,##0_ ;_ * &quot;-&quot;??_ ;_ @_ ">
                  <c:v>30.454730333407284</c:v>
                </c:pt>
                <c:pt idx="9" formatCode="_ * #,##0_ ;_ * \-#,##0_ ;_ * &quot;-&quot;??_ ;_ @_ ">
                  <c:v>31.937867385223353</c:v>
                </c:pt>
                <c:pt idx="10" formatCode="_ * #,##0_ ;_ * \-#,##0_ ;_ * &quot;-&quot;??_ ;_ @_ ">
                  <c:v>33.156053236602226</c:v>
                </c:pt>
                <c:pt idx="11" formatCode="_ * #,##0_ ;_ * \-#,##0_ ;_ * &quot;-&quot;??_ ;_ @_ ">
                  <c:v>28.135239721874999</c:v>
                </c:pt>
                <c:pt idx="12" formatCode="_ * #,##0_ ;_ * \-#,##0_ ;_ * &quot;-&quot;??_ ;_ @_ ">
                  <c:v>31.368372243409503</c:v>
                </c:pt>
                <c:pt idx="13" formatCode="_ * #,##0_ ;_ * \-#,##0_ ;_ * &quot;-&quot;??_ ;_ @_ ">
                  <c:v>32.576624732927819</c:v>
                </c:pt>
                <c:pt idx="14" formatCode="_ * #,##0_ ;_ * \-#,##0_ ;_ * &quot;-&quot;??_ ;_ @_ ">
                  <c:v>33.487613768968245</c:v>
                </c:pt>
                <c:pt idx="15" formatCode="_ * #,##0_ ;_ * \-#,##0_ ;_ * &quot;-&quot;??_ ;_ @_ ">
                  <c:v>28.41659211909375</c:v>
                </c:pt>
                <c:pt idx="16" formatCode="_ * #,##0_ ;_ * \-#,##0_ ;_ * &quot;-&quot;??_ ;_ @_ ">
                  <c:v>31.682055965843599</c:v>
                </c:pt>
              </c:numCache>
            </c:numRef>
          </c:val>
          <c:smooth val="0"/>
          <c:extLst>
            <c:ext xmlns:c16="http://schemas.microsoft.com/office/drawing/2014/chart" uri="{C3380CC4-5D6E-409C-BE32-E72D297353CC}">
              <c16:uniqueId val="{00000000-0B90-4851-878B-1A83A97227FE}"/>
            </c:ext>
          </c:extLst>
        </c:ser>
        <c:ser>
          <c:idx val="1"/>
          <c:order val="1"/>
          <c:tx>
            <c:strRef>
              <c:f>Summary!$C$66</c:f>
              <c:strCache>
                <c:ptCount val="1"/>
                <c:pt idx="0">
                  <c:v> C+Q国内票量(mm)-左轴 </c:v>
                </c:pt>
              </c:strCache>
            </c:strRef>
          </c:tx>
          <c:spPr>
            <a:ln w="28575" cap="rnd">
              <a:solidFill>
                <a:schemeClr val="accent2"/>
              </a:solidFill>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Summary!$D$64:$AF$64</c:f>
              <c:strCache>
                <c:ptCount val="17"/>
                <c:pt idx="0">
                  <c:v> 1Q19 </c:v>
                </c:pt>
                <c:pt idx="1">
                  <c:v> 2Q19 </c:v>
                </c:pt>
                <c:pt idx="2">
                  <c:v> 3Q19 </c:v>
                </c:pt>
                <c:pt idx="3">
                  <c:v> 4Q19 </c:v>
                </c:pt>
                <c:pt idx="4">
                  <c:v> 23Q1 </c:v>
                </c:pt>
                <c:pt idx="5">
                  <c:v> 23Q2 </c:v>
                </c:pt>
                <c:pt idx="6">
                  <c:v> 23Q3 </c:v>
                </c:pt>
                <c:pt idx="7">
                  <c:v> 23Q4 </c:v>
                </c:pt>
                <c:pt idx="8">
                  <c:v> 24Q1 </c:v>
                </c:pt>
                <c:pt idx="9">
                  <c:v> 24Q2 </c:v>
                </c:pt>
                <c:pt idx="10">
                  <c:v> 24Q3 </c:v>
                </c:pt>
                <c:pt idx="11">
                  <c:v> 24Q4 </c:v>
                </c:pt>
                <c:pt idx="12">
                  <c:v> 25Q1 </c:v>
                </c:pt>
                <c:pt idx="13">
                  <c:v> 25Q2 </c:v>
                </c:pt>
                <c:pt idx="14">
                  <c:v> 25Q3 </c:v>
                </c:pt>
                <c:pt idx="15">
                  <c:v> 25Q4 </c:v>
                </c:pt>
                <c:pt idx="16">
                  <c:v> 26Q1 </c:v>
                </c:pt>
              </c:strCache>
            </c:strRef>
          </c:cat>
          <c:val>
            <c:numRef>
              <c:f>Summary!$D$66:$AF$66</c:f>
              <c:numCache>
                <c:formatCode>_(* #,##0.00_);_(* \(#,##0.00\);_(* "-"??_);_(@_)</c:formatCode>
                <c:ptCount val="17"/>
                <c:pt idx="0">
                  <c:v>61.195596026561205</c:v>
                </c:pt>
                <c:pt idx="1">
                  <c:v>60.862552982366566</c:v>
                </c:pt>
                <c:pt idx="2">
                  <c:v>70.35044500239556</c:v>
                </c:pt>
                <c:pt idx="3">
                  <c:v>68.8399450118945</c:v>
                </c:pt>
                <c:pt idx="4" formatCode="_ * #,##0_ ;_ * \-#,##0_ ;_ * &quot;-&quot;??_ ;_ @_ ">
                  <c:v>62.979381000000004</c:v>
                </c:pt>
                <c:pt idx="5" formatCode="_ * #,##0_ ;_ * \-#,##0_ ;_ * &quot;-&quot;??_ ;_ @_ ">
                  <c:v>73.177450999999991</c:v>
                </c:pt>
                <c:pt idx="6" formatCode="_ * #,##0_ ;_ * \-#,##0_ ;_ * &quot;-&quot;??_ ;_ @_ ">
                  <c:v>85.172815999999997</c:v>
                </c:pt>
                <c:pt idx="7" formatCode="_ * #,##0_ ;_ * \-#,##0_ ;_ * &quot;-&quot;??_ ;_ @_ ">
                  <c:v>72.212789000000001</c:v>
                </c:pt>
                <c:pt idx="8" formatCode="_ * #,##0_ ;_ * \-#,##0_ ;_ * &quot;-&quot;??_ ;_ @_ ">
                  <c:v>80.208496999999994</c:v>
                </c:pt>
                <c:pt idx="9" formatCode="_ * #,##0_ ;_ * \-#,##0_ ;_ * &quot;-&quot;??_ ;_ @_ ">
                  <c:v>75.868561999999997</c:v>
                </c:pt>
                <c:pt idx="10" formatCode="_ * #,##0_ ;_ * \-#,##0_ ;_ * &quot;-&quot;??_ ;_ @_ ">
                  <c:v>90.492215999999999</c:v>
                </c:pt>
                <c:pt idx="11" formatCode="_ * #,##0_ ;_ * \-#,##0_ ;_ * &quot;-&quot;??_ ;_ @_ ">
                  <c:v>77.280211000000008</c:v>
                </c:pt>
                <c:pt idx="12" formatCode="_ * #,##0_ ;_ * \-#,##0_ ;_ * &quot;-&quot;??_ ;_ @_ ">
                  <c:v>77.920536999999996</c:v>
                </c:pt>
                <c:pt idx="13" formatCode="_ * #,##0_ ;_ * \-#,##0_ ;_ * &quot;-&quot;??_ ;_ @_ ">
                  <c:v>77.002369000000002</c:v>
                </c:pt>
                <c:pt idx="14" formatCode="_ * #,##0_ ;_ * \-#,##0_ ;_ * &quot;-&quot;??_ ;_ @_ ">
                  <c:v>86.000309999999999</c:v>
                </c:pt>
                <c:pt idx="15" formatCode="_ * #,##0_ ;_ * \-#,##0_ ;_ * &quot;-&quot;??_ ;_ @_ ">
                  <c:v>70.655404000000004</c:v>
                </c:pt>
                <c:pt idx="16" formatCode="_ * #,##0_ ;_ * \-#,##0_ ;_ * &quot;-&quot;??_ ;_ @_ ">
                  <c:v>74.599907000000002</c:v>
                </c:pt>
              </c:numCache>
            </c:numRef>
          </c:val>
          <c:smooth val="0"/>
          <c:extLst>
            <c:ext xmlns:c16="http://schemas.microsoft.com/office/drawing/2014/chart" uri="{C3380CC4-5D6E-409C-BE32-E72D297353CC}">
              <c16:uniqueId val="{00000001-0B90-4851-878B-1A83A97227FE}"/>
            </c:ext>
          </c:extLst>
        </c:ser>
        <c:dLbls>
          <c:showLegendKey val="0"/>
          <c:showVal val="0"/>
          <c:showCatName val="0"/>
          <c:showSerName val="0"/>
          <c:showPercent val="0"/>
          <c:showBubbleSize val="0"/>
        </c:dLbls>
        <c:marker val="1"/>
        <c:smooth val="0"/>
        <c:axId val="278614032"/>
        <c:axId val="1905484544"/>
      </c:lineChart>
      <c:lineChart>
        <c:grouping val="standard"/>
        <c:varyColors val="0"/>
        <c:ser>
          <c:idx val="2"/>
          <c:order val="2"/>
          <c:tx>
            <c:strRef>
              <c:f>Summary!$C$67</c:f>
              <c:strCache>
                <c:ptCount val="1"/>
                <c:pt idx="0">
                  <c:v> T / C+Q 票量比例-右轴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Summary!$D$64:$AF$64</c:f>
              <c:strCache>
                <c:ptCount val="17"/>
                <c:pt idx="0">
                  <c:v> 1Q19 </c:v>
                </c:pt>
                <c:pt idx="1">
                  <c:v> 2Q19 </c:v>
                </c:pt>
                <c:pt idx="2">
                  <c:v> 3Q19 </c:v>
                </c:pt>
                <c:pt idx="3">
                  <c:v> 4Q19 </c:v>
                </c:pt>
                <c:pt idx="4">
                  <c:v> 23Q1 </c:v>
                </c:pt>
                <c:pt idx="5">
                  <c:v> 23Q2 </c:v>
                </c:pt>
                <c:pt idx="6">
                  <c:v> 23Q3 </c:v>
                </c:pt>
                <c:pt idx="7">
                  <c:v> 23Q4 </c:v>
                </c:pt>
                <c:pt idx="8">
                  <c:v> 24Q1 </c:v>
                </c:pt>
                <c:pt idx="9">
                  <c:v> 24Q2 </c:v>
                </c:pt>
                <c:pt idx="10">
                  <c:v> 24Q3 </c:v>
                </c:pt>
                <c:pt idx="11">
                  <c:v> 24Q4 </c:v>
                </c:pt>
                <c:pt idx="12">
                  <c:v> 25Q1 </c:v>
                </c:pt>
                <c:pt idx="13">
                  <c:v> 25Q2 </c:v>
                </c:pt>
                <c:pt idx="14">
                  <c:v> 25Q3 </c:v>
                </c:pt>
                <c:pt idx="15">
                  <c:v> 25Q4 </c:v>
                </c:pt>
                <c:pt idx="16">
                  <c:v> 26Q1 </c:v>
                </c:pt>
              </c:strCache>
            </c:strRef>
          </c:cat>
          <c:val>
            <c:numRef>
              <c:f>Summary!$D$67:$AF$67</c:f>
              <c:numCache>
                <c:formatCode>0%</c:formatCode>
                <c:ptCount val="17"/>
                <c:pt idx="0">
                  <c:v>0.27826590528629791</c:v>
                </c:pt>
                <c:pt idx="1">
                  <c:v>0.34336552365565842</c:v>
                </c:pt>
                <c:pt idx="2">
                  <c:v>0.30408749828175868</c:v>
                </c:pt>
                <c:pt idx="3">
                  <c:v>0.32472206741076676</c:v>
                </c:pt>
                <c:pt idx="4">
                  <c:v>0.37512608811508918</c:v>
                </c:pt>
                <c:pt idx="5">
                  <c:v>0.39742427124922775</c:v>
                </c:pt>
                <c:pt idx="6">
                  <c:v>0.33638055580098258</c:v>
                </c:pt>
                <c:pt idx="7">
                  <c:v>0.36412686626049018</c:v>
                </c:pt>
                <c:pt idx="8">
                  <c:v>0.37969456444754585</c:v>
                </c:pt>
                <c:pt idx="9">
                  <c:v>0.420963130752674</c:v>
                </c:pt>
                <c:pt idx="10">
                  <c:v>0.36639674330223304</c:v>
                </c:pt>
                <c:pt idx="11">
                  <c:v>0.36406784295497063</c:v>
                </c:pt>
                <c:pt idx="12">
                  <c:v>0.40256873798764381</c:v>
                </c:pt>
                <c:pt idx="13">
                  <c:v>0.42306003251572455</c:v>
                </c:pt>
                <c:pt idx="14">
                  <c:v>0.38938945416555182</c:v>
                </c:pt>
                <c:pt idx="15">
                  <c:v>0.40218568588318804</c:v>
                </c:pt>
                <c:pt idx="16">
                  <c:v>0.42469296866340062</c:v>
                </c:pt>
              </c:numCache>
            </c:numRef>
          </c:val>
          <c:smooth val="0"/>
          <c:extLst>
            <c:ext xmlns:c16="http://schemas.microsoft.com/office/drawing/2014/chart" uri="{C3380CC4-5D6E-409C-BE32-E72D297353CC}">
              <c16:uniqueId val="{00000002-0B90-4851-878B-1A83A97227FE}"/>
            </c:ext>
          </c:extLst>
        </c:ser>
        <c:dLbls>
          <c:showLegendKey val="0"/>
          <c:showVal val="0"/>
          <c:showCatName val="0"/>
          <c:showSerName val="0"/>
          <c:showPercent val="0"/>
          <c:showBubbleSize val="0"/>
        </c:dLbls>
        <c:marker val="1"/>
        <c:smooth val="0"/>
        <c:axId val="278461632"/>
        <c:axId val="1905398432"/>
      </c:lineChart>
      <c:catAx>
        <c:axId val="27861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905484544"/>
        <c:crosses val="autoZero"/>
        <c:auto val="1"/>
        <c:lblAlgn val="ctr"/>
        <c:lblOffset val="100"/>
        <c:noMultiLvlLbl val="0"/>
      </c:catAx>
      <c:valAx>
        <c:axId val="1905484544"/>
        <c:scaling>
          <c:orientation val="minMax"/>
          <c:max val="180"/>
          <c:min val="0"/>
        </c:scaling>
        <c:delete val="0"/>
        <c:axPos val="l"/>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78614032"/>
        <c:crosses val="autoZero"/>
        <c:crossBetween val="between"/>
        <c:majorUnit val="20"/>
      </c:valAx>
      <c:valAx>
        <c:axId val="1905398432"/>
        <c:scaling>
          <c:orientation val="minMax"/>
          <c:max val="0.60000000000000009"/>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78461632"/>
        <c:crosses val="max"/>
        <c:crossBetween val="between"/>
      </c:valAx>
      <c:catAx>
        <c:axId val="278461632"/>
        <c:scaling>
          <c:orientation val="minMax"/>
        </c:scaling>
        <c:delete val="1"/>
        <c:axPos val="b"/>
        <c:numFmt formatCode="General" sourceLinked="1"/>
        <c:majorTickMark val="out"/>
        <c:minorTickMark val="none"/>
        <c:tickLblPos val="nextTo"/>
        <c:crossAx val="19053984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20</xdr:col>
      <xdr:colOff>0</xdr:colOff>
      <xdr:row>123</xdr:row>
      <xdr:rowOff>0</xdr:rowOff>
    </xdr:from>
    <xdr:to>
      <xdr:col>25</xdr:col>
      <xdr:colOff>22411</xdr:colOff>
      <xdr:row>150</xdr:row>
      <xdr:rowOff>33616</xdr:rowOff>
    </xdr:to>
    <xdr:sp macro="" textlink="">
      <xdr:nvSpPr>
        <xdr:cNvPr id="3" name="文本框 2">
          <a:extLst>
            <a:ext uri="{FF2B5EF4-FFF2-40B4-BE49-F238E27FC236}">
              <a16:creationId xmlns:a16="http://schemas.microsoft.com/office/drawing/2014/main" id="{00000000-0008-0000-0200-000003000000}"/>
            </a:ext>
          </a:extLst>
        </xdr:cNvPr>
        <xdr:cNvSpPr txBox="1"/>
      </xdr:nvSpPr>
      <xdr:spPr>
        <a:xfrm>
          <a:off x="9446559" y="19296529"/>
          <a:ext cx="3440205" cy="4269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b="1" i="0" u="none" strike="noStrike">
              <a:solidFill>
                <a:schemeClr val="dk1"/>
              </a:solidFill>
              <a:effectLst/>
              <a:latin typeface="+mn-lt"/>
              <a:ea typeface="+mn-ea"/>
              <a:cs typeface="+mn-cs"/>
            </a:rPr>
            <a:t>Train BU</a:t>
          </a:r>
          <a:r>
            <a:rPr lang="en-US" altLang="zh-CN" sz="1100" b="1" i="0" u="none" strike="noStrike" baseline="0">
              <a:solidFill>
                <a:schemeClr val="dk1"/>
              </a:solidFill>
              <a:effectLst/>
              <a:latin typeface="+mn-lt"/>
              <a:ea typeface="+mn-ea"/>
              <a:cs typeface="+mn-cs"/>
            </a:rPr>
            <a:t> call note</a:t>
          </a:r>
          <a:r>
            <a:rPr lang="en-US" altLang="zh-CN" sz="1100" b="1" i="0" u="none" strike="noStrike">
              <a:solidFill>
                <a:schemeClr val="dk1"/>
              </a:solidFill>
              <a:effectLst/>
              <a:latin typeface="+mn-lt"/>
              <a:ea typeface="+mn-ea"/>
              <a:cs typeface="+mn-cs"/>
            </a:rPr>
            <a:t>:</a:t>
          </a:r>
        </a:p>
        <a:p>
          <a:r>
            <a:rPr lang="en-US" altLang="zh-CN" sz="1100" b="0" i="0" u="none" strike="noStrike">
              <a:solidFill>
                <a:schemeClr val="dk1"/>
              </a:solidFill>
              <a:effectLst/>
              <a:latin typeface="+mn-lt"/>
              <a:ea typeface="+mn-ea"/>
              <a:cs typeface="+mn-cs"/>
            </a:rPr>
            <a:t>- air volume: 25-30W/day</a:t>
          </a:r>
        </a:p>
        <a:p>
          <a:r>
            <a:rPr lang="en-US" altLang="zh-CN" sz="1100" b="0" i="0" u="none" strike="noStrike">
              <a:solidFill>
                <a:schemeClr val="dk1"/>
              </a:solidFill>
              <a:effectLst/>
              <a:latin typeface="+mn-lt"/>
              <a:ea typeface="+mn-ea"/>
              <a:cs typeface="+mn-cs"/>
            </a:rPr>
            <a:t>-</a:t>
          </a:r>
          <a:r>
            <a:rPr lang="en-US" altLang="zh-CN" sz="1100" b="0" i="0" u="none" strike="noStrike" baseline="0">
              <a:solidFill>
                <a:schemeClr val="dk1"/>
              </a:solidFill>
              <a:effectLst/>
              <a:latin typeface="+mn-lt"/>
              <a:ea typeface="+mn-ea"/>
              <a:cs typeface="+mn-cs"/>
            </a:rPr>
            <a:t> </a:t>
          </a:r>
          <a:r>
            <a:rPr lang="en-US" altLang="zh-CN" sz="1100" b="0" i="0" u="none" strike="noStrike">
              <a:solidFill>
                <a:schemeClr val="dk1"/>
              </a:solidFill>
              <a:effectLst/>
              <a:latin typeface="+mn-lt"/>
              <a:ea typeface="+mn-ea"/>
              <a:cs typeface="+mn-cs"/>
            </a:rPr>
            <a:t>2018 take rate same air train</a:t>
          </a:r>
        </a:p>
        <a:p>
          <a:r>
            <a:rPr lang="en-US" altLang="zh-CN" sz="1100" b="0" i="0" u="none" strike="noStrike">
              <a:solidFill>
                <a:schemeClr val="dk1"/>
              </a:solidFill>
              <a:effectLst/>
              <a:latin typeface="+mn-lt"/>
              <a:ea typeface="+mn-ea"/>
              <a:cs typeface="+mn-cs"/>
            </a:rPr>
            <a:t>- 1Q19 revenue train</a:t>
          </a:r>
          <a:r>
            <a:rPr lang="en-US" altLang="zh-CN" sz="1100" b="0" i="0" u="none" strike="noStrike" baseline="0">
              <a:solidFill>
                <a:schemeClr val="dk1"/>
              </a:solidFill>
              <a:effectLst/>
              <a:latin typeface="+mn-lt"/>
              <a:ea typeface="+mn-ea"/>
              <a:cs typeface="+mn-cs"/>
            </a:rPr>
            <a:t> </a:t>
          </a:r>
          <a:r>
            <a:rPr lang="en-US" altLang="zh-CN" sz="1100" b="0" i="0" u="none" strike="noStrike">
              <a:solidFill>
                <a:schemeClr val="dk1"/>
              </a:solidFill>
              <a:effectLst/>
              <a:latin typeface="+mn-lt"/>
              <a:ea typeface="+mn-ea"/>
              <a:cs typeface="+mn-cs"/>
            </a:rPr>
            <a:t>air 50% 50%</a:t>
          </a:r>
        </a:p>
        <a:p>
          <a:r>
            <a:rPr lang="en-US" altLang="zh-CN" sz="1100" b="0" i="0" u="none" strike="noStrike">
              <a:solidFill>
                <a:schemeClr val="dk1"/>
              </a:solidFill>
              <a:effectLst/>
              <a:latin typeface="+mn-lt"/>
              <a:ea typeface="+mn-ea"/>
              <a:cs typeface="+mn-cs"/>
            </a:rPr>
            <a:t>- ASP lower than CTRP: 120-130</a:t>
          </a:r>
          <a:endParaRPr lang="en-US" altLang="zh-CN" sz="1100" b="0" i="0" u="none" strike="noStrike" baseline="0">
            <a:solidFill>
              <a:schemeClr val="dk1"/>
            </a:solidFill>
            <a:effectLst/>
            <a:latin typeface="+mn-lt"/>
            <a:ea typeface="+mn-ea"/>
            <a:cs typeface="+mn-cs"/>
          </a:endParaRPr>
        </a:p>
        <a:p>
          <a:r>
            <a:rPr lang="en-US" altLang="zh-CN" sz="1100" b="0" i="0" u="none" strike="noStrike">
              <a:solidFill>
                <a:schemeClr val="dk1"/>
              </a:solidFill>
              <a:effectLst/>
              <a:latin typeface="+mn-lt"/>
              <a:ea typeface="+mn-ea"/>
              <a:cs typeface="+mn-cs"/>
            </a:rPr>
            <a:t> -</a:t>
          </a:r>
          <a:r>
            <a:rPr lang="en-US" altLang="zh-CN" sz="1100" b="0" i="0" u="none" strike="noStrike" baseline="0">
              <a:solidFill>
                <a:schemeClr val="dk1"/>
              </a:solidFill>
              <a:effectLst/>
              <a:latin typeface="+mn-lt"/>
              <a:ea typeface="+mn-ea"/>
              <a:cs typeface="+mn-cs"/>
            </a:rPr>
            <a:t> train </a:t>
          </a:r>
          <a:r>
            <a:rPr lang="en-US" altLang="zh-CN" sz="1100" b="0" i="0" u="none" strike="noStrike">
              <a:solidFill>
                <a:schemeClr val="dk1"/>
              </a:solidFill>
              <a:effectLst/>
              <a:latin typeface="+mn-lt"/>
              <a:ea typeface="+mn-ea"/>
              <a:cs typeface="+mn-cs"/>
            </a:rPr>
            <a:t>1Q19 take rate lower than 2018</a:t>
          </a:r>
        </a:p>
        <a:p>
          <a:r>
            <a:rPr lang="en-US" altLang="zh-CN" sz="1100" b="0" i="0" u="none" strike="noStrike">
              <a:solidFill>
                <a:schemeClr val="dk1"/>
              </a:solidFill>
              <a:effectLst/>
              <a:latin typeface="+mn-lt"/>
              <a:ea typeface="+mn-ea"/>
              <a:cs typeface="+mn-cs"/>
            </a:rPr>
            <a:t>- 1Q</a:t>
          </a:r>
          <a:r>
            <a:rPr lang="en-US" altLang="zh-CN" sz="1100" b="0" i="0" u="none" strike="noStrike" baseline="0">
              <a:solidFill>
                <a:schemeClr val="dk1"/>
              </a:solidFill>
              <a:effectLst/>
              <a:latin typeface="+mn-lt"/>
              <a:ea typeface="+mn-ea"/>
              <a:cs typeface="+mn-cs"/>
            </a:rPr>
            <a:t> </a:t>
          </a:r>
          <a:r>
            <a:rPr lang="en-US" altLang="zh-CN" sz="1100" b="0" i="0" u="none" strike="noStrike">
              <a:solidFill>
                <a:schemeClr val="dk1"/>
              </a:solidFill>
              <a:effectLst/>
              <a:latin typeface="+mn-lt"/>
              <a:ea typeface="+mn-ea"/>
              <a:cs typeface="+mn-cs"/>
            </a:rPr>
            <a:t>take rate should be higher than full year average</a:t>
          </a:r>
        </a:p>
        <a:p>
          <a:endParaRPr lang="en-US" altLang="zh-CN" sz="1100" b="0" i="0" u="none" strike="noStrike">
            <a:solidFill>
              <a:schemeClr val="dk1"/>
            </a:solidFill>
            <a:effectLst/>
            <a:latin typeface="+mn-lt"/>
            <a:ea typeface="+mn-ea"/>
            <a:cs typeface="+mn-cs"/>
          </a:endParaRPr>
        </a:p>
        <a:p>
          <a:endParaRPr lang="en-US" altLang="zh-CN" sz="1100" b="0" i="0" u="none" strike="noStrike">
            <a:solidFill>
              <a:schemeClr val="dk1"/>
            </a:solidFill>
            <a:effectLst/>
            <a:latin typeface="+mn-lt"/>
            <a:ea typeface="+mn-ea"/>
            <a:cs typeface="+mn-cs"/>
          </a:endParaRPr>
        </a:p>
        <a:p>
          <a:r>
            <a:rPr lang="en-US" altLang="zh-CN" sz="1100" b="1" i="0" u="none" strike="noStrike">
              <a:solidFill>
                <a:schemeClr val="dk1"/>
              </a:solidFill>
              <a:effectLst/>
              <a:latin typeface="+mn-lt"/>
              <a:ea typeface="+mn-ea"/>
              <a:cs typeface="+mn-cs"/>
            </a:rPr>
            <a:t>Air</a:t>
          </a:r>
          <a:r>
            <a:rPr lang="en-US" altLang="zh-CN" sz="1100" b="1" i="0" u="none" strike="noStrike" baseline="0">
              <a:solidFill>
                <a:schemeClr val="dk1"/>
              </a:solidFill>
              <a:effectLst/>
              <a:latin typeface="+mn-lt"/>
              <a:ea typeface="+mn-ea"/>
              <a:cs typeface="+mn-cs"/>
            </a:rPr>
            <a:t> BU call note:</a:t>
          </a:r>
        </a:p>
        <a:p>
          <a:r>
            <a:rPr lang="en-US" altLang="zh-CN" sz="1100" b="0" i="0" u="none" strike="noStrike" baseline="0">
              <a:solidFill>
                <a:schemeClr val="dk1"/>
              </a:solidFill>
              <a:effectLst/>
              <a:latin typeface="+mn-lt"/>
              <a:ea typeface="+mn-ea"/>
              <a:cs typeface="+mn-cs"/>
            </a:rPr>
            <a:t>- air take rate should lower than 4.2% given subsidy (done by agressive calls outreach)</a:t>
          </a:r>
        </a:p>
        <a:p>
          <a:endParaRPr lang="en-US" altLang="zh-CN" sz="1100" b="0" i="0" u="none" strike="noStrike" baseline="0">
            <a:solidFill>
              <a:schemeClr val="dk1"/>
            </a:solidFill>
            <a:effectLst/>
            <a:latin typeface="+mn-lt"/>
            <a:ea typeface="+mn-ea"/>
            <a:cs typeface="+mn-cs"/>
          </a:endParaRPr>
        </a:p>
        <a:p>
          <a:endParaRPr lang="en-US" altLang="zh-CN" sz="1100" b="0" i="0" u="none" strike="noStrike" baseline="0">
            <a:solidFill>
              <a:schemeClr val="dk1"/>
            </a:solidFill>
            <a:effectLst/>
            <a:latin typeface="+mn-lt"/>
            <a:ea typeface="+mn-ea"/>
            <a:cs typeface="+mn-cs"/>
          </a:endParaRPr>
        </a:p>
        <a:p>
          <a:r>
            <a:rPr lang="en-US" altLang="zh-CN" sz="1100" b="1">
              <a:solidFill>
                <a:srgbClr val="FF0000"/>
              </a:solidFill>
            </a:rPr>
            <a:t>Conclusion:</a:t>
          </a:r>
        </a:p>
        <a:p>
          <a:r>
            <a:rPr lang="en-US" altLang="zh-CN" sz="1100">
              <a:solidFill>
                <a:srgbClr val="FF0000"/>
              </a:solidFill>
            </a:rPr>
            <a:t>- contradictory msg between BUs</a:t>
          </a:r>
        </a:p>
        <a:p>
          <a:r>
            <a:rPr lang="en-US" altLang="zh-CN" sz="1100">
              <a:solidFill>
                <a:srgbClr val="FF0000"/>
              </a:solidFill>
            </a:rPr>
            <a:t>- TCEL take</a:t>
          </a:r>
          <a:r>
            <a:rPr lang="en-US" altLang="zh-CN" sz="1100" baseline="0">
              <a:solidFill>
                <a:srgbClr val="FF0000"/>
              </a:solidFill>
            </a:rPr>
            <a:t> rate up in either train or air</a:t>
          </a:r>
        </a:p>
        <a:p>
          <a:r>
            <a:rPr lang="en-US" altLang="zh-CN" sz="1100" baseline="0">
              <a:solidFill>
                <a:srgbClr val="FF0000"/>
              </a:solidFill>
            </a:rPr>
            <a:t>- TECL air/train volume and revenue % of CTRP are increasing, but train revenue doesn't increase that much given slowering take rate hike --&gt; possibly due to refinement of cross-selling pop-up page post IPO</a:t>
          </a:r>
          <a:endParaRPr lang="zh-CN" altLang="en-US" sz="11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99786</xdr:rowOff>
    </xdr:from>
    <xdr:to>
      <xdr:col>8</xdr:col>
      <xdr:colOff>117929</xdr:colOff>
      <xdr:row>19</xdr:row>
      <xdr:rowOff>81643</xdr:rowOff>
    </xdr:to>
    <xdr:graphicFrame macro="">
      <xdr:nvGraphicFramePr>
        <xdr:cNvPr id="2" name="图表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426358</xdr:colOff>
      <xdr:row>0</xdr:row>
      <xdr:rowOff>63500</xdr:rowOff>
    </xdr:from>
    <xdr:to>
      <xdr:col>15</xdr:col>
      <xdr:colOff>538239</xdr:colOff>
      <xdr:row>19</xdr:row>
      <xdr:rowOff>45356</xdr:rowOff>
    </xdr:to>
    <xdr:graphicFrame macro="">
      <xdr:nvGraphicFramePr>
        <xdr:cNvPr id="4" name="图表 9">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27214</xdr:colOff>
      <xdr:row>0</xdr:row>
      <xdr:rowOff>54428</xdr:rowOff>
    </xdr:from>
    <xdr:to>
      <xdr:col>23</xdr:col>
      <xdr:colOff>111880</xdr:colOff>
      <xdr:row>19</xdr:row>
      <xdr:rowOff>36285</xdr:rowOff>
    </xdr:to>
    <xdr:graphicFrame macro="">
      <xdr:nvGraphicFramePr>
        <xdr:cNvPr id="5" name="图表 4">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45358</xdr:colOff>
      <xdr:row>22</xdr:row>
      <xdr:rowOff>0</xdr:rowOff>
    </xdr:from>
    <xdr:to>
      <xdr:col>8</xdr:col>
      <xdr:colOff>308430</xdr:colOff>
      <xdr:row>40</xdr:row>
      <xdr:rowOff>80426</xdr:rowOff>
    </xdr:to>
    <xdr:graphicFrame macro="">
      <xdr:nvGraphicFramePr>
        <xdr:cNvPr id="6" name="图表 5">
          <a:extLst>
            <a:ext uri="{FF2B5EF4-FFF2-40B4-BE49-F238E27FC236}">
              <a16:creationId xmlns:a16="http://schemas.microsoft.com/office/drawing/2014/main" id="{00000000-0008-0000-0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408215</xdr:colOff>
      <xdr:row>21</xdr:row>
      <xdr:rowOff>117929</xdr:rowOff>
    </xdr:from>
    <xdr:to>
      <xdr:col>16</xdr:col>
      <xdr:colOff>462643</xdr:colOff>
      <xdr:row>40</xdr:row>
      <xdr:rowOff>81643</xdr:rowOff>
    </xdr:to>
    <xdr:graphicFrame macro="">
      <xdr:nvGraphicFramePr>
        <xdr:cNvPr id="7" name="图表 5">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535215</xdr:colOff>
      <xdr:row>21</xdr:row>
      <xdr:rowOff>175077</xdr:rowOff>
    </xdr:from>
    <xdr:to>
      <xdr:col>25</xdr:col>
      <xdr:colOff>190500</xdr:colOff>
      <xdr:row>40</xdr:row>
      <xdr:rowOff>172859</xdr:rowOff>
    </xdr:to>
    <xdr:graphicFrame macro="">
      <xdr:nvGraphicFramePr>
        <xdr:cNvPr id="8" name="图表 5">
          <a:extLst>
            <a:ext uri="{FF2B5EF4-FFF2-40B4-BE49-F238E27FC236}">
              <a16:creationId xmlns:a16="http://schemas.microsoft.com/office/drawing/2014/main" id="{00000000-0008-0000-0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32</xdr:col>
      <xdr:colOff>722032</xdr:colOff>
      <xdr:row>87</xdr:row>
      <xdr:rowOff>49679</xdr:rowOff>
    </xdr:from>
    <xdr:to>
      <xdr:col>41</xdr:col>
      <xdr:colOff>52187</xdr:colOff>
      <xdr:row>111</xdr:row>
      <xdr:rowOff>51479</xdr:rowOff>
    </xdr:to>
    <xdr:graphicFrame macro="">
      <xdr:nvGraphicFramePr>
        <xdr:cNvPr id="4" name="图表 3">
          <a:extLst>
            <a:ext uri="{FF2B5EF4-FFF2-40B4-BE49-F238E27FC236}">
              <a16:creationId xmlns:a16="http://schemas.microsoft.com/office/drawing/2014/main" id="{71908CF5-7321-45E5-BAD1-08DF99A87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59764</xdr:colOff>
      <xdr:row>63</xdr:row>
      <xdr:rowOff>69849</xdr:rowOff>
    </xdr:from>
    <xdr:to>
      <xdr:col>41</xdr:col>
      <xdr:colOff>181909</xdr:colOff>
      <xdr:row>86</xdr:row>
      <xdr:rowOff>49119</xdr:rowOff>
    </xdr:to>
    <xdr:grpSp>
      <xdr:nvGrpSpPr>
        <xdr:cNvPr id="9" name="组合 8">
          <a:extLst>
            <a:ext uri="{FF2B5EF4-FFF2-40B4-BE49-F238E27FC236}">
              <a16:creationId xmlns:a16="http://schemas.microsoft.com/office/drawing/2014/main" id="{888CCF4C-1889-4331-A28A-7DF0F1790E42}"/>
            </a:ext>
          </a:extLst>
        </xdr:cNvPr>
        <xdr:cNvGrpSpPr/>
      </xdr:nvGrpSpPr>
      <xdr:grpSpPr>
        <a:xfrm>
          <a:off x="14280029" y="10062321"/>
          <a:ext cx="5699499" cy="3744447"/>
          <a:chOff x="12785912" y="9998821"/>
          <a:chExt cx="5718175" cy="3750796"/>
        </a:xfrm>
      </xdr:grpSpPr>
      <xdr:graphicFrame macro="">
        <xdr:nvGraphicFramePr>
          <xdr:cNvPr id="3" name="图表 2">
            <a:extLst>
              <a:ext uri="{FF2B5EF4-FFF2-40B4-BE49-F238E27FC236}">
                <a16:creationId xmlns:a16="http://schemas.microsoft.com/office/drawing/2014/main" id="{E2D590D1-9C7B-4418-9C03-4238AB3C8ABD}"/>
              </a:ext>
            </a:extLst>
          </xdr:cNvPr>
          <xdr:cNvGraphicFramePr/>
        </xdr:nvGraphicFramePr>
        <xdr:xfrm>
          <a:off x="12785912" y="9998821"/>
          <a:ext cx="5718175" cy="3750796"/>
        </xdr:xfrm>
        <a:graphic>
          <a:graphicData uri="http://schemas.openxmlformats.org/drawingml/2006/chart">
            <c:chart xmlns:c="http://schemas.openxmlformats.org/drawingml/2006/chart" xmlns:r="http://schemas.openxmlformats.org/officeDocument/2006/relationships" r:id="rId2"/>
          </a:graphicData>
        </a:graphic>
      </xdr:graphicFrame>
      <xdr:cxnSp macro="">
        <xdr:nvCxnSpPr>
          <xdr:cNvPr id="6" name="直接连接符 5">
            <a:extLst>
              <a:ext uri="{FF2B5EF4-FFF2-40B4-BE49-F238E27FC236}">
                <a16:creationId xmlns:a16="http://schemas.microsoft.com/office/drawing/2014/main" id="{607B4600-1E22-46AD-B4B8-B584A8FF17B1}"/>
              </a:ext>
            </a:extLst>
          </xdr:cNvPr>
          <xdr:cNvCxnSpPr/>
        </xdr:nvCxnSpPr>
        <xdr:spPr>
          <a:xfrm flipV="1">
            <a:off x="14352442" y="10339854"/>
            <a:ext cx="0" cy="3036795"/>
          </a:xfrm>
          <a:prstGeom prst="line">
            <a:avLst/>
          </a:prstGeom>
          <a:ln>
            <a:solidFill>
              <a:srgbClr val="00B050"/>
            </a:solidFill>
          </a:ln>
        </xdr:spPr>
        <xdr:style>
          <a:lnRef idx="1">
            <a:schemeClr val="accent1"/>
          </a:lnRef>
          <a:fillRef idx="0">
            <a:schemeClr val="accent1"/>
          </a:fillRef>
          <a:effectRef idx="0">
            <a:schemeClr val="accent1"/>
          </a:effectRef>
          <a:fontRef idx="minor">
            <a:schemeClr val="tx1"/>
          </a:fontRef>
        </xdr:style>
      </xdr:cxnSp>
      <xdr:sp macro="" textlink="">
        <xdr:nvSpPr>
          <xdr:cNvPr id="7" name="文本框 6">
            <a:extLst>
              <a:ext uri="{FF2B5EF4-FFF2-40B4-BE49-F238E27FC236}">
                <a16:creationId xmlns:a16="http://schemas.microsoft.com/office/drawing/2014/main" id="{B6BD41B5-E39E-4547-8A19-A7C63AC35371}"/>
              </a:ext>
            </a:extLst>
          </xdr:cNvPr>
          <xdr:cNvSpPr txBox="1"/>
        </xdr:nvSpPr>
        <xdr:spPr>
          <a:xfrm>
            <a:off x="13607116" y="10338174"/>
            <a:ext cx="834091" cy="4530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zh-CN" sz="1100">
                <a:solidFill>
                  <a:srgbClr val="00B050"/>
                </a:solidFill>
              </a:rPr>
              <a:t>2019</a:t>
            </a:r>
            <a:endParaRPr lang="zh-CN" altLang="en-US" sz="1100">
              <a:solidFill>
                <a:srgbClr val="00B050"/>
              </a:solidFill>
            </a:endParaRPr>
          </a:p>
        </xdr:txBody>
      </xdr:sp>
      <xdr:sp macro="" textlink="">
        <xdr:nvSpPr>
          <xdr:cNvPr id="8" name="文本框 7">
            <a:extLst>
              <a:ext uri="{FF2B5EF4-FFF2-40B4-BE49-F238E27FC236}">
                <a16:creationId xmlns:a16="http://schemas.microsoft.com/office/drawing/2014/main" id="{8A6DEF56-8569-4B75-9640-36B3C68CC8E3}"/>
              </a:ext>
            </a:extLst>
          </xdr:cNvPr>
          <xdr:cNvSpPr txBox="1"/>
        </xdr:nvSpPr>
        <xdr:spPr>
          <a:xfrm>
            <a:off x="14649263" y="10338174"/>
            <a:ext cx="830916" cy="4530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zh-CN" sz="1100">
                <a:solidFill>
                  <a:srgbClr val="00B050"/>
                </a:solidFill>
              </a:rPr>
              <a:t>2023</a:t>
            </a:r>
            <a:r>
              <a:rPr lang="zh-CN" altLang="en-US" sz="1100">
                <a:solidFill>
                  <a:srgbClr val="00B050"/>
                </a:solidFill>
              </a:rPr>
              <a:t>至今</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yj_peng/OneDrive/CTRP%20Work%20Sync/4.%20Finance/earning%20release%20data%20-%202019%20Q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yj_peng\OneDrive\CTRP%20Work%20Sync\4.%20Finance\3Q19\earning%20release%20data%20-%202019%20Q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yj_peng/OneDrive/CTRP%20Work%20Sync/4.%20Finance/2Q19/earning%20release%20data%20-%202019%20Q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Xiaofei%20Jin%20(&#37329;&#21880;&#39134;)\Desktop\&#25658;&#31243;BU%203-5&#24180;&#35268;&#21010;\Qunar%20&amp;%20TCEL%20model\TCEL%20Train%20&#20272;&#35745;\19Q4\earning%20release%20data%20-%202019%20Q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j_peng/OneDrive/CTRP%20Work%20Sync/4.%20Finance/1Q19/earning%20release%20data%20-%202019%20Q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liuyanyan/Downloads/&#23395;&#25253;/2023/23Q3/OP%20DATA%2023Q3-110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liuyanyan/Downloads/&#23395;&#25253;/2024/24Q1/OP%20DATA%2024Q1-0510-BL.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liuyanyan/Downloads/&#23395;&#25253;/2024/24Q2/OP%20DATA%2024Q2-0806-BL.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zy_ma/Desktop/2025/Q2/IR%20Pack/OP%20DATA%2025Q2-V0730%20draft_BL.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jiaying_wu/Desktop/&#23395;&#25253;/2025/25Q4/OP%20DATA%2025Q4_V0204%20BL.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n1.global.ctrip.com\ctrip\root\Group%20FPA\6%20Op%20Data\26Q1\OP%20DATA%2026Q1_V0521.xlsx" TargetMode="External"/><Relationship Id="rId1" Type="http://schemas.openxmlformats.org/officeDocument/2006/relationships/externalLinkPath" Target="file:///\\cn1.global.ctrip.com\ctrip\root\Group%20FPA\6%20Op%20Data\26Q1\OP%20DATA%2026Q1_V052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liuyanyan/Downloads/&#23395;&#25253;/2021/21Q1/Earning%20release%20data%20-%202021%20Q1%20-%202021051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yunmosun/Desktop/IR/21Q2/Earning%20release%20data%20-%202021%20Q2-210820%20&#25171;&#21360;&#29256;.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yunmosun/Desktop/IR/21Q4/&#36130;&#21153;&#37096;/0309/OP%20DATA%2021Q4_0309%20&#25171;&#21360;&#29256;.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liuyanyan/Downloads/&#23395;&#25253;/2022/22Q4/OP%20DATA%2022Q4-V0217-&#20027;&#35201;&#26356;&#26032;IBU+CF-BL-&#25171;&#21360;&#29256;.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liuyanyan/Downloads/&#23395;&#25253;/2023/23Q1/OP%20DATA%2023Q1-V0523.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liuyanyan/Downloads/&#23395;&#25253;/2023/23Q4/OP%20DATA%2023Q4-0205-BL.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liuyanyan/Downloads/&#23395;&#25253;/2024/24Q3/OP%20DATA%2024Q3-1107-&#26356;&#26032;CF&amp;HC-BL.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liuyanyan/Downloads/&#23395;&#25253;/2024/24Q4/OP%20DATA%2024Q4-BL.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liuyanyan/Downloads/25Q1/OP%20DATA%2025Q1-BL.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liuyanyan/Downloads/&#23395;&#25253;/2024/24Q4/OP%20DATA%2025Q1.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liuyanyan/Downloads/&#23395;&#25253;/2024/From%20&#36130;&#21153;Team/OP%20DATA%2024Q1-0510-BL.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liuyanyan/Downloads/OP%20DATA%2025Q1.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jiaying_wu/Desktop/&#23395;&#25253;/2025/25Q1/Appendix%2025Q1_05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OP DATA Combined"/>
      <sheetName val="境外占比取数口径"/>
      <sheetName val="SS"/>
      <sheetName val="For IR补充"/>
      <sheetName val="人数"/>
      <sheetName val="Transaction"/>
      <sheetName val="Qunar"/>
      <sheetName val="Skyscanner（原始数据）"/>
      <sheetName val="公司境外占比"/>
      <sheetName val="ez"/>
      <sheetName val="Wingon"/>
      <sheetName val="Elong"/>
    </sheetNames>
    <sheetDataSet>
      <sheetData sheetId="0" refreshError="1"/>
      <sheetData sheetId="1" refreshError="1">
        <row r="115">
          <cell r="X115">
            <v>29134435</v>
          </cell>
        </row>
        <row r="226">
          <cell r="L226">
            <v>45.102163000000004</v>
          </cell>
          <cell r="O226">
            <v>47.695247999999999</v>
          </cell>
          <cell r="Q226">
            <v>55.730358000000003</v>
          </cell>
          <cell r="S226">
            <v>54.543880999999999</v>
          </cell>
          <cell r="T226">
            <v>59.153750000000002</v>
          </cell>
          <cell r="U226">
            <v>56.384886000000002</v>
          </cell>
          <cell r="W226">
            <v>61.858710000000002</v>
          </cell>
          <cell r="X226">
            <v>61.19559599999991</v>
          </cell>
        </row>
        <row r="243">
          <cell r="L243">
            <v>50426864279.571503</v>
          </cell>
          <cell r="O243">
            <v>53127120284.510956</v>
          </cell>
          <cell r="Q243">
            <v>65736311916.691299</v>
          </cell>
          <cell r="S243">
            <v>56404041246.270096</v>
          </cell>
          <cell r="T243">
            <v>67412700057.709991</v>
          </cell>
          <cell r="U243">
            <v>64712412261.610001</v>
          </cell>
          <cell r="W243">
            <v>67030187418.4319</v>
          </cell>
          <cell r="X243">
            <v>71718033086.050003</v>
          </cell>
        </row>
        <row r="297">
          <cell r="L297">
            <v>1676910102.4736419</v>
          </cell>
          <cell r="O297">
            <v>1549836619.486058</v>
          </cell>
          <cell r="Q297">
            <v>1786208243.7189059</v>
          </cell>
          <cell r="S297">
            <v>1178591838.3131838</v>
          </cell>
          <cell r="T297">
            <v>1108062467.4192448</v>
          </cell>
          <cell r="U297">
            <v>1150200510.136487</v>
          </cell>
          <cell r="V297">
            <v>1384674307.9176064</v>
          </cell>
          <cell r="W297">
            <v>1211229020.4894357</v>
          </cell>
          <cell r="X297">
            <v>1118967803.5143239</v>
          </cell>
        </row>
        <row r="356">
          <cell r="L356">
            <v>0.24822034702929233</v>
          </cell>
          <cell r="O356">
            <v>0.28129809693192487</v>
          </cell>
          <cell r="Q356">
            <v>0.24898765783337884</v>
          </cell>
          <cell r="S356">
            <v>0.27683878223889824</v>
          </cell>
          <cell r="T356">
            <v>0.25447003548462732</v>
          </cell>
          <cell r="U356">
            <v>0.28999999999999998</v>
          </cell>
          <cell r="W356">
            <v>0.30404812357033212</v>
          </cell>
          <cell r="X356">
            <v>0.29185407677433034</v>
          </cell>
        </row>
        <row r="398">
          <cell r="O398">
            <v>115.96104100000001</v>
          </cell>
          <cell r="Q398">
            <v>148.67759000000001</v>
          </cell>
          <cell r="S398">
            <v>121.29631599999999</v>
          </cell>
          <cell r="T398">
            <v>160.76209199999997</v>
          </cell>
          <cell r="X398">
            <v>198.768103</v>
          </cell>
        </row>
        <row r="399">
          <cell r="O399">
            <v>3.8329000000000002E-2</v>
          </cell>
          <cell r="Q399">
            <v>9.0884999999999994E-2</v>
          </cell>
          <cell r="S399">
            <v>3.7648000000000001E-2</v>
          </cell>
          <cell r="T399">
            <v>6.6893999999999995E-2</v>
          </cell>
          <cell r="X399">
            <v>0.51393299999999997</v>
          </cell>
        </row>
        <row r="413">
          <cell r="L413">
            <v>10592564543.5</v>
          </cell>
          <cell r="O413">
            <v>10233987834.5</v>
          </cell>
          <cell r="Q413">
            <v>16422927586.6</v>
          </cell>
          <cell r="S413">
            <v>11491040303.299999</v>
          </cell>
          <cell r="T413">
            <v>24857750959</v>
          </cell>
          <cell r="X413">
            <v>29857339634</v>
          </cell>
        </row>
        <row r="427">
          <cell r="L427">
            <v>514707493</v>
          </cell>
          <cell r="O427">
            <v>377785924</v>
          </cell>
          <cell r="Q427">
            <v>644423945</v>
          </cell>
          <cell r="S427">
            <v>426030000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OP DATA Combined"/>
      <sheetName val="境外占比取数口径"/>
      <sheetName val="SS"/>
      <sheetName val="For IR补充"/>
      <sheetName val="人数"/>
      <sheetName val="Transaction"/>
      <sheetName val="Qunar"/>
      <sheetName val="Skyscanner（原始数据）"/>
      <sheetName val="公司境外占比"/>
      <sheetName val="ez"/>
      <sheetName val="Wingon"/>
      <sheetName val="Elong"/>
    </sheetNames>
    <sheetDataSet>
      <sheetData sheetId="0"/>
      <sheetData sheetId="1">
        <row r="297">
          <cell r="V297">
            <v>64.939150999999995</v>
          </cell>
          <cell r="Z297">
            <v>70.350445000000008</v>
          </cell>
        </row>
        <row r="314">
          <cell r="V314">
            <v>79234556526.230591</v>
          </cell>
          <cell r="Z314">
            <v>86267215623.71611</v>
          </cell>
        </row>
        <row r="368">
          <cell r="Z368">
            <v>1281521787.956362</v>
          </cell>
        </row>
        <row r="425">
          <cell r="V425">
            <v>0.26</v>
          </cell>
          <cell r="Z425">
            <v>0.28359861487009963</v>
          </cell>
        </row>
        <row r="470">
          <cell r="V470">
            <v>203.21583699999999</v>
          </cell>
          <cell r="Z470">
            <v>236.56500299999999</v>
          </cell>
        </row>
        <row r="471">
          <cell r="V471">
            <v>0.13481299999999999</v>
          </cell>
          <cell r="Z471">
            <v>1.1469199999999999</v>
          </cell>
        </row>
        <row r="485">
          <cell r="V485">
            <v>31617374773</v>
          </cell>
          <cell r="Z485">
            <v>35186458362.533081</v>
          </cell>
        </row>
        <row r="502">
          <cell r="V502">
            <v>772602924.88</v>
          </cell>
          <cell r="Z502">
            <v>850457822.35521019</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OP DATA Combined"/>
      <sheetName val="境外占比取数口径"/>
      <sheetName val="SS"/>
      <sheetName val="For IR补充"/>
      <sheetName val="人数"/>
      <sheetName val="Transaction"/>
      <sheetName val="Qunar"/>
      <sheetName val="Skyscanner（原始数据）"/>
      <sheetName val="公司境外占比"/>
      <sheetName val="ez"/>
      <sheetName val="Wingon"/>
      <sheetName val="Elong"/>
    </sheetNames>
    <sheetDataSet>
      <sheetData sheetId="0" refreshError="1"/>
      <sheetData sheetId="1">
        <row r="292">
          <cell r="Y292">
            <v>60.862552999999998</v>
          </cell>
        </row>
        <row r="309">
          <cell r="Y309">
            <v>72377707853</v>
          </cell>
        </row>
        <row r="363">
          <cell r="Y363">
            <v>1161792564.336601</v>
          </cell>
        </row>
        <row r="420">
          <cell r="Y420">
            <v>0.328101033362798</v>
          </cell>
        </row>
        <row r="465">
          <cell r="U465">
            <v>155.533987</v>
          </cell>
          <cell r="Y465">
            <v>191.95665700000001</v>
          </cell>
        </row>
        <row r="466">
          <cell r="U466">
            <v>9.2690000000000008E-2</v>
          </cell>
          <cell r="Y466">
            <v>0.78817599999999999</v>
          </cell>
        </row>
        <row r="480">
          <cell r="U480">
            <v>22066691303</v>
          </cell>
          <cell r="Y480">
            <v>27036573187.985725</v>
          </cell>
        </row>
        <row r="482">
          <cell r="U482">
            <v>280227857</v>
          </cell>
          <cell r="Y482">
            <v>369233636</v>
          </cell>
        </row>
        <row r="487">
          <cell r="U487">
            <v>115353065</v>
          </cell>
          <cell r="Y487">
            <v>133379900</v>
          </cell>
        </row>
        <row r="492">
          <cell r="U492">
            <v>79394239.709999993</v>
          </cell>
          <cell r="Y492">
            <v>92847263.362780795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OP DATA Combined"/>
      <sheetName val="境外占比取数口径"/>
      <sheetName val="SS"/>
      <sheetName val="For IR补充"/>
      <sheetName val="人数"/>
      <sheetName val="Transaction"/>
      <sheetName val="Qunar"/>
      <sheetName val="Skyscanner（原始数据）"/>
      <sheetName val="公司境外占比"/>
      <sheetName val="ez"/>
      <sheetName val="Wingon"/>
      <sheetName val="Elong"/>
    </sheetNames>
    <sheetDataSet>
      <sheetData sheetId="0" refreshError="1"/>
      <sheetData sheetId="1">
        <row r="37">
          <cell r="X37">
            <v>70.171875999999969</v>
          </cell>
        </row>
        <row r="315">
          <cell r="AA315">
            <v>76236254929.891876</v>
          </cell>
        </row>
        <row r="369">
          <cell r="AA369">
            <v>1197381449.7931104</v>
          </cell>
        </row>
        <row r="426">
          <cell r="AA426">
            <v>0.31878230153135284</v>
          </cell>
        </row>
        <row r="471">
          <cell r="W471">
            <v>163.50147000000001</v>
          </cell>
          <cell r="AA471">
            <v>181.439886</v>
          </cell>
        </row>
        <row r="472">
          <cell r="W472">
            <v>0.49336200000000002</v>
          </cell>
          <cell r="AA472">
            <v>1.0533939999999999</v>
          </cell>
        </row>
        <row r="486">
          <cell r="W486">
            <v>23142143179.941082</v>
          </cell>
          <cell r="AA486">
            <v>26290146442.027607</v>
          </cell>
        </row>
        <row r="503">
          <cell r="W503">
            <v>556204178.92840779</v>
          </cell>
          <cell r="AA503">
            <v>678419345.99479806</v>
          </cell>
        </row>
      </sheetData>
      <sheetData sheetId="2" refreshError="1"/>
      <sheetData sheetId="3">
        <row r="135">
          <cell r="AO135">
            <v>800506544</v>
          </cell>
        </row>
      </sheetData>
      <sheetData sheetId="4" refreshError="1"/>
      <sheetData sheetId="5" refreshError="1"/>
      <sheetData sheetId="6">
        <row r="396">
          <cell r="B396">
            <v>30973433827.794174</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OP DATA Combined"/>
      <sheetName val="境外占比取数口径"/>
      <sheetName val="SS"/>
      <sheetName val="For IR补充"/>
      <sheetName val="人数"/>
      <sheetName val="Transaction"/>
      <sheetName val="Qunar"/>
      <sheetName val="Skyscanner（原始数据）"/>
      <sheetName val="公司境外占比"/>
      <sheetName val="ez"/>
      <sheetName val="Wingon"/>
      <sheetName val="Elong"/>
    </sheetNames>
    <sheetDataSet>
      <sheetData sheetId="0"/>
      <sheetData sheetId="1">
        <row r="398">
          <cell r="L398">
            <v>113.38139699999999</v>
          </cell>
        </row>
        <row r="415">
          <cell r="T415">
            <v>415850280</v>
          </cell>
          <cell r="X415">
            <v>492194936.69999999</v>
          </cell>
        </row>
        <row r="419">
          <cell r="T419">
            <v>221990946</v>
          </cell>
          <cell r="X419">
            <v>250884909</v>
          </cell>
        </row>
        <row r="424">
          <cell r="T424">
            <v>108340784.345</v>
          </cell>
          <cell r="X424">
            <v>132121986.052178</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大住宿"/>
      <sheetName val="机票"/>
      <sheetName val="火车票、汽车票"/>
      <sheetName val="团队游C"/>
      <sheetName val="定制C"/>
      <sheetName val="门票活动C"/>
      <sheetName val="租车C+Q"/>
      <sheetName val="车导C+Q"/>
      <sheetName val="度假Q&amp;门票Q"/>
      <sheetName val="门票Q"/>
      <sheetName val="商旅"/>
      <sheetName val="金融"/>
      <sheetName val="市场营销"/>
      <sheetName val="SC"/>
      <sheetName val="IBU"/>
      <sheetName val="人员（集团）&amp;Others"/>
      <sheetName val="人员（分公司）"/>
      <sheetName val="TRANSACTION"/>
      <sheetName val="International Revenue"/>
      <sheetName val="23Q3-控股GMV"/>
      <sheetName val="23Q2&amp;Q3-控股HC"/>
      <sheetName val="23Q2-控股GMV"/>
      <sheetName val="23Q1GMV草稿"/>
      <sheetName val="Sheet1"/>
      <sheetName val="23Q1HC草稿"/>
      <sheetName val="大住宿-Q4"/>
      <sheetName val="Others"/>
      <sheetName val="SC-Q4"/>
      <sheetName val="APPENDIX.1"/>
      <sheetName val="22Q4GMV草稿"/>
    </sheetNames>
    <sheetDataSet>
      <sheetData sheetId="0"/>
      <sheetData sheetId="1">
        <row r="39">
          <cell r="V39">
            <v>159.94514600023552</v>
          </cell>
        </row>
      </sheetData>
      <sheetData sheetId="2">
        <row r="17">
          <cell r="V17">
            <v>85.172815999999997</v>
          </cell>
        </row>
        <row r="54">
          <cell r="V54">
            <v>86039.070665770007</v>
          </cell>
        </row>
        <row r="155">
          <cell r="V155">
            <v>1855.7582437828225</v>
          </cell>
        </row>
        <row r="159">
          <cell r="V159">
            <v>2.1568785313729823E-2</v>
          </cell>
        </row>
      </sheetData>
      <sheetData sheetId="3">
        <row r="3">
          <cell r="V3">
            <v>210.83328399999999</v>
          </cell>
        </row>
        <row r="68">
          <cell r="F68">
            <v>829.60253847555896</v>
          </cell>
          <cell r="U68">
            <v>748.5821086427643</v>
          </cell>
          <cell r="V68">
            <v>1012.663223892667</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门票Q"/>
      <sheetName val="大住宿"/>
      <sheetName val="机票"/>
      <sheetName val="IBU"/>
      <sheetName val="火车票、汽车票"/>
      <sheetName val="团队游C"/>
      <sheetName val="定制C"/>
      <sheetName val="门票活动C"/>
      <sheetName val="租车C+Q"/>
      <sheetName val="车导C+Q"/>
      <sheetName val="度假Q&amp;门票Q"/>
      <sheetName val="商旅"/>
      <sheetName val="金融"/>
      <sheetName val="市场营销"/>
      <sheetName val="SC"/>
      <sheetName val="人员（集团）&amp;Others"/>
      <sheetName val="人员（分公司）"/>
      <sheetName val="TRANSACTION"/>
      <sheetName val="International Revenue"/>
      <sheetName val="23Q4-控股GMV"/>
      <sheetName val="24Q1-控股GMV"/>
      <sheetName val="控股HC"/>
      <sheetName val="23Q3-控股GMV"/>
      <sheetName val="23Q2-控股GMV"/>
      <sheetName val="23Q1GMV草稿"/>
      <sheetName val="Sheet1"/>
      <sheetName val="23Q1HC草稿"/>
      <sheetName val="大住宿-Q4"/>
      <sheetName val="Others"/>
      <sheetName val="SC-Q4"/>
      <sheetName val="APPENDIX.1"/>
      <sheetName val="22Q4GMV草稿"/>
    </sheetNames>
    <sheetDataSet>
      <sheetData sheetId="0" refreshError="1"/>
      <sheetData sheetId="1" refreshError="1"/>
      <sheetData sheetId="2" refreshError="1"/>
      <sheetData sheetId="3">
        <row r="17">
          <cell r="X17">
            <v>80.208496999999994</v>
          </cell>
        </row>
        <row r="54">
          <cell r="X54">
            <v>72594.773803769989</v>
          </cell>
        </row>
        <row r="155">
          <cell r="X155">
            <v>1542.2242960172036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门票Q"/>
      <sheetName val="Summary"/>
      <sheetName val="大住宿"/>
      <sheetName val="大住宿打印"/>
      <sheetName val="机票"/>
      <sheetName val="IBU"/>
      <sheetName val="度假C"/>
      <sheetName val="定制C"/>
      <sheetName val="门票活动C"/>
      <sheetName val="租车C+Q"/>
      <sheetName val="用车&amp;包车游C+Q"/>
      <sheetName val="度假Q&amp;门票Q"/>
      <sheetName val="火车票、汽车票"/>
      <sheetName val="商旅"/>
      <sheetName val="金融"/>
      <sheetName val="市场营销"/>
      <sheetName val="SC"/>
      <sheetName val="大住宿-Q1"/>
      <sheetName val="IBU-Q1"/>
      <sheetName val="机票-Q1"/>
      <sheetName val="团队游C-Q1"/>
      <sheetName val="度假Q&amp;门票Q-Q1"/>
      <sheetName val="定制C-Q1"/>
      <sheetName val="门票活动C-Q1"/>
      <sheetName val="租车C+Q-Q1"/>
      <sheetName val="车导C+Q-Q1"/>
      <sheetName val="火车票、汽车票-Q1"/>
      <sheetName val="商旅24Q1"/>
      <sheetName val="金融-Q1"/>
      <sheetName val="市场营销24Q1"/>
      <sheetName val="SC-Q1"/>
      <sheetName val="人员（集团）&amp;Others"/>
      <sheetName val="人员（分公司）"/>
      <sheetName val="TRANSACTION"/>
      <sheetName val="International Revenue"/>
      <sheetName val="23Q4-控股GMV"/>
      <sheetName val="24Q1-控股GMV"/>
      <sheetName val="24Q2-控股GMV"/>
      <sheetName val="控股HC"/>
      <sheetName val="23Q3-控股GMV"/>
      <sheetName val="23Q2-控股GMV"/>
      <sheetName val="23Q1GMV草稿"/>
      <sheetName val="Sheet1"/>
      <sheetName val="23Q1HC草稿"/>
      <sheetName val="大住宿-Q4"/>
      <sheetName val="Others"/>
      <sheetName val="SC-Q4"/>
      <sheetName val="APPENDIX.1"/>
      <sheetName val="22Q4GMV草稿"/>
    </sheetNames>
    <sheetDataSet>
      <sheetData sheetId="0"/>
      <sheetData sheetId="1"/>
      <sheetData sheetId="2"/>
      <sheetData sheetId="3">
        <row r="47">
          <cell r="Y47">
            <v>144.31539399998616</v>
          </cell>
        </row>
      </sheetData>
      <sheetData sheetId="4"/>
      <sheetData sheetId="5">
        <row r="17">
          <cell r="V17">
            <v>85.172815999999997</v>
          </cell>
          <cell r="Y17">
            <v>75.868561999999997</v>
          </cell>
        </row>
        <row r="54">
          <cell r="Y54">
            <v>63094.62642801</v>
          </cell>
        </row>
        <row r="155">
          <cell r="Y155">
            <v>1418.9638723132871</v>
          </cell>
        </row>
      </sheetData>
      <sheetData sheetId="6">
        <row r="3">
          <cell r="Y3">
            <v>14.561995</v>
          </cell>
        </row>
      </sheetData>
      <sheetData sheetId="7"/>
      <sheetData sheetId="8"/>
      <sheetData sheetId="9"/>
      <sheetData sheetId="10"/>
      <sheetData sheetId="11"/>
      <sheetData sheetId="12"/>
      <sheetData sheetId="13">
        <row r="3">
          <cell r="Y3">
            <v>169.24682098954662</v>
          </cell>
        </row>
        <row r="68">
          <cell r="Y68">
            <v>669.26673362647193</v>
          </cell>
        </row>
      </sheetData>
      <sheetData sheetId="14"/>
      <sheetData sheetId="15"/>
      <sheetData sheetId="16">
        <row r="50">
          <cell r="Y50">
            <v>506.80990644000002</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1">
          <cell r="U21">
            <v>34606.35</v>
          </cell>
        </row>
      </sheetData>
      <sheetData sheetId="33">
        <row r="185">
          <cell r="W185">
            <v>30265</v>
          </cell>
        </row>
      </sheetData>
      <sheetData sheetId="34">
        <row r="689">
          <cell r="X689">
            <v>256306994326.85617</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Summary"/>
      <sheetName val="大住宿"/>
      <sheetName val="机票"/>
      <sheetName val="IBU"/>
      <sheetName val="跟大团C"/>
      <sheetName val="独立出游C"/>
      <sheetName val="景点玩乐C"/>
      <sheetName val="租车C+Q"/>
      <sheetName val="用车&amp;包车游C+Q"/>
      <sheetName val="度假Q&amp;门票Q"/>
      <sheetName val="火车票、汽车票"/>
      <sheetName val="金融"/>
      <sheetName val="商旅"/>
      <sheetName val="市场营销"/>
      <sheetName val="SC"/>
      <sheetName val="人员（集团）&amp;Others"/>
      <sheetName val="人员（分公司）"/>
      <sheetName val="控股HC"/>
      <sheetName val="25Q2-控股GMV"/>
      <sheetName val="TRANSACTION"/>
      <sheetName val="途家"/>
      <sheetName val="International Revenue"/>
      <sheetName val="Rate"/>
    </sheetNames>
    <sheetDataSet>
      <sheetData sheetId="0"/>
      <sheetData sheetId="1"/>
      <sheetData sheetId="2">
        <row r="47">
          <cell r="AC47">
            <v>164.5212239902377</v>
          </cell>
        </row>
      </sheetData>
      <sheetData sheetId="3">
        <row r="17">
          <cell r="Z17">
            <v>90.164138000000008</v>
          </cell>
          <cell r="AC17">
            <v>77.002369000000002</v>
          </cell>
        </row>
        <row r="18">
          <cell r="AC18">
            <v>17.648578000000001</v>
          </cell>
        </row>
        <row r="62">
          <cell r="AC62">
            <v>63002.920706950004</v>
          </cell>
        </row>
        <row r="63">
          <cell r="AC63">
            <v>25799.983724889891</v>
          </cell>
        </row>
        <row r="74">
          <cell r="AC74">
            <v>818.19457667529684</v>
          </cell>
        </row>
        <row r="75">
          <cell r="AC75">
            <v>1461.8732299503049</v>
          </cell>
        </row>
        <row r="167">
          <cell r="AC167">
            <v>1422.3540238949042</v>
          </cell>
        </row>
        <row r="168">
          <cell r="AC168">
            <v>930.36977741273154</v>
          </cell>
        </row>
        <row r="172">
          <cell r="AC172">
            <v>3.6060866833616659E-2</v>
          </cell>
        </row>
      </sheetData>
      <sheetData sheetId="4"/>
      <sheetData sheetId="5"/>
      <sheetData sheetId="6"/>
      <sheetData sheetId="7"/>
      <sheetData sheetId="8"/>
      <sheetData sheetId="9"/>
      <sheetData sheetId="10"/>
      <sheetData sheetId="11">
        <row r="3">
          <cell r="Z3">
            <v>204.88222200000001</v>
          </cell>
          <cell r="AC3">
            <v>161.40923800000004</v>
          </cell>
        </row>
        <row r="69">
          <cell r="AC69">
            <v>678.96168505158869</v>
          </cell>
        </row>
      </sheetData>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Summary"/>
      <sheetName val="大住宿"/>
      <sheetName val="机票"/>
      <sheetName val="度假Q&amp;门票Q"/>
      <sheetName val="IBU"/>
      <sheetName val="火车票、汽车票"/>
      <sheetName val="跟大团C&amp;独立出游C"/>
      <sheetName val="景点玩乐C&amp;Q"/>
      <sheetName val="租车C+Q"/>
      <sheetName val="用车&amp;包车游C+Q"/>
      <sheetName val="金融"/>
      <sheetName val="商旅"/>
      <sheetName val="市场营销"/>
      <sheetName val="SC"/>
      <sheetName val="人员（集团）&amp;Others"/>
      <sheetName val="人员（分公司）"/>
      <sheetName val="控股HC"/>
      <sheetName val="TRANSACTION"/>
      <sheetName val="购物和外汇GMV"/>
      <sheetName val="25Q4-控股GMV"/>
      <sheetName val="25Q3-控股GMV"/>
      <sheetName val="25Q2-控股GMV"/>
      <sheetName val="途家"/>
      <sheetName val="International Revenue"/>
      <sheetName val="Rate"/>
    </sheetNames>
    <sheetDataSet>
      <sheetData sheetId="0"/>
      <sheetData sheetId="1"/>
      <sheetData sheetId="2">
        <row r="48">
          <cell r="AE48">
            <v>162.18834599194579</v>
          </cell>
        </row>
      </sheetData>
      <sheetData sheetId="3">
        <row r="17">
          <cell r="AE17">
            <v>70.655404000000004</v>
          </cell>
        </row>
        <row r="18">
          <cell r="AE18">
            <v>17.404578000000001</v>
          </cell>
        </row>
        <row r="62">
          <cell r="AE62">
            <v>51727.907731429987</v>
          </cell>
        </row>
        <row r="63">
          <cell r="AE63">
            <v>25733.453863017767</v>
          </cell>
        </row>
        <row r="75">
          <cell r="AE75">
            <v>732.11537692757349</v>
          </cell>
        </row>
        <row r="76">
          <cell r="AE76">
            <v>1478.5451197390576</v>
          </cell>
        </row>
        <row r="81">
          <cell r="AE81">
            <v>3.6219568300097808E-2</v>
          </cell>
        </row>
        <row r="105">
          <cell r="AE105">
            <v>1301.3792014881903</v>
          </cell>
        </row>
        <row r="106">
          <cell r="AE106">
            <v>932.05458978898787</v>
          </cell>
        </row>
      </sheetData>
      <sheetData sheetId="4"/>
      <sheetData sheetId="5"/>
      <sheetData sheetId="6">
        <row r="3">
          <cell r="AE3">
            <v>132.17778699999997</v>
          </cell>
        </row>
        <row r="49">
          <cell r="AE49">
            <v>19347.126982599999</v>
          </cell>
        </row>
        <row r="68">
          <cell r="AE68">
            <v>425.32884700541894</v>
          </cell>
        </row>
      </sheetData>
      <sheetData sheetId="7"/>
      <sheetData sheetId="8"/>
      <sheetData sheetId="9"/>
      <sheetData sheetId="10"/>
      <sheetData sheetId="11"/>
      <sheetData sheetId="12"/>
      <sheetData sheetId="13"/>
      <sheetData sheetId="14"/>
      <sheetData sheetId="15"/>
      <sheetData sheetId="16"/>
      <sheetData sheetId="17"/>
      <sheetData sheetId="18">
        <row r="907">
          <cell r="Z907">
            <v>278722164671.64581</v>
          </cell>
        </row>
      </sheetData>
      <sheetData sheetId="19"/>
      <sheetData sheetId="20"/>
      <sheetData sheetId="21"/>
      <sheetData sheetId="22"/>
      <sheetData sheetId="23"/>
      <sheetData sheetId="24"/>
      <sheetData sheetId="2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目录"/>
      <sheetName val="Summary"/>
      <sheetName val="大住宿"/>
      <sheetName val="机票"/>
      <sheetName val="IBU"/>
      <sheetName val="火车票、汽车票"/>
      <sheetName val="跟大团C&amp;独立出游C"/>
      <sheetName val="包车游C+Q"/>
      <sheetName val="景点玩乐C&amp;Q"/>
      <sheetName val="用车C+Q"/>
      <sheetName val="租车C+Q"/>
      <sheetName val="金融"/>
      <sheetName val="商旅"/>
      <sheetName val="市场营销"/>
      <sheetName val="SC"/>
      <sheetName val="人员（集团）&amp;Others"/>
      <sheetName val="人员（分公司）"/>
      <sheetName val="控股HC"/>
      <sheetName val="TRANSACTION"/>
      <sheetName val="购物和外汇GMV"/>
      <sheetName val="25Q4-控股GMV"/>
      <sheetName val="25Q3-控股GMV"/>
      <sheetName val="25Q2-控股GMV"/>
      <sheetName val="途家"/>
      <sheetName val="International Revenue"/>
      <sheetName val="26Q1-控股GMV"/>
      <sheetName val="Rate"/>
    </sheetNames>
    <sheetDataSet>
      <sheetData sheetId="0" refreshError="1"/>
      <sheetData sheetId="1" refreshError="1"/>
      <sheetData sheetId="2">
        <row r="48">
          <cell r="AF48">
            <v>159.03614000362597</v>
          </cell>
        </row>
      </sheetData>
      <sheetData sheetId="3">
        <row r="17">
          <cell r="AF17">
            <v>74.599907000000002</v>
          </cell>
        </row>
        <row r="18">
          <cell r="AF18">
            <v>18.657011000000001</v>
          </cell>
        </row>
        <row r="62">
          <cell r="AF62">
            <v>64288.372389045791</v>
          </cell>
        </row>
        <row r="63">
          <cell r="AF63">
            <v>28080.293298840617</v>
          </cell>
        </row>
        <row r="75">
          <cell r="AF75">
            <v>861.77550313897564</v>
          </cell>
        </row>
        <row r="76">
          <cell r="AF76">
            <v>1505.0799562073805</v>
          </cell>
        </row>
        <row r="81">
          <cell r="AF81">
            <v>3.4269621094072118E-2</v>
          </cell>
        </row>
        <row r="105">
          <cell r="AF105">
            <v>1283.5492580562664</v>
          </cell>
        </row>
        <row r="106">
          <cell r="AF106">
            <v>962.30101156168041</v>
          </cell>
        </row>
      </sheetData>
      <sheetData sheetId="4" refreshError="1"/>
      <sheetData sheetId="5">
        <row r="3">
          <cell r="AF3">
            <v>149.77357800000001</v>
          </cell>
        </row>
        <row r="49">
          <cell r="AF49">
            <v>25578.742992089996</v>
          </cell>
        </row>
        <row r="97">
          <cell r="AF97">
            <v>727.07495369722074</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 DATA Combined"/>
      <sheetName val="Headcount"/>
      <sheetName val="Transaction"/>
      <sheetName val="Ss"/>
      <sheetName val="Ez"/>
      <sheetName val="Wo"/>
      <sheetName val="境外占比取数口径"/>
    </sheetNames>
    <sheetDataSet>
      <sheetData sheetId="0">
        <row r="302">
          <cell r="AJ302">
            <v>50.494953999999993</v>
          </cell>
        </row>
        <row r="334">
          <cell r="AJ334">
            <v>664.60185081800466</v>
          </cell>
        </row>
      </sheetData>
      <sheetData sheetId="1"/>
      <sheetData sheetId="2"/>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 DATA Combined"/>
      <sheetName val="Headcount"/>
      <sheetName val="Transaction"/>
      <sheetName val="Ez"/>
      <sheetName val="Ss"/>
      <sheetName val="Wo"/>
      <sheetName val="境外占比取数口径"/>
    </sheetNames>
    <sheetDataSet>
      <sheetData sheetId="0" refreshError="1">
        <row r="302">
          <cell r="AK302">
            <v>67.682372999999998</v>
          </cell>
        </row>
        <row r="334">
          <cell r="AK334">
            <v>763.90629619236313</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 DATA"/>
      <sheetName val="SC"/>
      <sheetName val="APPENDIX.1"/>
      <sheetName val="HC"/>
      <sheetName val="TRANSACTION"/>
      <sheetName val="OUTBOUND"/>
    </sheetNames>
    <sheetDataSet>
      <sheetData sheetId="0">
        <row r="243">
          <cell r="N243">
            <v>43.118696999999997</v>
          </cell>
        </row>
      </sheetData>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大住宿"/>
      <sheetName val="机票"/>
      <sheetName val="火车票、汽车票"/>
      <sheetName val="租车、用车"/>
      <sheetName val="度假"/>
      <sheetName val="玩乐"/>
      <sheetName val="商旅"/>
      <sheetName val="金融"/>
      <sheetName val="市场营销"/>
      <sheetName val="APPENDIX.1"/>
      <sheetName val="SC"/>
      <sheetName val="IBU"/>
      <sheetName val="人员（集团）&amp;Others"/>
      <sheetName val="Others"/>
      <sheetName val="人员（分公司）"/>
      <sheetName val="TRANSACTION"/>
      <sheetName val="International Revenue"/>
      <sheetName val="草稿"/>
    </sheetNames>
    <sheetDataSet>
      <sheetData sheetId="0" refreshError="1"/>
      <sheetData sheetId="1" refreshError="1"/>
      <sheetData sheetId="2" refreshError="1">
        <row r="17">
          <cell r="S17">
            <v>25.621592</v>
          </cell>
        </row>
        <row r="66">
          <cell r="S66">
            <v>853.14115316136485</v>
          </cell>
        </row>
      </sheetData>
      <sheetData sheetId="3" refreshError="1">
        <row r="3">
          <cell r="S3">
            <v>47.159875999999997</v>
          </cell>
        </row>
        <row r="69">
          <cell r="S69">
            <v>265.44379147367442</v>
          </cell>
        </row>
      </sheetData>
      <sheetData sheetId="4" refreshError="1"/>
      <sheetData sheetId="5" refreshError="1"/>
      <sheetData sheetId="6" refreshError="1"/>
      <sheetData sheetId="7" refreshError="1"/>
      <sheetData sheetId="8" refreshError="1"/>
      <sheetData sheetId="9" refreshError="1"/>
      <sheetData sheetId="10" refreshError="1"/>
      <sheetData sheetId="11">
        <row r="19">
          <cell r="N19">
            <v>39748431.960567497</v>
          </cell>
        </row>
      </sheetData>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大住宿"/>
      <sheetName val="机票"/>
      <sheetName val="火车票、汽车票"/>
      <sheetName val="租车、用车"/>
      <sheetName val="度假"/>
      <sheetName val="玩乐"/>
      <sheetName val="商旅"/>
      <sheetName val="金融"/>
      <sheetName val="市场营销"/>
      <sheetName val="SC"/>
      <sheetName val="IBU"/>
      <sheetName val="人员（集团）&amp;Others"/>
      <sheetName val="人员（分公司）"/>
      <sheetName val="TRANSACTION"/>
      <sheetName val="International Revenue"/>
      <sheetName val="Sheet1"/>
      <sheetName val="23Q1HC草稿"/>
      <sheetName val="大住宿-Q4"/>
      <sheetName val="Others"/>
      <sheetName val="SC-Q4"/>
      <sheetName val="APPENDIX.1"/>
      <sheetName val="23Q1GMV草稿"/>
      <sheetName val="22Q4GMV草稿"/>
    </sheetNames>
    <sheetDataSet>
      <sheetData sheetId="0" refreshError="1"/>
      <sheetData sheetId="1">
        <row r="39">
          <cell r="T39">
            <v>105.23773600000945</v>
          </cell>
        </row>
      </sheetData>
      <sheetData sheetId="2">
        <row r="17">
          <cell r="T17">
            <v>62.979381000000004</v>
          </cell>
        </row>
      </sheetData>
      <sheetData sheetId="3">
        <row r="3">
          <cell r="T3">
            <v>135.63285000000002</v>
          </cell>
        </row>
        <row r="71">
          <cell r="T71">
            <v>699.82421295298889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8">
          <cell r="P18">
            <v>33190</v>
          </cell>
        </row>
      </sheetData>
      <sheetData sheetId="13">
        <row r="172">
          <cell r="U172">
            <v>31754.6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大住宿"/>
      <sheetName val="门票Q"/>
      <sheetName val="机票"/>
      <sheetName val="火车票、汽车票"/>
      <sheetName val="团队游C"/>
      <sheetName val="定制C"/>
      <sheetName val="门票活动C"/>
      <sheetName val="租车C+Q"/>
      <sheetName val="车导C+Q"/>
      <sheetName val="度假Q&amp;门票Q"/>
      <sheetName val="商旅"/>
      <sheetName val="金融"/>
      <sheetName val="市场营销"/>
      <sheetName val="SC"/>
      <sheetName val="IBU"/>
      <sheetName val="人员（集团）&amp;Others"/>
      <sheetName val="人员（分公司）"/>
      <sheetName val="TRANSACTION"/>
      <sheetName val="International Revenue"/>
      <sheetName val="23Q4-控股GMV"/>
      <sheetName val="23Q2&amp;Q3-控股HC"/>
      <sheetName val="23Q3-控股GMV"/>
      <sheetName val="23Q2-控股GMV"/>
      <sheetName val="23Q1GMV草稿"/>
      <sheetName val="Sheet1"/>
      <sheetName val="23Q1HC草稿"/>
      <sheetName val="大住宿-Q4"/>
      <sheetName val="Others"/>
      <sheetName val="SC-Q4"/>
      <sheetName val="APPENDIX.1"/>
      <sheetName val="22Q4GMV草稿"/>
    </sheetNames>
    <sheetDataSet>
      <sheetData sheetId="0"/>
      <sheetData sheetId="1">
        <row r="39">
          <cell r="W39">
            <v>123.78352800629551</v>
          </cell>
        </row>
      </sheetData>
      <sheetData sheetId="2"/>
      <sheetData sheetId="3">
        <row r="17">
          <cell r="G17">
            <v>68.839945</v>
          </cell>
          <cell r="W17">
            <v>72.212789000000001</v>
          </cell>
        </row>
        <row r="159">
          <cell r="W159">
            <v>2.2395271028139378E-2</v>
          </cell>
        </row>
      </sheetData>
      <sheetData sheetId="4">
        <row r="3">
          <cell r="G3">
            <v>159.1916583757336</v>
          </cell>
        </row>
        <row r="68">
          <cell r="W68">
            <v>471.18372352625568</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633">
          <cell r="V633">
            <v>216861400030.7796</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门票Q"/>
      <sheetName val="Summary"/>
      <sheetName val="大住宿"/>
      <sheetName val="大住宿打印Q2"/>
      <sheetName val="机票"/>
      <sheetName val="IBU"/>
      <sheetName val="跟团游&amp;邮轮C"/>
      <sheetName val="独立出游C"/>
      <sheetName val="景点玩乐C"/>
      <sheetName val="租车C+Q"/>
      <sheetName val="度假Q&amp;门票Q"/>
      <sheetName val="用车&amp;包车游C+Q"/>
      <sheetName val="火车票、汽车票"/>
      <sheetName val="金融"/>
      <sheetName val="商旅"/>
      <sheetName val="市场营销"/>
      <sheetName val="SC"/>
      <sheetName val="人员（集团）&amp;Others"/>
      <sheetName val="人员（分公司）"/>
      <sheetName val="TRANSACTION"/>
      <sheetName val="International Revenue"/>
      <sheetName val="火车票、汽车票-旧"/>
      <sheetName val="大住宿Q2"/>
      <sheetName val="机票Q2"/>
      <sheetName val="IBUQ2"/>
      <sheetName val="度假Q&amp;门票QQ3"/>
      <sheetName val="度假C"/>
      <sheetName val="定制C"/>
      <sheetName val="门票活动C"/>
      <sheetName val="租车C+QQ2"/>
      <sheetName val="用车&amp;包车游C+QQ2"/>
      <sheetName val="火车票、汽车票-Q2"/>
      <sheetName val="商旅Q2"/>
      <sheetName val="金融-Q2"/>
      <sheetName val="市场营销Q2"/>
      <sheetName val="SCQ2"/>
      <sheetName val="大住宿-Q1"/>
      <sheetName val="IBU-Q1"/>
      <sheetName val="机票-Q1"/>
      <sheetName val="团队游C-Q1"/>
      <sheetName val="度假Q&amp;门票Q-Q1"/>
      <sheetName val="定制C-Q1"/>
      <sheetName val="门票活动C-Q1"/>
      <sheetName val="租车C+Q-Q1"/>
      <sheetName val="车导C+Q-Q1"/>
      <sheetName val="火车票、汽车票-Q1"/>
      <sheetName val="商旅24Q1"/>
      <sheetName val="金融-Q1"/>
      <sheetName val="市场营销24Q1"/>
      <sheetName val="SC-Q1"/>
      <sheetName val="23Q4-控股GMV"/>
      <sheetName val="24Q1-控股GMV"/>
      <sheetName val="控股HC"/>
      <sheetName val="24Q3-控股GMV"/>
      <sheetName val="24Q2-控股GMV"/>
      <sheetName val="23Q3-控股GMV"/>
      <sheetName val="23Q2-控股GMV"/>
      <sheetName val="23Q1GMV草稿"/>
      <sheetName val="Sheet1"/>
      <sheetName val="23Q1HC草稿"/>
      <sheetName val="大住宿-Q4"/>
      <sheetName val="Others"/>
      <sheetName val="SC-Q4"/>
      <sheetName val="APPENDIX.1"/>
      <sheetName val="22Q4GMV草稿"/>
    </sheetNames>
    <sheetDataSet>
      <sheetData sheetId="0"/>
      <sheetData sheetId="1"/>
      <sheetData sheetId="2"/>
      <sheetData sheetId="3">
        <row r="47">
          <cell r="Z47">
            <v>173.17923500080633</v>
          </cell>
        </row>
      </sheetData>
      <sheetData sheetId="4"/>
      <sheetData sheetId="5">
        <row r="17">
          <cell r="Z17">
            <v>90.492215999999999</v>
          </cell>
        </row>
      </sheetData>
      <sheetData sheetId="6"/>
      <sheetData sheetId="7"/>
      <sheetData sheetId="8"/>
      <sheetData sheetId="9"/>
      <sheetData sheetId="10"/>
      <sheetData sheetId="11"/>
      <sheetData sheetId="12"/>
      <sheetData sheetId="13">
        <row r="3">
          <cell r="Z3">
            <v>205.57117</v>
          </cell>
        </row>
        <row r="69">
          <cell r="Z69">
            <v>954.29852266121895</v>
          </cell>
        </row>
      </sheetData>
      <sheetData sheetId="14"/>
      <sheetData sheetId="15"/>
      <sheetData sheetId="16"/>
      <sheetData sheetId="17"/>
      <sheetData sheetId="18"/>
      <sheetData sheetId="19"/>
      <sheetData sheetId="20">
        <row r="742">
          <cell r="Y742">
            <v>315850780777.18542</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门票Q"/>
      <sheetName val="Summary"/>
      <sheetName val="大住宿"/>
      <sheetName val="大住宿打印Q2"/>
      <sheetName val="机票"/>
      <sheetName val="IBU"/>
      <sheetName val="跟团游&amp;邮轮C"/>
      <sheetName val="独立出游C"/>
      <sheetName val="景点玩乐C"/>
      <sheetName val="租车C+Q"/>
      <sheetName val="用车&amp;包车游C+Q"/>
      <sheetName val="度假Q&amp;门票Q"/>
      <sheetName val="火车票、汽车票"/>
      <sheetName val="金融"/>
      <sheetName val="商旅"/>
      <sheetName val="市场营销"/>
      <sheetName val="SC"/>
      <sheetName val="人员（集团）&amp;Others"/>
      <sheetName val="人员（分公司）"/>
      <sheetName val="控股HC"/>
      <sheetName val="25Q1-控股GMV"/>
      <sheetName val="TRANSACTION"/>
      <sheetName val="24Q4-控股GMV"/>
      <sheetName val="International Revenue"/>
      <sheetName val="火车票、汽车票-旧"/>
      <sheetName val="大住宿Q2"/>
      <sheetName val="机票Q2"/>
      <sheetName val="IBUQ2"/>
      <sheetName val="度假Q&amp;门票QQ3"/>
      <sheetName val="度假C"/>
      <sheetName val="定制C"/>
      <sheetName val="门票活动C"/>
      <sheetName val="租车C+QQ2"/>
      <sheetName val="用车&amp;包车游C+QQ2"/>
      <sheetName val="火车票、汽车票-Q2"/>
      <sheetName val="商旅Q2"/>
      <sheetName val="金融-Q2"/>
      <sheetName val="市场营销Q2"/>
      <sheetName val="SCQ2"/>
      <sheetName val="大住宿-Q1"/>
      <sheetName val="IBU-Q1"/>
      <sheetName val="机票-Q1"/>
      <sheetName val="团队游C-Q1"/>
      <sheetName val="度假Q&amp;门票Q-Q1"/>
      <sheetName val="定制C-Q1"/>
      <sheetName val="门票活动C-Q1"/>
      <sheetName val="租车C+Q-Q1"/>
      <sheetName val="车导C+Q-Q1"/>
      <sheetName val="火车票、汽车票-Q1"/>
      <sheetName val="商旅24Q1"/>
      <sheetName val="金融-Q1"/>
      <sheetName val="市场营销24Q1"/>
      <sheetName val="SC-Q1"/>
      <sheetName val="23Q4-控股GMV"/>
      <sheetName val="24Q1-控股GMV"/>
      <sheetName val="24Q3-控股GMV"/>
      <sheetName val="24Q2-控股GMV"/>
      <sheetName val="23Q3-控股GMV"/>
      <sheetName val="23Q2-控股GMV"/>
      <sheetName val="23Q1GMV草稿"/>
      <sheetName val="Sheet1"/>
      <sheetName val="23Q1HC草稿"/>
      <sheetName val="大住宿-Q4"/>
      <sheetName val="Others"/>
      <sheetName val="SC-Q4"/>
      <sheetName val="APPENDIX.1"/>
      <sheetName val="22Q4GMV草稿"/>
    </sheetNames>
    <sheetDataSet>
      <sheetData sheetId="0"/>
      <sheetData sheetId="1"/>
      <sheetData sheetId="2"/>
      <sheetData sheetId="3"/>
      <sheetData sheetId="4"/>
      <sheetData sheetId="5">
        <row r="17">
          <cell r="AA17">
            <v>77.280211000000008</v>
          </cell>
        </row>
      </sheetData>
      <sheetData sheetId="6"/>
      <sheetData sheetId="7"/>
      <sheetData sheetId="8"/>
      <sheetData sheetId="9"/>
      <sheetData sheetId="10"/>
      <sheetData sheetId="11"/>
      <sheetData sheetId="12"/>
      <sheetData sheetId="13">
        <row r="3">
          <cell r="AA3">
            <v>130.69034000000005</v>
          </cell>
        </row>
        <row r="69">
          <cell r="AA69">
            <v>450.76665986723873</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门票Q"/>
      <sheetName val="Summary"/>
      <sheetName val="大住宿"/>
      <sheetName val="大住宿打印Q2"/>
      <sheetName val="机票"/>
      <sheetName val="IBU"/>
      <sheetName val="跟团游&amp;邮轮C"/>
      <sheetName val="独立出游C"/>
      <sheetName val="景点玩乐C"/>
      <sheetName val="租车C+Q"/>
      <sheetName val="用车&amp;包车游C+Q"/>
      <sheetName val="度假Q&amp;门票Q"/>
      <sheetName val="火车票、汽车票"/>
      <sheetName val="金融"/>
      <sheetName val="商旅"/>
      <sheetName val="市场营销"/>
      <sheetName val="SC"/>
      <sheetName val="人员（集团）&amp;Others"/>
      <sheetName val="人员（分公司）"/>
      <sheetName val="控股HC"/>
      <sheetName val="25Q1-控股GMV"/>
      <sheetName val="TRANSACTION"/>
      <sheetName val="24Q4-控股GMV"/>
      <sheetName val="International Revenue"/>
      <sheetName val="火车票、汽车票-旧"/>
      <sheetName val="大住宿Q2"/>
      <sheetName val="机票Q2"/>
      <sheetName val="IBUQ2"/>
      <sheetName val="度假Q&amp;门票QQ3"/>
      <sheetName val="度假C"/>
      <sheetName val="定制C"/>
      <sheetName val="门票活动C"/>
      <sheetName val="租车C+QQ2"/>
      <sheetName val="用车&amp;包车游C+QQ2"/>
      <sheetName val="火车票、汽车票-Q2"/>
      <sheetName val="商旅Q2"/>
      <sheetName val="金融-Q2"/>
      <sheetName val="市场营销Q2"/>
      <sheetName val="SCQ2"/>
      <sheetName val="大住宿-Q1"/>
      <sheetName val="IBU-Q1"/>
      <sheetName val="机票-Q1"/>
      <sheetName val="团队游C-Q1"/>
      <sheetName val="度假Q&amp;门票Q-Q1"/>
      <sheetName val="定制C-Q1"/>
      <sheetName val="门票活动C-Q1"/>
      <sheetName val="租车C+Q-Q1"/>
      <sheetName val="车导C+Q-Q1"/>
      <sheetName val="火车票、汽车票-Q1"/>
      <sheetName val="商旅24Q1"/>
      <sheetName val="金融-Q1"/>
      <sheetName val="市场营销24Q1"/>
      <sheetName val="SC-Q1"/>
      <sheetName val="23Q4-控股GMV"/>
      <sheetName val="24Q1-控股GMV"/>
      <sheetName val="24Q3-控股GMV"/>
      <sheetName val="24Q2-控股GMV"/>
      <sheetName val="23Q3-控股GMV"/>
      <sheetName val="23Q2-控股GMV"/>
      <sheetName val="23Q1GMV草稿"/>
      <sheetName val="Sheet1"/>
      <sheetName val="23Q1HC草稿"/>
      <sheetName val="大住宿-Q4"/>
      <sheetName val="Others"/>
      <sheetName val="SC-Q4"/>
      <sheetName val="APPENDIX.1"/>
      <sheetName val="22Q4GMV草稿"/>
    </sheetNames>
    <sheetDataSet>
      <sheetData sheetId="0"/>
      <sheetData sheetId="1"/>
      <sheetData sheetId="2"/>
      <sheetData sheetId="3"/>
      <sheetData sheetId="4"/>
      <sheetData sheetId="5">
        <row r="17">
          <cell r="AA17">
            <v>77.280211000000008</v>
          </cell>
          <cell r="AB17">
            <v>77.920536999999996</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门票Q"/>
      <sheetName val="Summary"/>
      <sheetName val="大住宿"/>
      <sheetName val="大住宿打印Q2"/>
      <sheetName val="机票"/>
      <sheetName val="IBU"/>
      <sheetName val="跟团游&amp;邮轮C"/>
      <sheetName val="独立出游C"/>
      <sheetName val="景点玩乐C"/>
      <sheetName val="租车C+Q"/>
      <sheetName val="用车&amp;包车游C+Q"/>
      <sheetName val="度假Q&amp;门票Q"/>
      <sheetName val="火车票、汽车票"/>
      <sheetName val="金融"/>
      <sheetName val="商旅"/>
      <sheetName val="市场营销"/>
      <sheetName val="SC"/>
      <sheetName val="人员（集团）&amp;Others"/>
      <sheetName val="人员（分公司）"/>
      <sheetName val="控股HC"/>
      <sheetName val="25Q1-控股GMV"/>
      <sheetName val="TRANSACTION"/>
      <sheetName val="24Q4-控股GMV"/>
      <sheetName val="International Revenue"/>
      <sheetName val="火车票、汽车票-旧"/>
      <sheetName val="大住宿Q2"/>
      <sheetName val="机票Q2"/>
      <sheetName val="IBUQ2"/>
      <sheetName val="度假Q&amp;门票QQ3"/>
      <sheetName val="度假C"/>
      <sheetName val="定制C"/>
      <sheetName val="门票活动C"/>
      <sheetName val="租车C+QQ2"/>
      <sheetName val="用车&amp;包车游C+QQ2"/>
      <sheetName val="火车票、汽车票-Q2"/>
      <sheetName val="商旅Q2"/>
      <sheetName val="金融-Q2"/>
      <sheetName val="市场营销Q2"/>
      <sheetName val="SCQ2"/>
      <sheetName val="大住宿-Q1"/>
      <sheetName val="IBU-Q1"/>
      <sheetName val="机票-Q1"/>
      <sheetName val="团队游C-Q1"/>
      <sheetName val="度假Q&amp;门票Q-Q1"/>
      <sheetName val="定制C-Q1"/>
      <sheetName val="门票活动C-Q1"/>
      <sheetName val="租车C+Q-Q1"/>
      <sheetName val="车导C+Q-Q1"/>
      <sheetName val="火车票、汽车票-Q1"/>
      <sheetName val="商旅24Q1"/>
      <sheetName val="金融-Q1"/>
      <sheetName val="市场营销24Q1"/>
      <sheetName val="SC-Q1"/>
      <sheetName val="23Q4-控股GMV"/>
      <sheetName val="24Q1-控股GMV"/>
      <sheetName val="24Q3-控股GMV"/>
      <sheetName val="24Q2-控股GMV"/>
      <sheetName val="23Q3-控股GMV"/>
      <sheetName val="23Q2-控股GMV"/>
      <sheetName val="23Q1GMV草稿"/>
      <sheetName val="Sheet1"/>
      <sheetName val="23Q1HC草稿"/>
      <sheetName val="大住宿-Q4"/>
      <sheetName val="Others"/>
      <sheetName val="SC-Q4"/>
      <sheetName val="APPENDIX.1"/>
      <sheetName val="22Q4GMV草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3">
          <cell r="AA3">
            <v>130.69034000000005</v>
          </cell>
          <cell r="AB3">
            <v>156.70288800000003</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门票Q"/>
      <sheetName val="大住宿"/>
      <sheetName val="机票"/>
      <sheetName val="IBU"/>
      <sheetName val="火车票、汽车票"/>
      <sheetName val="团队游C"/>
      <sheetName val="定制C"/>
      <sheetName val="门票活动C"/>
      <sheetName val="租车C+Q"/>
      <sheetName val="车导C+Q"/>
      <sheetName val="度假Q&amp;门票Q"/>
      <sheetName val="商旅"/>
      <sheetName val="金融"/>
      <sheetName val="市场营销"/>
      <sheetName val="SC"/>
      <sheetName val="人员（集团）&amp;Others"/>
      <sheetName val="人员（分公司）"/>
      <sheetName val="TRANSACTION"/>
      <sheetName val="International Revenue"/>
      <sheetName val="23Q4-控股GMV"/>
      <sheetName val="24Q1-控股GMV"/>
      <sheetName val="控股HC"/>
      <sheetName val="23Q3-控股GMV"/>
      <sheetName val="23Q2-控股GMV"/>
      <sheetName val="23Q1GMV草稿"/>
      <sheetName val="Sheet1"/>
      <sheetName val="23Q1HC草稿"/>
      <sheetName val="大住宿-Q4"/>
      <sheetName val="Others"/>
      <sheetName val="SC-Q4"/>
      <sheetName val="APPENDIX.1"/>
      <sheetName val="22Q4GMV草稿"/>
    </sheetNames>
    <sheetDataSet>
      <sheetData sheetId="0" refreshError="1"/>
      <sheetData sheetId="1" refreshError="1"/>
      <sheetData sheetId="2">
        <row r="44">
          <cell r="T44">
            <v>105.23773600005545</v>
          </cell>
        </row>
      </sheetData>
      <sheetData sheetId="3">
        <row r="17">
          <cell r="T17">
            <v>62.979381000000004</v>
          </cell>
        </row>
      </sheetData>
      <sheetData sheetId="4" refreshError="1"/>
      <sheetData sheetId="5" refreshError="1">
        <row r="49">
          <cell r="W49">
            <v>19784.346162230002</v>
          </cell>
        </row>
        <row r="68">
          <cell r="X68">
            <v>850.6185756021323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门票Q"/>
      <sheetName val="Summary"/>
      <sheetName val="大住宿"/>
      <sheetName val="大住宿打印Q2"/>
      <sheetName val="机票"/>
      <sheetName val="IBU"/>
      <sheetName val="跟团游&amp;邮轮C"/>
      <sheetName val="独立出游C"/>
      <sheetName val="景点玩乐C"/>
      <sheetName val="租车C+Q"/>
      <sheetName val="用车&amp;包车游C+Q"/>
      <sheetName val="度假Q&amp;门票Q"/>
      <sheetName val="火车票、汽车票"/>
      <sheetName val="金融"/>
      <sheetName val="商旅"/>
      <sheetName val="市场营销"/>
      <sheetName val="SC"/>
      <sheetName val="人员（集团）&amp;Others"/>
      <sheetName val="人员（分公司）"/>
      <sheetName val="控股HC"/>
      <sheetName val="25Q1-控股GMV"/>
      <sheetName val="TRANSACTION"/>
      <sheetName val="24Q4-控股GMV"/>
      <sheetName val="International Revenue"/>
      <sheetName val="火车票、汽车票-旧"/>
      <sheetName val="大住宿Q2"/>
      <sheetName val="机票Q2"/>
      <sheetName val="IBUQ2"/>
      <sheetName val="度假Q&amp;门票QQ3"/>
      <sheetName val="度假C"/>
      <sheetName val="定制C"/>
      <sheetName val="门票活动C"/>
      <sheetName val="租车C+QQ2"/>
      <sheetName val="用车&amp;包车游C+QQ2"/>
      <sheetName val="火车票、汽车票-Q2"/>
      <sheetName val="商旅Q2"/>
      <sheetName val="金融-Q2"/>
      <sheetName val="市场营销Q2"/>
      <sheetName val="SCQ2"/>
      <sheetName val="大住宿-Q1"/>
      <sheetName val="IBU-Q1"/>
      <sheetName val="机票-Q1"/>
      <sheetName val="团队游C-Q1"/>
      <sheetName val="度假Q&amp;门票Q-Q1"/>
      <sheetName val="定制C-Q1"/>
      <sheetName val="门票活动C-Q1"/>
      <sheetName val="租车C+Q-Q1"/>
      <sheetName val="车导C+Q-Q1"/>
      <sheetName val="火车票、汽车票-Q1"/>
      <sheetName val="商旅24Q1"/>
      <sheetName val="金融-Q1"/>
      <sheetName val="市场营销24Q1"/>
      <sheetName val="SC-Q1"/>
      <sheetName val="23Q4-控股GMV"/>
      <sheetName val="24Q1-控股GMV"/>
      <sheetName val="24Q3-控股GMV"/>
      <sheetName val="24Q2-控股GMV"/>
      <sheetName val="23Q3-控股GMV"/>
      <sheetName val="23Q2-控股GMV"/>
      <sheetName val="23Q1GMV草稿"/>
      <sheetName val="Sheet1"/>
      <sheetName val="23Q1HC草稿"/>
      <sheetName val="大住宿-Q4"/>
      <sheetName val="Others"/>
      <sheetName val="SC-Q4"/>
      <sheetName val="APPENDIX.1"/>
      <sheetName val="22Q4GMV草稿"/>
    </sheetNames>
    <sheetDataSet>
      <sheetData sheetId="0"/>
      <sheetData sheetId="1"/>
      <sheetData sheetId="2"/>
      <sheetData sheetId="3">
        <row r="47">
          <cell r="AB47">
            <v>147.24446300022413</v>
          </cell>
        </row>
      </sheetData>
      <sheetData sheetId="4"/>
      <sheetData sheetId="5"/>
      <sheetData sheetId="6"/>
      <sheetData sheetId="7"/>
      <sheetData sheetId="8"/>
      <sheetData sheetId="9"/>
      <sheetData sheetId="10"/>
      <sheetData sheetId="11"/>
      <sheetData sheetId="12"/>
      <sheetData sheetId="13">
        <row r="69">
          <cell r="AB69">
            <v>835.58172307014695</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搭售事件"/>
      <sheetName val="Lower-tier cities"/>
      <sheetName val="OPM breakdown"/>
      <sheetName val="Ctrip Market Share"/>
      <sheetName val="TTM Comparison"/>
      <sheetName val="间夜对比"/>
      <sheetName val="Sheet3"/>
      <sheetName val="TTM国内酒店对比"/>
      <sheetName val="机火对比"/>
      <sheetName val="SC"/>
      <sheetName val="间夜"/>
      <sheetName val="用户"/>
      <sheetName val="三月业务恢复"/>
      <sheetName val="MT"/>
      <sheetName val="Tongcheng eLong Comparison"/>
      <sheetName val="Meituan Comaprison(Q3)"/>
      <sheetName val="Sheet2"/>
      <sheetName val="Sheet4"/>
      <sheetName val="TCEL对比"/>
      <sheetName val="Sheet5"/>
      <sheetName val="中国民航运力"/>
      <sheetName val="5. International capacity"/>
      <sheetName val="对比"/>
      <sheetName val="机票市场"/>
      <sheetName val="TBE Comparison"/>
      <sheetName val="Sheet7"/>
      <sheetName val="全球行业数据"/>
      <sheetName val="2022"/>
      <sheetName val="Global Market (2)"/>
      <sheetName val="2021 (2)"/>
      <sheetName val="Output"/>
      <sheetName val="海外OTA横向对比"/>
      <sheetName val="酒店"/>
      <sheetName val="data"/>
      <sheetName val="ABE Consensus"/>
      <sheetName val="Sheet6"/>
      <sheetName val="TAM (2)"/>
      <sheetName val="TAM"/>
      <sheetName val="Investment Thesis"/>
      <sheetName val="Peer Comp"/>
      <sheetName val="Sheet1"/>
    </sheetNames>
    <sheetDataSet>
      <sheetData sheetId="0"/>
      <sheetData sheetId="1"/>
      <sheetData sheetId="2"/>
      <sheetData sheetId="3"/>
      <sheetData sheetId="4"/>
      <sheetData sheetId="5"/>
      <sheetData sheetId="6"/>
      <sheetData sheetId="7">
        <row r="111">
          <cell r="D111">
            <v>47.305440000000004</v>
          </cell>
        </row>
        <row r="118">
          <cell r="D118">
            <v>54.162000000000013</v>
          </cell>
        </row>
        <row r="125">
          <cell r="D125">
            <v>57.666499999999985</v>
          </cell>
        </row>
        <row r="132">
          <cell r="D132">
            <v>47.988</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168"/>
  <sheetViews>
    <sheetView zoomScale="115" zoomScaleNormal="115" workbookViewId="0">
      <pane xSplit="1" ySplit="2" topLeftCell="AW3" activePane="bottomRight" state="frozenSplit"/>
      <selection pane="topRight" activeCell="D1" sqref="D1"/>
      <selection pane="bottomLeft" activeCell="A11" sqref="A11"/>
      <selection pane="bottomRight" activeCell="BC16" sqref="BC16"/>
    </sheetView>
  </sheetViews>
  <sheetFormatPr defaultRowHeight="14" outlineLevelRow="1" outlineLevelCol="2" x14ac:dyDescent="0.3"/>
  <cols>
    <col min="1" max="1" width="38.75" style="84" customWidth="1"/>
    <col min="2" max="2" width="10.33203125" hidden="1" customWidth="1" outlineLevel="1"/>
    <col min="3" max="4" width="9" hidden="1" customWidth="1" outlineLevel="1"/>
    <col min="5" max="5" width="9.08203125" hidden="1" customWidth="1" outlineLevel="1"/>
    <col min="6" max="6" width="10.08203125" hidden="1" customWidth="1" outlineLevel="1"/>
    <col min="7" max="7" width="9.75" hidden="1" customWidth="1" outlineLevel="1"/>
    <col min="8" max="9" width="10.83203125" hidden="1" customWidth="1" outlineLevel="1"/>
    <col min="10" max="10" width="2.4140625" hidden="1" customWidth="1" outlineLevel="1"/>
    <col min="11" max="13" width="15.08203125" hidden="1" customWidth="1" outlineLevel="1"/>
    <col min="14" max="14" width="15.08203125" style="102" hidden="1" customWidth="1" outlineLevel="1"/>
    <col min="15" max="15" width="6" customWidth="1" collapsed="1"/>
    <col min="16" max="16" width="15.08203125" style="124" hidden="1" customWidth="1" outlineLevel="1"/>
    <col min="17" max="18" width="15.08203125" hidden="1" customWidth="1" outlineLevel="1"/>
    <col min="19" max="19" width="15.4140625" style="102" hidden="1" customWidth="1" outlineLevel="1"/>
    <col min="20" max="20" width="5.08203125" style="10" customWidth="1" collapsed="1"/>
    <col min="21" max="24" width="12.4140625" style="152" customWidth="1"/>
    <col min="25" max="25" width="11.08203125" style="152" customWidth="1"/>
    <col min="26" max="26" width="12.4140625" style="298" customWidth="1"/>
    <col min="27" max="27" width="12.08203125" style="152" customWidth="1"/>
    <col min="28" max="29" width="10.83203125" style="152" bestFit="1" customWidth="1"/>
    <col min="30" max="30" width="10.83203125" style="298" customWidth="1" outlineLevel="2"/>
    <col min="31" max="33" width="10.83203125" style="152" customWidth="1" outlineLevel="2"/>
    <col min="34" max="34" width="10.83203125" style="298" customWidth="1" outlineLevel="2"/>
    <col min="35" max="36" width="10.83203125" style="152" customWidth="1" outlineLevel="2"/>
    <col min="37" max="37" width="10.83203125" style="430" customWidth="1" outlineLevel="2"/>
    <col min="38" max="40" width="11.75" style="152" customWidth="1" outlineLevel="1"/>
    <col min="41" max="41" width="14.4140625" style="430" customWidth="1" outlineLevel="1"/>
    <col min="42" max="45" width="11.75" style="152" customWidth="1"/>
    <col min="46" max="53" width="12.4140625" style="152" customWidth="1"/>
    <col min="54" max="54" width="12.4140625" customWidth="1"/>
    <col min="55" max="55" width="13.58203125" customWidth="1"/>
    <col min="56" max="56" width="31.4140625" customWidth="1"/>
    <col min="57" max="57" width="12.4140625" customWidth="1"/>
    <col min="58" max="58" width="12.08203125" customWidth="1"/>
    <col min="59" max="59" width="12.25" customWidth="1"/>
    <col min="60" max="60" width="9.25" customWidth="1"/>
    <col min="61" max="61" width="12.4140625" customWidth="1" outlineLevel="1"/>
    <col min="62" max="62" width="14.25" customWidth="1" outlineLevel="1"/>
    <col min="63" max="63" width="13.4140625" customWidth="1" outlineLevel="1"/>
    <col min="64" max="64" width="14.25" bestFit="1" customWidth="1"/>
    <col min="65" max="65" width="15.4140625" customWidth="1"/>
    <col min="66" max="67" width="15.25" style="10" bestFit="1" customWidth="1"/>
    <col min="68" max="68" width="15.25" style="10" customWidth="1"/>
    <col min="69" max="69" width="10" style="10" bestFit="1" customWidth="1"/>
    <col min="71" max="71" width="10.83203125" bestFit="1" customWidth="1"/>
  </cols>
  <sheetData>
    <row r="1" spans="1:71" x14ac:dyDescent="0.3">
      <c r="B1" s="1022" t="s">
        <v>88</v>
      </c>
      <c r="C1" s="1022"/>
      <c r="D1" s="1022"/>
      <c r="E1" s="1022"/>
      <c r="F1" s="1022"/>
      <c r="G1" s="1022"/>
      <c r="H1" s="1022"/>
      <c r="I1" s="1022"/>
      <c r="J1" s="1022"/>
      <c r="K1" s="1022"/>
      <c r="L1" s="1022"/>
      <c r="M1" s="1022"/>
      <c r="N1" s="1022"/>
      <c r="P1" s="1022" t="s">
        <v>93</v>
      </c>
      <c r="Q1" s="1022"/>
      <c r="R1" s="1022"/>
      <c r="S1" s="1022"/>
      <c r="U1" s="166" t="s">
        <v>120</v>
      </c>
      <c r="V1" s="166" t="s">
        <v>84</v>
      </c>
      <c r="W1" s="166" t="s">
        <v>84</v>
      </c>
      <c r="X1" s="166"/>
      <c r="Y1" s="166"/>
      <c r="Z1" s="323" t="s">
        <v>84</v>
      </c>
      <c r="AA1" s="314" t="s">
        <v>84</v>
      </c>
      <c r="AB1" s="314"/>
      <c r="AC1" s="314"/>
      <c r="AD1" s="323"/>
      <c r="AE1" s="314"/>
      <c r="AF1" s="314"/>
      <c r="AG1" s="314"/>
      <c r="AH1" s="323"/>
      <c r="AI1" s="314"/>
      <c r="AJ1" s="314"/>
      <c r="AK1" s="417"/>
      <c r="AL1" s="314"/>
      <c r="AM1" s="314"/>
      <c r="AN1" s="314"/>
      <c r="AO1" s="417"/>
      <c r="AP1" s="314"/>
      <c r="AQ1" s="314"/>
      <c r="AR1" s="314"/>
      <c r="AS1" s="314"/>
      <c r="AT1" s="314"/>
      <c r="AU1" s="314"/>
      <c r="AV1" s="314"/>
      <c r="AW1" s="314"/>
      <c r="AX1" s="314"/>
      <c r="AY1" s="314"/>
      <c r="AZ1" s="314"/>
      <c r="BA1" s="314"/>
      <c r="BB1" s="12"/>
      <c r="BC1" s="12"/>
      <c r="BD1" s="166" t="s">
        <v>84</v>
      </c>
      <c r="BE1" s="166"/>
      <c r="BF1" s="166"/>
      <c r="BG1" s="166"/>
      <c r="BH1" s="166"/>
      <c r="BI1" s="166"/>
      <c r="BJ1" s="166"/>
      <c r="BK1" s="166"/>
      <c r="BL1" s="166"/>
      <c r="BM1" s="12"/>
      <c r="BN1" s="12"/>
      <c r="BO1" s="12"/>
      <c r="BP1" s="12"/>
    </row>
    <row r="2" spans="1:71" s="369" customFormat="1" x14ac:dyDescent="0.3">
      <c r="A2" s="366" t="s">
        <v>10</v>
      </c>
      <c r="B2" s="367" t="s">
        <v>6</v>
      </c>
      <c r="C2" s="367" t="s">
        <v>7</v>
      </c>
      <c r="D2" s="367" t="s">
        <v>8</v>
      </c>
      <c r="E2" s="367" t="s">
        <v>9</v>
      </c>
      <c r="F2" s="367" t="s">
        <v>0</v>
      </c>
      <c r="G2" s="367" t="s">
        <v>1</v>
      </c>
      <c r="H2" s="367" t="s">
        <v>2</v>
      </c>
      <c r="I2" s="367" t="s">
        <v>89</v>
      </c>
      <c r="J2" s="367"/>
      <c r="K2" s="367">
        <v>2015</v>
      </c>
      <c r="L2" s="367">
        <v>2016</v>
      </c>
      <c r="M2" s="367">
        <v>2017</v>
      </c>
      <c r="N2" s="368">
        <v>2018</v>
      </c>
      <c r="P2" s="370">
        <v>2015</v>
      </c>
      <c r="Q2" s="367">
        <v>2016</v>
      </c>
      <c r="R2" s="367">
        <v>2017</v>
      </c>
      <c r="S2" s="368" t="s">
        <v>92</v>
      </c>
      <c r="T2" s="371"/>
      <c r="U2" s="372" t="s">
        <v>140</v>
      </c>
      <c r="V2" s="372" t="s">
        <v>173</v>
      </c>
      <c r="W2" s="372" t="s">
        <v>141</v>
      </c>
      <c r="X2" s="372" t="s">
        <v>97</v>
      </c>
      <c r="Y2" s="372" t="s">
        <v>177</v>
      </c>
      <c r="Z2" s="370" t="s">
        <v>171</v>
      </c>
      <c r="AA2" s="372" t="s">
        <v>172</v>
      </c>
      <c r="AB2" s="372" t="s">
        <v>174</v>
      </c>
      <c r="AC2" s="372" t="s">
        <v>176</v>
      </c>
      <c r="AD2" s="370" t="s">
        <v>178</v>
      </c>
      <c r="AE2" s="372" t="s">
        <v>237</v>
      </c>
      <c r="AF2" s="372" t="s">
        <v>249</v>
      </c>
      <c r="AG2" s="372" t="s">
        <v>258</v>
      </c>
      <c r="AH2" s="401" t="s">
        <v>259</v>
      </c>
      <c r="AI2" s="402" t="s">
        <v>262</v>
      </c>
      <c r="AJ2" s="402" t="s">
        <v>266</v>
      </c>
      <c r="AK2" s="452" t="s">
        <v>274</v>
      </c>
      <c r="AL2" s="402" t="s">
        <v>286</v>
      </c>
      <c r="AM2" s="402" t="s">
        <v>300</v>
      </c>
      <c r="AN2" s="402" t="s">
        <v>313</v>
      </c>
      <c r="AO2" s="402" t="s">
        <v>327</v>
      </c>
      <c r="AP2" s="402" t="s">
        <v>328</v>
      </c>
      <c r="AQ2" s="402" t="s">
        <v>329</v>
      </c>
      <c r="AR2" s="402" t="s">
        <v>330</v>
      </c>
      <c r="AS2" s="402" t="s">
        <v>331</v>
      </c>
      <c r="AT2" s="402" t="s">
        <v>346</v>
      </c>
      <c r="AU2" s="402" t="s">
        <v>357</v>
      </c>
      <c r="AV2" s="402" t="s">
        <v>368</v>
      </c>
      <c r="AW2" s="402" t="s">
        <v>410</v>
      </c>
      <c r="AX2" s="458" t="s">
        <v>434</v>
      </c>
      <c r="AY2" s="458" t="s">
        <v>446</v>
      </c>
      <c r="AZ2" s="458" t="s">
        <v>458</v>
      </c>
      <c r="BA2" s="458" t="s">
        <v>481</v>
      </c>
      <c r="BB2" s="997" t="s">
        <v>486</v>
      </c>
      <c r="BC2" s="997" t="s">
        <v>495</v>
      </c>
      <c r="BD2" s="367" t="s">
        <v>85</v>
      </c>
      <c r="BE2" s="367" t="s">
        <v>3</v>
      </c>
      <c r="BF2" s="367" t="s">
        <v>4</v>
      </c>
      <c r="BG2" s="367" t="s">
        <v>5</v>
      </c>
      <c r="BH2" s="367"/>
      <c r="BI2" s="367">
        <v>2015</v>
      </c>
      <c r="BJ2" s="367">
        <v>2016</v>
      </c>
      <c r="BK2" s="367">
        <v>2017</v>
      </c>
      <c r="BL2" s="461">
        <v>2018</v>
      </c>
      <c r="BM2" s="461">
        <v>2019</v>
      </c>
      <c r="BN2" s="461">
        <v>2020</v>
      </c>
      <c r="BO2" s="461">
        <v>2021</v>
      </c>
      <c r="BP2" s="461">
        <v>2022</v>
      </c>
      <c r="BQ2" s="371"/>
    </row>
    <row r="3" spans="1:71" x14ac:dyDescent="0.3">
      <c r="A3" s="101" t="s">
        <v>119</v>
      </c>
      <c r="Z3" s="315">
        <f>Z11/Z4</f>
        <v>4.9677186629526464E-2</v>
      </c>
      <c r="AE3" s="315"/>
      <c r="AF3" s="315"/>
      <c r="AG3" s="315"/>
      <c r="AH3" s="324"/>
      <c r="AI3" s="315"/>
      <c r="AJ3" s="315"/>
      <c r="AK3" s="418"/>
      <c r="AL3" s="315"/>
      <c r="AM3" s="315"/>
      <c r="AN3" s="315">
        <f>AN11/AN4</f>
        <v>5.0442142857142859E-2</v>
      </c>
      <c r="AO3" s="315">
        <f>AO11/AO4</f>
        <v>5.9057716535433069E-2</v>
      </c>
      <c r="AP3" s="315"/>
      <c r="AQ3" s="315"/>
      <c r="AR3" s="315"/>
      <c r="AS3" s="315"/>
      <c r="AT3" s="315"/>
      <c r="AU3" s="315"/>
      <c r="AV3" s="315"/>
      <c r="AW3" s="315"/>
      <c r="AX3" s="315"/>
      <c r="AY3" s="315"/>
      <c r="AZ3" s="315"/>
      <c r="BA3" s="315"/>
      <c r="BB3" s="9"/>
      <c r="BC3" s="9"/>
      <c r="BN3" s="342"/>
      <c r="BO3" s="342"/>
      <c r="BP3" s="342"/>
    </row>
    <row r="4" spans="1:71" x14ac:dyDescent="0.3">
      <c r="A4" s="84" t="s">
        <v>358</v>
      </c>
      <c r="B4" s="3"/>
      <c r="C4" s="3"/>
      <c r="D4" s="6"/>
      <c r="E4" s="6"/>
      <c r="F4" s="51"/>
      <c r="G4" s="51"/>
      <c r="H4" s="51"/>
      <c r="I4" s="51"/>
      <c r="J4" s="51"/>
      <c r="K4" s="51">
        <f>K5+K6</f>
        <v>17105500</v>
      </c>
      <c r="L4" s="51">
        <f>L5+L6</f>
        <v>18347200</v>
      </c>
      <c r="M4" s="51">
        <f>M5+M6</f>
        <v>22551400</v>
      </c>
      <c r="N4" s="103"/>
      <c r="O4" s="51"/>
      <c r="P4" s="125"/>
      <c r="Q4" s="51"/>
      <c r="R4" s="51"/>
      <c r="S4" s="103"/>
      <c r="T4" s="52"/>
      <c r="U4" s="165"/>
      <c r="V4" s="165">
        <v>29000000</v>
      </c>
      <c r="W4" s="165">
        <v>28900000</v>
      </c>
      <c r="X4" s="165">
        <v>39100000</v>
      </c>
      <c r="Y4" s="165">
        <v>34500000</v>
      </c>
      <c r="Z4" s="299">
        <v>35900000</v>
      </c>
      <c r="AA4" s="165">
        <v>41300000</v>
      </c>
      <c r="AB4" s="165">
        <v>47600000</v>
      </c>
      <c r="AC4" s="165">
        <v>41300000</v>
      </c>
      <c r="AD4" s="299">
        <v>18200000</v>
      </c>
      <c r="AE4" s="165">
        <v>22400000</v>
      </c>
      <c r="AF4" s="165">
        <v>39700000</v>
      </c>
      <c r="AG4" s="165">
        <v>36100000</v>
      </c>
      <c r="AH4" s="299">
        <v>33300000</v>
      </c>
      <c r="AI4" s="165">
        <v>43900000</v>
      </c>
      <c r="AJ4" s="165">
        <v>41100000</v>
      </c>
      <c r="AK4" s="419">
        <v>31900000</v>
      </c>
      <c r="AL4" s="165">
        <v>32400000</v>
      </c>
      <c r="AM4" s="165">
        <v>24300000</v>
      </c>
      <c r="AN4" s="165">
        <v>40600000</v>
      </c>
      <c r="AO4" s="419">
        <v>25400000</v>
      </c>
      <c r="AP4" s="165">
        <v>57200000</v>
      </c>
      <c r="AQ4" s="165">
        <v>59700000</v>
      </c>
      <c r="AR4" s="165">
        <v>71100000</v>
      </c>
      <c r="AS4" s="165">
        <v>53500000</v>
      </c>
      <c r="AT4" s="165">
        <v>65900000</v>
      </c>
      <c r="AU4" s="165">
        <v>62300000</v>
      </c>
      <c r="AV4" s="165">
        <v>72800000</v>
      </c>
      <c r="AW4" s="165">
        <v>54700000</v>
      </c>
      <c r="AX4" s="165">
        <f t="shared" ref="AX4:BB4" si="0">AT4*(1+AX77)</f>
        <v>64582000</v>
      </c>
      <c r="AY4" s="165">
        <f t="shared" si="0"/>
        <v>62923000</v>
      </c>
      <c r="AZ4" s="165">
        <f t="shared" si="0"/>
        <v>76440000</v>
      </c>
      <c r="BA4" s="165">
        <f t="shared" si="0"/>
        <v>57161499.999999993</v>
      </c>
      <c r="BB4" s="453">
        <f t="shared" si="0"/>
        <v>67811100</v>
      </c>
      <c r="BC4" s="453"/>
      <c r="BD4" s="51">
        <f>BD6+BD5</f>
        <v>57962900</v>
      </c>
      <c r="BE4" s="53"/>
      <c r="BF4" s="53"/>
      <c r="BG4" s="53"/>
      <c r="BH4" s="51"/>
      <c r="BI4" s="51">
        <f>BI6+BI5</f>
        <v>36831500</v>
      </c>
      <c r="BJ4" s="51">
        <f>BJ6+BJ5</f>
        <v>67795600</v>
      </c>
      <c r="BK4" s="51">
        <f>BK6+BK5</f>
        <v>102313600</v>
      </c>
      <c r="BL4" s="193">
        <v>131500000</v>
      </c>
      <c r="BM4" s="3">
        <v>166100000</v>
      </c>
      <c r="BN4" s="342">
        <v>116400000</v>
      </c>
      <c r="BO4" s="342">
        <f>SUM(AH4:AK4)</f>
        <v>150200000</v>
      </c>
      <c r="BP4" s="342">
        <f>SUM(AL4:AO4)</f>
        <v>122700000</v>
      </c>
      <c r="BQ4" s="347"/>
      <c r="BR4" s="7"/>
    </row>
    <row r="5" spans="1:71" s="55" customFormat="1" x14ac:dyDescent="0.3">
      <c r="A5" s="84" t="s">
        <v>60</v>
      </c>
      <c r="B5" s="56"/>
      <c r="C5" s="56"/>
      <c r="D5" s="56"/>
      <c r="E5" s="56"/>
      <c r="F5" s="57"/>
      <c r="G5" s="57"/>
      <c r="H5" s="58"/>
      <c r="I5" s="58"/>
      <c r="J5" s="57"/>
      <c r="K5" s="58">
        <v>3729100</v>
      </c>
      <c r="L5" s="58">
        <v>2456500</v>
      </c>
      <c r="M5" s="58">
        <v>2035700</v>
      </c>
      <c r="N5" s="104"/>
      <c r="O5" s="58"/>
      <c r="P5" s="126"/>
      <c r="Q5" s="58"/>
      <c r="R5" s="58"/>
      <c r="S5" s="104"/>
      <c r="T5" s="59"/>
      <c r="U5" s="154"/>
      <c r="V5" s="154"/>
      <c r="W5" s="154"/>
      <c r="X5" s="154"/>
      <c r="Y5" s="154"/>
      <c r="Z5" s="222">
        <f>Z4*Z8</f>
        <v>30154501.989805892</v>
      </c>
      <c r="AA5" s="222">
        <f>AA4*AA8</f>
        <v>33765813.462848097</v>
      </c>
      <c r="AB5" s="222">
        <f>AB4*AB8</f>
        <v>38121813.169801459</v>
      </c>
      <c r="AC5" s="222">
        <v>34410000</v>
      </c>
      <c r="AD5" s="222">
        <f>AD4*AD8</f>
        <v>14721593.89711049</v>
      </c>
      <c r="AE5" s="222">
        <f>AE4*AE8</f>
        <v>17423617.627408512</v>
      </c>
      <c r="AF5" s="222">
        <f>AF4*AF8</f>
        <v>30403937.20236</v>
      </c>
      <c r="AG5" s="222">
        <f>AG8*AG4</f>
        <v>27329523.867752813</v>
      </c>
      <c r="AH5" s="305">
        <f>AH4*AH8</f>
        <v>26567685.621264365</v>
      </c>
      <c r="AI5" s="222">
        <f>AI4*AI8</f>
        <v>33720448.127419904</v>
      </c>
      <c r="AJ5" s="222">
        <f>AJ4*AJ8</f>
        <v>31760015.068965513</v>
      </c>
      <c r="AK5" s="420">
        <f>AK4*AK8</f>
        <v>24256434.419975031</v>
      </c>
      <c r="AL5" s="222">
        <f>AL4*AL8</f>
        <v>25197751.451820463</v>
      </c>
      <c r="AM5" s="222">
        <f>AM8*AM4</f>
        <v>17907267.795238096</v>
      </c>
      <c r="AN5" s="222">
        <f>AN8*AN4</f>
        <v>30248719.895126835</v>
      </c>
      <c r="AO5" s="420">
        <f>AO8*AO4</f>
        <v>18458213.895021647</v>
      </c>
      <c r="AP5" s="222">
        <f t="shared" ref="AP5:AU5" si="1">AP4*AP8</f>
        <v>43122298.425000004</v>
      </c>
      <c r="AQ5" s="222">
        <f t="shared" si="1"/>
        <v>42987733.320809245</v>
      </c>
      <c r="AR5" s="222">
        <f t="shared" si="1"/>
        <v>51890606.264814809</v>
      </c>
      <c r="AS5" s="222">
        <f t="shared" si="1"/>
        <v>38894412</v>
      </c>
      <c r="AT5" s="222">
        <f t="shared" si="1"/>
        <v>49425000</v>
      </c>
      <c r="AU5" s="222">
        <f t="shared" si="1"/>
        <v>44357600</v>
      </c>
      <c r="AV5" s="222">
        <f t="shared" ref="AV5" si="2">AV4*AV8</f>
        <v>52707200</v>
      </c>
      <c r="AW5" s="222">
        <f t="shared" ref="AW5:BB5" si="3">AW4*AW8</f>
        <v>38837000</v>
      </c>
      <c r="AX5" s="222">
        <f t="shared" si="3"/>
        <v>47144860</v>
      </c>
      <c r="AY5" s="222">
        <f t="shared" si="3"/>
        <v>44046100</v>
      </c>
      <c r="AZ5" s="222">
        <f t="shared" si="3"/>
        <v>51214800</v>
      </c>
      <c r="BA5" s="222">
        <f t="shared" si="3"/>
        <v>38869820</v>
      </c>
      <c r="BB5" s="222">
        <f t="shared" si="3"/>
        <v>48145881</v>
      </c>
      <c r="BC5" s="222"/>
      <c r="BD5" s="57">
        <v>47231000</v>
      </c>
      <c r="BE5" s="57"/>
      <c r="BF5" s="57"/>
      <c r="BG5" s="57"/>
      <c r="BH5" s="57"/>
      <c r="BI5" s="57">
        <v>22553700</v>
      </c>
      <c r="BJ5" s="57">
        <v>50525100</v>
      </c>
      <c r="BK5" s="57">
        <v>80013400</v>
      </c>
      <c r="BL5" s="57"/>
      <c r="BM5" s="56">
        <f>BM4-BM6</f>
        <v>140002000</v>
      </c>
      <c r="BN5" s="343">
        <f>SUM(AD5:AG5)</f>
        <v>89878672.594631821</v>
      </c>
      <c r="BO5" s="392">
        <f>SUM(AH5:AK5)</f>
        <v>116304583.23762481</v>
      </c>
      <c r="BP5" s="392">
        <f>SUM(AL5:AO5)</f>
        <v>91811953.037207037</v>
      </c>
      <c r="BQ5" s="347"/>
      <c r="BR5" s="61"/>
    </row>
    <row r="6" spans="1:71" s="55" customFormat="1" x14ac:dyDescent="0.3">
      <c r="A6" s="84" t="s">
        <v>61</v>
      </c>
      <c r="B6" s="56"/>
      <c r="C6" s="56"/>
      <c r="D6" s="56"/>
      <c r="E6" s="56"/>
      <c r="F6" s="57"/>
      <c r="G6" s="57"/>
      <c r="H6" s="58"/>
      <c r="I6" s="58"/>
      <c r="J6" s="57"/>
      <c r="K6" s="58">
        <v>13376400</v>
      </c>
      <c r="L6" s="58">
        <v>15890700</v>
      </c>
      <c r="M6" s="58">
        <v>20515700</v>
      </c>
      <c r="N6" s="104"/>
      <c r="O6" s="58"/>
      <c r="P6" s="126"/>
      <c r="Q6" s="58"/>
      <c r="R6" s="58"/>
      <c r="S6" s="104"/>
      <c r="T6" s="59"/>
      <c r="U6" s="154"/>
      <c r="V6" s="154"/>
      <c r="W6" s="154"/>
      <c r="X6" s="154"/>
      <c r="Y6" s="154"/>
      <c r="Z6" s="306">
        <v>5205000</v>
      </c>
      <c r="AA6" s="223">
        <v>5911000</v>
      </c>
      <c r="AB6" s="223">
        <v>8092000</v>
      </c>
      <c r="AC6" s="223">
        <v>6890000</v>
      </c>
      <c r="AD6" s="306">
        <v>2430000</v>
      </c>
      <c r="AE6" s="223">
        <v>3696000</v>
      </c>
      <c r="AF6" s="223">
        <v>6193200</v>
      </c>
      <c r="AG6" s="223">
        <v>7039500</v>
      </c>
      <c r="AH6" s="306">
        <v>5994000</v>
      </c>
      <c r="AI6" s="223">
        <v>8341000</v>
      </c>
      <c r="AJ6" s="223">
        <v>7808999.9999999963</v>
      </c>
      <c r="AK6" s="421">
        <v>6539500</v>
      </c>
      <c r="AL6" s="223">
        <v>5670000</v>
      </c>
      <c r="AM6" s="223">
        <v>5224500</v>
      </c>
      <c r="AN6" s="223">
        <v>8404200</v>
      </c>
      <c r="AO6" s="421">
        <v>5334000</v>
      </c>
      <c r="AP6" s="223">
        <v>10296000</v>
      </c>
      <c r="AQ6" s="223">
        <v>11641500</v>
      </c>
      <c r="AR6" s="223">
        <v>13864500</v>
      </c>
      <c r="AS6" s="223">
        <v>10860500</v>
      </c>
      <c r="AT6" s="223">
        <v>11466600</v>
      </c>
      <c r="AU6" s="223">
        <f>AU4*AU9</f>
        <v>12584600</v>
      </c>
      <c r="AV6" s="223">
        <v>14196000</v>
      </c>
      <c r="AW6" s="223">
        <v>11760500</v>
      </c>
      <c r="AX6" s="223">
        <v>12270580</v>
      </c>
      <c r="AY6" s="223">
        <f>AY4*AY9</f>
        <v>13654291</v>
      </c>
      <c r="AZ6" s="223">
        <f>AZ4*AZ9</f>
        <v>16434600</v>
      </c>
      <c r="BA6" s="223">
        <f>BA4*BA9</f>
        <v>13432952.499999998</v>
      </c>
      <c r="BB6" s="223">
        <f>BB4*BB9</f>
        <v>13969086.6</v>
      </c>
      <c r="BC6" s="223"/>
      <c r="BD6" s="57">
        <v>10731900</v>
      </c>
      <c r="BE6" s="57"/>
      <c r="BF6" s="57"/>
      <c r="BG6" s="57"/>
      <c r="BH6" s="57"/>
      <c r="BI6" s="57">
        <v>14277800</v>
      </c>
      <c r="BJ6" s="57">
        <v>17270500</v>
      </c>
      <c r="BK6" s="57">
        <v>22300200</v>
      </c>
      <c r="BL6" s="66"/>
      <c r="BM6" s="230">
        <f>SUM(Z6:AC6)</f>
        <v>26098000</v>
      </c>
      <c r="BN6" s="343">
        <f>SUM(AD6:AG6)</f>
        <v>19358700</v>
      </c>
      <c r="BO6" s="392">
        <f>SUM(AH6:AK6)</f>
        <v>28683499.999999996</v>
      </c>
      <c r="BP6" s="392">
        <f>SUM(AL6:AO6)</f>
        <v>24632700</v>
      </c>
      <c r="BQ6" s="347"/>
      <c r="BR6" s="61"/>
    </row>
    <row r="7" spans="1:71" s="55" customFormat="1" x14ac:dyDescent="0.3">
      <c r="A7" s="84" t="s">
        <v>450</v>
      </c>
      <c r="B7" s="56"/>
      <c r="C7" s="56"/>
      <c r="D7" s="56"/>
      <c r="E7" s="56"/>
      <c r="F7" s="57"/>
      <c r="G7" s="57"/>
      <c r="H7" s="58"/>
      <c r="I7" s="58"/>
      <c r="J7" s="57"/>
      <c r="K7" s="58"/>
      <c r="L7" s="58"/>
      <c r="M7" s="58"/>
      <c r="N7" s="104"/>
      <c r="O7" s="58"/>
      <c r="P7" s="126"/>
      <c r="Q7" s="58"/>
      <c r="R7" s="58"/>
      <c r="S7" s="104"/>
      <c r="T7" s="59"/>
      <c r="U7" s="154"/>
      <c r="V7" s="154"/>
      <c r="W7" s="154"/>
      <c r="X7" s="154"/>
      <c r="Y7" s="154"/>
      <c r="Z7" s="306"/>
      <c r="AA7" s="223"/>
      <c r="AB7" s="223"/>
      <c r="AC7" s="223"/>
      <c r="AD7" s="306"/>
      <c r="AE7" s="223"/>
      <c r="AF7" s="223"/>
      <c r="AG7" s="223"/>
      <c r="AH7" s="306"/>
      <c r="AI7" s="223"/>
      <c r="AJ7" s="223"/>
      <c r="AK7" s="421"/>
      <c r="AL7" s="223"/>
      <c r="AM7" s="223"/>
      <c r="AN7" s="223"/>
      <c r="AO7" s="421"/>
      <c r="AP7" s="223"/>
      <c r="AQ7" s="223"/>
      <c r="AR7" s="223"/>
      <c r="AS7" s="223"/>
      <c r="AT7" s="223">
        <f>AT4-AT5-AT6</f>
        <v>5008400</v>
      </c>
      <c r="AU7" s="223">
        <f>AU4-AU5-AU6</f>
        <v>5357800</v>
      </c>
      <c r="AV7" s="223">
        <f>AV4-AV5-AV6</f>
        <v>5896800</v>
      </c>
      <c r="AW7" s="223">
        <f t="shared" ref="AW7:AX7" si="4">AW4-AW5-AW6</f>
        <v>4102500</v>
      </c>
      <c r="AX7" s="223">
        <f t="shared" si="4"/>
        <v>5166560</v>
      </c>
      <c r="AY7" s="223">
        <f>AY4-AY5-AY6</f>
        <v>5222609</v>
      </c>
      <c r="AZ7" s="223">
        <f>AZ4-AZ5-AZ6</f>
        <v>8790600</v>
      </c>
      <c r="BA7" s="223">
        <f>BA4-BA5-BA6</f>
        <v>4858727.4999999944</v>
      </c>
      <c r="BB7" s="223">
        <f>BB4-BB5-BB6</f>
        <v>5696132.4000000004</v>
      </c>
      <c r="BC7" s="223"/>
      <c r="BD7" s="57"/>
      <c r="BE7" s="57"/>
      <c r="BF7" s="57"/>
      <c r="BG7" s="57"/>
      <c r="BH7" s="57"/>
      <c r="BI7" s="57"/>
      <c r="BJ7" s="57"/>
      <c r="BK7" s="57"/>
      <c r="BL7" s="66"/>
      <c r="BM7" s="230"/>
      <c r="BN7" s="343"/>
      <c r="BO7" s="392"/>
      <c r="BP7" s="392"/>
      <c r="BQ7" s="347"/>
      <c r="BR7" s="61"/>
    </row>
    <row r="8" spans="1:71" x14ac:dyDescent="0.3">
      <c r="A8" s="459" t="s">
        <v>451</v>
      </c>
      <c r="F8" s="51"/>
      <c r="G8" s="51"/>
      <c r="H8" s="51"/>
      <c r="I8" s="51"/>
      <c r="J8" s="51"/>
      <c r="K8" s="51"/>
      <c r="L8" s="51"/>
      <c r="M8" s="51"/>
      <c r="N8" s="103"/>
      <c r="O8" s="51"/>
      <c r="P8" s="125"/>
      <c r="Q8" s="51"/>
      <c r="R8" s="51"/>
      <c r="S8" s="103"/>
      <c r="T8" s="52"/>
      <c r="U8" s="153"/>
      <c r="V8" s="153"/>
      <c r="W8" s="153"/>
      <c r="X8" s="153"/>
      <c r="Y8" s="153"/>
      <c r="Z8" s="292">
        <v>0.839958272696543</v>
      </c>
      <c r="AA8" s="293">
        <v>0.81757417585588621</v>
      </c>
      <c r="AB8" s="293">
        <v>0.80087842793700548</v>
      </c>
      <c r="AC8" s="293">
        <v>0.79524970000272044</v>
      </c>
      <c r="AD8" s="292">
        <v>0.8088787855555214</v>
      </c>
      <c r="AE8" s="288">
        <v>0.7778400726521657</v>
      </c>
      <c r="AF8" s="288">
        <v>0.76584224691083125</v>
      </c>
      <c r="AG8" s="288">
        <v>0.75705052265243244</v>
      </c>
      <c r="AH8" s="341">
        <v>0.79782839703496589</v>
      </c>
      <c r="AI8" s="356">
        <v>0.7681195473216379</v>
      </c>
      <c r="AJ8" s="356">
        <v>0.77274975836899062</v>
      </c>
      <c r="AK8" s="422">
        <v>0.76038979372962479</v>
      </c>
      <c r="AL8" s="356">
        <v>0.77770837814260685</v>
      </c>
      <c r="AM8" s="356">
        <v>0.73692460062708209</v>
      </c>
      <c r="AN8" s="356">
        <v>0.7450423619489368</v>
      </c>
      <c r="AO8" s="422">
        <v>0.72670133444967111</v>
      </c>
      <c r="AP8" s="356">
        <v>0.75388633610139866</v>
      </c>
      <c r="AQ8" s="356">
        <v>0.72006253468692205</v>
      </c>
      <c r="AR8" s="356">
        <v>0.72982568586237428</v>
      </c>
      <c r="AS8" s="356">
        <v>0.72699835514018696</v>
      </c>
      <c r="AT8" s="356">
        <v>0.75</v>
      </c>
      <c r="AU8" s="356">
        <v>0.71199999999999997</v>
      </c>
      <c r="AV8" s="356">
        <v>0.72399999999999998</v>
      </c>
      <c r="AW8" s="356">
        <v>0.71</v>
      </c>
      <c r="AX8" s="356">
        <v>0.73</v>
      </c>
      <c r="AY8" s="356">
        <v>0.7</v>
      </c>
      <c r="AZ8" s="356">
        <v>0.67</v>
      </c>
      <c r="BA8" s="356">
        <v>0.68</v>
      </c>
      <c r="BB8" s="998">
        <v>0.71</v>
      </c>
      <c r="BC8" s="998"/>
      <c r="BD8" s="51"/>
      <c r="BE8" s="51"/>
      <c r="BF8" s="51"/>
      <c r="BG8" s="51"/>
      <c r="BH8" s="51"/>
      <c r="BI8" s="51"/>
      <c r="BJ8" s="51"/>
      <c r="BK8" s="51"/>
      <c r="BL8" s="52"/>
      <c r="BN8" s="342"/>
      <c r="BO8" s="342"/>
      <c r="BP8" s="342"/>
    </row>
    <row r="9" spans="1:71" x14ac:dyDescent="0.3">
      <c r="A9" s="459" t="s">
        <v>452</v>
      </c>
      <c r="F9" s="51"/>
      <c r="G9" s="51"/>
      <c r="H9" s="51"/>
      <c r="I9" s="51"/>
      <c r="J9" s="51"/>
      <c r="K9" s="51"/>
      <c r="L9" s="51"/>
      <c r="M9" s="51"/>
      <c r="N9" s="103"/>
      <c r="O9" s="51"/>
      <c r="P9" s="125"/>
      <c r="Q9" s="51"/>
      <c r="R9" s="51"/>
      <c r="S9" s="103"/>
      <c r="T9" s="52"/>
      <c r="U9" s="153"/>
      <c r="V9" s="153"/>
      <c r="W9" s="153"/>
      <c r="X9" s="153"/>
      <c r="Y9" s="153"/>
      <c r="Z9" s="292"/>
      <c r="AA9" s="293"/>
      <c r="AB9" s="293"/>
      <c r="AC9" s="293"/>
      <c r="AD9" s="292"/>
      <c r="AE9" s="288"/>
      <c r="AF9" s="288"/>
      <c r="AG9" s="288"/>
      <c r="AH9" s="341"/>
      <c r="AI9" s="356"/>
      <c r="AJ9" s="356"/>
      <c r="AK9" s="422"/>
      <c r="AL9" s="356"/>
      <c r="AM9" s="356"/>
      <c r="AN9" s="356"/>
      <c r="AO9" s="422"/>
      <c r="AP9" s="356"/>
      <c r="AQ9" s="356"/>
      <c r="AR9" s="356"/>
      <c r="AS9" s="356">
        <f>AS6/AS4</f>
        <v>0.20300000000000001</v>
      </c>
      <c r="AT9" s="356">
        <f>AT6/AT4</f>
        <v>0.17399999999999999</v>
      </c>
      <c r="AU9" s="356">
        <v>0.20200000000000001</v>
      </c>
      <c r="AV9" s="356">
        <f>AV6/AV4</f>
        <v>0.19500000000000001</v>
      </c>
      <c r="AW9" s="356">
        <f>AW6/AW4</f>
        <v>0.215</v>
      </c>
      <c r="AX9" s="356">
        <f>AX6/AX4</f>
        <v>0.19</v>
      </c>
      <c r="AY9" s="356">
        <v>0.217</v>
      </c>
      <c r="AZ9" s="356">
        <v>0.215</v>
      </c>
      <c r="BA9" s="356">
        <v>0.23499999999999999</v>
      </c>
      <c r="BB9" s="998">
        <v>0.20599999999999999</v>
      </c>
      <c r="BC9" s="998"/>
      <c r="BD9" s="51"/>
      <c r="BE9" s="51"/>
      <c r="BF9" s="51"/>
      <c r="BG9" s="51"/>
      <c r="BH9" s="51"/>
      <c r="BI9" s="51"/>
      <c r="BJ9" s="51"/>
      <c r="BK9" s="51"/>
      <c r="BL9" s="52"/>
      <c r="BN9" s="342"/>
      <c r="BO9" s="342"/>
      <c r="BP9" s="342"/>
    </row>
    <row r="10" spans="1:71" x14ac:dyDescent="0.3">
      <c r="A10" s="101" t="s">
        <v>11</v>
      </c>
      <c r="B10" s="6"/>
      <c r="C10" s="6"/>
      <c r="D10" s="6"/>
      <c r="E10" s="6"/>
      <c r="F10" s="51"/>
      <c r="G10" s="51"/>
      <c r="H10" s="51"/>
      <c r="I10" s="51"/>
      <c r="J10" s="51"/>
      <c r="K10" s="51"/>
      <c r="L10" s="51"/>
      <c r="M10" s="51"/>
      <c r="N10" s="103"/>
      <c r="O10" s="51"/>
      <c r="P10" s="125"/>
      <c r="Q10" s="51"/>
      <c r="R10" s="51"/>
      <c r="S10" s="103"/>
      <c r="T10" s="52"/>
      <c r="U10" s="153"/>
      <c r="V10" s="153"/>
      <c r="W10" s="153"/>
      <c r="X10" s="153"/>
      <c r="Y10" s="153"/>
      <c r="Z10" s="307"/>
      <c r="AA10" s="153"/>
      <c r="AB10" s="294"/>
      <c r="AC10" s="294"/>
      <c r="AD10" s="325"/>
      <c r="AE10" s="294"/>
      <c r="AF10" s="294"/>
      <c r="AG10" s="294"/>
      <c r="AH10" s="325" t="s">
        <v>264</v>
      </c>
      <c r="AI10" s="294">
        <f>35120/43900</f>
        <v>0.8</v>
      </c>
      <c r="AJ10" s="294"/>
      <c r="AK10" s="423"/>
      <c r="AL10" s="294"/>
      <c r="AM10" s="294"/>
      <c r="AN10" s="294"/>
      <c r="AO10" s="423"/>
      <c r="AP10" s="286"/>
      <c r="AQ10" s="294"/>
      <c r="AR10" s="294"/>
      <c r="AS10" s="294"/>
      <c r="AT10" s="416"/>
      <c r="AU10" s="416"/>
      <c r="AV10" s="416"/>
      <c r="AW10" s="416"/>
      <c r="AX10" s="416"/>
      <c r="AY10" s="416"/>
      <c r="AZ10" s="416"/>
      <c r="BA10" s="286"/>
      <c r="BB10" s="416"/>
      <c r="BC10" s="416"/>
      <c r="BD10" s="51"/>
      <c r="BE10" s="51"/>
      <c r="BF10" s="51"/>
      <c r="BG10" s="51"/>
      <c r="BH10" s="51"/>
      <c r="BI10" s="51"/>
      <c r="BJ10" s="51"/>
      <c r="BK10" s="51"/>
      <c r="BL10" s="973"/>
      <c r="BM10" s="6"/>
      <c r="BN10" s="342"/>
      <c r="BO10" s="342"/>
      <c r="BP10" s="342"/>
      <c r="BQ10" s="13"/>
      <c r="BR10" s="7"/>
    </row>
    <row r="11" spans="1:71" s="63" customFormat="1" x14ac:dyDescent="0.3">
      <c r="A11" s="89" t="s">
        <v>359</v>
      </c>
      <c r="B11" s="477"/>
      <c r="C11" s="477"/>
      <c r="D11" s="477"/>
      <c r="E11" s="477"/>
      <c r="F11" s="478">
        <v>1245814</v>
      </c>
      <c r="G11" s="478">
        <f t="shared" ref="G11:G21" si="5">M11-F11</f>
        <v>1272777</v>
      </c>
      <c r="H11" s="478">
        <v>1996844</v>
      </c>
      <c r="I11" s="478">
        <f>N11-H11</f>
        <v>3258795</v>
      </c>
      <c r="J11" s="478"/>
      <c r="K11" s="478">
        <v>1026124</v>
      </c>
      <c r="L11" s="478">
        <v>2204565</v>
      </c>
      <c r="M11" s="478">
        <v>2518591</v>
      </c>
      <c r="N11" s="479">
        <v>5255639</v>
      </c>
      <c r="O11" s="480"/>
      <c r="P11" s="481">
        <v>580523</v>
      </c>
      <c r="Q11" s="478">
        <v>1434957</v>
      </c>
      <c r="R11" s="478">
        <v>2707499</v>
      </c>
      <c r="S11" s="482">
        <v>835148</v>
      </c>
      <c r="T11" s="480"/>
      <c r="U11" s="483">
        <v>682364</v>
      </c>
      <c r="V11" s="484">
        <f>S11+U11</f>
        <v>1517512</v>
      </c>
      <c r="W11" s="483">
        <v>1314480</v>
      </c>
      <c r="X11" s="483">
        <v>1686397</v>
      </c>
      <c r="Y11" s="483">
        <v>1572398</v>
      </c>
      <c r="Z11" s="485">
        <v>1783411</v>
      </c>
      <c r="AA11" s="483">
        <v>1590898</v>
      </c>
      <c r="AB11" s="483">
        <v>2062130</v>
      </c>
      <c r="AC11" s="483">
        <v>1956493</v>
      </c>
      <c r="AD11" s="485">
        <v>1005116</v>
      </c>
      <c r="AE11" s="483">
        <v>1200106</v>
      </c>
      <c r="AF11" s="483">
        <v>1914518</v>
      </c>
      <c r="AG11" s="483">
        <v>1812851</v>
      </c>
      <c r="AH11" s="485">
        <v>1613763</v>
      </c>
      <c r="AI11" s="483">
        <v>2137977</v>
      </c>
      <c r="AJ11" s="483">
        <v>1939431</v>
      </c>
      <c r="AK11" s="482">
        <v>1846385</v>
      </c>
      <c r="AL11" s="483">
        <v>1717999</v>
      </c>
      <c r="AM11" s="483">
        <v>1318650</v>
      </c>
      <c r="AN11" s="483">
        <v>2047951</v>
      </c>
      <c r="AO11" s="482">
        <v>1500066</v>
      </c>
      <c r="AP11" s="483">
        <v>2586143</v>
      </c>
      <c r="AQ11" s="483">
        <v>2866269</v>
      </c>
      <c r="AR11" s="483">
        <v>3299290</v>
      </c>
      <c r="AS11" s="483">
        <v>3144542</v>
      </c>
      <c r="AT11" s="486">
        <v>3866278</v>
      </c>
      <c r="AU11" s="486">
        <v>4245357</v>
      </c>
      <c r="AV11" s="486">
        <v>4991496</v>
      </c>
      <c r="AW11" s="486">
        <v>4237555</v>
      </c>
      <c r="AX11" s="486">
        <v>4377432</v>
      </c>
      <c r="AY11" s="486">
        <v>4669431</v>
      </c>
      <c r="AZ11" s="486">
        <v>5509112</v>
      </c>
      <c r="BA11" s="486">
        <v>4839984</v>
      </c>
      <c r="BB11" s="486">
        <v>5005792</v>
      </c>
      <c r="BC11" s="486">
        <v>4987027</v>
      </c>
      <c r="BD11" s="57">
        <v>2831992</v>
      </c>
      <c r="BE11" s="57">
        <f>BL11-BD11</f>
        <v>2423647</v>
      </c>
      <c r="BF11" s="57">
        <v>3374309</v>
      </c>
      <c r="BG11" s="57"/>
      <c r="BH11" s="57"/>
      <c r="BI11" s="62">
        <v>1607000</v>
      </c>
      <c r="BJ11" s="62">
        <v>3640000</v>
      </c>
      <c r="BK11" s="57">
        <v>5226090</v>
      </c>
      <c r="BL11" s="66">
        <v>5255639</v>
      </c>
      <c r="BM11" s="56">
        <v>7392932</v>
      </c>
      <c r="BN11" s="343">
        <v>5932591</v>
      </c>
      <c r="BO11" s="343">
        <f>SUM(AH11:AK11)</f>
        <v>7537556</v>
      </c>
      <c r="BP11" s="343">
        <f>SUM(AL11:AO11)</f>
        <v>6584666</v>
      </c>
      <c r="BQ11" s="347">
        <f>BP11*(1+BR11)</f>
        <v>9942845.6600000001</v>
      </c>
      <c r="BR11" s="64">
        <v>0.51</v>
      </c>
      <c r="BS11" s="64">
        <f>BQ11/BM11-1</f>
        <v>0.34491236494532895</v>
      </c>
    </row>
    <row r="12" spans="1:71" s="63" customFormat="1" x14ac:dyDescent="0.3">
      <c r="A12" s="464" t="s">
        <v>360</v>
      </c>
      <c r="B12" s="465"/>
      <c r="C12" s="465"/>
      <c r="D12" s="465"/>
      <c r="E12" s="465"/>
      <c r="F12" s="466"/>
      <c r="G12" s="466"/>
      <c r="H12" s="466"/>
      <c r="I12" s="466"/>
      <c r="J12" s="466"/>
      <c r="K12" s="466"/>
      <c r="L12" s="466"/>
      <c r="M12" s="466"/>
      <c r="N12" s="467"/>
      <c r="O12" s="468"/>
      <c r="P12" s="469"/>
      <c r="Q12" s="466"/>
      <c r="R12" s="466"/>
      <c r="S12" s="470"/>
      <c r="T12" s="468"/>
      <c r="U12" s="471"/>
      <c r="V12" s="472"/>
      <c r="W12" s="471"/>
      <c r="X12" s="471"/>
      <c r="Y12" s="471"/>
      <c r="Z12" s="473"/>
      <c r="AA12" s="471"/>
      <c r="AB12" s="471"/>
      <c r="AC12" s="471"/>
      <c r="AD12" s="473"/>
      <c r="AE12" s="471"/>
      <c r="AF12" s="471"/>
      <c r="AG12" s="471"/>
      <c r="AH12" s="473"/>
      <c r="AI12" s="471"/>
      <c r="AJ12" s="471"/>
      <c r="AK12" s="470"/>
      <c r="AL12" s="471"/>
      <c r="AM12" s="471"/>
      <c r="AN12" s="471"/>
      <c r="AO12" s="470"/>
      <c r="AP12" s="471"/>
      <c r="AQ12" s="471"/>
      <c r="AR12" s="471"/>
      <c r="AS12" s="471"/>
      <c r="AT12" s="474"/>
      <c r="AU12" s="474"/>
      <c r="AV12" s="474"/>
      <c r="AW12" s="474"/>
      <c r="AX12" s="474"/>
      <c r="AY12" s="474"/>
      <c r="AZ12" s="474"/>
      <c r="BA12" s="474"/>
      <c r="BB12" s="474"/>
      <c r="BC12" s="474"/>
      <c r="BD12" s="57"/>
      <c r="BE12" s="57"/>
      <c r="BF12" s="57"/>
      <c r="BG12" s="57"/>
      <c r="BH12" s="57"/>
      <c r="BI12" s="62"/>
      <c r="BJ12" s="62"/>
      <c r="BK12" s="57"/>
      <c r="BL12" s="66"/>
      <c r="BM12" s="56"/>
      <c r="BN12" s="343"/>
      <c r="BO12" s="343"/>
      <c r="BP12" s="343"/>
      <c r="BQ12" s="347"/>
      <c r="BR12" s="64"/>
      <c r="BS12" s="64"/>
    </row>
    <row r="13" spans="1:71" s="63" customFormat="1" x14ac:dyDescent="0.3">
      <c r="A13" s="87" t="s">
        <v>65</v>
      </c>
      <c r="B13" s="56"/>
      <c r="C13" s="56"/>
      <c r="D13" s="56"/>
      <c r="E13" s="56"/>
      <c r="F13" s="57">
        <v>1187674</v>
      </c>
      <c r="G13" s="57">
        <f t="shared" si="5"/>
        <v>1173951</v>
      </c>
      <c r="H13" s="57">
        <v>890568</v>
      </c>
      <c r="I13" s="57">
        <f t="shared" ref="I13:I39" si="6">N13-H13</f>
        <v>939802</v>
      </c>
      <c r="J13" s="57"/>
      <c r="K13" s="57">
        <v>907649</v>
      </c>
      <c r="L13" s="57">
        <v>2094050</v>
      </c>
      <c r="M13" s="57">
        <v>2361625</v>
      </c>
      <c r="N13" s="105">
        <v>1830370</v>
      </c>
      <c r="O13" s="58"/>
      <c r="P13" s="127"/>
      <c r="Q13" s="57"/>
      <c r="R13" s="57"/>
      <c r="S13" s="104"/>
      <c r="T13" s="59"/>
      <c r="U13" s="154">
        <v>449586</v>
      </c>
      <c r="V13" s="154"/>
      <c r="W13" s="154">
        <v>440982</v>
      </c>
      <c r="X13" s="154">
        <v>515722</v>
      </c>
      <c r="Y13" s="154">
        <v>424080</v>
      </c>
      <c r="Z13" s="300">
        <v>489164</v>
      </c>
      <c r="AA13" s="154">
        <v>553360</v>
      </c>
      <c r="AB13" s="154">
        <v>693736</v>
      </c>
      <c r="AC13" s="154">
        <v>621863</v>
      </c>
      <c r="AD13" s="300">
        <v>229014</v>
      </c>
      <c r="AE13" s="154">
        <v>384298</v>
      </c>
      <c r="AF13" s="154">
        <v>684559</v>
      </c>
      <c r="AG13" s="154">
        <v>647282</v>
      </c>
      <c r="AH13" s="300">
        <v>458537</v>
      </c>
      <c r="AI13" s="154">
        <v>742892</v>
      </c>
      <c r="AJ13" s="154">
        <v>644940</v>
      </c>
      <c r="AK13" s="424">
        <v>562360</v>
      </c>
      <c r="AL13" s="154">
        <v>543082</v>
      </c>
      <c r="AM13" s="154">
        <v>543526</v>
      </c>
      <c r="AN13" s="154">
        <v>818709</v>
      </c>
      <c r="AO13" s="424">
        <v>509430</v>
      </c>
      <c r="AP13" s="154">
        <v>834261</v>
      </c>
      <c r="AQ13" s="154">
        <v>1055396</v>
      </c>
      <c r="AR13" s="154">
        <v>1127401</v>
      </c>
      <c r="AS13" s="154">
        <v>882456</v>
      </c>
      <c r="AT13" s="453">
        <v>964683</v>
      </c>
      <c r="AU13" s="453">
        <v>1190879</v>
      </c>
      <c r="AV13" s="453">
        <v>1377541</v>
      </c>
      <c r="AW13" s="453">
        <v>1135076</v>
      </c>
      <c r="AX13" s="453">
        <v>1189642</v>
      </c>
      <c r="AY13" s="453">
        <v>1371367</v>
      </c>
      <c r="AZ13" s="453">
        <v>1579472</v>
      </c>
      <c r="BA13" s="453">
        <v>1310303</v>
      </c>
      <c r="BB13" s="453">
        <v>1364460</v>
      </c>
      <c r="BC13" s="453">
        <v>1480655</v>
      </c>
      <c r="BD13" s="57"/>
      <c r="BE13" s="57"/>
      <c r="BF13" s="57"/>
      <c r="BG13" s="57"/>
      <c r="BH13" s="57"/>
      <c r="BI13" s="62">
        <v>978000</v>
      </c>
      <c r="BJ13" s="62">
        <v>2176000</v>
      </c>
      <c r="BK13" s="62">
        <v>2643000</v>
      </c>
      <c r="BL13" s="66">
        <v>1830370</v>
      </c>
      <c r="BM13" s="56">
        <v>2358123</v>
      </c>
      <c r="BN13" s="343">
        <v>1945153</v>
      </c>
      <c r="BO13" s="343">
        <f>SUM(AH13:AK13)</f>
        <v>2408729</v>
      </c>
      <c r="BP13" s="343">
        <f>SUM(AL13:AO13)</f>
        <v>2414747</v>
      </c>
      <c r="BQ13" s="347"/>
      <c r="BR13" s="61"/>
    </row>
    <row r="14" spans="1:71" s="63" customFormat="1" ht="13.5" customHeight="1" x14ac:dyDescent="0.3">
      <c r="A14" s="88" t="s">
        <v>75</v>
      </c>
      <c r="B14" s="56"/>
      <c r="C14" s="56"/>
      <c r="D14" s="56"/>
      <c r="E14" s="56"/>
      <c r="F14" s="57">
        <v>861193</v>
      </c>
      <c r="G14" s="57">
        <f t="shared" si="5"/>
        <v>967562</v>
      </c>
      <c r="H14" s="57">
        <v>824568</v>
      </c>
      <c r="I14" s="57">
        <f>N14-H14</f>
        <v>817732</v>
      </c>
      <c r="J14" s="57"/>
      <c r="K14" s="57">
        <v>667963</v>
      </c>
      <c r="L14" s="57">
        <v>1416691</v>
      </c>
      <c r="M14" s="57">
        <v>1828755</v>
      </c>
      <c r="N14" s="104">
        <v>1642300</v>
      </c>
      <c r="O14" s="58"/>
      <c r="P14" s="127"/>
      <c r="Q14" s="57"/>
      <c r="R14" s="57"/>
      <c r="S14" s="104"/>
      <c r="T14" s="59"/>
      <c r="U14" s="154"/>
      <c r="V14" s="154"/>
      <c r="W14" s="154"/>
      <c r="X14" s="154"/>
      <c r="Y14" s="154"/>
      <c r="Z14" s="300"/>
      <c r="AA14" s="154"/>
      <c r="AB14" s="154"/>
      <c r="AC14" s="154"/>
      <c r="AD14" s="300"/>
      <c r="AE14" s="154"/>
      <c r="AF14" s="154"/>
      <c r="AG14" s="154"/>
      <c r="AH14" s="300"/>
      <c r="AI14" s="154"/>
      <c r="AJ14" s="154"/>
      <c r="AK14" s="424"/>
      <c r="AL14" s="154"/>
      <c r="AM14" s="154"/>
      <c r="AN14" s="154"/>
      <c r="AO14" s="424"/>
      <c r="AP14" s="154"/>
      <c r="AQ14" s="154"/>
      <c r="AR14" s="154"/>
      <c r="AS14" s="154"/>
      <c r="AT14" s="339"/>
      <c r="AU14" s="339"/>
      <c r="AV14" s="339"/>
      <c r="AW14" s="453"/>
      <c r="AX14" s="453"/>
      <c r="AY14" s="453"/>
      <c r="AZ14" s="453"/>
      <c r="BA14" s="453"/>
      <c r="BB14" s="453"/>
      <c r="BC14" s="453"/>
      <c r="BD14" s="64"/>
      <c r="BE14" s="57"/>
      <c r="BF14" s="57"/>
      <c r="BG14" s="57"/>
      <c r="BH14" s="57"/>
      <c r="BI14" s="62">
        <v>738000</v>
      </c>
      <c r="BJ14" s="62">
        <v>1499000</v>
      </c>
      <c r="BK14" s="62">
        <v>1930000</v>
      </c>
      <c r="BL14" s="66"/>
      <c r="BM14" s="56"/>
      <c r="BN14" s="343"/>
      <c r="BO14" s="343"/>
      <c r="BP14" s="343"/>
      <c r="BQ14" s="347"/>
      <c r="BR14" s="61"/>
    </row>
    <row r="15" spans="1:71" s="63" customFormat="1" x14ac:dyDescent="0.3">
      <c r="A15" s="87" t="s">
        <v>66</v>
      </c>
      <c r="B15" s="56"/>
      <c r="C15" s="56"/>
      <c r="D15" s="56"/>
      <c r="E15" s="56"/>
      <c r="F15" s="57">
        <v>32122</v>
      </c>
      <c r="G15" s="57">
        <f t="shared" si="5"/>
        <v>29173</v>
      </c>
      <c r="H15" s="57">
        <v>1037656</v>
      </c>
      <c r="I15" s="57">
        <f t="shared" si="6"/>
        <v>2194865</v>
      </c>
      <c r="J15" s="57"/>
      <c r="K15" s="57">
        <v>89378</v>
      </c>
      <c r="L15" s="57">
        <v>86650</v>
      </c>
      <c r="M15" s="57">
        <v>61295</v>
      </c>
      <c r="N15" s="105">
        <v>3232521</v>
      </c>
      <c r="O15" s="58"/>
      <c r="P15" s="127"/>
      <c r="Q15" s="57"/>
      <c r="R15" s="57"/>
      <c r="S15" s="104"/>
      <c r="T15" s="59"/>
      <c r="U15" s="154">
        <v>208169</v>
      </c>
      <c r="V15" s="154"/>
      <c r="W15" s="154">
        <v>829487</v>
      </c>
      <c r="X15" s="154">
        <v>1122150</v>
      </c>
      <c r="Y15" s="154">
        <v>1072715</v>
      </c>
      <c r="Z15" s="300">
        <v>1258948</v>
      </c>
      <c r="AA15" s="154">
        <v>937092</v>
      </c>
      <c r="AB15" s="154">
        <v>1139621</v>
      </c>
      <c r="AC15" s="154">
        <v>1181997</v>
      </c>
      <c r="AD15" s="300">
        <v>686768</v>
      </c>
      <c r="AE15" s="154">
        <v>725822</v>
      </c>
      <c r="AF15" s="154">
        <v>1055118</v>
      </c>
      <c r="AG15" s="154">
        <v>1003421</v>
      </c>
      <c r="AH15" s="300">
        <v>1023426</v>
      </c>
      <c r="AI15" s="154">
        <v>1234750</v>
      </c>
      <c r="AJ15" s="154">
        <v>1124724</v>
      </c>
      <c r="AK15" s="424">
        <v>1074837</v>
      </c>
      <c r="AL15" s="154">
        <v>1017219</v>
      </c>
      <c r="AM15" s="154">
        <v>619521</v>
      </c>
      <c r="AN15" s="154">
        <v>986646</v>
      </c>
      <c r="AO15" s="424">
        <v>755548</v>
      </c>
      <c r="AP15" s="154">
        <v>1382694</v>
      </c>
      <c r="AQ15" s="154">
        <v>1494582</v>
      </c>
      <c r="AR15" s="154">
        <v>1679948</v>
      </c>
      <c r="AS15" s="154">
        <v>1472823</v>
      </c>
      <c r="AT15" s="453">
        <v>1736504</v>
      </c>
      <c r="AU15" s="453">
        <v>1742736</v>
      </c>
      <c r="AV15" s="453">
        <v>2026751</v>
      </c>
      <c r="AW15" s="453">
        <v>1723040</v>
      </c>
      <c r="AX15" s="453">
        <v>2000211</v>
      </c>
      <c r="AY15" s="453">
        <v>1881010</v>
      </c>
      <c r="AZ15" s="453">
        <v>2208716</v>
      </c>
      <c r="BA15" s="453">
        <v>1835511</v>
      </c>
      <c r="BB15" s="453">
        <v>2124018</v>
      </c>
      <c r="BC15" s="453">
        <v>1838210</v>
      </c>
      <c r="BD15" s="57"/>
      <c r="BE15" s="57"/>
      <c r="BF15" s="57"/>
      <c r="BG15" s="57"/>
      <c r="BH15" s="57"/>
      <c r="BI15" s="62">
        <v>599000</v>
      </c>
      <c r="BJ15" s="62">
        <v>1435000</v>
      </c>
      <c r="BK15" s="62">
        <v>2530000</v>
      </c>
      <c r="BL15" s="66">
        <v>3232521</v>
      </c>
      <c r="BM15" s="56">
        <v>4517658</v>
      </c>
      <c r="BN15" s="343">
        <v>3471129</v>
      </c>
      <c r="BO15" s="343">
        <f>SUM(AH15:AK15)</f>
        <v>4457737</v>
      </c>
      <c r="BP15" s="343">
        <f>SUM(AL15:AO15)</f>
        <v>3378934</v>
      </c>
      <c r="BQ15" s="347"/>
      <c r="BR15" s="61"/>
    </row>
    <row r="16" spans="1:71" s="63" customFormat="1" x14ac:dyDescent="0.3">
      <c r="A16" s="87" t="s">
        <v>67</v>
      </c>
      <c r="B16" s="56"/>
      <c r="C16" s="56"/>
      <c r="D16" s="56"/>
      <c r="E16" s="56"/>
      <c r="F16" s="57">
        <v>26018</v>
      </c>
      <c r="G16" s="57">
        <f t="shared" si="5"/>
        <v>69653</v>
      </c>
      <c r="H16" s="57">
        <v>68620</v>
      </c>
      <c r="I16" s="57">
        <f t="shared" si="6"/>
        <v>124128</v>
      </c>
      <c r="J16" s="57"/>
      <c r="K16" s="57">
        <v>29097</v>
      </c>
      <c r="L16" s="57">
        <v>23865</v>
      </c>
      <c r="M16" s="57">
        <v>95671</v>
      </c>
      <c r="N16" s="105">
        <v>192748</v>
      </c>
      <c r="O16" s="59"/>
      <c r="P16" s="127"/>
      <c r="Q16" s="57"/>
      <c r="R16" s="57"/>
      <c r="S16" s="104"/>
      <c r="T16" s="59"/>
      <c r="U16" s="154">
        <v>24609</v>
      </c>
      <c r="V16" s="154"/>
      <c r="W16" s="154">
        <v>44011</v>
      </c>
      <c r="X16" s="154">
        <v>48525</v>
      </c>
      <c r="Y16" s="154">
        <v>75603</v>
      </c>
      <c r="Z16" s="300">
        <v>35299</v>
      </c>
      <c r="AA16" s="154">
        <v>100446</v>
      </c>
      <c r="AB16" s="154">
        <v>228773</v>
      </c>
      <c r="AC16" s="154">
        <v>152633</v>
      </c>
      <c r="AD16" s="300">
        <v>89334</v>
      </c>
      <c r="AE16" s="154">
        <v>89986</v>
      </c>
      <c r="AF16" s="154">
        <v>174841</v>
      </c>
      <c r="AG16" s="154">
        <v>162148</v>
      </c>
      <c r="AH16" s="300">
        <v>131800</v>
      </c>
      <c r="AI16" s="154">
        <v>160335</v>
      </c>
      <c r="AJ16" s="154">
        <v>169767</v>
      </c>
      <c r="AK16" s="424">
        <v>209188</v>
      </c>
      <c r="AL16" s="154">
        <v>157698</v>
      </c>
      <c r="AM16" s="154">
        <v>155603</v>
      </c>
      <c r="AN16" s="154">
        <v>242596</v>
      </c>
      <c r="AO16" s="424">
        <v>235088</v>
      </c>
      <c r="AP16" s="154">
        <v>369188</v>
      </c>
      <c r="AQ16" s="154">
        <v>316291</v>
      </c>
      <c r="AR16" s="154">
        <v>491941</v>
      </c>
      <c r="AS16" s="154">
        <v>521945</v>
      </c>
      <c r="AT16" s="154">
        <v>502157</v>
      </c>
      <c r="AU16" s="154">
        <v>592344</v>
      </c>
      <c r="AV16" s="154">
        <v>608518</v>
      </c>
      <c r="AW16" s="154">
        <v>599216</v>
      </c>
      <c r="AX16" s="154">
        <v>602577</v>
      </c>
      <c r="AY16" s="154">
        <v>755398</v>
      </c>
      <c r="AZ16" s="154">
        <v>820608</v>
      </c>
      <c r="BA16" s="154">
        <v>916662</v>
      </c>
      <c r="BB16" s="58">
        <v>961421</v>
      </c>
      <c r="BC16" s="58">
        <v>1025369</v>
      </c>
      <c r="BD16" s="57"/>
      <c r="BE16" s="57"/>
      <c r="BF16" s="57"/>
      <c r="BG16" s="57"/>
      <c r="BH16" s="57"/>
      <c r="BI16" s="62">
        <v>30000</v>
      </c>
      <c r="BJ16" s="62">
        <v>28000</v>
      </c>
      <c r="BK16" s="62">
        <v>233000</v>
      </c>
      <c r="BL16" s="66">
        <f>AW16*1.5</f>
        <v>898824</v>
      </c>
      <c r="BM16" s="56">
        <v>517151</v>
      </c>
      <c r="BN16" s="343">
        <v>516309</v>
      </c>
      <c r="BO16" s="343">
        <f>SUM(AH16:AK16)</f>
        <v>671090</v>
      </c>
      <c r="BP16" s="343">
        <f>SUM(AL16:AO16)</f>
        <v>790985</v>
      </c>
      <c r="BQ16" s="347"/>
      <c r="BR16" s="61"/>
    </row>
    <row r="17" spans="1:70" s="63" customFormat="1" x14ac:dyDescent="0.3">
      <c r="A17" s="87" t="s">
        <v>362</v>
      </c>
      <c r="B17" s="489"/>
      <c r="C17" s="489"/>
      <c r="D17" s="489"/>
      <c r="E17" s="489"/>
      <c r="F17" s="490"/>
      <c r="G17" s="490"/>
      <c r="H17" s="490"/>
      <c r="I17" s="490"/>
      <c r="J17" s="490"/>
      <c r="K17" s="490"/>
      <c r="L17" s="490"/>
      <c r="M17" s="490"/>
      <c r="N17" s="491"/>
      <c r="O17" s="492"/>
      <c r="P17" s="493"/>
      <c r="Q17" s="490"/>
      <c r="R17" s="490"/>
      <c r="S17" s="494"/>
      <c r="T17" s="492"/>
      <c r="U17" s="475"/>
      <c r="V17" s="475"/>
      <c r="W17" s="475"/>
      <c r="X17" s="475"/>
      <c r="Y17" s="475"/>
      <c r="Z17" s="495"/>
      <c r="AA17" s="475"/>
      <c r="AB17" s="475"/>
      <c r="AC17" s="475"/>
      <c r="AD17" s="495"/>
      <c r="AE17" s="475"/>
      <c r="AF17" s="475"/>
      <c r="AG17" s="475"/>
      <c r="AH17" s="495"/>
      <c r="AI17" s="475"/>
      <c r="AJ17" s="475"/>
      <c r="AK17" s="496"/>
      <c r="AL17" s="475"/>
      <c r="AM17" s="475"/>
      <c r="AN17" s="475">
        <f>SUM(AN13:AN16)</f>
        <v>2047951</v>
      </c>
      <c r="AO17" s="475">
        <f t="shared" ref="AO17:AU17" si="7">SUM(AO13:AO16)</f>
        <v>1500066</v>
      </c>
      <c r="AP17" s="475">
        <f t="shared" si="7"/>
        <v>2586143</v>
      </c>
      <c r="AQ17" s="475">
        <f t="shared" si="7"/>
        <v>2866269</v>
      </c>
      <c r="AR17" s="475">
        <f t="shared" si="7"/>
        <v>3299290</v>
      </c>
      <c r="AS17" s="475">
        <f t="shared" si="7"/>
        <v>2877224</v>
      </c>
      <c r="AT17" s="475">
        <f t="shared" si="7"/>
        <v>3203344</v>
      </c>
      <c r="AU17" s="475">
        <f t="shared" si="7"/>
        <v>3525959</v>
      </c>
      <c r="AV17" s="475">
        <f t="shared" ref="AV17" si="8">SUM(AV13:AV16)</f>
        <v>4012810</v>
      </c>
      <c r="AW17" s="475">
        <f>SUM(AW13:AW16)</f>
        <v>3457332</v>
      </c>
      <c r="AX17" s="475">
        <f>SUM(AX13:AX16)</f>
        <v>3792430</v>
      </c>
      <c r="AY17" s="475">
        <f>SUM(AY13:AY16)</f>
        <v>4007775</v>
      </c>
      <c r="AZ17" s="475">
        <f>SUM(AZ13:AZ16)</f>
        <v>4608796</v>
      </c>
      <c r="BA17" s="475">
        <f>SUM(BA13:BA16)</f>
        <v>4062476</v>
      </c>
      <c r="BB17" s="999">
        <f t="shared" ref="BB17:BC17" si="9">SUM(BB13:BB16)</f>
        <v>4449899</v>
      </c>
      <c r="BC17" s="999">
        <f t="shared" si="9"/>
        <v>4344234</v>
      </c>
      <c r="BD17" s="64"/>
      <c r="BE17" s="57"/>
      <c r="BF17" s="57"/>
      <c r="BG17" s="57"/>
      <c r="BH17" s="57"/>
      <c r="BI17" s="62"/>
      <c r="BJ17" s="62"/>
      <c r="BK17" s="62"/>
      <c r="BL17" s="66"/>
      <c r="BM17" s="56"/>
      <c r="BN17" s="343"/>
      <c r="BO17" s="343"/>
      <c r="BP17" s="343"/>
      <c r="BQ17" s="347"/>
      <c r="BR17" s="61"/>
    </row>
    <row r="18" spans="1:70" s="63" customFormat="1" x14ac:dyDescent="0.3">
      <c r="A18" s="488" t="s">
        <v>348</v>
      </c>
      <c r="B18" s="497"/>
      <c r="C18" s="497"/>
      <c r="D18" s="497"/>
      <c r="E18" s="497"/>
      <c r="F18" s="498"/>
      <c r="G18" s="498"/>
      <c r="H18" s="498"/>
      <c r="I18" s="498"/>
      <c r="J18" s="498"/>
      <c r="K18" s="498"/>
      <c r="L18" s="498"/>
      <c r="M18" s="498"/>
      <c r="N18" s="499"/>
      <c r="O18" s="500"/>
      <c r="P18" s="501"/>
      <c r="Q18" s="498"/>
      <c r="R18" s="498"/>
      <c r="S18" s="502"/>
      <c r="T18" s="500"/>
      <c r="U18" s="170"/>
      <c r="V18" s="170"/>
      <c r="W18" s="170"/>
      <c r="X18" s="170"/>
      <c r="Y18" s="170"/>
      <c r="Z18" s="503"/>
      <c r="AA18" s="170"/>
      <c r="AB18" s="170"/>
      <c r="AC18" s="170"/>
      <c r="AD18" s="503"/>
      <c r="AE18" s="170"/>
      <c r="AF18" s="170"/>
      <c r="AG18" s="170"/>
      <c r="AH18" s="503"/>
      <c r="AI18" s="170"/>
      <c r="AJ18" s="170"/>
      <c r="AK18" s="504"/>
      <c r="AL18" s="170"/>
      <c r="AM18" s="170"/>
      <c r="AN18" s="170"/>
      <c r="AO18" s="504"/>
      <c r="AP18" s="170"/>
      <c r="AQ18" s="170"/>
      <c r="AR18" s="170"/>
      <c r="AS18" s="170"/>
      <c r="AT18" s="487">
        <f t="shared" ref="AT18:AX18" si="10">AT17/AP17-1</f>
        <v>0.23865694975103846</v>
      </c>
      <c r="AU18" s="487">
        <f t="shared" si="10"/>
        <v>0.23015634610708213</v>
      </c>
      <c r="AV18" s="487">
        <f t="shared" si="10"/>
        <v>0.21626471149853455</v>
      </c>
      <c r="AW18" s="487">
        <f t="shared" si="10"/>
        <v>0.20162072886921556</v>
      </c>
      <c r="AX18" s="487">
        <f t="shared" si="10"/>
        <v>0.18389720242346752</v>
      </c>
      <c r="AY18" s="487">
        <f>AY17/AU17-1</f>
        <v>0.13664821400362293</v>
      </c>
      <c r="AZ18" s="972">
        <f>AZ17/AV17-1</f>
        <v>0.14852086193963832</v>
      </c>
      <c r="BA18" s="972">
        <f>BA17/AW17-1</f>
        <v>0.17503207675745336</v>
      </c>
      <c r="BB18" s="972">
        <f>BB17/AX17-1</f>
        <v>0.17336351626793367</v>
      </c>
      <c r="BC18" s="972">
        <f>BC17/AY17-1</f>
        <v>8.3951569137489024E-2</v>
      </c>
      <c r="BD18" s="57"/>
      <c r="BE18" s="57"/>
      <c r="BF18" s="57"/>
      <c r="BG18" s="57"/>
      <c r="BH18" s="57"/>
      <c r="BI18" s="62"/>
      <c r="BJ18" s="62"/>
      <c r="BK18" s="62"/>
      <c r="BL18" s="66"/>
      <c r="BM18" s="56"/>
      <c r="BN18" s="343"/>
      <c r="BO18" s="343"/>
      <c r="BP18" s="343"/>
      <c r="BQ18" s="347"/>
      <c r="BR18" s="61"/>
    </row>
    <row r="19" spans="1:70" s="63" customFormat="1" ht="14.5" customHeight="1" x14ac:dyDescent="0.3">
      <c r="A19" s="476" t="s">
        <v>361</v>
      </c>
      <c r="B19" s="465"/>
      <c r="C19" s="465"/>
      <c r="D19" s="465"/>
      <c r="E19" s="465"/>
      <c r="F19" s="466"/>
      <c r="G19" s="466"/>
      <c r="H19" s="466"/>
      <c r="I19" s="466"/>
      <c r="J19" s="466"/>
      <c r="K19" s="466"/>
      <c r="L19" s="466"/>
      <c r="M19" s="466"/>
      <c r="N19" s="467"/>
      <c r="O19" s="468"/>
      <c r="P19" s="469"/>
      <c r="Q19" s="466"/>
      <c r="R19" s="466"/>
      <c r="S19" s="470"/>
      <c r="T19" s="468"/>
      <c r="U19" s="471"/>
      <c r="V19" s="471"/>
      <c r="W19" s="471"/>
      <c r="X19" s="471"/>
      <c r="Y19" s="471"/>
      <c r="Z19" s="473"/>
      <c r="AA19" s="471"/>
      <c r="AB19" s="471"/>
      <c r="AC19" s="471"/>
      <c r="AD19" s="473"/>
      <c r="AE19" s="471"/>
      <c r="AF19" s="471"/>
      <c r="AG19" s="471"/>
      <c r="AH19" s="473"/>
      <c r="AI19" s="471"/>
      <c r="AJ19" s="471"/>
      <c r="AK19" s="470"/>
      <c r="AL19" s="471"/>
      <c r="AM19" s="471"/>
      <c r="AN19" s="471"/>
      <c r="AO19" s="470"/>
      <c r="AP19" s="471"/>
      <c r="AQ19" s="471"/>
      <c r="AR19" s="471"/>
      <c r="AS19" s="471">
        <v>267318</v>
      </c>
      <c r="AT19" s="471">
        <v>662934</v>
      </c>
      <c r="AU19" s="471">
        <v>719398</v>
      </c>
      <c r="AV19" s="471">
        <v>978686</v>
      </c>
      <c r="AW19" s="471">
        <f>AW11-AW17</f>
        <v>780223</v>
      </c>
      <c r="AX19" s="471">
        <v>585002</v>
      </c>
      <c r="AY19" s="471">
        <v>661656</v>
      </c>
      <c r="AZ19" s="471">
        <v>900316</v>
      </c>
      <c r="BA19" s="471">
        <v>777508</v>
      </c>
      <c r="BB19" s="468">
        <v>555893</v>
      </c>
      <c r="BC19" s="468">
        <v>642793</v>
      </c>
      <c r="BD19" s="57"/>
      <c r="BE19" s="57"/>
      <c r="BF19" s="57"/>
      <c r="BG19" s="57"/>
      <c r="BH19" s="57"/>
      <c r="BI19" s="62"/>
      <c r="BJ19" s="62"/>
      <c r="BK19" s="62"/>
      <c r="BL19" s="66"/>
      <c r="BM19" s="56"/>
      <c r="BN19" s="343"/>
      <c r="BO19" s="343"/>
      <c r="BP19" s="343"/>
      <c r="BQ19" s="347"/>
      <c r="BR19" s="61"/>
    </row>
    <row r="20" spans="1:70" s="63" customFormat="1" x14ac:dyDescent="0.3">
      <c r="A20" s="87"/>
      <c r="B20" s="56"/>
      <c r="C20" s="56"/>
      <c r="D20" s="56"/>
      <c r="E20" s="56"/>
      <c r="F20" s="57"/>
      <c r="G20" s="57"/>
      <c r="H20" s="57"/>
      <c r="I20" s="57"/>
      <c r="J20" s="57"/>
      <c r="K20" s="57"/>
      <c r="L20" s="57"/>
      <c r="M20" s="57"/>
      <c r="N20" s="105"/>
      <c r="O20" s="59"/>
      <c r="P20" s="127"/>
      <c r="Q20" s="57"/>
      <c r="R20" s="57"/>
      <c r="S20" s="104"/>
      <c r="T20" s="59"/>
      <c r="U20" s="154"/>
      <c r="V20" s="154"/>
      <c r="W20" s="154"/>
      <c r="X20" s="154"/>
      <c r="Y20" s="154"/>
      <c r="Z20" s="300"/>
      <c r="AA20" s="154"/>
      <c r="AB20" s="154"/>
      <c r="AC20" s="154"/>
      <c r="AD20" s="300"/>
      <c r="AE20" s="154"/>
      <c r="AF20" s="154"/>
      <c r="AG20" s="154"/>
      <c r="AH20" s="300"/>
      <c r="AI20" s="154"/>
      <c r="AJ20" s="154"/>
      <c r="AK20" s="424"/>
      <c r="AL20" s="154"/>
      <c r="AM20" s="154"/>
      <c r="AN20" s="154"/>
      <c r="AO20" s="424"/>
      <c r="AP20" s="154"/>
      <c r="AQ20" s="154"/>
      <c r="AR20" s="154"/>
      <c r="AS20" s="154"/>
      <c r="AT20" s="154"/>
      <c r="AU20" s="154"/>
      <c r="AV20" s="154"/>
      <c r="AW20" s="154"/>
      <c r="AX20" s="516">
        <f t="shared" ref="AX20:BC20" si="11">AX19/AX11</f>
        <v>0.13364045403789254</v>
      </c>
      <c r="AY20" s="516">
        <f t="shared" si="11"/>
        <v>0.14169949186528294</v>
      </c>
      <c r="AZ20" s="516">
        <f t="shared" si="11"/>
        <v>0.16342307072355763</v>
      </c>
      <c r="BA20" s="516">
        <f t="shared" si="11"/>
        <v>0.16064267981051178</v>
      </c>
      <c r="BB20" s="516">
        <f t="shared" si="11"/>
        <v>0.11104995972665264</v>
      </c>
      <c r="BC20" s="516">
        <f t="shared" si="11"/>
        <v>0.12889302584485707</v>
      </c>
      <c r="BD20" s="57"/>
      <c r="BE20" s="57"/>
      <c r="BF20" s="57"/>
      <c r="BG20" s="57"/>
      <c r="BH20" s="57"/>
      <c r="BI20" s="62"/>
      <c r="BJ20" s="62"/>
      <c r="BK20" s="62"/>
      <c r="BL20" s="66"/>
      <c r="BM20" s="56"/>
      <c r="BN20" s="343"/>
      <c r="BO20" s="343"/>
      <c r="BP20" s="343"/>
      <c r="BQ20" s="347"/>
      <c r="BR20" s="61"/>
    </row>
    <row r="21" spans="1:70" s="63" customFormat="1" x14ac:dyDescent="0.3">
      <c r="A21" s="84" t="s">
        <v>13</v>
      </c>
      <c r="B21" s="56"/>
      <c r="C21" s="56"/>
      <c r="D21" s="56"/>
      <c r="E21" s="56"/>
      <c r="F21" s="57">
        <v>-465692</v>
      </c>
      <c r="G21" s="57">
        <f t="shared" si="5"/>
        <v>-346089</v>
      </c>
      <c r="H21" s="57">
        <v>-564616</v>
      </c>
      <c r="I21" s="57">
        <f t="shared" si="6"/>
        <v>-1035897</v>
      </c>
      <c r="J21" s="57"/>
      <c r="K21" s="57">
        <v>-639723</v>
      </c>
      <c r="L21" s="57">
        <v>-1032913</v>
      </c>
      <c r="M21" s="57">
        <v>-811781</v>
      </c>
      <c r="N21" s="105">
        <v>-1600513</v>
      </c>
      <c r="O21" s="59"/>
      <c r="P21" s="127">
        <v>-228465</v>
      </c>
      <c r="Q21" s="57">
        <v>-530211</v>
      </c>
      <c r="R21" s="57">
        <v>-858806</v>
      </c>
      <c r="S21" s="104">
        <v>-223013</v>
      </c>
      <c r="T21" s="59"/>
      <c r="U21" s="154">
        <v>-194085</v>
      </c>
      <c r="V21" s="170">
        <f>S21+U21</f>
        <v>-417098</v>
      </c>
      <c r="W21" s="154">
        <v>-370531</v>
      </c>
      <c r="X21" s="154">
        <v>-479543</v>
      </c>
      <c r="Y21" s="154">
        <v>-556354</v>
      </c>
      <c r="Z21" s="300">
        <v>-498270</v>
      </c>
      <c r="AA21" s="154">
        <v>-561160</v>
      </c>
      <c r="AB21" s="154">
        <v>-682530</v>
      </c>
      <c r="AC21" s="154">
        <v>-575015</v>
      </c>
      <c r="AD21" s="300">
        <v>-351267</v>
      </c>
      <c r="AE21" s="154">
        <v>-332453</v>
      </c>
      <c r="AF21" s="154">
        <v>-535315</v>
      </c>
      <c r="AG21" s="154">
        <v>-477571</v>
      </c>
      <c r="AH21" s="300">
        <v>-409082</v>
      </c>
      <c r="AI21" s="154">
        <v>-505447</v>
      </c>
      <c r="AJ21" s="154">
        <v>-506590</v>
      </c>
      <c r="AK21" s="424">
        <v>-468562</v>
      </c>
      <c r="AL21" s="154">
        <v>-471610</v>
      </c>
      <c r="AM21" s="154">
        <v>-383230</v>
      </c>
      <c r="AN21" s="154">
        <v>-502871</v>
      </c>
      <c r="AO21" s="424">
        <v>-448929</v>
      </c>
      <c r="AP21" s="154">
        <v>-645282</v>
      </c>
      <c r="AQ21" s="154">
        <v>-703284</v>
      </c>
      <c r="AR21" s="154">
        <v>-839728</v>
      </c>
      <c r="AS21" s="154">
        <v>-969739</v>
      </c>
      <c r="AT21" s="154">
        <v>-1351484</v>
      </c>
      <c r="AU21" s="154">
        <v>-1501022</v>
      </c>
      <c r="AV21" s="154">
        <v>-1826821</v>
      </c>
      <c r="AW21" s="154">
        <v>-1547872</v>
      </c>
      <c r="AX21" s="154">
        <v>-1364955</v>
      </c>
      <c r="AY21" s="154">
        <v>-1633149</v>
      </c>
      <c r="AZ21" s="154">
        <v>-1887277</v>
      </c>
      <c r="BA21" s="154">
        <v>-1652826</v>
      </c>
      <c r="BB21" s="58">
        <v>-1509526</v>
      </c>
      <c r="BC21" s="58">
        <v>-1660405</v>
      </c>
      <c r="BD21" s="57">
        <v>-787629</v>
      </c>
      <c r="BE21" s="57">
        <f>BL21-BD21</f>
        <v>-812884</v>
      </c>
      <c r="BF21" s="57"/>
      <c r="BG21" s="57"/>
      <c r="BH21" s="57"/>
      <c r="BI21" s="62">
        <v>-868000</v>
      </c>
      <c r="BJ21" s="62">
        <v>-1563000</v>
      </c>
      <c r="BK21" s="57">
        <v>-1670587</v>
      </c>
      <c r="BL21" s="57">
        <v>-1600513</v>
      </c>
      <c r="BM21" s="56">
        <v>-2316975</v>
      </c>
      <c r="BN21" s="343">
        <v>-1696606</v>
      </c>
      <c r="BO21" s="343">
        <f>SUM(AH21:AK21)</f>
        <v>-1889681</v>
      </c>
      <c r="BP21" s="343">
        <f>SUM(AL21:AO21)</f>
        <v>-1806640</v>
      </c>
      <c r="BQ21" s="347"/>
      <c r="BR21" s="61"/>
    </row>
    <row r="22" spans="1:70" s="96" customFormat="1" x14ac:dyDescent="0.3">
      <c r="A22" s="89" t="s">
        <v>14</v>
      </c>
      <c r="B22" s="4">
        <f>IFERROR(B11+B21,"n.a.")</f>
        <v>0</v>
      </c>
      <c r="C22" s="4">
        <f>IFERROR(C11+C21,"n.a.")</f>
        <v>0</v>
      </c>
      <c r="D22" s="4">
        <f t="shared" ref="D22:I22" si="12">IFERROR(D11+D21,"n.a.")</f>
        <v>0</v>
      </c>
      <c r="E22" s="4">
        <f t="shared" si="12"/>
        <v>0</v>
      </c>
      <c r="F22" s="54">
        <f t="shared" si="12"/>
        <v>780122</v>
      </c>
      <c r="G22" s="54">
        <f>IFERROR(G11+G21,"n.a.")</f>
        <v>926688</v>
      </c>
      <c r="H22" s="54">
        <f t="shared" si="12"/>
        <v>1432228</v>
      </c>
      <c r="I22" s="54">
        <f t="shared" si="12"/>
        <v>2222898</v>
      </c>
      <c r="J22" s="54"/>
      <c r="K22" s="54">
        <f>IFERROR(K11+K21,"n.a.")</f>
        <v>386401</v>
      </c>
      <c r="L22" s="54">
        <f>IFERROR(L11+L21,"n.a.")</f>
        <v>1171652</v>
      </c>
      <c r="M22" s="54">
        <f>IFERROR(M11+M21,"n.a.")</f>
        <v>1706810</v>
      </c>
      <c r="N22" s="106">
        <f>IFERROR(N11+N21,"n.a.")</f>
        <v>3655126</v>
      </c>
      <c r="O22" s="54"/>
      <c r="P22" s="128">
        <f>IFERROR(P11+P21,"n.a.")</f>
        <v>352058</v>
      </c>
      <c r="Q22" s="54">
        <f>IFERROR(Q11+Q21,"n.a.")</f>
        <v>904746</v>
      </c>
      <c r="R22" s="54">
        <f>IFERROR(R11+R21,"n.a.")</f>
        <v>1848693</v>
      </c>
      <c r="S22" s="106">
        <f>IFERROR(S11+S21,"n.a.")</f>
        <v>612135</v>
      </c>
      <c r="T22" s="54"/>
      <c r="U22" s="155">
        <f>IFERROR(U11+U21,"n.a.")</f>
        <v>488279</v>
      </c>
      <c r="V22" s="155">
        <f>IFERROR(V11+V21,"n.a.")</f>
        <v>1100414</v>
      </c>
      <c r="W22" s="155">
        <f>IFERROR(W11+W21,"n.a.")</f>
        <v>943949</v>
      </c>
      <c r="X22" s="155">
        <f t="shared" ref="X22:AS22" si="13">IFERROR(X11+X21,"n.a.")</f>
        <v>1206854</v>
      </c>
      <c r="Y22" s="155">
        <f t="shared" si="13"/>
        <v>1016044</v>
      </c>
      <c r="Z22" s="128">
        <f t="shared" si="13"/>
        <v>1285141</v>
      </c>
      <c r="AA22" s="155">
        <f t="shared" si="13"/>
        <v>1029738</v>
      </c>
      <c r="AB22" s="155">
        <f t="shared" si="13"/>
        <v>1379600</v>
      </c>
      <c r="AC22" s="155">
        <f t="shared" si="13"/>
        <v>1381478</v>
      </c>
      <c r="AD22" s="128">
        <f t="shared" si="13"/>
        <v>653849</v>
      </c>
      <c r="AE22" s="155">
        <f t="shared" si="13"/>
        <v>867653</v>
      </c>
      <c r="AF22" s="155">
        <f t="shared" si="13"/>
        <v>1379203</v>
      </c>
      <c r="AG22" s="155">
        <f t="shared" si="13"/>
        <v>1335280</v>
      </c>
      <c r="AH22" s="128">
        <f t="shared" si="13"/>
        <v>1204681</v>
      </c>
      <c r="AI22" s="155">
        <f t="shared" si="13"/>
        <v>1632530</v>
      </c>
      <c r="AJ22" s="155">
        <f t="shared" si="13"/>
        <v>1432841</v>
      </c>
      <c r="AK22" s="106">
        <f t="shared" si="13"/>
        <v>1377823</v>
      </c>
      <c r="AL22" s="155">
        <f t="shared" si="13"/>
        <v>1246389</v>
      </c>
      <c r="AM22" s="155">
        <f t="shared" si="13"/>
        <v>935420</v>
      </c>
      <c r="AN22" s="155">
        <f t="shared" si="13"/>
        <v>1545080</v>
      </c>
      <c r="AO22" s="106">
        <f t="shared" si="13"/>
        <v>1051137</v>
      </c>
      <c r="AP22" s="155">
        <f t="shared" si="13"/>
        <v>1940861</v>
      </c>
      <c r="AQ22" s="155">
        <f t="shared" si="13"/>
        <v>2162985</v>
      </c>
      <c r="AR22" s="155">
        <f t="shared" si="13"/>
        <v>2459562</v>
      </c>
      <c r="AS22" s="155">
        <f t="shared" si="13"/>
        <v>2174803</v>
      </c>
      <c r="AT22" s="155">
        <v>2514794</v>
      </c>
      <c r="AU22" s="155">
        <f t="shared" ref="AU22:BB22" si="14">AU11+AU21</f>
        <v>2744335</v>
      </c>
      <c r="AV22" s="155">
        <f t="shared" si="14"/>
        <v>3164675</v>
      </c>
      <c r="AW22" s="155">
        <f t="shared" si="14"/>
        <v>2689683</v>
      </c>
      <c r="AX22" s="155">
        <f t="shared" si="14"/>
        <v>3012477</v>
      </c>
      <c r="AY22" s="155">
        <f t="shared" si="14"/>
        <v>3036282</v>
      </c>
      <c r="AZ22" s="155">
        <f t="shared" si="14"/>
        <v>3621835</v>
      </c>
      <c r="BA22" s="155">
        <f t="shared" si="14"/>
        <v>3187158</v>
      </c>
      <c r="BB22" s="155">
        <f t="shared" si="14"/>
        <v>3496266</v>
      </c>
      <c r="BC22" s="155">
        <f t="shared" ref="BC22" si="15">BC11+BC21</f>
        <v>3326622</v>
      </c>
      <c r="BD22" s="54">
        <f t="shared" ref="BD22:BL22" si="16">IFERROR(BD11+BD21,"n.a.")</f>
        <v>2044363</v>
      </c>
      <c r="BE22" s="54">
        <f t="shared" si="16"/>
        <v>1610763</v>
      </c>
      <c r="BF22" s="54">
        <f t="shared" si="16"/>
        <v>3374309</v>
      </c>
      <c r="BG22" s="54">
        <f t="shared" si="16"/>
        <v>0</v>
      </c>
      <c r="BH22" s="54"/>
      <c r="BI22" s="54">
        <f t="shared" si="16"/>
        <v>739000</v>
      </c>
      <c r="BJ22" s="54">
        <f t="shared" si="16"/>
        <v>2077000</v>
      </c>
      <c r="BK22" s="54">
        <f t="shared" si="16"/>
        <v>3555503</v>
      </c>
      <c r="BL22" s="54">
        <f t="shared" si="16"/>
        <v>3655126</v>
      </c>
      <c r="BM22" s="4">
        <f>IFERROR(BM11+BM21,"n.a.")</f>
        <v>5075957</v>
      </c>
      <c r="BN22" s="344">
        <f>IFERROR(BN11+BN21,"n.a.")</f>
        <v>4235985</v>
      </c>
      <c r="BO22" s="344">
        <f>IFERROR(BO11+BO21,"n.a.")</f>
        <v>5647875</v>
      </c>
      <c r="BP22" s="344">
        <f>IFERROR(BP11+BP21,"n.a.")</f>
        <v>4778026</v>
      </c>
      <c r="BQ22" s="347"/>
      <c r="BR22" s="95"/>
    </row>
    <row r="23" spans="1:70" s="55" customFormat="1" ht="18" customHeight="1" x14ac:dyDescent="0.3">
      <c r="A23" s="84" t="s">
        <v>15</v>
      </c>
      <c r="B23" s="56"/>
      <c r="C23" s="56"/>
      <c r="D23" s="56"/>
      <c r="E23" s="56"/>
      <c r="F23" s="57">
        <v>-245421</v>
      </c>
      <c r="G23" s="57">
        <f>M23-F23</f>
        <v>-276597</v>
      </c>
      <c r="H23" s="57">
        <v>-506734</v>
      </c>
      <c r="I23" s="57">
        <f t="shared" si="6"/>
        <v>-843201</v>
      </c>
      <c r="J23" s="57"/>
      <c r="K23" s="57">
        <v>-399073</v>
      </c>
      <c r="L23" s="57">
        <v>-517648</v>
      </c>
      <c r="M23" s="57">
        <v>-522018</v>
      </c>
      <c r="N23" s="105">
        <v>-1349935</v>
      </c>
      <c r="O23" s="59"/>
      <c r="P23" s="127">
        <v>-164277</v>
      </c>
      <c r="Q23" s="57">
        <v>-371720</v>
      </c>
      <c r="R23" s="57">
        <v>-514800</v>
      </c>
      <c r="S23" s="104">
        <v>-118448</v>
      </c>
      <c r="T23" s="59"/>
      <c r="U23" s="154">
        <v>-189234</v>
      </c>
      <c r="V23" s="170">
        <f>S23+U23</f>
        <v>-307682</v>
      </c>
      <c r="W23" s="154">
        <v>-317500</v>
      </c>
      <c r="X23" s="154">
        <v>-403346</v>
      </c>
      <c r="Y23" s="154">
        <v>-439855</v>
      </c>
      <c r="Z23" s="300">
        <v>-430052</v>
      </c>
      <c r="AA23" s="154">
        <v>-352154</v>
      </c>
      <c r="AB23" s="295">
        <v>-358993</v>
      </c>
      <c r="AC23" s="295">
        <v>-371592</v>
      </c>
      <c r="AD23" s="300">
        <v>-287449</v>
      </c>
      <c r="AE23" s="154">
        <v>-300363</v>
      </c>
      <c r="AF23" s="154">
        <v>-301834</v>
      </c>
      <c r="AG23" s="154">
        <v>-355860</v>
      </c>
      <c r="AH23" s="300">
        <v>-306953</v>
      </c>
      <c r="AI23" s="154">
        <v>-330201</v>
      </c>
      <c r="AJ23" s="154">
        <v>-322924</v>
      </c>
      <c r="AK23" s="424">
        <v>-384390</v>
      </c>
      <c r="AL23" s="154">
        <v>-351821</v>
      </c>
      <c r="AM23" s="154">
        <v>-324879</v>
      </c>
      <c r="AN23" s="154">
        <v>-370926</v>
      </c>
      <c r="AO23" s="424">
        <v>-366508</v>
      </c>
      <c r="AP23" s="154">
        <v>-411140</v>
      </c>
      <c r="AQ23" s="154">
        <v>-427826</v>
      </c>
      <c r="AR23" s="154">
        <v>-466330</v>
      </c>
      <c r="AS23" s="154">
        <v>-515273</v>
      </c>
      <c r="AT23" s="154">
        <v>-486775</v>
      </c>
      <c r="AU23" s="154">
        <v>-494281</v>
      </c>
      <c r="AV23" s="154">
        <v>-505072</v>
      </c>
      <c r="AW23" s="154">
        <v>-514766</v>
      </c>
      <c r="AX23" s="154">
        <v>-495120</v>
      </c>
      <c r="AY23" s="154">
        <v>-504524</v>
      </c>
      <c r="AZ23" s="154">
        <v>-514544</v>
      </c>
      <c r="BA23" s="154">
        <v>-524863</v>
      </c>
      <c r="BB23" s="58">
        <v>-524331</v>
      </c>
      <c r="BC23" s="58">
        <v>-528173</v>
      </c>
      <c r="BD23" s="57">
        <v>-656809</v>
      </c>
      <c r="BE23" s="57">
        <f>BL23-BD23</f>
        <v>-693126</v>
      </c>
      <c r="BF23" s="57"/>
      <c r="BG23" s="57"/>
      <c r="BH23" s="57"/>
      <c r="BI23" s="57"/>
      <c r="BJ23" s="57"/>
      <c r="BK23" s="57">
        <v>-1191509</v>
      </c>
      <c r="BL23" s="57">
        <v>-1349935</v>
      </c>
      <c r="BM23" s="56">
        <v>-1512792</v>
      </c>
      <c r="BN23" s="345">
        <v>-1245506</v>
      </c>
      <c r="BO23" s="345">
        <f>SUM(AH23:AK23)</f>
        <v>-1344468</v>
      </c>
      <c r="BP23" s="345">
        <f>SUM(AL23:AO23)</f>
        <v>-1414134</v>
      </c>
      <c r="BQ23" s="347"/>
      <c r="BR23" s="61"/>
    </row>
    <row r="24" spans="1:70" s="55" customFormat="1" x14ac:dyDescent="0.3">
      <c r="A24" s="84" t="s">
        <v>16</v>
      </c>
      <c r="B24" s="56"/>
      <c r="C24" s="56"/>
      <c r="D24" s="56"/>
      <c r="E24" s="56"/>
      <c r="F24" s="57">
        <v>-511960</v>
      </c>
      <c r="G24" s="57">
        <f>M24-F24</f>
        <v>-583017</v>
      </c>
      <c r="H24" s="57">
        <v>-706087</v>
      </c>
      <c r="I24" s="57">
        <f>N24-H24</f>
        <v>-1135227</v>
      </c>
      <c r="J24" s="57"/>
      <c r="K24" s="57">
        <v>-775464</v>
      </c>
      <c r="L24" s="57">
        <v>-1882779</v>
      </c>
      <c r="M24" s="57">
        <v>-1094977</v>
      </c>
      <c r="N24" s="105">
        <v>-1841314</v>
      </c>
      <c r="O24" s="59"/>
      <c r="P24" s="127">
        <v>-580764</v>
      </c>
      <c r="Q24" s="57">
        <v>-515174</v>
      </c>
      <c r="R24" s="57">
        <v>-670732</v>
      </c>
      <c r="S24" s="104">
        <v>-189827</v>
      </c>
      <c r="T24" s="59"/>
      <c r="U24" s="154">
        <v>-241991</v>
      </c>
      <c r="V24" s="170">
        <f>S24+U24</f>
        <v>-431818</v>
      </c>
      <c r="W24" s="154">
        <v>-464096</v>
      </c>
      <c r="X24" s="154">
        <v>-576207</v>
      </c>
      <c r="Y24" s="154">
        <v>-559020</v>
      </c>
      <c r="Z24" s="300">
        <v>-469723</v>
      </c>
      <c r="AA24" s="154">
        <v>-407187</v>
      </c>
      <c r="AB24" s="295">
        <v>-627565</v>
      </c>
      <c r="AC24" s="295">
        <v>-640041</v>
      </c>
      <c r="AD24" s="300">
        <v>-291194</v>
      </c>
      <c r="AE24" s="154">
        <v>-369489</v>
      </c>
      <c r="AF24" s="154">
        <v>-724938</v>
      </c>
      <c r="AG24" s="154">
        <v>-745655</v>
      </c>
      <c r="AH24" s="300">
        <v>-618071</v>
      </c>
      <c r="AI24" s="154">
        <v>-884584</v>
      </c>
      <c r="AJ24" s="154">
        <v>-786927</v>
      </c>
      <c r="AK24" s="424">
        <v>-746874</v>
      </c>
      <c r="AL24" s="154">
        <v>-636961</v>
      </c>
      <c r="AM24" s="154">
        <v>-574681</v>
      </c>
      <c r="AN24" s="154">
        <v>-937280</v>
      </c>
      <c r="AO24" s="424">
        <v>-652322</v>
      </c>
      <c r="AP24" s="154">
        <v>-966236</v>
      </c>
      <c r="AQ24" s="154">
        <v>-1107860</v>
      </c>
      <c r="AR24" s="154">
        <v>-1271545</v>
      </c>
      <c r="AS24" s="154">
        <v>-1127174</v>
      </c>
      <c r="AT24" s="154">
        <v>-1368203</v>
      </c>
      <c r="AU24" s="154">
        <v>-1501710</v>
      </c>
      <c r="AV24" s="154">
        <v>-1467569</v>
      </c>
      <c r="AW24" s="154">
        <v>-1283228</v>
      </c>
      <c r="AX24" s="154">
        <v>-1453540</v>
      </c>
      <c r="AY24" s="154">
        <v>-1538292</v>
      </c>
      <c r="AZ24" s="154">
        <v>-1715364</v>
      </c>
      <c r="BA24" s="154">
        <v>-1574110</v>
      </c>
      <c r="BB24" s="58">
        <v>-1691405</v>
      </c>
      <c r="BC24" s="58">
        <v>-1627575</v>
      </c>
      <c r="BD24" s="57">
        <v>-905094</v>
      </c>
      <c r="BE24" s="57">
        <f>BL24-BD24</f>
        <v>-936220</v>
      </c>
      <c r="BF24" s="57"/>
      <c r="BG24" s="57"/>
      <c r="BH24" s="57"/>
      <c r="BI24" s="57"/>
      <c r="BJ24" s="57"/>
      <c r="BK24" s="57">
        <v>-1803050</v>
      </c>
      <c r="BL24" s="57">
        <v>-1841314</v>
      </c>
      <c r="BM24" s="56">
        <v>-2244516</v>
      </c>
      <c r="BN24" s="345">
        <v>-2131276</v>
      </c>
      <c r="BO24" s="345">
        <f>SUM(AH24:AK24)</f>
        <v>-3036456</v>
      </c>
      <c r="BP24" s="345">
        <f>SUM(AL24:AO24)</f>
        <v>-2801244</v>
      </c>
      <c r="BQ24" s="347"/>
      <c r="BR24" s="64"/>
    </row>
    <row r="25" spans="1:70" s="55" customFormat="1" x14ac:dyDescent="0.3">
      <c r="A25" s="84" t="s">
        <v>17</v>
      </c>
      <c r="B25" s="56"/>
      <c r="C25" s="56"/>
      <c r="D25" s="56"/>
      <c r="E25" s="56"/>
      <c r="F25" s="57">
        <v>-35541</v>
      </c>
      <c r="G25" s="57">
        <f>M25-F25</f>
        <v>-61838</v>
      </c>
      <c r="H25" s="57">
        <v>-515878</v>
      </c>
      <c r="I25" s="57">
        <f t="shared" si="6"/>
        <v>-419047</v>
      </c>
      <c r="J25" s="57"/>
      <c r="K25" s="57">
        <v>-272584</v>
      </c>
      <c r="L25" s="57">
        <v>-898337</v>
      </c>
      <c r="M25" s="57">
        <v>-97379</v>
      </c>
      <c r="N25" s="105">
        <v>-934925</v>
      </c>
      <c r="O25" s="59"/>
      <c r="P25" s="127">
        <v>-56830</v>
      </c>
      <c r="Q25" s="57">
        <v>-91119</v>
      </c>
      <c r="R25" s="57">
        <v>-132772</v>
      </c>
      <c r="S25" s="104">
        <v>-23566</v>
      </c>
      <c r="T25" s="59"/>
      <c r="U25" s="154">
        <v>-382129</v>
      </c>
      <c r="V25" s="170">
        <f>S25+U25</f>
        <v>-405695</v>
      </c>
      <c r="W25" s="154">
        <v>-133749</v>
      </c>
      <c r="X25" s="154">
        <v>-163476</v>
      </c>
      <c r="Y25" s="154">
        <v>-255571</v>
      </c>
      <c r="Z25" s="300">
        <v>-228322</v>
      </c>
      <c r="AA25" s="154">
        <v>-99805</v>
      </c>
      <c r="AB25" s="295">
        <v>-96270</v>
      </c>
      <c r="AC25" s="295">
        <v>-174281</v>
      </c>
      <c r="AD25" s="300">
        <f>-208584-116023-AE25</f>
        <v>-120034</v>
      </c>
      <c r="AE25" s="154">
        <f>-106328-98245</f>
        <v>-204573</v>
      </c>
      <c r="AF25" s="154">
        <f>-101391-11638</f>
        <v>-113029</v>
      </c>
      <c r="AG25" s="154">
        <f>BN25-AD25-AE25-AF25</f>
        <v>-224505</v>
      </c>
      <c r="AH25" s="300">
        <f>-108346-16811</f>
        <v>-125157</v>
      </c>
      <c r="AI25" s="154">
        <f>-126243-11919</f>
        <v>-138162</v>
      </c>
      <c r="AJ25" s="154">
        <f>-115779-25579</f>
        <v>-141358</v>
      </c>
      <c r="AK25" s="424">
        <f>-221288-36419</f>
        <v>-257707</v>
      </c>
      <c r="AL25" s="154">
        <f>-188245+2278</f>
        <v>-185967</v>
      </c>
      <c r="AM25" s="154">
        <f>-134877-15322</f>
        <v>-150199</v>
      </c>
      <c r="AN25" s="154">
        <v>-182789</v>
      </c>
      <c r="AO25" s="424">
        <v>-195230</v>
      </c>
      <c r="AP25" s="154">
        <v>-192266</v>
      </c>
      <c r="AQ25" s="154">
        <v>-207641</v>
      </c>
      <c r="AR25" s="154">
        <v>-196536</v>
      </c>
      <c r="AS25" s="154">
        <v>-114751</v>
      </c>
      <c r="AT25" s="154">
        <v>-265303</v>
      </c>
      <c r="AU25" s="154">
        <v>-272193</v>
      </c>
      <c r="AV25" s="154">
        <v>-327745</v>
      </c>
      <c r="AW25" s="154">
        <v>-340938</v>
      </c>
      <c r="AX25" s="154">
        <v>-307438</v>
      </c>
      <c r="AY25" s="154">
        <v>-277742</v>
      </c>
      <c r="AZ25" s="154">
        <v>-291445</v>
      </c>
      <c r="BA25" s="154">
        <v>-389291</v>
      </c>
      <c r="BB25" s="58">
        <v>-326830</v>
      </c>
      <c r="BC25" s="58">
        <v>-385704</v>
      </c>
      <c r="BD25" s="57">
        <v>-533527</v>
      </c>
      <c r="BE25" s="57">
        <v>3258795</v>
      </c>
      <c r="BF25" s="57"/>
      <c r="BG25" s="57"/>
      <c r="BH25" s="57"/>
      <c r="BI25" s="57"/>
      <c r="BJ25" s="57"/>
      <c r="BK25" s="57">
        <v>-297681</v>
      </c>
      <c r="BL25" s="57">
        <v>-934925</v>
      </c>
      <c r="BM25" s="56">
        <f>-594217-39958</f>
        <v>-634175</v>
      </c>
      <c r="BN25" s="345">
        <f>-521728-140413</f>
        <v>-662141</v>
      </c>
      <c r="BO25" s="345">
        <f>SUM(AH25:AK25)</f>
        <v>-662384</v>
      </c>
      <c r="BP25" s="345">
        <f>SUM(AL25:AO25)</f>
        <v>-714185</v>
      </c>
      <c r="BQ25" s="347"/>
      <c r="BR25" s="61"/>
    </row>
    <row r="26" spans="1:70" s="96" customFormat="1" x14ac:dyDescent="0.3">
      <c r="A26" s="89" t="s">
        <v>18</v>
      </c>
      <c r="B26" s="4">
        <f>IFERROR(B22+B23+B24+B25,"n.a.")</f>
        <v>0</v>
      </c>
      <c r="C26" s="4">
        <f>IFERROR(C22+C23+C24+C25,"n.a.")</f>
        <v>0</v>
      </c>
      <c r="D26" s="4">
        <f t="shared" ref="D26:I26" si="17">IFERROR(D22+D23+D24+D25,"n.a.")</f>
        <v>0</v>
      </c>
      <c r="E26" s="4">
        <f t="shared" si="17"/>
        <v>0</v>
      </c>
      <c r="F26" s="54">
        <f t="shared" si="17"/>
        <v>-12800</v>
      </c>
      <c r="G26" s="54">
        <f t="shared" si="17"/>
        <v>5236</v>
      </c>
      <c r="H26" s="54">
        <f t="shared" si="17"/>
        <v>-296471</v>
      </c>
      <c r="I26" s="54">
        <f t="shared" si="17"/>
        <v>-174577</v>
      </c>
      <c r="J26" s="54"/>
      <c r="K26" s="54">
        <f>IFERROR(K22+K23+K24+K25,"n.a.")</f>
        <v>-1060720</v>
      </c>
      <c r="L26" s="54">
        <f>IFERROR(L22+L23+L24+L25,"n.a.")</f>
        <v>-2127112</v>
      </c>
      <c r="M26" s="54">
        <f>IFERROR(M22+M23+M24+M25,"n.a.")</f>
        <v>-7564</v>
      </c>
      <c r="N26" s="106">
        <f>IFERROR(N22+N23+N24+N25,"n.a.")</f>
        <v>-471048</v>
      </c>
      <c r="O26" s="54"/>
      <c r="P26" s="128">
        <f>IFERROR(P22+P23+P24+P25,"n.a.")</f>
        <v>-449813</v>
      </c>
      <c r="Q26" s="54">
        <f>IFERROR(Q22+Q23+Q24+Q25,"n.a.")</f>
        <v>-73267</v>
      </c>
      <c r="R26" s="54">
        <f>IFERROR(R22+R23+R24+R25,"n.a.")</f>
        <v>530389</v>
      </c>
      <c r="S26" s="106">
        <f>IFERROR(S22+S23+S24+S25,"n.a.")</f>
        <v>280294</v>
      </c>
      <c r="T26" s="54"/>
      <c r="U26" s="155">
        <f>IFERROR(U22+U23+U24+U25,"n.a.")</f>
        <v>-325075</v>
      </c>
      <c r="V26" s="155">
        <f>IFERROR(V22+V23+V24+V25,"n.a.")</f>
        <v>-44781</v>
      </c>
      <c r="W26" s="155">
        <f>IFERROR(W22+W23+W24+W25,"n.a.")</f>
        <v>28604</v>
      </c>
      <c r="X26" s="155">
        <f t="shared" ref="X26:AU26" si="18">IFERROR(X22+X23+X24+X25,"n.a.")</f>
        <v>63825</v>
      </c>
      <c r="Y26" s="155">
        <f t="shared" si="18"/>
        <v>-238402</v>
      </c>
      <c r="Z26" s="128">
        <f t="shared" si="18"/>
        <v>157044</v>
      </c>
      <c r="AA26" s="155">
        <f t="shared" si="18"/>
        <v>170592</v>
      </c>
      <c r="AB26" s="155">
        <f t="shared" si="18"/>
        <v>296772</v>
      </c>
      <c r="AC26" s="155">
        <f t="shared" si="18"/>
        <v>195564</v>
      </c>
      <c r="AD26" s="128">
        <f t="shared" si="18"/>
        <v>-44828</v>
      </c>
      <c r="AE26" s="155">
        <f t="shared" si="18"/>
        <v>-6772</v>
      </c>
      <c r="AF26" s="155">
        <f t="shared" si="18"/>
        <v>239402</v>
      </c>
      <c r="AG26" s="155">
        <f t="shared" si="18"/>
        <v>9260</v>
      </c>
      <c r="AH26" s="128">
        <f t="shared" si="18"/>
        <v>154500</v>
      </c>
      <c r="AI26" s="155">
        <f t="shared" si="18"/>
        <v>279583</v>
      </c>
      <c r="AJ26" s="155">
        <f t="shared" si="18"/>
        <v>181632</v>
      </c>
      <c r="AK26" s="106">
        <f t="shared" si="18"/>
        <v>-11148</v>
      </c>
      <c r="AL26" s="155">
        <f t="shared" si="18"/>
        <v>71640</v>
      </c>
      <c r="AM26" s="155">
        <f t="shared" si="18"/>
        <v>-114339</v>
      </c>
      <c r="AN26" s="155">
        <f t="shared" si="18"/>
        <v>54085</v>
      </c>
      <c r="AO26" s="106">
        <f t="shared" si="18"/>
        <v>-162923</v>
      </c>
      <c r="AP26" s="155">
        <f t="shared" si="18"/>
        <v>371219</v>
      </c>
      <c r="AQ26" s="155">
        <f t="shared" si="18"/>
        <v>419658</v>
      </c>
      <c r="AR26" s="155">
        <f t="shared" si="18"/>
        <v>525151</v>
      </c>
      <c r="AS26" s="155">
        <f t="shared" si="18"/>
        <v>417605</v>
      </c>
      <c r="AT26" s="155">
        <f t="shared" si="18"/>
        <v>394513</v>
      </c>
      <c r="AU26" s="155">
        <f t="shared" si="18"/>
        <v>476151</v>
      </c>
      <c r="AV26" s="155">
        <f t="shared" ref="AV26" si="19">IFERROR(AV22+AV23+AV24+AV25,"n.a.")</f>
        <v>864289</v>
      </c>
      <c r="AW26" s="155">
        <f>IFERROR(AW22+AW23+AW24+AW25,"n.a.")</f>
        <v>550751</v>
      </c>
      <c r="AX26" s="155">
        <f>IFERROR(AX22+AX23+AX24+AX25,"n.a.")</f>
        <v>756379</v>
      </c>
      <c r="AY26" s="155">
        <f>IFERROR(AY22+AY23+AY24+AY25,"n.a.")</f>
        <v>715724</v>
      </c>
      <c r="AZ26" s="155">
        <v>1163166</v>
      </c>
      <c r="BA26" s="155">
        <v>347616</v>
      </c>
      <c r="BB26" s="155">
        <v>993042</v>
      </c>
      <c r="BC26" s="1020">
        <v>853398</v>
      </c>
      <c r="BD26" s="54">
        <f t="shared" ref="BD26:BL26" si="20">IFERROR(BD22+BD23+BD24+BD25,"n.a.")</f>
        <v>-51067</v>
      </c>
      <c r="BE26" s="54">
        <f t="shared" si="20"/>
        <v>3240212</v>
      </c>
      <c r="BF26" s="54">
        <f t="shared" si="20"/>
        <v>3374309</v>
      </c>
      <c r="BG26" s="54">
        <f t="shared" si="20"/>
        <v>0</v>
      </c>
      <c r="BH26" s="54"/>
      <c r="BI26" s="54">
        <f t="shared" si="20"/>
        <v>739000</v>
      </c>
      <c r="BJ26" s="54">
        <f t="shared" si="20"/>
        <v>2077000</v>
      </c>
      <c r="BK26" s="54">
        <f t="shared" si="20"/>
        <v>263263</v>
      </c>
      <c r="BL26" s="54">
        <f t="shared" si="20"/>
        <v>-471048</v>
      </c>
      <c r="BM26" s="4">
        <f>IFERROR(BM22+BM23+BM24+BM25,"n.a.")</f>
        <v>684474</v>
      </c>
      <c r="BN26" s="344">
        <f>IFERROR(BN22+BN23+BN24+BN25,"n.a.")</f>
        <v>197062</v>
      </c>
      <c r="BO26" s="344">
        <f>IFERROR(BO22+BO23+BO24+BO25,"n.a.")</f>
        <v>604567</v>
      </c>
      <c r="BP26" s="344">
        <f>IFERROR(BP22+BP23+BP24+BP25,"n.a.")</f>
        <v>-151537</v>
      </c>
      <c r="BQ26" s="347"/>
      <c r="BR26" s="95"/>
    </row>
    <row r="27" spans="1:70" s="63" customFormat="1" x14ac:dyDescent="0.3">
      <c r="A27" s="84" t="s">
        <v>342</v>
      </c>
      <c r="B27" s="56"/>
      <c r="C27" s="56"/>
      <c r="D27" s="56"/>
      <c r="E27" s="56"/>
      <c r="F27" s="57"/>
      <c r="G27" s="57"/>
      <c r="H27" s="57"/>
      <c r="I27" s="57"/>
      <c r="J27" s="57"/>
      <c r="K27" s="57"/>
      <c r="L27" s="57"/>
      <c r="M27" s="57"/>
      <c r="N27" s="105"/>
      <c r="O27" s="59"/>
      <c r="P27" s="127"/>
      <c r="Q27" s="57"/>
      <c r="R27" s="57"/>
      <c r="S27" s="104"/>
      <c r="T27" s="59"/>
      <c r="U27" s="154"/>
      <c r="V27" s="170"/>
      <c r="W27" s="154"/>
      <c r="X27" s="154"/>
      <c r="Y27" s="154"/>
      <c r="Z27" s="300"/>
      <c r="AA27" s="154"/>
      <c r="AB27" s="154"/>
      <c r="AC27" s="154"/>
      <c r="AD27" s="300"/>
      <c r="AE27" s="154"/>
      <c r="AF27" s="154"/>
      <c r="AG27" s="154"/>
      <c r="AH27" s="300"/>
      <c r="AI27" s="154"/>
      <c r="AJ27" s="154"/>
      <c r="AK27" s="424"/>
      <c r="AL27" s="154"/>
      <c r="AM27" s="154"/>
      <c r="AN27" s="154">
        <v>-4474</v>
      </c>
      <c r="AO27" s="424">
        <v>-10843</v>
      </c>
      <c r="AP27" s="154"/>
      <c r="AQ27" s="154">
        <v>4290</v>
      </c>
      <c r="AR27" s="154">
        <v>-7189</v>
      </c>
      <c r="AS27" s="154">
        <v>2308</v>
      </c>
      <c r="AT27" s="154">
        <v>6431</v>
      </c>
      <c r="AU27" s="154">
        <v>8267</v>
      </c>
      <c r="AV27" s="154">
        <v>1382</v>
      </c>
      <c r="AW27" s="154">
        <v>1711</v>
      </c>
      <c r="AX27" s="154">
        <v>-8844</v>
      </c>
      <c r="AY27" s="154">
        <v>8745</v>
      </c>
      <c r="AZ27" s="154">
        <v>-17594</v>
      </c>
      <c r="BA27" s="154">
        <v>592</v>
      </c>
      <c r="BB27" s="58">
        <v>-14683</v>
      </c>
      <c r="BC27" s="58">
        <v>-5233</v>
      </c>
      <c r="BD27" s="57"/>
      <c r="BE27" s="57"/>
      <c r="BF27" s="57"/>
      <c r="BG27" s="57"/>
      <c r="BH27" s="57"/>
      <c r="BI27" s="57"/>
      <c r="BJ27" s="57"/>
      <c r="BK27" s="57"/>
      <c r="BL27" s="57"/>
      <c r="BM27" s="56"/>
      <c r="BN27" s="343"/>
      <c r="BO27" s="343"/>
      <c r="BP27" s="343"/>
      <c r="BQ27" s="347"/>
      <c r="BR27" s="61"/>
    </row>
    <row r="28" spans="1:70" s="63" customFormat="1" x14ac:dyDescent="0.3">
      <c r="A28" s="84" t="s">
        <v>19</v>
      </c>
      <c r="B28" s="56"/>
      <c r="C28" s="56"/>
      <c r="D28" s="56"/>
      <c r="E28" s="56"/>
      <c r="F28" s="57">
        <v>4809</v>
      </c>
      <c r="G28" s="57">
        <f t="shared" ref="G28:G39" si="21">M28-F28</f>
        <v>7996</v>
      </c>
      <c r="H28" s="57">
        <v>8700</v>
      </c>
      <c r="I28" s="57">
        <f t="shared" si="6"/>
        <v>24696</v>
      </c>
      <c r="J28" s="57"/>
      <c r="K28" s="57">
        <v>49006</v>
      </c>
      <c r="L28" s="57">
        <v>10547</v>
      </c>
      <c r="M28" s="57">
        <v>12805</v>
      </c>
      <c r="N28" s="105">
        <v>33396</v>
      </c>
      <c r="O28" s="59"/>
      <c r="P28" s="127">
        <v>3574</v>
      </c>
      <c r="Q28" s="57">
        <v>2097</v>
      </c>
      <c r="R28" s="57">
        <v>7583</v>
      </c>
      <c r="S28" s="104">
        <v>1001</v>
      </c>
      <c r="T28" s="59"/>
      <c r="U28" s="154">
        <v>1291</v>
      </c>
      <c r="V28" s="170">
        <f>S28+U28</f>
        <v>2292</v>
      </c>
      <c r="W28" s="154">
        <v>7409</v>
      </c>
      <c r="X28" s="154">
        <v>9135</v>
      </c>
      <c r="Y28" s="154">
        <v>15561</v>
      </c>
      <c r="Z28" s="300">
        <v>4131</v>
      </c>
      <c r="AA28" s="154">
        <v>13667</v>
      </c>
      <c r="AB28" s="154">
        <v>25820</v>
      </c>
      <c r="AC28" s="154">
        <v>45002</v>
      </c>
      <c r="AD28" s="300">
        <v>11359</v>
      </c>
      <c r="AE28" s="154">
        <v>41784</v>
      </c>
      <c r="AF28" s="154">
        <v>25892</v>
      </c>
      <c r="AG28" s="154">
        <v>19829</v>
      </c>
      <c r="AH28" s="300">
        <v>21163</v>
      </c>
      <c r="AI28" s="154">
        <v>16808</v>
      </c>
      <c r="AJ28" s="154">
        <v>41044</v>
      </c>
      <c r="AK28" s="424">
        <v>18582</v>
      </c>
      <c r="AL28" s="154">
        <v>34679</v>
      </c>
      <c r="AM28" s="154">
        <v>44782</v>
      </c>
      <c r="AN28" s="154">
        <v>25595</v>
      </c>
      <c r="AO28" s="424">
        <v>48712</v>
      </c>
      <c r="AP28" s="154">
        <v>22656</v>
      </c>
      <c r="AQ28" s="154">
        <v>40408</v>
      </c>
      <c r="AR28" s="154">
        <v>27328</v>
      </c>
      <c r="AS28" s="154">
        <v>32391</v>
      </c>
      <c r="AT28" s="154">
        <v>14344</v>
      </c>
      <c r="AU28" s="154">
        <v>27708</v>
      </c>
      <c r="AV28" s="154">
        <v>37192</v>
      </c>
      <c r="AW28" s="154">
        <v>25013</v>
      </c>
      <c r="AX28" s="154">
        <v>17896</v>
      </c>
      <c r="AY28" s="154">
        <v>17399</v>
      </c>
      <c r="AZ28" s="154">
        <v>12577</v>
      </c>
      <c r="BA28" s="154">
        <v>56753</v>
      </c>
      <c r="BB28" s="58">
        <v>12544</v>
      </c>
      <c r="BC28" s="58">
        <v>42351</v>
      </c>
      <c r="BD28" s="57">
        <v>9701</v>
      </c>
      <c r="BE28" s="57">
        <f t="shared" ref="BE28:BE34" si="22">BL28-BD28</f>
        <v>23695</v>
      </c>
      <c r="BF28" s="57"/>
      <c r="BG28" s="57"/>
      <c r="BH28" s="57"/>
      <c r="BI28" s="57"/>
      <c r="BJ28" s="57"/>
      <c r="BK28" s="57">
        <v>20388</v>
      </c>
      <c r="BL28" s="57">
        <v>33396</v>
      </c>
      <c r="BM28" s="56">
        <v>88620</v>
      </c>
      <c r="BN28" s="343">
        <v>98864</v>
      </c>
      <c r="BO28" s="343">
        <f t="shared" ref="BO28:BO34" si="23">SUM(AH28:AK28)</f>
        <v>97597</v>
      </c>
      <c r="BP28" s="343">
        <f>SUM(AL28:AO28)</f>
        <v>153768</v>
      </c>
      <c r="BQ28" s="347"/>
      <c r="BR28" s="61"/>
    </row>
    <row r="29" spans="1:70" s="63" customFormat="1" x14ac:dyDescent="0.3">
      <c r="A29" s="84" t="s">
        <v>20</v>
      </c>
      <c r="B29" s="56"/>
      <c r="C29" s="56"/>
      <c r="D29" s="56"/>
      <c r="E29" s="56"/>
      <c r="F29" s="57">
        <v>3576</v>
      </c>
      <c r="G29" s="57">
        <f t="shared" si="21"/>
        <v>19034</v>
      </c>
      <c r="H29" s="57">
        <v>11932</v>
      </c>
      <c r="I29" s="57">
        <f t="shared" si="6"/>
        <v>35956</v>
      </c>
      <c r="J29" s="57"/>
      <c r="K29" s="57">
        <v>51107</v>
      </c>
      <c r="L29" s="57">
        <v>4689</v>
      </c>
      <c r="M29" s="57">
        <v>22610</v>
      </c>
      <c r="N29" s="105">
        <v>47888</v>
      </c>
      <c r="O29" s="59"/>
      <c r="P29" s="127">
        <v>516</v>
      </c>
      <c r="Q29" s="57">
        <v>-1864</v>
      </c>
      <c r="R29" s="57">
        <v>31545</v>
      </c>
      <c r="S29" s="104">
        <v>4189</v>
      </c>
      <c r="T29" s="59"/>
      <c r="U29" s="154">
        <v>3183</v>
      </c>
      <c r="V29" s="170">
        <f t="shared" ref="V29:V34" si="24">S29+U29</f>
        <v>7372</v>
      </c>
      <c r="W29" s="154">
        <v>8749</v>
      </c>
      <c r="X29" s="154">
        <v>4748</v>
      </c>
      <c r="Y29" s="154">
        <v>31208</v>
      </c>
      <c r="Z29" s="300">
        <v>2870</v>
      </c>
      <c r="AA29" s="154">
        <v>7811</v>
      </c>
      <c r="AB29" s="154">
        <v>-474</v>
      </c>
      <c r="AC29" s="154">
        <v>-29780</v>
      </c>
      <c r="AD29" s="300">
        <v>9662</v>
      </c>
      <c r="AE29" s="154">
        <v>-3991</v>
      </c>
      <c r="AF29" s="154">
        <v>6029</v>
      </c>
      <c r="AG29" s="154">
        <v>8851</v>
      </c>
      <c r="AH29" s="300">
        <v>437</v>
      </c>
      <c r="AI29" s="154">
        <v>21117</v>
      </c>
      <c r="AJ29" s="154">
        <v>18867</v>
      </c>
      <c r="AK29" s="424">
        <v>28815</v>
      </c>
      <c r="AL29" s="154">
        <v>27836</v>
      </c>
      <c r="AM29" s="154">
        <v>-87654</v>
      </c>
      <c r="AN29" s="154">
        <v>-126173</v>
      </c>
      <c r="AO29" s="424">
        <v>72450</v>
      </c>
      <c r="AP29" s="154">
        <v>62717</v>
      </c>
      <c r="AQ29" s="154">
        <v>-80147</v>
      </c>
      <c r="AR29" s="154">
        <v>37262</v>
      </c>
      <c r="AS29" s="154">
        <v>43092</v>
      </c>
      <c r="AT29" s="154">
        <v>563</v>
      </c>
      <c r="AU29" s="154">
        <v>-14569</v>
      </c>
      <c r="AV29" s="154">
        <v>32276</v>
      </c>
      <c r="AW29" s="154">
        <v>-29525</v>
      </c>
      <c r="AX29" s="154">
        <v>31019</v>
      </c>
      <c r="AY29" s="154">
        <v>19240</v>
      </c>
      <c r="AZ29" s="154">
        <v>18722</v>
      </c>
      <c r="BA29" s="154">
        <v>-442766</v>
      </c>
      <c r="BB29" s="58">
        <v>16772</v>
      </c>
      <c r="BC29" s="58">
        <v>-10416</v>
      </c>
      <c r="BD29" s="57">
        <v>16121</v>
      </c>
      <c r="BE29" s="57">
        <f t="shared" si="22"/>
        <v>31767</v>
      </c>
      <c r="BF29" s="57"/>
      <c r="BG29" s="57"/>
      <c r="BH29" s="57"/>
      <c r="BI29" s="57"/>
      <c r="BJ29" s="57"/>
      <c r="BK29" s="57">
        <v>54155</v>
      </c>
      <c r="BL29" s="57">
        <v>47888</v>
      </c>
      <c r="BM29" s="56">
        <v>-19573</v>
      </c>
      <c r="BN29" s="343">
        <v>20551</v>
      </c>
      <c r="BO29" s="343">
        <f t="shared" si="23"/>
        <v>69236</v>
      </c>
      <c r="BP29" s="343">
        <f>SUM(AL29:AO29)</f>
        <v>-113541</v>
      </c>
      <c r="BQ29" s="347"/>
      <c r="BR29" s="61"/>
    </row>
    <row r="30" spans="1:70" s="63" customFormat="1" x14ac:dyDescent="0.3">
      <c r="A30" s="84" t="s">
        <v>21</v>
      </c>
      <c r="B30" s="56"/>
      <c r="C30" s="56"/>
      <c r="D30" s="56"/>
      <c r="E30" s="56"/>
      <c r="F30" s="57">
        <v>2900</v>
      </c>
      <c r="G30" s="57">
        <f t="shared" si="21"/>
        <v>7245</v>
      </c>
      <c r="H30" s="57">
        <v>4514</v>
      </c>
      <c r="I30" s="57">
        <f t="shared" si="6"/>
        <v>8374</v>
      </c>
      <c r="J30" s="57"/>
      <c r="K30" s="57">
        <v>9156</v>
      </c>
      <c r="L30" s="57">
        <v>8402</v>
      </c>
      <c r="M30" s="57">
        <v>10145</v>
      </c>
      <c r="N30" s="105">
        <v>12888</v>
      </c>
      <c r="O30" s="59"/>
      <c r="P30" s="127">
        <v>2177</v>
      </c>
      <c r="Q30" s="57">
        <v>2732</v>
      </c>
      <c r="R30" s="57">
        <v>2955</v>
      </c>
      <c r="S30" s="104">
        <v>575</v>
      </c>
      <c r="T30" s="59"/>
      <c r="U30" s="154">
        <v>1701</v>
      </c>
      <c r="V30" s="170">
        <f t="shared" si="24"/>
        <v>2276</v>
      </c>
      <c r="W30" s="154">
        <v>2813</v>
      </c>
      <c r="X30" s="154">
        <v>3919</v>
      </c>
      <c r="Y30" s="154">
        <v>4455</v>
      </c>
      <c r="Z30" s="300">
        <v>13987</v>
      </c>
      <c r="AA30" s="154">
        <v>10455</v>
      </c>
      <c r="AB30" s="154">
        <v>10791</v>
      </c>
      <c r="AC30" s="154">
        <v>11871</v>
      </c>
      <c r="AD30" s="300">
        <v>12222</v>
      </c>
      <c r="AE30" s="154">
        <v>10445</v>
      </c>
      <c r="AF30" s="154">
        <v>6123</v>
      </c>
      <c r="AG30" s="154">
        <v>8851</v>
      </c>
      <c r="AH30" s="300">
        <v>7844</v>
      </c>
      <c r="AI30" s="154">
        <v>9403</v>
      </c>
      <c r="AJ30" s="154">
        <v>12602</v>
      </c>
      <c r="AK30" s="424">
        <v>9126</v>
      </c>
      <c r="AL30" s="154">
        <v>7768</v>
      </c>
      <c r="AM30" s="154">
        <v>9678</v>
      </c>
      <c r="AN30" s="154">
        <v>19487</v>
      </c>
      <c r="AO30" s="424">
        <v>21040</v>
      </c>
      <c r="AP30" s="154">
        <v>27937</v>
      </c>
      <c r="AQ30" s="154">
        <v>41488</v>
      </c>
      <c r="AR30" s="154">
        <v>55954</v>
      </c>
      <c r="AS30" s="154">
        <v>49397</v>
      </c>
      <c r="AT30" s="154">
        <v>47775</v>
      </c>
      <c r="AU30" s="154">
        <v>55055</v>
      </c>
      <c r="AV30" s="154">
        <v>46841</v>
      </c>
      <c r="AW30" s="154">
        <v>44953</v>
      </c>
      <c r="AX30" s="154">
        <v>49051</v>
      </c>
      <c r="AY30" s="154">
        <v>43161</v>
      </c>
      <c r="AZ30" s="154">
        <v>45445</v>
      </c>
      <c r="BA30" s="154">
        <v>34071</v>
      </c>
      <c r="BB30" s="58">
        <v>23263</v>
      </c>
      <c r="BC30" s="58">
        <v>26467</v>
      </c>
      <c r="BD30" s="57">
        <v>5089</v>
      </c>
      <c r="BE30" s="57">
        <f t="shared" si="22"/>
        <v>7799</v>
      </c>
      <c r="BF30" s="57"/>
      <c r="BG30" s="57"/>
      <c r="BH30" s="57"/>
      <c r="BI30" s="57"/>
      <c r="BJ30" s="57"/>
      <c r="BK30" s="57">
        <v>13100</v>
      </c>
      <c r="BL30" s="57">
        <v>12888</v>
      </c>
      <c r="BM30" s="56">
        <v>47104</v>
      </c>
      <c r="BN30" s="343">
        <v>37641</v>
      </c>
      <c r="BO30" s="343">
        <f t="shared" si="23"/>
        <v>38975</v>
      </c>
      <c r="BP30" s="343">
        <f>SUM(AL30:AO30)</f>
        <v>57973</v>
      </c>
      <c r="BQ30" s="347"/>
      <c r="BR30" s="61"/>
    </row>
    <row r="31" spans="1:70" s="63" customFormat="1" x14ac:dyDescent="0.3">
      <c r="A31" s="84" t="s">
        <v>22</v>
      </c>
      <c r="B31" s="56"/>
      <c r="C31" s="56"/>
      <c r="D31" s="56"/>
      <c r="E31" s="56"/>
      <c r="F31" s="57">
        <v>-420</v>
      </c>
      <c r="G31" s="57">
        <f t="shared" si="21"/>
        <v>257</v>
      </c>
      <c r="H31" s="57">
        <v>-224</v>
      </c>
      <c r="I31" s="57">
        <f t="shared" si="6"/>
        <v>-3112</v>
      </c>
      <c r="J31" s="57"/>
      <c r="K31" s="57">
        <v>-5831</v>
      </c>
      <c r="L31" s="57">
        <v>-4114</v>
      </c>
      <c r="M31" s="57">
        <v>-163</v>
      </c>
      <c r="N31" s="105">
        <v>-3336</v>
      </c>
      <c r="O31" s="59"/>
      <c r="P31" s="127">
        <v>0</v>
      </c>
      <c r="Q31" s="57">
        <v>0</v>
      </c>
      <c r="R31" s="57">
        <v>0</v>
      </c>
      <c r="S31" s="104">
        <v>0</v>
      </c>
      <c r="T31" s="59"/>
      <c r="U31" s="154">
        <v>-964</v>
      </c>
      <c r="V31" s="170">
        <f t="shared" si="24"/>
        <v>-964</v>
      </c>
      <c r="W31" s="154">
        <v>740</v>
      </c>
      <c r="X31" s="154">
        <v>-576</v>
      </c>
      <c r="Y31" s="154">
        <v>-2536</v>
      </c>
      <c r="Z31" s="300">
        <v>-2900</v>
      </c>
      <c r="AA31" s="154">
        <v>-3829</v>
      </c>
      <c r="AB31" s="154">
        <v>-2679</v>
      </c>
      <c r="AC31" s="154">
        <v>-3021</v>
      </c>
      <c r="AD31" s="300">
        <v>-2986</v>
      </c>
      <c r="AE31" s="154">
        <v>-2592</v>
      </c>
      <c r="AF31" s="154">
        <v>-3524</v>
      </c>
      <c r="AG31" s="154">
        <v>-5680</v>
      </c>
      <c r="AH31" s="300">
        <v>-4670</v>
      </c>
      <c r="AI31" s="154">
        <v>-4661</v>
      </c>
      <c r="AJ31" s="154">
        <v>-8190</v>
      </c>
      <c r="AK31" s="424">
        <v>-8976</v>
      </c>
      <c r="AL31" s="154">
        <v>-17091</v>
      </c>
      <c r="AM31" s="154">
        <v>-23283</v>
      </c>
      <c r="AN31" s="154">
        <v>-40895</v>
      </c>
      <c r="AO31" s="424">
        <v>-55468</v>
      </c>
      <c r="AP31" s="154">
        <v>-40172</v>
      </c>
      <c r="AQ31" s="154">
        <v>-43215</v>
      </c>
      <c r="AR31" s="154">
        <v>-38712</v>
      </c>
      <c r="AS31" s="154">
        <v>-34951</v>
      </c>
      <c r="AT31" s="154">
        <v>-56341</v>
      </c>
      <c r="AU31" s="154">
        <v>-37929</v>
      </c>
      <c r="AV31" s="154">
        <v>-60267</v>
      </c>
      <c r="AW31" s="154">
        <v>-76358</v>
      </c>
      <c r="AX31" s="154">
        <v>-73758</v>
      </c>
      <c r="AY31" s="154">
        <v>-77710</v>
      </c>
      <c r="AZ31" s="154">
        <v>-76462</v>
      </c>
      <c r="BA31" s="154">
        <v>-116091</v>
      </c>
      <c r="BB31" s="58">
        <v>-56362</v>
      </c>
      <c r="BC31" s="58">
        <v>-57604</v>
      </c>
      <c r="BD31" s="57">
        <v>-224</v>
      </c>
      <c r="BE31" s="57">
        <f t="shared" si="22"/>
        <v>-3112</v>
      </c>
      <c r="BF31" s="57"/>
      <c r="BG31" s="57"/>
      <c r="BH31" s="57"/>
      <c r="BI31" s="57"/>
      <c r="BJ31" s="57"/>
      <c r="BK31" s="57">
        <v>-163</v>
      </c>
      <c r="BL31" s="57">
        <f>N31+S31</f>
        <v>-3336</v>
      </c>
      <c r="BM31" s="56">
        <v>-12429</v>
      </c>
      <c r="BN31" s="343">
        <v>-14782</v>
      </c>
      <c r="BO31" s="343">
        <f t="shared" si="23"/>
        <v>-26497</v>
      </c>
      <c r="BP31" s="343">
        <f>SUM(AL31:AO31)</f>
        <v>-136737</v>
      </c>
      <c r="BQ31" s="347"/>
      <c r="BR31" s="61"/>
    </row>
    <row r="32" spans="1:70" s="63" customFormat="1" ht="28" x14ac:dyDescent="0.3">
      <c r="A32" s="90" t="s">
        <v>69</v>
      </c>
      <c r="B32" s="56"/>
      <c r="C32" s="56"/>
      <c r="D32" s="56"/>
      <c r="E32" s="56"/>
      <c r="F32" s="57">
        <v>-446</v>
      </c>
      <c r="G32" s="57">
        <f>M32-F32</f>
        <v>1309</v>
      </c>
      <c r="H32" s="57">
        <v>27428</v>
      </c>
      <c r="I32" s="57">
        <f>N32-H32</f>
        <v>51144</v>
      </c>
      <c r="J32" s="57"/>
      <c r="K32" s="57">
        <v>17646</v>
      </c>
      <c r="L32" s="57">
        <v>-4031</v>
      </c>
      <c r="M32" s="57">
        <v>863</v>
      </c>
      <c r="N32" s="105">
        <v>78572</v>
      </c>
      <c r="O32" s="59"/>
      <c r="P32" s="127">
        <v>0</v>
      </c>
      <c r="Q32" s="57">
        <v>0</v>
      </c>
      <c r="R32" s="57">
        <v>0</v>
      </c>
      <c r="S32" s="104">
        <v>0</v>
      </c>
      <c r="T32" s="59"/>
      <c r="U32" s="154">
        <v>8573</v>
      </c>
      <c r="V32" s="170">
        <f t="shared" si="24"/>
        <v>8573</v>
      </c>
      <c r="W32" s="154">
        <v>18855</v>
      </c>
      <c r="X32" s="154">
        <v>26807</v>
      </c>
      <c r="Y32" s="154">
        <v>24337</v>
      </c>
      <c r="Z32" s="300">
        <v>23407</v>
      </c>
      <c r="AA32" s="154">
        <v>26104</v>
      </c>
      <c r="AB32" s="154">
        <v>27666</v>
      </c>
      <c r="AC32" s="154">
        <v>28829</v>
      </c>
      <c r="AD32" s="300">
        <v>-28865</v>
      </c>
      <c r="AE32" s="154">
        <v>18155</v>
      </c>
      <c r="AF32" s="154">
        <v>21689</v>
      </c>
      <c r="AG32" s="154">
        <v>54466</v>
      </c>
      <c r="AH32" s="300">
        <v>39307</v>
      </c>
      <c r="AI32" s="154">
        <v>17251</v>
      </c>
      <c r="AJ32" s="154">
        <v>38570</v>
      </c>
      <c r="AK32" s="424">
        <v>28762</v>
      </c>
      <c r="AL32" s="154">
        <v>3665</v>
      </c>
      <c r="AM32" s="154">
        <v>28759</v>
      </c>
      <c r="AN32" s="154">
        <v>11921</v>
      </c>
      <c r="AO32" s="424">
        <v>58092</v>
      </c>
      <c r="AP32" s="154">
        <v>25720</v>
      </c>
      <c r="AQ32" s="154">
        <v>32932</v>
      </c>
      <c r="AR32" s="154">
        <v>16331</v>
      </c>
      <c r="AS32" s="154">
        <v>-107476</v>
      </c>
      <c r="AT32" s="154">
        <v>39174</v>
      </c>
      <c r="AU32" s="154">
        <v>19468</v>
      </c>
      <c r="AV32" s="154">
        <v>41971</v>
      </c>
      <c r="AW32" s="154">
        <v>-73612</v>
      </c>
      <c r="AX32" s="154">
        <v>20833</v>
      </c>
      <c r="AY32" s="154">
        <v>48208</v>
      </c>
      <c r="AZ32" s="154">
        <v>48979</v>
      </c>
      <c r="BA32" s="154">
        <v>34143</v>
      </c>
      <c r="BB32" s="58">
        <v>24709</v>
      </c>
      <c r="BC32" s="58">
        <v>41526</v>
      </c>
      <c r="BD32" s="57">
        <v>27428</v>
      </c>
      <c r="BE32" s="57">
        <f t="shared" si="22"/>
        <v>51144</v>
      </c>
      <c r="BF32" s="57"/>
      <c r="BG32" s="57"/>
      <c r="BH32" s="57"/>
      <c r="BI32" s="57"/>
      <c r="BJ32" s="57"/>
      <c r="BK32" s="57">
        <v>863</v>
      </c>
      <c r="BL32" s="57">
        <f>N32+S32</f>
        <v>78572</v>
      </c>
      <c r="BM32" s="56">
        <v>106006</v>
      </c>
      <c r="BN32" s="343">
        <v>65445</v>
      </c>
      <c r="BO32" s="343">
        <f t="shared" si="23"/>
        <v>123890</v>
      </c>
      <c r="BP32" s="343">
        <f>SUM(AL32:AO32)</f>
        <v>102437</v>
      </c>
      <c r="BQ32" s="347"/>
      <c r="BR32" s="61"/>
    </row>
    <row r="33" spans="1:70" s="63" customFormat="1" ht="42" x14ac:dyDescent="0.3">
      <c r="A33" s="90" t="s">
        <v>68</v>
      </c>
      <c r="B33" s="56"/>
      <c r="C33" s="56"/>
      <c r="D33" s="56"/>
      <c r="E33" s="56"/>
      <c r="F33" s="57">
        <v>-144664</v>
      </c>
      <c r="G33" s="57">
        <f t="shared" si="21"/>
        <v>242240</v>
      </c>
      <c r="H33" s="57">
        <v>907734</v>
      </c>
      <c r="I33" s="57">
        <f t="shared" si="6"/>
        <v>0</v>
      </c>
      <c r="J33" s="57"/>
      <c r="K33" s="57">
        <v>0</v>
      </c>
      <c r="L33" s="57">
        <v>-36781</v>
      </c>
      <c r="M33" s="57">
        <v>97576</v>
      </c>
      <c r="N33" s="105">
        <v>907734</v>
      </c>
      <c r="O33" s="59"/>
      <c r="P33" s="127">
        <v>0</v>
      </c>
      <c r="Q33" s="57">
        <v>0</v>
      </c>
      <c r="R33" s="57">
        <v>0</v>
      </c>
      <c r="S33" s="104">
        <v>0</v>
      </c>
      <c r="T33" s="59"/>
      <c r="U33" s="154">
        <v>907734</v>
      </c>
      <c r="V33" s="170">
        <f t="shared" si="24"/>
        <v>907734</v>
      </c>
      <c r="W33" s="154">
        <v>0</v>
      </c>
      <c r="X33" s="154">
        <v>0</v>
      </c>
      <c r="Y33" s="154">
        <v>0</v>
      </c>
      <c r="Z33" s="300">
        <v>0</v>
      </c>
      <c r="AA33" s="154">
        <v>0</v>
      </c>
      <c r="AB33" s="154">
        <v>0</v>
      </c>
      <c r="AC33" s="154">
        <v>0</v>
      </c>
      <c r="AD33" s="300">
        <v>0</v>
      </c>
      <c r="AE33" s="154">
        <v>0</v>
      </c>
      <c r="AF33" s="154"/>
      <c r="AG33" s="154"/>
      <c r="AH33" s="300"/>
      <c r="AI33" s="154"/>
      <c r="AJ33" s="154"/>
      <c r="AK33" s="424"/>
      <c r="AL33" s="154"/>
      <c r="AM33" s="154"/>
      <c r="AN33" s="154"/>
      <c r="AO33" s="424"/>
      <c r="AP33" s="154"/>
      <c r="AQ33" s="154"/>
      <c r="AR33" s="154"/>
      <c r="AS33" s="154"/>
      <c r="AT33" s="154"/>
      <c r="AU33" s="154"/>
      <c r="AV33" s="154"/>
      <c r="AW33" s="154"/>
      <c r="AX33" s="154"/>
      <c r="AY33" s="154"/>
      <c r="AZ33" s="154"/>
      <c r="BA33" s="154"/>
      <c r="BB33" s="58"/>
      <c r="BC33" s="58"/>
      <c r="BD33" s="57">
        <v>907734</v>
      </c>
      <c r="BE33" s="57">
        <f t="shared" si="22"/>
        <v>0</v>
      </c>
      <c r="BF33" s="57"/>
      <c r="BG33" s="57"/>
      <c r="BH33" s="57"/>
      <c r="BI33" s="57"/>
      <c r="BJ33" s="57"/>
      <c r="BK33" s="57">
        <v>97576</v>
      </c>
      <c r="BL33" s="57">
        <f>N33+S33</f>
        <v>907734</v>
      </c>
      <c r="BM33" s="56">
        <v>0</v>
      </c>
      <c r="BN33" s="343">
        <v>0</v>
      </c>
      <c r="BO33" s="343">
        <f t="shared" si="23"/>
        <v>0</v>
      </c>
      <c r="BP33" s="343"/>
      <c r="BQ33" s="347"/>
      <c r="BR33" s="61"/>
    </row>
    <row r="34" spans="1:70" s="63" customFormat="1" x14ac:dyDescent="0.3">
      <c r="A34" s="90" t="s">
        <v>24</v>
      </c>
      <c r="B34" s="56"/>
      <c r="C34" s="56"/>
      <c r="D34" s="56"/>
      <c r="E34" s="56"/>
      <c r="F34" s="57">
        <v>-2583</v>
      </c>
      <c r="G34" s="57">
        <f t="shared" si="21"/>
        <v>332</v>
      </c>
      <c r="H34" s="57">
        <v>-1718</v>
      </c>
      <c r="I34" s="57">
        <f t="shared" si="6"/>
        <v>-2850</v>
      </c>
      <c r="J34" s="57"/>
      <c r="K34" s="57">
        <v>-18177</v>
      </c>
      <c r="L34" s="57">
        <v>-11218</v>
      </c>
      <c r="M34" s="57">
        <v>-2251</v>
      </c>
      <c r="N34" s="105">
        <v>-4568</v>
      </c>
      <c r="O34" s="59"/>
      <c r="P34" s="127">
        <v>0</v>
      </c>
      <c r="Q34" s="57">
        <v>0</v>
      </c>
      <c r="R34" s="57">
        <v>0</v>
      </c>
      <c r="S34" s="104">
        <v>0</v>
      </c>
      <c r="T34" s="59"/>
      <c r="U34" s="154">
        <v>851</v>
      </c>
      <c r="V34" s="170">
        <f t="shared" si="24"/>
        <v>851</v>
      </c>
      <c r="W34" s="154">
        <v>-2569</v>
      </c>
      <c r="X34" s="154">
        <v>-136</v>
      </c>
      <c r="Y34" s="154">
        <v>-2714</v>
      </c>
      <c r="Z34" s="300">
        <v>-3061</v>
      </c>
      <c r="AA34" s="154">
        <v>-3003</v>
      </c>
      <c r="AB34" s="154">
        <v>-5841</v>
      </c>
      <c r="AC34" s="154">
        <v>-786</v>
      </c>
      <c r="AD34" s="300">
        <v>-5854</v>
      </c>
      <c r="AE34" s="154">
        <v>-36</v>
      </c>
      <c r="AF34" s="154">
        <v>882</v>
      </c>
      <c r="AG34" s="154">
        <v>-2196</v>
      </c>
      <c r="AH34" s="300">
        <v>-7408</v>
      </c>
      <c r="AI34" s="154">
        <v>-18133</v>
      </c>
      <c r="AJ34" s="154">
        <v>-2735</v>
      </c>
      <c r="AK34" s="424">
        <v>-4593</v>
      </c>
      <c r="AL34" s="154">
        <v>13679</v>
      </c>
      <c r="AM34" s="154">
        <v>-19911</v>
      </c>
      <c r="AN34" s="154">
        <v>-4257</v>
      </c>
      <c r="AO34" s="424">
        <v>-3637</v>
      </c>
      <c r="AP34" s="154">
        <v>-9089</v>
      </c>
      <c r="AQ34" s="154">
        <v>11139</v>
      </c>
      <c r="AR34" s="154">
        <v>-18269</v>
      </c>
      <c r="AS34" s="154">
        <v>-17183</v>
      </c>
      <c r="AT34" s="154">
        <v>5871</v>
      </c>
      <c r="AU34" s="154">
        <v>4977</v>
      </c>
      <c r="AV34" s="154">
        <v>-8363</v>
      </c>
      <c r="AW34" s="154">
        <v>8114</v>
      </c>
      <c r="AX34" s="154">
        <v>12486</v>
      </c>
      <c r="AY34" s="154">
        <v>10978</v>
      </c>
      <c r="AZ34" s="154">
        <v>27757</v>
      </c>
      <c r="BA34" s="154">
        <v>4691</v>
      </c>
      <c r="BB34" s="58">
        <v>-4875</v>
      </c>
      <c r="BC34" s="58">
        <v>-13524</v>
      </c>
      <c r="BD34" s="57">
        <v>-1718</v>
      </c>
      <c r="BE34" s="57">
        <f t="shared" si="22"/>
        <v>-2850</v>
      </c>
      <c r="BF34" s="57"/>
      <c r="BG34" s="57"/>
      <c r="BH34" s="57"/>
      <c r="BI34" s="57"/>
      <c r="BJ34" s="57"/>
      <c r="BK34" s="57">
        <v>-2251</v>
      </c>
      <c r="BL34" s="57">
        <f>N34+S34</f>
        <v>-4568</v>
      </c>
      <c r="BM34" s="56">
        <v>-12691</v>
      </c>
      <c r="BN34" s="343">
        <v>-7204</v>
      </c>
      <c r="BO34" s="343">
        <f t="shared" si="23"/>
        <v>-32869</v>
      </c>
      <c r="BP34" s="343">
        <f>SUM(AL34:AO34)</f>
        <v>-14126</v>
      </c>
      <c r="BQ34" s="347"/>
      <c r="BR34" s="61"/>
    </row>
    <row r="35" spans="1:70" s="96" customFormat="1" x14ac:dyDescent="0.3">
      <c r="A35" s="89" t="s">
        <v>25</v>
      </c>
      <c r="B35" s="4">
        <f>IFERROR(B26+B28+B29+B30+B31+B32+B33+B34,"n.a.")</f>
        <v>0</v>
      </c>
      <c r="C35" s="4">
        <f>IFERROR(C26+C28+C29+C30+C31+C32+C33+C34,"n.a.")</f>
        <v>0</v>
      </c>
      <c r="D35" s="4">
        <f t="shared" ref="D35:I35" si="25">IFERROR(D26+D28+D29+D30+D31+D32+D33+D34,"n.a.")</f>
        <v>0</v>
      </c>
      <c r="E35" s="4">
        <f t="shared" si="25"/>
        <v>0</v>
      </c>
      <c r="F35" s="54">
        <f t="shared" si="25"/>
        <v>-149628</v>
      </c>
      <c r="G35" s="54">
        <f t="shared" si="25"/>
        <v>283649</v>
      </c>
      <c r="H35" s="54">
        <f t="shared" si="25"/>
        <v>661895</v>
      </c>
      <c r="I35" s="54">
        <f t="shared" si="25"/>
        <v>-60369</v>
      </c>
      <c r="J35" s="54"/>
      <c r="K35" s="54">
        <f>IFERROR(K26+K28+K29+K30+K31+K32+K33+K34,"n.a.")</f>
        <v>-957813</v>
      </c>
      <c r="L35" s="54">
        <f>IFERROR(L26+L28+L29+L30+L31+L32+L33+L34,"n.a.")</f>
        <v>-2159618</v>
      </c>
      <c r="M35" s="54">
        <f>IFERROR(M26+M28+M29+M30+M31+M32+M33+M34,"n.a.")</f>
        <v>134021</v>
      </c>
      <c r="N35" s="106">
        <f>IFERROR(N26+N28+N29+N30+N31+N32+N33+N34,"n.a.")</f>
        <v>601526</v>
      </c>
      <c r="O35" s="54"/>
      <c r="P35" s="128">
        <f>IFERROR(P26+P28+P29+P30+P31+P32+P33+P34,"n.a.")</f>
        <v>-443546</v>
      </c>
      <c r="Q35" s="54">
        <f>IFERROR(Q26+Q28+Q29+Q30+Q31+Q32+Q33+Q34,"n.a.")</f>
        <v>-70302</v>
      </c>
      <c r="R35" s="54">
        <f>IFERROR(R26+R28+R29+R30+R31+R32+R33+R34,"n.a.")</f>
        <v>572472</v>
      </c>
      <c r="S35" s="106">
        <f>IFERROR(S26+S28+S29+S30+S31+S32+S33+S34,"n.a.")</f>
        <v>286059</v>
      </c>
      <c r="T35" s="54"/>
      <c r="U35" s="155">
        <f t="shared" ref="U35:AL35" si="26">IFERROR(U26+U28+U29+U30+U31+U32+U33+U34,"n.a.")</f>
        <v>597294</v>
      </c>
      <c r="V35" s="155">
        <f t="shared" si="26"/>
        <v>883353</v>
      </c>
      <c r="W35" s="155">
        <f t="shared" si="26"/>
        <v>64601</v>
      </c>
      <c r="X35" s="155">
        <f t="shared" si="26"/>
        <v>107722</v>
      </c>
      <c r="Y35" s="155">
        <f t="shared" si="26"/>
        <v>-168091</v>
      </c>
      <c r="Z35" s="128">
        <f t="shared" si="26"/>
        <v>195478</v>
      </c>
      <c r="AA35" s="155">
        <f t="shared" si="26"/>
        <v>221797</v>
      </c>
      <c r="AB35" s="155">
        <f t="shared" si="26"/>
        <v>352055</v>
      </c>
      <c r="AC35" s="155">
        <f t="shared" si="26"/>
        <v>247679</v>
      </c>
      <c r="AD35" s="128">
        <f t="shared" si="26"/>
        <v>-49290</v>
      </c>
      <c r="AE35" s="155">
        <f t="shared" si="26"/>
        <v>56993</v>
      </c>
      <c r="AF35" s="155">
        <f t="shared" si="26"/>
        <v>296493</v>
      </c>
      <c r="AG35" s="155">
        <f t="shared" si="26"/>
        <v>93381</v>
      </c>
      <c r="AH35" s="128">
        <f t="shared" si="26"/>
        <v>211173</v>
      </c>
      <c r="AI35" s="155">
        <f t="shared" si="26"/>
        <v>321368</v>
      </c>
      <c r="AJ35" s="155">
        <f t="shared" si="26"/>
        <v>281790</v>
      </c>
      <c r="AK35" s="106">
        <f t="shared" si="26"/>
        <v>60568</v>
      </c>
      <c r="AL35" s="155">
        <f t="shared" si="26"/>
        <v>142176</v>
      </c>
      <c r="AM35" s="155">
        <f t="shared" ref="AM35:AU35" si="27">IFERROR(AM26+AM27+AM28+AM29+AM30+AM31+AM32+AM33+AM34,"n.a.")</f>
        <v>-161968</v>
      </c>
      <c r="AN35" s="155">
        <f t="shared" si="27"/>
        <v>-64711</v>
      </c>
      <c r="AO35" s="155">
        <f t="shared" si="27"/>
        <v>-32577</v>
      </c>
      <c r="AP35" s="155">
        <f t="shared" si="27"/>
        <v>460988</v>
      </c>
      <c r="AQ35" s="155">
        <f t="shared" si="27"/>
        <v>426553</v>
      </c>
      <c r="AR35" s="155">
        <f t="shared" si="27"/>
        <v>597856</v>
      </c>
      <c r="AS35" s="155">
        <f t="shared" si="27"/>
        <v>385183</v>
      </c>
      <c r="AT35" s="155">
        <f t="shared" si="27"/>
        <v>452330</v>
      </c>
      <c r="AU35" s="155">
        <f t="shared" si="27"/>
        <v>539128</v>
      </c>
      <c r="AV35" s="155">
        <f t="shared" ref="AV35" si="28">IFERROR(AV26+AV27+AV28+AV29+AV30+AV31+AV32+AV33+AV34,"n.a.")</f>
        <v>955321</v>
      </c>
      <c r="AW35" s="155">
        <f>IFERROR(AW26+AW27+AW28+AW29+AW30+AW31+AW32+AW33+AW34,"n.a.")</f>
        <v>451047</v>
      </c>
      <c r="AX35" s="155">
        <f>IFERROR(AX26+AX27+AX28+AX29+AX30+AX31+AX32+AX33+AX34,"n.a.")</f>
        <v>805062</v>
      </c>
      <c r="AY35" s="155">
        <f>IFERROR(AY26+AY27+AY28+AY29+AY30+AY31+AY32+AY33+AY34,"n.a.")</f>
        <v>785745</v>
      </c>
      <c r="AZ35" s="155">
        <v>1159906</v>
      </c>
      <c r="BA35" s="155">
        <v>270287</v>
      </c>
      <c r="BB35" s="155">
        <v>955068</v>
      </c>
      <c r="BC35" s="1020">
        <v>808737</v>
      </c>
      <c r="BD35" s="54">
        <f t="shared" ref="BD35:BP35" si="29">IFERROR(BD26+BD28+BD29+BD30+BD31+BD32+BD33+BD34,"n.a.")</f>
        <v>913064</v>
      </c>
      <c r="BE35" s="54">
        <f t="shared" si="29"/>
        <v>3348655</v>
      </c>
      <c r="BF35" s="54">
        <f t="shared" si="29"/>
        <v>3374309</v>
      </c>
      <c r="BG35" s="54">
        <f t="shared" si="29"/>
        <v>0</v>
      </c>
      <c r="BH35" s="54"/>
      <c r="BI35" s="54">
        <f t="shared" si="29"/>
        <v>739000</v>
      </c>
      <c r="BJ35" s="54">
        <f t="shared" si="29"/>
        <v>2077000</v>
      </c>
      <c r="BK35" s="54">
        <f t="shared" si="29"/>
        <v>446931</v>
      </c>
      <c r="BL35" s="54">
        <f t="shared" si="29"/>
        <v>601526</v>
      </c>
      <c r="BM35" s="4">
        <f t="shared" si="29"/>
        <v>881511</v>
      </c>
      <c r="BN35" s="4">
        <f t="shared" si="29"/>
        <v>397577</v>
      </c>
      <c r="BO35" s="4">
        <f t="shared" si="29"/>
        <v>874899</v>
      </c>
      <c r="BP35" s="4">
        <f t="shared" si="29"/>
        <v>-101763</v>
      </c>
      <c r="BQ35" s="347"/>
      <c r="BR35" s="95"/>
    </row>
    <row r="36" spans="1:70" s="63" customFormat="1" x14ac:dyDescent="0.3">
      <c r="A36" s="90" t="s">
        <v>23</v>
      </c>
      <c r="B36" s="56"/>
      <c r="C36" s="56"/>
      <c r="D36" s="56"/>
      <c r="E36" s="56"/>
      <c r="F36" s="57">
        <v>39718</v>
      </c>
      <c r="G36" s="57">
        <f t="shared" si="21"/>
        <v>20638</v>
      </c>
      <c r="H36" s="57">
        <v>-12510</v>
      </c>
      <c r="I36" s="57">
        <f t="shared" si="6"/>
        <v>-54477</v>
      </c>
      <c r="J36" s="57"/>
      <c r="K36" s="57">
        <v>-5206</v>
      </c>
      <c r="L36" s="57">
        <v>-978</v>
      </c>
      <c r="M36" s="57">
        <v>60356</v>
      </c>
      <c r="N36" s="105">
        <v>-66987</v>
      </c>
      <c r="O36" s="58"/>
      <c r="P36" s="127">
        <v>108437</v>
      </c>
      <c r="Q36" s="57">
        <v>-20796</v>
      </c>
      <c r="R36" s="57">
        <v>-81134</v>
      </c>
      <c r="S36" s="104">
        <v>-61315</v>
      </c>
      <c r="T36" s="59"/>
      <c r="U36" s="154">
        <v>84801</v>
      </c>
      <c r="V36" s="170">
        <f>S36+U36</f>
        <v>23486</v>
      </c>
      <c r="W36" s="154">
        <v>-97311</v>
      </c>
      <c r="X36" s="154">
        <v>-45827</v>
      </c>
      <c r="Y36" s="154">
        <v>-8650</v>
      </c>
      <c r="Z36" s="300">
        <v>-98038</v>
      </c>
      <c r="AA36" s="154">
        <v>-23636</v>
      </c>
      <c r="AB36" s="154">
        <v>-55441</v>
      </c>
      <c r="AC36" s="154">
        <v>-17874</v>
      </c>
      <c r="AD36" s="300">
        <v>-7899</v>
      </c>
      <c r="AE36" s="154">
        <v>-1865</v>
      </c>
      <c r="AF36" s="154">
        <v>-48541</v>
      </c>
      <c r="AG36" s="154">
        <v>-13739</v>
      </c>
      <c r="AH36" s="300">
        <v>-42045</v>
      </c>
      <c r="AI36" s="154">
        <v>-30134</v>
      </c>
      <c r="AJ36" s="154">
        <v>-55474</v>
      </c>
      <c r="AK36" s="424">
        <v>-33721</v>
      </c>
      <c r="AL36" s="154">
        <v>-44939</v>
      </c>
      <c r="AM36" s="154">
        <v>26764</v>
      </c>
      <c r="AN36" s="154">
        <v>-29229</v>
      </c>
      <c r="AO36" s="424">
        <v>914</v>
      </c>
      <c r="AP36" s="154">
        <v>-65129</v>
      </c>
      <c r="AQ36" s="154">
        <v>-66572</v>
      </c>
      <c r="AR36" s="154">
        <v>-82368</v>
      </c>
      <c r="AS36" s="154">
        <v>-74057</v>
      </c>
      <c r="AT36" s="154">
        <v>-52074</v>
      </c>
      <c r="AU36" s="154">
        <v>-109798</v>
      </c>
      <c r="AV36" s="154">
        <v>-152087</v>
      </c>
      <c r="AW36" s="154">
        <v>-95601</v>
      </c>
      <c r="AX36" s="154">
        <v>-126561</v>
      </c>
      <c r="AY36" s="154">
        <v>-143640</v>
      </c>
      <c r="AZ36" s="154">
        <v>-174658</v>
      </c>
      <c r="BA36" s="154">
        <v>-167039</v>
      </c>
      <c r="BB36" s="58">
        <v>-170839</v>
      </c>
      <c r="BC36" s="58">
        <v>-175013</v>
      </c>
      <c r="BD36" s="57">
        <v>-67704</v>
      </c>
      <c r="BE36" s="57">
        <f>BL36-BD36</f>
        <v>717</v>
      </c>
      <c r="BF36" s="57"/>
      <c r="BG36" s="57"/>
      <c r="BH36" s="57"/>
      <c r="BI36" s="57"/>
      <c r="BJ36" s="57"/>
      <c r="BK36" s="57">
        <v>8027</v>
      </c>
      <c r="BL36" s="57">
        <v>-66987</v>
      </c>
      <c r="BM36" s="56">
        <v>-194989</v>
      </c>
      <c r="BN36" s="343">
        <v>-72044</v>
      </c>
      <c r="BO36" s="343">
        <f>SUM(AH36:AK36)</f>
        <v>-161374</v>
      </c>
      <c r="BP36" s="343">
        <f>SUM(AL36:AO36)</f>
        <v>-46490</v>
      </c>
      <c r="BQ36" s="347"/>
      <c r="BR36" s="61"/>
    </row>
    <row r="37" spans="1:70" s="96" customFormat="1" x14ac:dyDescent="0.3">
      <c r="A37" s="89" t="s">
        <v>485</v>
      </c>
      <c r="B37" s="4"/>
      <c r="C37" s="4"/>
      <c r="D37" s="4"/>
      <c r="E37" s="4"/>
      <c r="F37" s="54"/>
      <c r="G37" s="54"/>
      <c r="H37" s="54"/>
      <c r="I37" s="54"/>
      <c r="J37" s="54"/>
      <c r="K37" s="54"/>
      <c r="L37" s="54"/>
      <c r="M37" s="54"/>
      <c r="N37" s="106"/>
      <c r="O37" s="54"/>
      <c r="P37" s="128"/>
      <c r="Q37" s="54"/>
      <c r="R37" s="54"/>
      <c r="S37" s="106"/>
      <c r="T37" s="54"/>
      <c r="U37" s="155"/>
      <c r="V37" s="155">
        <f t="shared" ref="V37:AW37" si="30">V35+V36</f>
        <v>906839</v>
      </c>
      <c r="W37" s="155">
        <f t="shared" si="30"/>
        <v>-32710</v>
      </c>
      <c r="X37" s="155">
        <f t="shared" si="30"/>
        <v>61895</v>
      </c>
      <c r="Y37" s="155">
        <f t="shared" si="30"/>
        <v>-176741</v>
      </c>
      <c r="Z37" s="155">
        <f t="shared" si="30"/>
        <v>97440</v>
      </c>
      <c r="AA37" s="155">
        <f t="shared" si="30"/>
        <v>198161</v>
      </c>
      <c r="AB37" s="155">
        <f t="shared" si="30"/>
        <v>296614</v>
      </c>
      <c r="AC37" s="155">
        <f t="shared" si="30"/>
        <v>229805</v>
      </c>
      <c r="AD37" s="155">
        <f t="shared" si="30"/>
        <v>-57189</v>
      </c>
      <c r="AE37" s="155">
        <f t="shared" si="30"/>
        <v>55128</v>
      </c>
      <c r="AF37" s="155">
        <f t="shared" si="30"/>
        <v>247952</v>
      </c>
      <c r="AG37" s="155">
        <f t="shared" si="30"/>
        <v>79642</v>
      </c>
      <c r="AH37" s="155">
        <f t="shared" si="30"/>
        <v>169128</v>
      </c>
      <c r="AI37" s="155">
        <f t="shared" si="30"/>
        <v>291234</v>
      </c>
      <c r="AJ37" s="155">
        <f t="shared" si="30"/>
        <v>226316</v>
      </c>
      <c r="AK37" s="155">
        <f t="shared" si="30"/>
        <v>26847</v>
      </c>
      <c r="AL37" s="155">
        <f t="shared" si="30"/>
        <v>97237</v>
      </c>
      <c r="AM37" s="155">
        <f t="shared" si="30"/>
        <v>-135204</v>
      </c>
      <c r="AN37" s="155">
        <f t="shared" si="30"/>
        <v>-93940</v>
      </c>
      <c r="AO37" s="155">
        <f t="shared" si="30"/>
        <v>-31663</v>
      </c>
      <c r="AP37" s="155">
        <f t="shared" si="30"/>
        <v>395859</v>
      </c>
      <c r="AQ37" s="155">
        <f t="shared" si="30"/>
        <v>359981</v>
      </c>
      <c r="AR37" s="155">
        <f t="shared" si="30"/>
        <v>515488</v>
      </c>
      <c r="AS37" s="155">
        <f t="shared" si="30"/>
        <v>311126</v>
      </c>
      <c r="AT37" s="155">
        <f t="shared" si="30"/>
        <v>400256</v>
      </c>
      <c r="AU37" s="155">
        <f t="shared" si="30"/>
        <v>429330</v>
      </c>
      <c r="AV37" s="155">
        <f t="shared" si="30"/>
        <v>803234</v>
      </c>
      <c r="AW37" s="155">
        <f t="shared" si="30"/>
        <v>355446</v>
      </c>
      <c r="AX37" s="155">
        <f>AX35+AX36</f>
        <v>678501</v>
      </c>
      <c r="AY37" s="155">
        <f t="shared" ref="AY37:BB37" si="31">AY35+AY36</f>
        <v>642105</v>
      </c>
      <c r="AZ37" s="155">
        <f t="shared" si="31"/>
        <v>985248</v>
      </c>
      <c r="BA37" s="155">
        <f t="shared" si="31"/>
        <v>103248</v>
      </c>
      <c r="BB37" s="155">
        <f t="shared" si="31"/>
        <v>784229</v>
      </c>
      <c r="BC37" s="155">
        <f t="shared" ref="BC37" si="32">BC35+BC36</f>
        <v>633724</v>
      </c>
      <c r="BD37" s="54"/>
      <c r="BE37" s="54"/>
      <c r="BF37" s="54"/>
      <c r="BG37" s="54"/>
      <c r="BH37" s="54"/>
      <c r="BI37" s="54"/>
      <c r="BJ37" s="54"/>
      <c r="BK37" s="54"/>
      <c r="BL37" s="54"/>
      <c r="BM37" s="4"/>
      <c r="BN37" s="4"/>
      <c r="BO37" s="4"/>
      <c r="BP37" s="4"/>
      <c r="BQ37" s="347"/>
      <c r="BR37" s="95"/>
    </row>
    <row r="38" spans="1:70" s="63" customFormat="1" x14ac:dyDescent="0.3">
      <c r="A38" s="90" t="s">
        <v>86</v>
      </c>
      <c r="B38" s="56"/>
      <c r="C38" s="56"/>
      <c r="D38" s="56"/>
      <c r="E38" s="56"/>
      <c r="F38" s="57">
        <v>-31448</v>
      </c>
      <c r="G38" s="57">
        <f t="shared" si="21"/>
        <v>-15144</v>
      </c>
      <c r="H38" s="57">
        <v>932</v>
      </c>
      <c r="I38" s="57">
        <f>N38-H38</f>
        <v>-15917</v>
      </c>
      <c r="J38" s="57"/>
      <c r="K38" s="57">
        <v>0</v>
      </c>
      <c r="L38" s="57">
        <v>36781</v>
      </c>
      <c r="M38" s="57">
        <v>-46592</v>
      </c>
      <c r="N38" s="105">
        <v>-14985</v>
      </c>
      <c r="O38" s="59"/>
      <c r="P38" s="126">
        <v>0</v>
      </c>
      <c r="Q38" s="58">
        <v>0</v>
      </c>
      <c r="R38" s="58">
        <v>0</v>
      </c>
      <c r="S38" s="104">
        <v>0</v>
      </c>
      <c r="T38" s="59"/>
      <c r="U38" s="154">
        <v>0</v>
      </c>
      <c r="V38" s="170">
        <f>S38+U38</f>
        <v>0</v>
      </c>
      <c r="W38" s="154"/>
      <c r="X38" s="154"/>
      <c r="Y38" s="154"/>
      <c r="Z38" s="300"/>
      <c r="AA38" s="154"/>
      <c r="AB38" s="154"/>
      <c r="AC38" s="154"/>
      <c r="AD38" s="300"/>
      <c r="AE38" s="154"/>
      <c r="AF38" s="154"/>
      <c r="AG38" s="154"/>
      <c r="AH38" s="300"/>
      <c r="AI38" s="154"/>
      <c r="AJ38" s="154"/>
      <c r="AK38" s="424"/>
      <c r="AL38" s="154"/>
      <c r="AM38" s="154"/>
      <c r="AN38" s="154"/>
      <c r="AO38" s="424"/>
      <c r="AP38" s="154"/>
      <c r="AQ38" s="154"/>
      <c r="AR38" s="154"/>
      <c r="AS38" s="154"/>
      <c r="AT38" s="154"/>
      <c r="AU38" s="154"/>
      <c r="AV38" s="154"/>
      <c r="AW38" s="154"/>
      <c r="AX38" s="154"/>
      <c r="AY38" s="154"/>
      <c r="AZ38" s="154"/>
      <c r="BA38" s="154"/>
      <c r="BB38" s="154"/>
      <c r="BC38" s="154"/>
      <c r="BD38" s="57">
        <v>932</v>
      </c>
      <c r="BE38" s="57">
        <f>BL38-BD38</f>
        <v>-932</v>
      </c>
      <c r="BF38" s="57"/>
      <c r="BG38" s="57"/>
      <c r="BH38" s="57"/>
      <c r="BI38" s="57"/>
      <c r="BJ38" s="57"/>
      <c r="BK38" s="57"/>
      <c r="BL38" s="57"/>
      <c r="BM38" s="56"/>
      <c r="BN38" s="343"/>
      <c r="BO38" s="343"/>
      <c r="BP38" s="343"/>
      <c r="BQ38" s="347"/>
      <c r="BR38" s="61"/>
    </row>
    <row r="39" spans="1:70" s="63" customFormat="1" x14ac:dyDescent="0.3">
      <c r="A39" s="90" t="s">
        <v>77</v>
      </c>
      <c r="B39" s="56"/>
      <c r="C39" s="56"/>
      <c r="D39" s="56"/>
      <c r="E39" s="56"/>
      <c r="F39" s="57">
        <v>-1510</v>
      </c>
      <c r="G39" s="57">
        <f t="shared" si="21"/>
        <v>312</v>
      </c>
      <c r="H39" s="57">
        <v>-400</v>
      </c>
      <c r="I39" s="57">
        <f t="shared" si="6"/>
        <v>4982</v>
      </c>
      <c r="J39" s="57"/>
      <c r="K39" s="57">
        <v>-46753</v>
      </c>
      <c r="L39" s="57">
        <v>-21329</v>
      </c>
      <c r="M39" s="57">
        <v>-1198</v>
      </c>
      <c r="N39" s="105">
        <v>4582</v>
      </c>
      <c r="O39" s="59"/>
      <c r="P39" s="126">
        <v>0</v>
      </c>
      <c r="Q39" s="58">
        <v>0</v>
      </c>
      <c r="R39" s="58">
        <v>0</v>
      </c>
      <c r="S39" s="104">
        <v>0</v>
      </c>
      <c r="T39" s="59"/>
      <c r="U39" s="154">
        <v>-374</v>
      </c>
      <c r="V39" s="170">
        <f>S39+U39</f>
        <v>-374</v>
      </c>
      <c r="W39" s="154">
        <v>-26</v>
      </c>
      <c r="X39" s="154">
        <v>-440</v>
      </c>
      <c r="Y39" s="154">
        <v>5422</v>
      </c>
      <c r="Z39" s="300">
        <v>118</v>
      </c>
      <c r="AA39" s="154">
        <v>-1119</v>
      </c>
      <c r="AB39" s="154">
        <v>-152</v>
      </c>
      <c r="AC39" s="154">
        <v>-423</v>
      </c>
      <c r="AD39" s="300">
        <v>-1556</v>
      </c>
      <c r="AE39" s="154">
        <v>398</v>
      </c>
      <c r="AF39" s="154">
        <v>206</v>
      </c>
      <c r="AG39" s="154">
        <v>-1108</v>
      </c>
      <c r="AH39" s="300">
        <v>-420</v>
      </c>
      <c r="AI39" s="154">
        <v>-117</v>
      </c>
      <c r="AJ39" s="154">
        <v>-4958</v>
      </c>
      <c r="AK39" s="424">
        <v>-4384</v>
      </c>
      <c r="AL39" s="154">
        <v>-3907</v>
      </c>
      <c r="AM39" s="154">
        <v>-3066</v>
      </c>
      <c r="AN39" s="154">
        <v>-3552</v>
      </c>
      <c r="AO39" s="424">
        <v>-7036</v>
      </c>
      <c r="AP39" s="154">
        <v>1056</v>
      </c>
      <c r="AQ39" s="154">
        <v>4061</v>
      </c>
      <c r="AR39" s="154">
        <v>5290</v>
      </c>
      <c r="AS39" s="154">
        <v>1025</v>
      </c>
      <c r="AT39" s="154">
        <v>3622</v>
      </c>
      <c r="AU39" s="154">
        <v>-4361</v>
      </c>
      <c r="AV39" s="154">
        <v>10053</v>
      </c>
      <c r="AW39" s="154">
        <v>4596</v>
      </c>
      <c r="AX39" s="154">
        <v>9579</v>
      </c>
      <c r="AY39" s="154">
        <v>292</v>
      </c>
      <c r="AZ39" s="154">
        <v>9296</v>
      </c>
      <c r="BA39" s="154">
        <v>18701</v>
      </c>
      <c r="BB39" s="58">
        <v>4895</v>
      </c>
      <c r="BC39" s="58">
        <v>1813</v>
      </c>
      <c r="BD39" s="57">
        <v>-400</v>
      </c>
      <c r="BE39" s="57">
        <f>BL39-BD39</f>
        <v>4982</v>
      </c>
      <c r="BF39" s="57"/>
      <c r="BG39" s="57"/>
      <c r="BH39" s="57"/>
      <c r="BI39" s="57"/>
      <c r="BJ39" s="57"/>
      <c r="BK39" s="57">
        <v>-1198</v>
      </c>
      <c r="BL39" s="57">
        <f>N39+S39</f>
        <v>4582</v>
      </c>
      <c r="BM39" s="56">
        <v>-1575</v>
      </c>
      <c r="BN39" s="343">
        <v>-2060</v>
      </c>
      <c r="BO39" s="343">
        <f>SUM(AH39:AK39)</f>
        <v>-9879</v>
      </c>
      <c r="BP39" s="343">
        <f>SUM(AL39:AO39)</f>
        <v>-17561</v>
      </c>
      <c r="BQ39" s="347"/>
      <c r="BR39" s="61"/>
    </row>
    <row r="40" spans="1:70" s="96" customFormat="1" x14ac:dyDescent="0.3">
      <c r="A40" s="89" t="s">
        <v>343</v>
      </c>
      <c r="B40" s="4">
        <f t="shared" ref="B40:M40" si="33">IFERROR(B35+B38+B36-B39,"n.a.")</f>
        <v>0</v>
      </c>
      <c r="C40" s="4">
        <f t="shared" si="33"/>
        <v>0</v>
      </c>
      <c r="D40" s="4">
        <f t="shared" si="33"/>
        <v>0</v>
      </c>
      <c r="E40" s="4">
        <f t="shared" si="33"/>
        <v>0</v>
      </c>
      <c r="F40" s="54">
        <f t="shared" si="33"/>
        <v>-139848</v>
      </c>
      <c r="G40" s="54">
        <f t="shared" si="33"/>
        <v>288831</v>
      </c>
      <c r="H40" s="54">
        <f t="shared" si="33"/>
        <v>650717</v>
      </c>
      <c r="I40" s="54">
        <f>IFERROR(I35+I38+I36-I39,"n.a.")</f>
        <v>-135745</v>
      </c>
      <c r="J40" s="54"/>
      <c r="K40" s="54">
        <f t="shared" si="33"/>
        <v>-916266</v>
      </c>
      <c r="L40" s="54">
        <f t="shared" si="33"/>
        <v>-2102486</v>
      </c>
      <c r="M40" s="54">
        <f t="shared" si="33"/>
        <v>148983</v>
      </c>
      <c r="N40" s="106">
        <f>IFERROR(N35+N38+N36-N39,"n.a.")</f>
        <v>514972</v>
      </c>
      <c r="O40" s="54"/>
      <c r="P40" s="128">
        <f>IFERROR(P35+P38+P36-P39,"n.a.")</f>
        <v>-335109</v>
      </c>
      <c r="Q40" s="54">
        <f>IFERROR(Q35+Q38+Q36-Q39,"n.a.")</f>
        <v>-91098</v>
      </c>
      <c r="R40" s="54">
        <f>IFERROR(R35+R38+R36-R39,"n.a.")</f>
        <v>491338</v>
      </c>
      <c r="S40" s="106">
        <f>IFERROR(S35+S38+S36-S39,"n.a.")</f>
        <v>224744</v>
      </c>
      <c r="T40" s="97"/>
      <c r="U40" s="156">
        <f t="shared" ref="U40:BD40" si="34">IFERROR(U35+U38+U36-U39,"n.a.")</f>
        <v>682469</v>
      </c>
      <c r="V40" s="156">
        <f t="shared" si="34"/>
        <v>907213</v>
      </c>
      <c r="W40" s="156">
        <f t="shared" si="34"/>
        <v>-32684</v>
      </c>
      <c r="X40" s="156">
        <f t="shared" si="34"/>
        <v>62335</v>
      </c>
      <c r="Y40" s="156">
        <f t="shared" si="34"/>
        <v>-182163</v>
      </c>
      <c r="Z40" s="296">
        <f t="shared" si="34"/>
        <v>97322</v>
      </c>
      <c r="AA40" s="156">
        <f t="shared" si="34"/>
        <v>199280</v>
      </c>
      <c r="AB40" s="156">
        <f t="shared" si="34"/>
        <v>296766</v>
      </c>
      <c r="AC40" s="156">
        <f t="shared" si="34"/>
        <v>230228</v>
      </c>
      <c r="AD40" s="296">
        <f t="shared" si="34"/>
        <v>-55633</v>
      </c>
      <c r="AE40" s="156">
        <f t="shared" si="34"/>
        <v>54730</v>
      </c>
      <c r="AF40" s="156">
        <f t="shared" si="34"/>
        <v>247746</v>
      </c>
      <c r="AG40" s="156">
        <f t="shared" si="34"/>
        <v>80750</v>
      </c>
      <c r="AH40" s="296">
        <f t="shared" si="34"/>
        <v>169548</v>
      </c>
      <c r="AI40" s="156">
        <f t="shared" si="34"/>
        <v>291351</v>
      </c>
      <c r="AJ40" s="156">
        <f t="shared" si="34"/>
        <v>231274</v>
      </c>
      <c r="AK40" s="437">
        <f t="shared" si="34"/>
        <v>31231</v>
      </c>
      <c r="AL40" s="156">
        <f t="shared" si="34"/>
        <v>101144</v>
      </c>
      <c r="AM40" s="156">
        <f t="shared" si="34"/>
        <v>-132138</v>
      </c>
      <c r="AN40" s="156">
        <f t="shared" si="34"/>
        <v>-90388</v>
      </c>
      <c r="AO40" s="437">
        <f t="shared" si="34"/>
        <v>-24627</v>
      </c>
      <c r="AP40" s="156">
        <f t="shared" si="34"/>
        <v>394803</v>
      </c>
      <c r="AQ40" s="156">
        <f t="shared" si="34"/>
        <v>355920</v>
      </c>
      <c r="AR40" s="156">
        <f t="shared" si="34"/>
        <v>510198</v>
      </c>
      <c r="AS40" s="156">
        <f t="shared" si="34"/>
        <v>310101</v>
      </c>
      <c r="AT40" s="156">
        <f t="shared" si="34"/>
        <v>396634</v>
      </c>
      <c r="AU40" s="156">
        <f t="shared" si="34"/>
        <v>433691</v>
      </c>
      <c r="AV40" s="156">
        <f t="shared" ref="AV40" si="35">IFERROR(AV35+AV38+AV36-AV39,"n.a.")</f>
        <v>793181</v>
      </c>
      <c r="AW40" s="156">
        <f>IFERROR(AW35+AW38+AW36-AW39,"n.a.")</f>
        <v>350850</v>
      </c>
      <c r="AX40" s="156">
        <f>IFERROR(AX35+AX38+AX36-AX39,"n.a.")</f>
        <v>668922</v>
      </c>
      <c r="AY40" s="156">
        <f>IFERROR(AY35+AY38+AY36-AY39,"n.a.")</f>
        <v>641813</v>
      </c>
      <c r="AZ40" s="156">
        <v>975952</v>
      </c>
      <c r="BA40" s="156">
        <v>84547</v>
      </c>
      <c r="BB40" s="97">
        <v>779334</v>
      </c>
      <c r="BC40" s="1021">
        <v>631911</v>
      </c>
      <c r="BD40" s="54">
        <f t="shared" si="34"/>
        <v>846692</v>
      </c>
      <c r="BE40" s="54">
        <f t="shared" ref="BE40:BM40" si="36">IFERROR(BE35+BE38+BE36-BE39,"n.a.")</f>
        <v>3343458</v>
      </c>
      <c r="BF40" s="54">
        <f t="shared" si="36"/>
        <v>3374309</v>
      </c>
      <c r="BG40" s="54">
        <f t="shared" si="36"/>
        <v>0</v>
      </c>
      <c r="BH40" s="54"/>
      <c r="BI40" s="54">
        <f t="shared" si="36"/>
        <v>739000</v>
      </c>
      <c r="BJ40" s="54">
        <f t="shared" si="36"/>
        <v>2077000</v>
      </c>
      <c r="BK40" s="54">
        <f t="shared" si="36"/>
        <v>456156</v>
      </c>
      <c r="BL40" s="54">
        <f t="shared" si="36"/>
        <v>529957</v>
      </c>
      <c r="BM40" s="4">
        <f t="shared" si="36"/>
        <v>688097</v>
      </c>
      <c r="BN40" s="4">
        <f>IFERROR(BN35+BN38+BN36-BN39,"n.a.")</f>
        <v>327593</v>
      </c>
      <c r="BO40" s="4">
        <f>IFERROR(BO35+BO38+BO36-BO39,"n.a.")</f>
        <v>723404</v>
      </c>
      <c r="BP40" s="4">
        <f>IFERROR(BP35+BP38+BP36-BP39,"n.a.")</f>
        <v>-130692</v>
      </c>
      <c r="BQ40" s="347"/>
      <c r="BR40" s="95"/>
    </row>
    <row r="41" spans="1:70" s="71" customFormat="1" ht="28" x14ac:dyDescent="0.3">
      <c r="A41" s="91" t="s">
        <v>26</v>
      </c>
      <c r="B41" s="67"/>
      <c r="C41" s="67"/>
      <c r="D41" s="67"/>
      <c r="E41" s="67"/>
      <c r="F41" s="67">
        <v>-4.16</v>
      </c>
      <c r="G41" s="67"/>
      <c r="H41" s="67">
        <v>5.1100000000000003</v>
      </c>
      <c r="I41" s="67"/>
      <c r="J41" s="67"/>
      <c r="K41" s="67">
        <v>-12.5</v>
      </c>
      <c r="L41" s="67">
        <v>-46.01</v>
      </c>
      <c r="M41" s="68">
        <v>0.75</v>
      </c>
      <c r="N41" s="107">
        <v>0.33</v>
      </c>
      <c r="O41" s="69"/>
      <c r="P41" s="129"/>
      <c r="Q41" s="70"/>
      <c r="R41" s="70"/>
      <c r="S41" s="121"/>
      <c r="T41" s="69"/>
      <c r="U41" s="157"/>
      <c r="V41" s="157"/>
      <c r="W41" s="157"/>
      <c r="X41" s="157"/>
      <c r="Y41" s="157"/>
      <c r="Z41" s="301"/>
      <c r="AA41" s="157"/>
      <c r="AB41" s="157"/>
      <c r="AC41" s="157"/>
      <c r="AD41" s="301"/>
      <c r="AE41" s="157"/>
      <c r="AF41" s="157"/>
      <c r="AG41" s="157"/>
      <c r="AH41" s="301"/>
      <c r="AI41" s="157"/>
      <c r="AJ41" s="157"/>
      <c r="AK41" s="425"/>
      <c r="AL41" s="157"/>
      <c r="AM41" s="157"/>
      <c r="AN41" s="157"/>
      <c r="AO41" s="425"/>
      <c r="AP41" s="157"/>
      <c r="AQ41" s="157"/>
      <c r="AR41" s="157"/>
      <c r="AS41" s="157"/>
      <c r="AT41" s="157"/>
      <c r="AU41" s="157"/>
      <c r="AV41" s="157"/>
      <c r="AW41" s="157"/>
      <c r="AX41" s="157"/>
      <c r="AY41" s="157"/>
      <c r="AZ41" s="157"/>
      <c r="BA41" s="157"/>
      <c r="BD41" s="67"/>
      <c r="BE41" s="67"/>
      <c r="BF41" s="67"/>
      <c r="BG41" s="67"/>
      <c r="BH41" s="67"/>
      <c r="BI41" s="67"/>
      <c r="BJ41" s="67"/>
      <c r="BK41" s="67"/>
      <c r="BL41" s="67"/>
      <c r="BM41" s="67">
        <v>0.33</v>
      </c>
      <c r="BN41" s="69">
        <v>0.15</v>
      </c>
      <c r="BO41" s="69"/>
      <c r="BP41" s="69"/>
      <c r="BQ41" s="69"/>
    </row>
    <row r="42" spans="1:70" s="71" customFormat="1" ht="28" x14ac:dyDescent="0.3">
      <c r="A42" s="91" t="s">
        <v>27</v>
      </c>
      <c r="B42" s="67"/>
      <c r="C42" s="67"/>
      <c r="D42" s="67"/>
      <c r="E42" s="67"/>
      <c r="F42" s="67">
        <v>-4.16</v>
      </c>
      <c r="G42" s="67"/>
      <c r="H42" s="67">
        <v>-1.72</v>
      </c>
      <c r="I42" s="67"/>
      <c r="J42" s="67"/>
      <c r="K42" s="67">
        <v>-12.5</v>
      </c>
      <c r="L42" s="67">
        <v>-46.01</v>
      </c>
      <c r="M42" s="68">
        <v>0.11</v>
      </c>
      <c r="N42" s="107">
        <v>-0.22</v>
      </c>
      <c r="O42" s="69"/>
      <c r="P42" s="129"/>
      <c r="Q42" s="70"/>
      <c r="R42" s="70"/>
      <c r="S42" s="121"/>
      <c r="T42" s="69"/>
      <c r="U42" s="157"/>
      <c r="V42" s="157"/>
      <c r="W42" s="157"/>
      <c r="X42" s="157"/>
      <c r="Y42" s="69"/>
      <c r="Z42" s="301"/>
      <c r="AA42" s="157"/>
      <c r="AB42" s="157"/>
      <c r="AC42" s="157"/>
      <c r="AD42" s="301"/>
      <c r="AE42" s="157"/>
      <c r="AF42" s="157"/>
      <c r="AG42" s="157"/>
      <c r="AH42" s="301"/>
      <c r="AI42" s="157"/>
      <c r="AJ42" s="157"/>
      <c r="AK42" s="425"/>
      <c r="AL42" s="157"/>
      <c r="AM42" s="157"/>
      <c r="AN42" s="157"/>
      <c r="AO42" s="425"/>
      <c r="AP42" s="157"/>
      <c r="AQ42" s="157"/>
      <c r="AR42" s="157"/>
      <c r="AS42" s="157"/>
      <c r="AT42" s="157"/>
      <c r="AU42" s="157"/>
      <c r="AV42" s="157"/>
      <c r="AW42" s="157"/>
      <c r="AX42" s="157"/>
      <c r="AY42" s="157"/>
      <c r="AZ42" s="157"/>
      <c r="BA42" s="157"/>
      <c r="BD42" s="67"/>
      <c r="BE42" s="67"/>
      <c r="BF42" s="67"/>
      <c r="BG42" s="67"/>
      <c r="BH42" s="67"/>
      <c r="BI42" s="67"/>
      <c r="BJ42" s="67"/>
      <c r="BK42" s="67"/>
      <c r="BL42" s="67"/>
      <c r="BM42" s="67">
        <v>0.33</v>
      </c>
      <c r="BN42" s="69">
        <v>0.15</v>
      </c>
      <c r="BO42" s="69"/>
      <c r="BP42" s="69"/>
      <c r="BQ42" s="69"/>
    </row>
    <row r="43" spans="1:70" s="71" customFormat="1" x14ac:dyDescent="0.3">
      <c r="A43" s="91"/>
      <c r="B43" s="67"/>
      <c r="C43" s="67"/>
      <c r="D43" s="67"/>
      <c r="E43" s="67"/>
      <c r="F43" s="67"/>
      <c r="G43" s="67"/>
      <c r="H43" s="67"/>
      <c r="I43" s="67"/>
      <c r="J43" s="67"/>
      <c r="K43" s="67"/>
      <c r="L43" s="67"/>
      <c r="M43" s="67"/>
      <c r="N43" s="107"/>
      <c r="O43" s="69"/>
      <c r="P43" s="129"/>
      <c r="Q43" s="70"/>
      <c r="R43" s="70"/>
      <c r="S43" s="121"/>
      <c r="T43" s="69"/>
      <c r="U43" s="157"/>
      <c r="V43" s="157"/>
      <c r="W43" s="157"/>
      <c r="X43" s="157"/>
      <c r="Y43" s="157"/>
      <c r="Z43" s="301"/>
      <c r="AA43" s="157"/>
      <c r="AB43" s="157"/>
      <c r="AC43" s="157"/>
      <c r="AD43" s="301">
        <f>AD45/Z45-1</f>
        <v>-0.95231191027882045</v>
      </c>
      <c r="AE43" s="157"/>
      <c r="AF43" s="157"/>
      <c r="AG43" s="157"/>
      <c r="AH43" s="301"/>
      <c r="AI43" s="157"/>
      <c r="AJ43" s="157"/>
      <c r="AK43" s="425"/>
      <c r="AL43" s="157"/>
      <c r="AM43" s="157"/>
      <c r="AN43" s="157"/>
      <c r="AO43" s="425"/>
      <c r="AP43" s="157"/>
      <c r="AQ43" s="157"/>
      <c r="AR43" s="157"/>
      <c r="AS43" s="157"/>
      <c r="AT43" s="157"/>
      <c r="AU43" s="157"/>
      <c r="AV43" s="157"/>
      <c r="AW43" s="157"/>
      <c r="AX43" s="157"/>
      <c r="AY43" s="157"/>
      <c r="AZ43" s="157"/>
      <c r="BA43" s="157"/>
      <c r="BD43" s="67"/>
      <c r="BE43" s="67"/>
      <c r="BF43" s="67"/>
      <c r="BG43" s="67"/>
      <c r="BH43" s="67"/>
      <c r="BI43" s="67"/>
      <c r="BJ43" s="67"/>
      <c r="BK43" s="67"/>
      <c r="BL43" s="67"/>
      <c r="BM43" s="67"/>
      <c r="BN43" s="69"/>
      <c r="BO43" s="69"/>
      <c r="BP43" s="69"/>
      <c r="BQ43" s="69"/>
    </row>
    <row r="44" spans="1:70" s="63" customFormat="1" x14ac:dyDescent="0.3">
      <c r="A44" s="90" t="s">
        <v>49</v>
      </c>
      <c r="B44" s="56"/>
      <c r="C44" s="56"/>
      <c r="D44" s="56"/>
      <c r="E44" s="56"/>
      <c r="F44" s="57">
        <v>9643</v>
      </c>
      <c r="G44" s="57">
        <f>M44-F44</f>
        <v>47140</v>
      </c>
      <c r="H44" s="57">
        <v>124857</v>
      </c>
      <c r="I44" s="57">
        <f>N44-H44</f>
        <v>447334</v>
      </c>
      <c r="J44" s="57"/>
      <c r="K44" s="65">
        <v>211500</v>
      </c>
      <c r="L44" s="65">
        <v>72343</v>
      </c>
      <c r="M44" s="57">
        <v>56783</v>
      </c>
      <c r="N44" s="105">
        <v>572191</v>
      </c>
      <c r="O44" s="59"/>
      <c r="P44" s="130"/>
      <c r="Q44" s="66"/>
      <c r="R44" s="66"/>
      <c r="S44" s="104"/>
      <c r="T44" s="59"/>
      <c r="U44" s="154">
        <v>47705</v>
      </c>
      <c r="V44" s="154"/>
      <c r="W44" s="154">
        <v>77152</v>
      </c>
      <c r="X44" s="154">
        <v>179594</v>
      </c>
      <c r="Y44" s="154">
        <v>267740</v>
      </c>
      <c r="Z44" s="300">
        <v>285750</v>
      </c>
      <c r="AA44" s="154">
        <v>76106</v>
      </c>
      <c r="AB44" s="154">
        <v>54736</v>
      </c>
      <c r="AC44" s="154">
        <v>125618</v>
      </c>
      <c r="AD44" s="300">
        <v>65944</v>
      </c>
      <c r="AE44" s="154">
        <v>71749</v>
      </c>
      <c r="AF44" s="154">
        <v>55239</v>
      </c>
      <c r="AG44" s="154">
        <v>189215</v>
      </c>
      <c r="AH44" s="300">
        <v>57365</v>
      </c>
      <c r="AI44" s="154">
        <v>50202</v>
      </c>
      <c r="AJ44" s="154">
        <v>63505</v>
      </c>
      <c r="AK44" s="424">
        <v>158956</v>
      </c>
      <c r="AL44" s="154">
        <v>94914</v>
      </c>
      <c r="AM44" s="154">
        <v>101886</v>
      </c>
      <c r="AN44" s="154">
        <v>133825</v>
      </c>
      <c r="AO44" s="424">
        <v>110466</v>
      </c>
      <c r="AP44" s="154">
        <v>90659</v>
      </c>
      <c r="AQ44" s="154">
        <v>77954</v>
      </c>
      <c r="AR44" s="154">
        <v>62900</v>
      </c>
      <c r="AS44" s="154">
        <v>116623</v>
      </c>
      <c r="AT44" s="154">
        <v>114214</v>
      </c>
      <c r="AU44" s="154">
        <v>107910</v>
      </c>
      <c r="AV44" s="154">
        <v>112581</v>
      </c>
      <c r="AW44" s="154">
        <v>73624</v>
      </c>
      <c r="AX44" s="154">
        <v>75179</v>
      </c>
      <c r="AY44" s="154">
        <v>73878</v>
      </c>
      <c r="AZ44" s="154">
        <v>55694</v>
      </c>
      <c r="BA44" s="154">
        <v>347616</v>
      </c>
      <c r="BB44" s="58">
        <v>38478</v>
      </c>
      <c r="BC44" s="58">
        <v>43573</v>
      </c>
      <c r="BD44" s="57">
        <v>124857</v>
      </c>
      <c r="BE44" s="57"/>
      <c r="BF44" s="57"/>
      <c r="BG44" s="57"/>
      <c r="BH44" s="57"/>
      <c r="BI44" s="57"/>
      <c r="BJ44" s="57"/>
      <c r="BK44" s="57">
        <v>56783</v>
      </c>
      <c r="BL44" s="57">
        <v>572191</v>
      </c>
      <c r="BM44" s="56">
        <v>542210</v>
      </c>
      <c r="BN44" s="60">
        <v>382147</v>
      </c>
      <c r="BO44" s="60"/>
      <c r="BP44" s="60"/>
      <c r="BQ44" s="347"/>
      <c r="BR44" s="61"/>
    </row>
    <row r="45" spans="1:70" s="96" customFormat="1" x14ac:dyDescent="0.3">
      <c r="A45" s="89" t="s">
        <v>51</v>
      </c>
      <c r="B45" s="4">
        <f>IFERROR(B26+B44,"n.a.")</f>
        <v>0</v>
      </c>
      <c r="C45" s="4">
        <f>IFERROR(C26+C44,"n.a.")</f>
        <v>0</v>
      </c>
      <c r="D45" s="4">
        <f t="shared" ref="D45:I45" si="37">IFERROR(D26+D44,"n.a.")</f>
        <v>0</v>
      </c>
      <c r="E45" s="4">
        <f t="shared" si="37"/>
        <v>0</v>
      </c>
      <c r="F45" s="54">
        <f t="shared" si="37"/>
        <v>-3157</v>
      </c>
      <c r="G45" s="54">
        <f t="shared" si="37"/>
        <v>52376</v>
      </c>
      <c r="H45" s="54">
        <f t="shared" si="37"/>
        <v>-171614</v>
      </c>
      <c r="I45" s="54">
        <f t="shared" si="37"/>
        <v>272757</v>
      </c>
      <c r="J45" s="54"/>
      <c r="K45" s="54">
        <f>IFERROR(K26+K44,"n.a.")</f>
        <v>-849220</v>
      </c>
      <c r="L45" s="54">
        <f>IFERROR(L26+L44,"n.a.")</f>
        <v>-2054769</v>
      </c>
      <c r="M45" s="54">
        <f>IFERROR(M26+M44,"n.a.")</f>
        <v>49219</v>
      </c>
      <c r="N45" s="106">
        <f>IFERROR(N26+N44,"n.a.")</f>
        <v>101143</v>
      </c>
      <c r="O45" s="54"/>
      <c r="P45" s="128"/>
      <c r="Q45" s="54"/>
      <c r="R45" s="54"/>
      <c r="S45" s="106"/>
      <c r="T45" s="97"/>
      <c r="U45" s="155">
        <f>IFERROR(U26+U44,"n.a.")</f>
        <v>-277370</v>
      </c>
      <c r="V45" s="155"/>
      <c r="W45" s="155">
        <f t="shared" ref="W45:AU45" si="38">IFERROR(W26+W44,"n.a.")</f>
        <v>105756</v>
      </c>
      <c r="X45" s="155">
        <f t="shared" si="38"/>
        <v>243419</v>
      </c>
      <c r="Y45" s="155">
        <f t="shared" si="38"/>
        <v>29338</v>
      </c>
      <c r="Z45" s="128">
        <f t="shared" si="38"/>
        <v>442794</v>
      </c>
      <c r="AA45" s="155">
        <f t="shared" si="38"/>
        <v>246698</v>
      </c>
      <c r="AB45" s="155">
        <f t="shared" si="38"/>
        <v>351508</v>
      </c>
      <c r="AC45" s="155">
        <f t="shared" si="38"/>
        <v>321182</v>
      </c>
      <c r="AD45" s="128">
        <f t="shared" si="38"/>
        <v>21116</v>
      </c>
      <c r="AE45" s="155">
        <f t="shared" si="38"/>
        <v>64977</v>
      </c>
      <c r="AF45" s="155">
        <f t="shared" si="38"/>
        <v>294641</v>
      </c>
      <c r="AG45" s="155">
        <f t="shared" si="38"/>
        <v>198475</v>
      </c>
      <c r="AH45" s="128">
        <f t="shared" si="38"/>
        <v>211865</v>
      </c>
      <c r="AI45" s="155">
        <f t="shared" si="38"/>
        <v>329785</v>
      </c>
      <c r="AJ45" s="155">
        <f t="shared" si="38"/>
        <v>245137</v>
      </c>
      <c r="AK45" s="106">
        <f t="shared" si="38"/>
        <v>147808</v>
      </c>
      <c r="AL45" s="155">
        <f t="shared" si="38"/>
        <v>166554</v>
      </c>
      <c r="AM45" s="155">
        <f t="shared" si="38"/>
        <v>-12453</v>
      </c>
      <c r="AN45" s="155">
        <f t="shared" si="38"/>
        <v>187910</v>
      </c>
      <c r="AO45" s="106">
        <f t="shared" si="38"/>
        <v>-52457</v>
      </c>
      <c r="AP45" s="155">
        <f t="shared" si="38"/>
        <v>461878</v>
      </c>
      <c r="AQ45" s="155">
        <f t="shared" si="38"/>
        <v>497612</v>
      </c>
      <c r="AR45" s="155">
        <f t="shared" si="38"/>
        <v>588051</v>
      </c>
      <c r="AS45" s="155">
        <f t="shared" si="38"/>
        <v>534228</v>
      </c>
      <c r="AT45" s="155">
        <f t="shared" si="38"/>
        <v>508727</v>
      </c>
      <c r="AU45" s="155">
        <f t="shared" si="38"/>
        <v>584061</v>
      </c>
      <c r="AV45" s="155">
        <f t="shared" ref="AV45" si="39">IFERROR(AV26+AV44,"n.a.")</f>
        <v>976870</v>
      </c>
      <c r="AW45" s="155">
        <f t="shared" ref="AW45:BG45" si="40">IFERROR(AW26+AW44,"n.a.")</f>
        <v>624375</v>
      </c>
      <c r="AX45" s="155">
        <f t="shared" si="40"/>
        <v>831558</v>
      </c>
      <c r="AY45" s="155">
        <f t="shared" si="40"/>
        <v>789602</v>
      </c>
      <c r="AZ45" s="155">
        <f t="shared" si="40"/>
        <v>1218860</v>
      </c>
      <c r="BA45" s="155">
        <f t="shared" si="40"/>
        <v>695232</v>
      </c>
      <c r="BB45" s="155">
        <f>IFERROR(BB26+BB44,"n.a.")</f>
        <v>1031520</v>
      </c>
      <c r="BC45" s="155">
        <f>IFERROR(BC26+BC44,"n.a.")</f>
        <v>896971</v>
      </c>
      <c r="BD45" s="54">
        <f t="shared" si="40"/>
        <v>73790</v>
      </c>
      <c r="BE45" s="54">
        <f t="shared" si="40"/>
        <v>3240212</v>
      </c>
      <c r="BF45" s="54">
        <f t="shared" si="40"/>
        <v>3374309</v>
      </c>
      <c r="BG45" s="54">
        <f t="shared" si="40"/>
        <v>0</v>
      </c>
      <c r="BH45" s="54"/>
      <c r="BI45" s="54"/>
      <c r="BJ45" s="54"/>
      <c r="BK45" s="54"/>
      <c r="BL45" s="4">
        <f>IFERROR(BL26+BL44,"n.a.")</f>
        <v>101143</v>
      </c>
      <c r="BM45" s="4">
        <f>IFERROR(BM26+BM44,"n.a.")</f>
        <v>1226684</v>
      </c>
      <c r="BN45" s="4">
        <f>IFERROR(BN26+BN44,"n.a.")</f>
        <v>579209</v>
      </c>
      <c r="BO45" s="4">
        <f>IFERROR(BO26+BO44,"n.a.")</f>
        <v>604567</v>
      </c>
      <c r="BP45" s="4">
        <f>IFERROR(BP26+BP44,"n.a.")</f>
        <v>-151537</v>
      </c>
      <c r="BQ45" s="347"/>
      <c r="BR45" s="95"/>
    </row>
    <row r="46" spans="1:70" s="63" customFormat="1" ht="28" x14ac:dyDescent="0.3">
      <c r="A46" s="90" t="s">
        <v>78</v>
      </c>
      <c r="B46" s="56"/>
      <c r="C46" s="56"/>
      <c r="D46" s="56"/>
      <c r="E46" s="56"/>
      <c r="F46" s="57">
        <v>23762</v>
      </c>
      <c r="G46" s="57">
        <f>M46-F46</f>
        <v>21315</v>
      </c>
      <c r="H46" s="57">
        <v>45363</v>
      </c>
      <c r="I46" s="57">
        <f>N46-H46</f>
        <v>71292</v>
      </c>
      <c r="J46" s="57"/>
      <c r="K46" s="57">
        <v>52067</v>
      </c>
      <c r="L46" s="57">
        <v>52845</v>
      </c>
      <c r="M46" s="57">
        <v>45077</v>
      </c>
      <c r="N46" s="105">
        <v>116655</v>
      </c>
      <c r="O46" s="59"/>
      <c r="P46" s="127"/>
      <c r="Q46" s="57"/>
      <c r="R46" s="57"/>
      <c r="S46" s="104"/>
      <c r="T46" s="59"/>
      <c r="U46" s="154">
        <v>13706</v>
      </c>
      <c r="V46" s="154"/>
      <c r="W46" s="154">
        <v>31657</v>
      </c>
      <c r="X46" s="154">
        <v>32580</v>
      </c>
      <c r="Y46" s="154">
        <v>38712</v>
      </c>
      <c r="Z46" s="300">
        <v>40418</v>
      </c>
      <c r="AA46" s="154">
        <v>43348</v>
      </c>
      <c r="AB46" s="154">
        <v>40717</v>
      </c>
      <c r="AC46" s="154">
        <v>43637</v>
      </c>
      <c r="AD46" s="300">
        <v>42103</v>
      </c>
      <c r="AE46" s="154">
        <v>42928</v>
      </c>
      <c r="AF46" s="154">
        <v>47508</v>
      </c>
      <c r="AG46" s="154">
        <v>55029</v>
      </c>
      <c r="AH46" s="300">
        <v>40561</v>
      </c>
      <c r="AI46" s="154">
        <v>40962</v>
      </c>
      <c r="AJ46" s="154">
        <v>42734</v>
      </c>
      <c r="AK46" s="424">
        <v>45579</v>
      </c>
      <c r="AL46" s="154">
        <v>49862</v>
      </c>
      <c r="AM46" s="154">
        <v>51731</v>
      </c>
      <c r="AN46" s="154">
        <v>50759</v>
      </c>
      <c r="AO46" s="424">
        <v>48060</v>
      </c>
      <c r="AP46" s="154">
        <v>51516</v>
      </c>
      <c r="AQ46" s="154">
        <v>52977</v>
      </c>
      <c r="AR46" s="154">
        <v>57455</v>
      </c>
      <c r="AS46" s="154">
        <v>70193</v>
      </c>
      <c r="AT46" s="154">
        <v>81491</v>
      </c>
      <c r="AU46" s="154">
        <v>84815</v>
      </c>
      <c r="AV46" s="154">
        <v>93194</v>
      </c>
      <c r="AW46" s="154">
        <v>96320</v>
      </c>
      <c r="AX46" s="154">
        <v>90748</v>
      </c>
      <c r="AY46" s="154">
        <v>135807</v>
      </c>
      <c r="AZ46" s="154">
        <v>134565</v>
      </c>
      <c r="BA46" s="154">
        <v>138986</v>
      </c>
      <c r="BB46" s="58">
        <v>133038</v>
      </c>
      <c r="BC46" s="58">
        <v>130830</v>
      </c>
      <c r="BD46" s="57"/>
      <c r="BE46" s="57"/>
      <c r="BF46" s="57"/>
      <c r="BG46" s="57"/>
      <c r="BH46" s="57"/>
      <c r="BI46" s="57"/>
      <c r="BJ46" s="57"/>
      <c r="BK46" s="57"/>
      <c r="BL46" s="57">
        <v>116655</v>
      </c>
      <c r="BM46" s="56">
        <v>168120</v>
      </c>
      <c r="BN46" s="60">
        <v>187568</v>
      </c>
      <c r="BO46" s="60">
        <f>SUM(AH46:AK46)</f>
        <v>169836</v>
      </c>
      <c r="BP46" s="60">
        <f>SUM(AL46:AO46)</f>
        <v>200412</v>
      </c>
      <c r="BQ46" s="347"/>
      <c r="BR46" s="61"/>
    </row>
    <row r="47" spans="1:70" s="63" customFormat="1" ht="28" x14ac:dyDescent="0.3">
      <c r="A47" s="90" t="s">
        <v>50</v>
      </c>
      <c r="B47" s="56"/>
      <c r="C47" s="56"/>
      <c r="D47" s="56"/>
      <c r="E47" s="56"/>
      <c r="F47" s="57">
        <v>19536</v>
      </c>
      <c r="G47" s="57">
        <f>M47-F47</f>
        <v>19537</v>
      </c>
      <c r="H47" s="57">
        <v>137589</v>
      </c>
      <c r="I47" s="57">
        <f>N47-H47</f>
        <v>201448</v>
      </c>
      <c r="J47" s="57"/>
      <c r="K47" s="57">
        <v>21225</v>
      </c>
      <c r="L47" s="57">
        <v>24488</v>
      </c>
      <c r="M47" s="57">
        <v>39073</v>
      </c>
      <c r="N47" s="105">
        <v>339037</v>
      </c>
      <c r="O47" s="59"/>
      <c r="P47" s="127"/>
      <c r="Q47" s="57"/>
      <c r="R47" s="57"/>
      <c r="S47" s="104"/>
      <c r="T47" s="59"/>
      <c r="U47" s="154">
        <v>36616</v>
      </c>
      <c r="V47" s="154"/>
      <c r="W47" s="154">
        <v>100973</v>
      </c>
      <c r="X47" s="154">
        <v>100763</v>
      </c>
      <c r="Y47" s="154">
        <v>100685</v>
      </c>
      <c r="Z47" s="300">
        <v>101950</v>
      </c>
      <c r="AA47" s="154">
        <v>102362</v>
      </c>
      <c r="AB47" s="154">
        <v>104645</v>
      </c>
      <c r="AC47" s="154">
        <v>104062</v>
      </c>
      <c r="AD47" s="300">
        <v>103527</v>
      </c>
      <c r="AE47" s="154">
        <v>103496</v>
      </c>
      <c r="AF47" s="154">
        <v>103524</v>
      </c>
      <c r="AG47" s="154">
        <v>103895</v>
      </c>
      <c r="AH47" s="300">
        <v>104011</v>
      </c>
      <c r="AI47" s="154">
        <v>104158</v>
      </c>
      <c r="AJ47" s="154">
        <v>139676</v>
      </c>
      <c r="AK47" s="424">
        <v>152161</v>
      </c>
      <c r="AL47" s="154">
        <v>156772</v>
      </c>
      <c r="AM47" s="154">
        <v>157155</v>
      </c>
      <c r="AN47" s="154">
        <v>159749</v>
      </c>
      <c r="AO47" s="424">
        <v>166100</v>
      </c>
      <c r="AP47" s="154">
        <v>167976</v>
      </c>
      <c r="AQ47" s="154">
        <v>168771</v>
      </c>
      <c r="AR47" s="154">
        <v>169090</v>
      </c>
      <c r="AS47" s="154">
        <v>172779</v>
      </c>
      <c r="AT47" s="154">
        <v>176678</v>
      </c>
      <c r="AU47" s="154">
        <v>170092</v>
      </c>
      <c r="AV47" s="154">
        <v>185842</v>
      </c>
      <c r="AW47" s="154">
        <v>194174</v>
      </c>
      <c r="AX47" s="154">
        <v>194828</v>
      </c>
      <c r="AY47" s="154">
        <v>195058</v>
      </c>
      <c r="AZ47" s="154">
        <v>194702</v>
      </c>
      <c r="BA47" s="154">
        <v>214510</v>
      </c>
      <c r="BB47" s="58">
        <v>216705</v>
      </c>
      <c r="BC47" s="58">
        <v>217114</v>
      </c>
      <c r="BD47" s="57">
        <v>130860</v>
      </c>
      <c r="BE47" s="57"/>
      <c r="BF47" s="57"/>
      <c r="BG47" s="57"/>
      <c r="BH47" s="57"/>
      <c r="BI47" s="57"/>
      <c r="BJ47" s="57"/>
      <c r="BK47" s="57">
        <v>231105</v>
      </c>
      <c r="BL47" s="57">
        <v>339037</v>
      </c>
      <c r="BM47" s="56">
        <v>413019</v>
      </c>
      <c r="BN47" s="60">
        <v>414442</v>
      </c>
      <c r="BO47" s="60">
        <f>SUM(AH47:AK47)</f>
        <v>500006</v>
      </c>
      <c r="BP47" s="60">
        <f>SUM(AL47:AO47)</f>
        <v>639776</v>
      </c>
      <c r="BQ47" s="347"/>
      <c r="BR47" s="61"/>
    </row>
    <row r="48" spans="1:70" s="63" customFormat="1" x14ac:dyDescent="0.3">
      <c r="A48" s="90" t="s">
        <v>170</v>
      </c>
      <c r="B48" s="56"/>
      <c r="C48" s="56"/>
      <c r="D48" s="56"/>
      <c r="E48" s="56"/>
      <c r="F48" s="57"/>
      <c r="G48" s="57"/>
      <c r="H48" s="57"/>
      <c r="I48" s="57"/>
      <c r="J48" s="57"/>
      <c r="K48" s="57"/>
      <c r="L48" s="57"/>
      <c r="M48" s="57"/>
      <c r="N48" s="105"/>
      <c r="O48" s="59"/>
      <c r="P48" s="127"/>
      <c r="Q48" s="57"/>
      <c r="R48" s="57"/>
      <c r="S48" s="104"/>
      <c r="T48" s="59"/>
      <c r="U48" s="154"/>
      <c r="V48" s="154"/>
      <c r="W48" s="154"/>
      <c r="X48" s="154"/>
      <c r="Y48" s="154"/>
      <c r="Z48" s="300"/>
      <c r="AA48" s="154">
        <v>0.54600000000000004</v>
      </c>
      <c r="AB48" s="154"/>
      <c r="AC48" s="154"/>
      <c r="AD48" s="300"/>
      <c r="AE48" s="154"/>
      <c r="AF48" s="154"/>
      <c r="AG48" s="154">
        <v>405</v>
      </c>
      <c r="AH48" s="300"/>
      <c r="AI48" s="154"/>
      <c r="AJ48" s="154">
        <v>231</v>
      </c>
      <c r="AK48" s="424">
        <v>75</v>
      </c>
      <c r="AL48" s="154"/>
      <c r="AM48" s="154"/>
      <c r="AN48" s="154"/>
      <c r="AO48" s="424"/>
      <c r="AP48" s="154"/>
      <c r="AQ48" s="154"/>
      <c r="AR48" s="154"/>
      <c r="AS48" s="154"/>
      <c r="AT48" s="154"/>
      <c r="AU48" s="154"/>
      <c r="AV48" s="154"/>
      <c r="AW48" s="154"/>
      <c r="AX48" s="154"/>
      <c r="AY48" s="154"/>
      <c r="AZ48" s="154"/>
      <c r="BA48" s="154"/>
      <c r="BB48" s="58"/>
      <c r="BC48" s="58"/>
      <c r="BD48" s="57"/>
      <c r="BE48" s="57"/>
      <c r="BF48" s="57"/>
      <c r="BG48" s="57"/>
      <c r="BH48" s="57"/>
      <c r="BI48" s="57"/>
      <c r="BJ48" s="57"/>
      <c r="BK48" s="57"/>
      <c r="BL48" s="382"/>
      <c r="BM48" s="383"/>
      <c r="BN48" s="384"/>
      <c r="BO48" s="384">
        <f>SUM(AH48:AK48)</f>
        <v>306</v>
      </c>
      <c r="BP48" s="60"/>
      <c r="BQ48" s="60"/>
      <c r="BR48" s="61"/>
    </row>
    <row r="49" spans="1:70" s="96" customFormat="1" x14ac:dyDescent="0.3">
      <c r="A49" s="89" t="s">
        <v>52</v>
      </c>
      <c r="B49" s="4">
        <f>IFERROR(B26+B47,"n.a.")</f>
        <v>0</v>
      </c>
      <c r="C49" s="4">
        <f>IFERROR(C26+C47,"n.a.")</f>
        <v>0</v>
      </c>
      <c r="D49" s="4">
        <f>IFERROR(D26+D47,"n.a.")</f>
        <v>0</v>
      </c>
      <c r="E49" s="4">
        <f>IFERROR(E26+E47,"n.a.")</f>
        <v>0</v>
      </c>
      <c r="F49" s="54">
        <f>IFERROR(F26+F46+F47,"n.a.")</f>
        <v>30498</v>
      </c>
      <c r="G49" s="54">
        <f t="shared" ref="G49:L49" si="41">IFERROR(G26+G46+G47,"n.a.")</f>
        <v>46088</v>
      </c>
      <c r="H49" s="54">
        <f t="shared" si="41"/>
        <v>-113519</v>
      </c>
      <c r="I49" s="54">
        <f>IFERROR(I26+I46+I47,"n.a.")</f>
        <v>98163</v>
      </c>
      <c r="J49" s="54"/>
      <c r="K49" s="54">
        <f t="shared" si="41"/>
        <v>-987428</v>
      </c>
      <c r="L49" s="54">
        <f t="shared" si="41"/>
        <v>-2049779</v>
      </c>
      <c r="M49" s="54">
        <f>IFERROR(M26+M46+M47,"n.a.")</f>
        <v>76586</v>
      </c>
      <c r="N49" s="106">
        <f>IFERROR(N26+N46+N47,"n.a.")</f>
        <v>-15356</v>
      </c>
      <c r="O49" s="54"/>
      <c r="P49" s="128"/>
      <c r="Q49" s="54"/>
      <c r="R49" s="54"/>
      <c r="S49" s="106"/>
      <c r="T49" s="97"/>
      <c r="U49" s="155">
        <f>IFERROR(U26+U46+U47,"n.a.")</f>
        <v>-274753</v>
      </c>
      <c r="V49" s="155"/>
      <c r="W49" s="155">
        <f t="shared" ref="W49:AC49" si="42">IFERROR(W26+W46+W47,"n.a.")</f>
        <v>161234</v>
      </c>
      <c r="X49" s="155">
        <f t="shared" si="42"/>
        <v>197168</v>
      </c>
      <c r="Y49" s="155">
        <f t="shared" si="42"/>
        <v>-99005</v>
      </c>
      <c r="Z49" s="128">
        <f t="shared" si="42"/>
        <v>299412</v>
      </c>
      <c r="AA49" s="155">
        <f t="shared" si="42"/>
        <v>316302</v>
      </c>
      <c r="AB49" s="155">
        <f t="shared" si="42"/>
        <v>442134</v>
      </c>
      <c r="AC49" s="155">
        <f t="shared" si="42"/>
        <v>343263</v>
      </c>
      <c r="AD49" s="128">
        <f t="shared" ref="AD49:AI49" si="43">IFERROR(AD26+AD46+AD47,"n.a.")</f>
        <v>100802</v>
      </c>
      <c r="AE49" s="155">
        <f t="shared" si="43"/>
        <v>139652</v>
      </c>
      <c r="AF49" s="155">
        <f t="shared" si="43"/>
        <v>390434</v>
      </c>
      <c r="AG49" s="155">
        <f t="shared" si="43"/>
        <v>168184</v>
      </c>
      <c r="AH49" s="128">
        <f t="shared" si="43"/>
        <v>299072</v>
      </c>
      <c r="AI49" s="155">
        <f t="shared" si="43"/>
        <v>424703</v>
      </c>
      <c r="AJ49" s="155">
        <f t="shared" ref="AJ49:AO49" si="44">IFERROR(AJ26+AJ46+AJ47+AJ48,"n.a.")</f>
        <v>364273</v>
      </c>
      <c r="AK49" s="106">
        <f t="shared" si="44"/>
        <v>186667</v>
      </c>
      <c r="AL49" s="155">
        <f t="shared" si="44"/>
        <v>278274</v>
      </c>
      <c r="AM49" s="155">
        <f t="shared" si="44"/>
        <v>94547</v>
      </c>
      <c r="AN49" s="155">
        <f t="shared" si="44"/>
        <v>264593</v>
      </c>
      <c r="AO49" s="106">
        <f t="shared" si="44"/>
        <v>51237</v>
      </c>
      <c r="AP49" s="155">
        <f t="shared" ref="AP49:AU49" si="45">IFERROR(AP26+AP46+AP47+AP48,"n.a.")</f>
        <v>590711</v>
      </c>
      <c r="AQ49" s="155">
        <f t="shared" si="45"/>
        <v>641406</v>
      </c>
      <c r="AR49" s="155">
        <f t="shared" si="45"/>
        <v>751696</v>
      </c>
      <c r="AS49" s="155">
        <f t="shared" si="45"/>
        <v>660577</v>
      </c>
      <c r="AT49" s="155">
        <f t="shared" si="45"/>
        <v>652682</v>
      </c>
      <c r="AU49" s="155">
        <f t="shared" si="45"/>
        <v>731058</v>
      </c>
      <c r="AV49" s="155">
        <f t="shared" ref="AV49" si="46">IFERROR(AV26+AV46+AV47+AV48,"n.a.")</f>
        <v>1143325</v>
      </c>
      <c r="AW49" s="155">
        <f t="shared" ref="AW49:BB49" si="47">IFERROR(AW26+AW46+AW47+AW48,"n.a.")</f>
        <v>841245</v>
      </c>
      <c r="AX49" s="155">
        <f t="shared" si="47"/>
        <v>1041955</v>
      </c>
      <c r="AY49" s="155">
        <f t="shared" si="47"/>
        <v>1046589</v>
      </c>
      <c r="AZ49" s="155">
        <f t="shared" si="47"/>
        <v>1492433</v>
      </c>
      <c r="BA49" s="155">
        <f t="shared" si="47"/>
        <v>701112</v>
      </c>
      <c r="BB49" s="155">
        <f t="shared" si="47"/>
        <v>1342785</v>
      </c>
      <c r="BC49" s="155">
        <f t="shared" ref="BC49" si="48">IFERROR(BC26+BC46+BC47+BC48,"n.a.")</f>
        <v>1201342</v>
      </c>
      <c r="BD49" s="54">
        <f>IFERROR(BD26+BD46+BD47,"n.a.")</f>
        <v>79793</v>
      </c>
      <c r="BE49" s="54">
        <f>IFERROR(BE26+BE47,"n.a.")</f>
        <v>3240212</v>
      </c>
      <c r="BF49" s="54">
        <f>IFERROR(BF26+BF47,"n.a.")</f>
        <v>3374309</v>
      </c>
      <c r="BG49" s="54">
        <f>IFERROR(BG26+BG47,"n.a.")</f>
        <v>0</v>
      </c>
      <c r="BH49" s="54"/>
      <c r="BI49" s="54"/>
      <c r="BJ49" s="54"/>
      <c r="BK49" s="155">
        <f t="shared" ref="BK49:BP49" si="49">IFERROR(BK26+BK46+BK47,"n.a.")</f>
        <v>494368</v>
      </c>
      <c r="BL49" s="155">
        <f t="shared" si="49"/>
        <v>-15356</v>
      </c>
      <c r="BM49" s="155">
        <f t="shared" si="49"/>
        <v>1265613</v>
      </c>
      <c r="BN49" s="155">
        <f t="shared" si="49"/>
        <v>799072</v>
      </c>
      <c r="BO49" s="155">
        <f t="shared" si="49"/>
        <v>1274409</v>
      </c>
      <c r="BP49" s="155">
        <f t="shared" si="49"/>
        <v>688651</v>
      </c>
      <c r="BQ49" s="347"/>
      <c r="BR49" s="95"/>
    </row>
    <row r="50" spans="1:70" s="96" customFormat="1" x14ac:dyDescent="0.3">
      <c r="A50" s="89" t="s">
        <v>90</v>
      </c>
      <c r="B50" s="4">
        <f t="shared" ref="B50:I50" si="50">IFERROR(B49+B44,"n.a.")</f>
        <v>0</v>
      </c>
      <c r="C50" s="4">
        <f t="shared" si="50"/>
        <v>0</v>
      </c>
      <c r="D50" s="4">
        <f t="shared" si="50"/>
        <v>0</v>
      </c>
      <c r="E50" s="4">
        <f t="shared" si="50"/>
        <v>0</v>
      </c>
      <c r="F50" s="54">
        <f t="shared" si="50"/>
        <v>40141</v>
      </c>
      <c r="G50" s="54">
        <f t="shared" si="50"/>
        <v>93228</v>
      </c>
      <c r="H50" s="54">
        <f t="shared" si="50"/>
        <v>11338</v>
      </c>
      <c r="I50" s="54">
        <f t="shared" si="50"/>
        <v>545497</v>
      </c>
      <c r="J50" s="54"/>
      <c r="K50" s="54">
        <f>IFERROR(K49+K44,"n.a.")</f>
        <v>-775928</v>
      </c>
      <c r="L50" s="54">
        <f>IFERROR(L49+L44,"n.a.")</f>
        <v>-1977436</v>
      </c>
      <c r="M50" s="54">
        <f>IFERROR(M49+M44,"n.a.")</f>
        <v>133369</v>
      </c>
      <c r="N50" s="106">
        <f>IFERROR(N49+N44,"n.a.")</f>
        <v>556835</v>
      </c>
      <c r="O50" s="54"/>
      <c r="P50" s="128"/>
      <c r="Q50" s="54"/>
      <c r="R50" s="54"/>
      <c r="S50" s="106"/>
      <c r="T50" s="97"/>
      <c r="U50" s="155">
        <f>IFERROR(U49+U44,"n.a.")</f>
        <v>-227048</v>
      </c>
      <c r="V50" s="155"/>
      <c r="W50" s="155">
        <f t="shared" ref="W50:AL50" si="51">IFERROR(W49+W44,"n.a.")</f>
        <v>238386</v>
      </c>
      <c r="X50" s="155">
        <f t="shared" si="51"/>
        <v>376762</v>
      </c>
      <c r="Y50" s="155">
        <f t="shared" si="51"/>
        <v>168735</v>
      </c>
      <c r="Z50" s="128">
        <f t="shared" si="51"/>
        <v>585162</v>
      </c>
      <c r="AA50" s="155">
        <f t="shared" si="51"/>
        <v>392408</v>
      </c>
      <c r="AB50" s="155">
        <f t="shared" si="51"/>
        <v>496870</v>
      </c>
      <c r="AC50" s="155">
        <f t="shared" si="51"/>
        <v>468881</v>
      </c>
      <c r="AD50" s="128">
        <f t="shared" si="51"/>
        <v>166746</v>
      </c>
      <c r="AE50" s="155">
        <f t="shared" si="51"/>
        <v>211401</v>
      </c>
      <c r="AF50" s="155">
        <f t="shared" si="51"/>
        <v>445673</v>
      </c>
      <c r="AG50" s="155">
        <f t="shared" si="51"/>
        <v>357399</v>
      </c>
      <c r="AH50" s="128">
        <f t="shared" si="51"/>
        <v>356437</v>
      </c>
      <c r="AI50" s="155">
        <f t="shared" si="51"/>
        <v>474905</v>
      </c>
      <c r="AJ50" s="155">
        <f t="shared" si="51"/>
        <v>427778</v>
      </c>
      <c r="AK50" s="106">
        <f t="shared" si="51"/>
        <v>345623</v>
      </c>
      <c r="AL50" s="155">
        <f t="shared" si="51"/>
        <v>373188</v>
      </c>
      <c r="AM50" s="155">
        <f t="shared" ref="AM50:AT50" si="52">IFERROR(AM49+AM44,"n.a.")</f>
        <v>196433</v>
      </c>
      <c r="AN50" s="155">
        <f t="shared" si="52"/>
        <v>398418</v>
      </c>
      <c r="AO50" s="106">
        <f t="shared" si="52"/>
        <v>161703</v>
      </c>
      <c r="AP50" s="155">
        <f t="shared" si="52"/>
        <v>681370</v>
      </c>
      <c r="AQ50" s="155">
        <f t="shared" si="52"/>
        <v>719360</v>
      </c>
      <c r="AR50" s="155">
        <f t="shared" si="52"/>
        <v>814596</v>
      </c>
      <c r="AS50" s="155">
        <f t="shared" si="52"/>
        <v>777200</v>
      </c>
      <c r="AT50" s="155">
        <f t="shared" si="52"/>
        <v>766896</v>
      </c>
      <c r="AU50" s="155">
        <f t="shared" ref="AU50" si="53">IFERROR(AU49+AU44,"n.a.")</f>
        <v>838968</v>
      </c>
      <c r="AV50" s="155">
        <f>IFERROR(AV49+AV44,"n.a.")</f>
        <v>1255906</v>
      </c>
      <c r="AW50" s="155">
        <f>IFERROR(AW49+AW44,"n.a.")</f>
        <v>914869</v>
      </c>
      <c r="AX50" s="155">
        <f>IFERROR(AX49+AX44,"n.a.")</f>
        <v>1117134</v>
      </c>
      <c r="AY50" s="155">
        <f>IFERROR(AY49+AY44,"n.a.")</f>
        <v>1120467</v>
      </c>
      <c r="AZ50" s="155">
        <v>1510264</v>
      </c>
      <c r="BA50" s="155">
        <f>IFERROR(BA49+BA44,"n.a.")</f>
        <v>1048728</v>
      </c>
      <c r="BB50" s="155">
        <f t="shared" ref="BB50:BC50" si="54">IFERROR(BB49+BB44,"n.a.")</f>
        <v>1381263</v>
      </c>
      <c r="BC50" s="155">
        <f t="shared" si="54"/>
        <v>1244915</v>
      </c>
      <c r="BD50" s="54">
        <f>IFERROR(BD49+BD44,"n.a.")</f>
        <v>204650</v>
      </c>
      <c r="BE50" s="54">
        <f>IFERROR(BE49+BE44,"n.a.")</f>
        <v>3240212</v>
      </c>
      <c r="BF50" s="54">
        <f>IFERROR(BF49+BF44,"n.a.")</f>
        <v>3374309</v>
      </c>
      <c r="BG50" s="54">
        <f>IFERROR(BG49+BG44,"n.a.")</f>
        <v>0</v>
      </c>
      <c r="BH50" s="54"/>
      <c r="BI50" s="54">
        <f t="shared" ref="BI50:BO50" si="55">IFERROR(BI49+BI44,"n.a.")</f>
        <v>0</v>
      </c>
      <c r="BJ50" s="54">
        <f t="shared" si="55"/>
        <v>0</v>
      </c>
      <c r="BK50" s="54">
        <f t="shared" si="55"/>
        <v>551151</v>
      </c>
      <c r="BL50" s="155">
        <f t="shared" si="55"/>
        <v>556835</v>
      </c>
      <c r="BM50" s="385">
        <f t="shared" si="55"/>
        <v>1807823</v>
      </c>
      <c r="BN50" s="385">
        <f t="shared" si="55"/>
        <v>1181219</v>
      </c>
      <c r="BO50" s="385">
        <f t="shared" si="55"/>
        <v>1274409</v>
      </c>
      <c r="BP50" s="385">
        <f>IFERROR(BP49+BP44,"n.a.")</f>
        <v>688651</v>
      </c>
      <c r="BQ50" s="347"/>
      <c r="BR50" s="95"/>
    </row>
    <row r="51" spans="1:70" s="100" customFormat="1" x14ac:dyDescent="0.3">
      <c r="A51" s="89" t="s">
        <v>91</v>
      </c>
      <c r="B51" s="72"/>
      <c r="C51" s="72"/>
      <c r="D51" s="72"/>
      <c r="E51" s="72"/>
      <c r="F51" s="73">
        <v>48080</v>
      </c>
      <c r="G51" s="73">
        <f>M51-F51</f>
        <v>121567</v>
      </c>
      <c r="H51" s="73">
        <v>442639</v>
      </c>
      <c r="I51" s="73">
        <f>N51-H51</f>
        <v>709495</v>
      </c>
      <c r="J51" s="73"/>
      <c r="K51" s="73">
        <v>-658169</v>
      </c>
      <c r="L51" s="73">
        <v>-178856</v>
      </c>
      <c r="M51" s="73">
        <v>169647</v>
      </c>
      <c r="N51" s="108">
        <v>1152134</v>
      </c>
      <c r="O51" s="73"/>
      <c r="P51" s="131"/>
      <c r="Q51" s="73"/>
      <c r="R51" s="73"/>
      <c r="S51" s="108"/>
      <c r="T51" s="98"/>
      <c r="U51" s="158">
        <v>129934</v>
      </c>
      <c r="V51" s="158">
        <f>Z51/1.34</f>
        <v>459380.59701492533</v>
      </c>
      <c r="W51" s="158">
        <v>312705</v>
      </c>
      <c r="X51" s="158">
        <v>428471</v>
      </c>
      <c r="Y51" s="158">
        <v>281024</v>
      </c>
      <c r="Z51" s="302">
        <v>615570</v>
      </c>
      <c r="AA51" s="158">
        <v>440536</v>
      </c>
      <c r="AB51" s="158">
        <v>547317</v>
      </c>
      <c r="AC51" s="158">
        <v>415109</v>
      </c>
      <c r="AD51" s="302">
        <v>158902</v>
      </c>
      <c r="AE51" s="158">
        <v>267349</v>
      </c>
      <c r="AF51" s="158">
        <v>499283</v>
      </c>
      <c r="AG51" s="158">
        <v>440950</v>
      </c>
      <c r="AH51" s="158">
        <v>420024</v>
      </c>
      <c r="AI51" s="158">
        <v>549726</v>
      </c>
      <c r="AJ51" s="158">
        <v>517708</v>
      </c>
      <c r="AK51" s="426">
        <v>421782</v>
      </c>
      <c r="AL51" s="158">
        <v>438436</v>
      </c>
      <c r="AM51" s="158">
        <v>292234</v>
      </c>
      <c r="AN51" s="158">
        <v>462180</v>
      </c>
      <c r="AO51" s="426">
        <v>244324</v>
      </c>
      <c r="AP51" s="158">
        <v>732205</v>
      </c>
      <c r="AQ51" s="158">
        <v>805839</v>
      </c>
      <c r="AR51" s="158">
        <v>869999</v>
      </c>
      <c r="AS51" s="158">
        <v>715851</v>
      </c>
      <c r="AT51" s="158">
        <v>820228</v>
      </c>
      <c r="AU51" s="158">
        <v>913465</v>
      </c>
      <c r="AV51" s="158">
        <v>1318796</v>
      </c>
      <c r="AW51" s="158">
        <v>997667</v>
      </c>
      <c r="AX51" s="158">
        <v>1159384</v>
      </c>
      <c r="AY51" s="158">
        <v>1185177</v>
      </c>
      <c r="AZ51" s="158">
        <v>1510264</v>
      </c>
      <c r="BA51" s="158">
        <v>1282894</v>
      </c>
      <c r="BB51" s="98">
        <v>1389043</v>
      </c>
      <c r="BC51" s="98">
        <v>1271643</v>
      </c>
      <c r="BD51" s="73"/>
      <c r="BE51" s="73"/>
      <c r="BF51" s="73"/>
      <c r="BG51" s="73"/>
      <c r="BH51" s="73"/>
      <c r="BI51" s="73"/>
      <c r="BJ51" s="73"/>
      <c r="BK51" s="73">
        <v>952054</v>
      </c>
      <c r="BL51" s="386">
        <v>1152134</v>
      </c>
      <c r="BM51" s="387">
        <v>2018532</v>
      </c>
      <c r="BN51" s="388">
        <v>1366484</v>
      </c>
      <c r="BO51" s="394">
        <f>SUM(AH51:AK51)</f>
        <v>1909240</v>
      </c>
      <c r="BP51" s="394">
        <f>SUM(AL51:AO51)</f>
        <v>1437174</v>
      </c>
      <c r="BQ51" s="347"/>
      <c r="BR51" s="99"/>
    </row>
    <row r="52" spans="1:70" x14ac:dyDescent="0.3">
      <c r="B52" s="3"/>
      <c r="C52" s="3"/>
      <c r="D52" s="3"/>
      <c r="E52" s="3"/>
      <c r="F52" s="3"/>
      <c r="G52" s="3"/>
      <c r="H52" s="3"/>
      <c r="I52" s="3"/>
      <c r="J52" s="3"/>
      <c r="K52" s="3"/>
      <c r="L52" s="3"/>
      <c r="M52" s="3"/>
      <c r="N52" s="109"/>
      <c r="O52" s="10"/>
      <c r="P52" s="132"/>
      <c r="Q52" s="3"/>
      <c r="R52" s="3"/>
      <c r="S52" s="122"/>
      <c r="T52" s="13"/>
      <c r="U52" s="159"/>
      <c r="V52" s="159"/>
      <c r="W52" s="159"/>
      <c r="X52" s="159"/>
      <c r="Y52" s="159"/>
      <c r="Z52" s="297">
        <f t="shared" ref="Z52:AJ52" si="56">Z45/Z11</f>
        <v>0.24828488777965371</v>
      </c>
      <c r="AA52" s="286">
        <f t="shared" si="56"/>
        <v>0.15506839533395606</v>
      </c>
      <c r="AB52" s="286">
        <f t="shared" si="56"/>
        <v>0.17045870046990247</v>
      </c>
      <c r="AC52" s="286">
        <f t="shared" si="56"/>
        <v>0.1641621002477392</v>
      </c>
      <c r="AD52" s="297">
        <f t="shared" si="56"/>
        <v>2.1008520409584567E-2</v>
      </c>
      <c r="AE52" s="286">
        <f t="shared" si="56"/>
        <v>5.4142717393296923E-2</v>
      </c>
      <c r="AF52" s="286">
        <f t="shared" si="56"/>
        <v>0.15389826577760041</v>
      </c>
      <c r="AG52" s="286">
        <f t="shared" si="56"/>
        <v>0.10948224647254517</v>
      </c>
      <c r="AH52" s="286">
        <f t="shared" si="56"/>
        <v>0.13128631651611791</v>
      </c>
      <c r="AI52" s="286">
        <f t="shared" si="56"/>
        <v>0.15425095779795572</v>
      </c>
      <c r="AJ52" s="286">
        <f t="shared" si="56"/>
        <v>0.12639635026974405</v>
      </c>
      <c r="AK52" s="427"/>
      <c r="AL52" s="286"/>
      <c r="AM52" s="286"/>
      <c r="AN52" s="286"/>
      <c r="AO52" s="427"/>
      <c r="AP52" s="286"/>
      <c r="AQ52" s="286"/>
      <c r="AR52" s="286"/>
      <c r="AS52" s="286"/>
      <c r="AT52" s="286">
        <f t="shared" ref="AT52:AW52" si="57">AT51/AT11</f>
        <v>0.21214925569242563</v>
      </c>
      <c r="AU52" s="286">
        <f t="shared" si="57"/>
        <v>0.21516800589443949</v>
      </c>
      <c r="AV52" s="286">
        <f t="shared" si="57"/>
        <v>0.26420856592893194</v>
      </c>
      <c r="AW52" s="286">
        <f t="shared" si="57"/>
        <v>0.2354345843298789</v>
      </c>
      <c r="AX52" s="286">
        <f t="shared" ref="AX52:BC52" si="58">AX51/AX11</f>
        <v>0.26485482812754146</v>
      </c>
      <c r="AY52" s="286">
        <f t="shared" si="58"/>
        <v>0.25381615019046216</v>
      </c>
      <c r="AZ52" s="286">
        <f t="shared" si="58"/>
        <v>0.27413928052288644</v>
      </c>
      <c r="BA52" s="286">
        <f t="shared" si="58"/>
        <v>0.26506162003841333</v>
      </c>
      <c r="BB52" s="286">
        <f t="shared" si="58"/>
        <v>0.27748715887515901</v>
      </c>
      <c r="BC52" s="286">
        <f t="shared" si="58"/>
        <v>0.25499019756660629</v>
      </c>
      <c r="BD52" s="3"/>
      <c r="BE52" s="3"/>
      <c r="BF52" s="3"/>
      <c r="BG52" s="3"/>
      <c r="BH52" s="3"/>
      <c r="BI52" s="3"/>
      <c r="BJ52" s="3"/>
      <c r="BK52" s="3"/>
      <c r="BL52" s="286"/>
      <c r="BM52" s="389"/>
      <c r="BN52" s="286">
        <f>BN45/BN11</f>
        <v>9.7631709315541895E-2</v>
      </c>
      <c r="BO52" s="286"/>
      <c r="BP52" s="286"/>
      <c r="BQ52" s="13"/>
      <c r="BR52" s="7"/>
    </row>
    <row r="53" spans="1:70" hidden="1" outlineLevel="1" x14ac:dyDescent="0.3">
      <c r="A53" s="86" t="s">
        <v>43</v>
      </c>
      <c r="B53" s="3"/>
      <c r="C53" s="3"/>
      <c r="D53" s="3"/>
      <c r="E53" s="3"/>
      <c r="F53" s="3"/>
      <c r="G53" s="3"/>
      <c r="H53" s="3"/>
      <c r="I53" s="3"/>
      <c r="J53" s="3"/>
      <c r="K53" s="3"/>
      <c r="L53" s="3"/>
      <c r="M53" s="3"/>
      <c r="N53" s="109"/>
      <c r="P53" s="132"/>
      <c r="Q53" s="3"/>
      <c r="R53" s="3"/>
      <c r="S53" s="122"/>
      <c r="T53" s="13"/>
      <c r="U53" s="159"/>
      <c r="V53" s="159"/>
      <c r="W53" s="159"/>
      <c r="X53" s="159"/>
      <c r="Y53" s="159"/>
      <c r="Z53" s="303"/>
      <c r="AA53" s="159"/>
      <c r="AB53" s="159"/>
      <c r="AC53" s="159"/>
      <c r="AD53" s="303"/>
      <c r="AE53" s="159"/>
      <c r="AF53" s="159"/>
      <c r="AG53" s="159"/>
      <c r="AH53" s="159"/>
      <c r="AI53" s="159"/>
      <c r="AJ53" s="159"/>
      <c r="AK53" s="428"/>
      <c r="AL53" s="159"/>
      <c r="AM53" s="159"/>
      <c r="AN53" s="159"/>
      <c r="AO53" s="428"/>
      <c r="AP53" s="159"/>
      <c r="AQ53" s="159"/>
      <c r="AR53" s="159"/>
      <c r="AS53" s="159"/>
      <c r="AT53" s="159"/>
      <c r="AU53" s="159"/>
      <c r="AV53" s="159"/>
      <c r="AW53" s="159"/>
      <c r="AX53" s="159"/>
      <c r="AY53" s="159"/>
      <c r="AZ53" s="159"/>
      <c r="BA53" s="159"/>
      <c r="BB53" s="7"/>
      <c r="BC53" s="7"/>
      <c r="BD53" s="3"/>
      <c r="BE53" s="3"/>
      <c r="BF53" s="3"/>
      <c r="BG53" s="3"/>
      <c r="BH53" s="3"/>
      <c r="BI53" s="3"/>
      <c r="BJ53" s="3"/>
      <c r="BK53" s="3"/>
      <c r="BL53" s="389"/>
      <c r="BM53" s="389"/>
      <c r="BN53" s="159"/>
      <c r="BO53" s="159"/>
      <c r="BP53" s="159"/>
      <c r="BQ53" s="13"/>
      <c r="BR53" s="7"/>
    </row>
    <row r="54" spans="1:70" hidden="1" outlineLevel="1" x14ac:dyDescent="0.3">
      <c r="A54" s="92" t="s">
        <v>28</v>
      </c>
      <c r="B54" s="3"/>
      <c r="C54" s="3"/>
      <c r="D54" s="3"/>
      <c r="E54" s="3"/>
      <c r="F54" s="3"/>
      <c r="G54" s="3"/>
      <c r="H54" s="3"/>
      <c r="I54" s="3"/>
      <c r="J54" s="3"/>
      <c r="K54" s="3"/>
      <c r="L54" s="3"/>
      <c r="M54" s="3"/>
      <c r="N54" s="109"/>
      <c r="P54" s="132"/>
      <c r="Q54" s="3"/>
      <c r="R54" s="3"/>
      <c r="S54" s="122"/>
      <c r="T54" s="13"/>
      <c r="U54" s="159"/>
      <c r="V54" s="159"/>
      <c r="W54" s="159"/>
      <c r="X54" s="159"/>
      <c r="Y54" s="159"/>
      <c r="Z54" s="303"/>
      <c r="AA54" s="159"/>
      <c r="AB54" s="159"/>
      <c r="AC54" s="159"/>
      <c r="AD54" s="303"/>
      <c r="AE54" s="159"/>
      <c r="AF54" s="159"/>
      <c r="AG54" s="159"/>
      <c r="AH54" s="159"/>
      <c r="AI54" s="159"/>
      <c r="AJ54" s="159"/>
      <c r="AK54" s="428"/>
      <c r="AL54" s="159"/>
      <c r="AM54" s="159"/>
      <c r="AN54" s="159"/>
      <c r="AO54" s="428"/>
      <c r="AP54" s="159"/>
      <c r="AQ54" s="159"/>
      <c r="AR54" s="159"/>
      <c r="AS54" s="159"/>
      <c r="AT54" s="159"/>
      <c r="AU54" s="159"/>
      <c r="AV54" s="159"/>
      <c r="AW54" s="159"/>
      <c r="AX54" s="159"/>
      <c r="AY54" s="159"/>
      <c r="AZ54" s="159"/>
      <c r="BA54" s="159"/>
      <c r="BB54" s="7"/>
      <c r="BC54" s="7"/>
      <c r="BD54" s="3"/>
      <c r="BE54" s="3"/>
      <c r="BF54" s="3"/>
      <c r="BG54" s="3"/>
      <c r="BH54" s="3"/>
      <c r="BI54" s="3"/>
      <c r="BJ54" s="3"/>
      <c r="BK54" s="3"/>
      <c r="BL54" s="389"/>
      <c r="BM54" s="389"/>
      <c r="BN54" s="159"/>
      <c r="BO54" s="159"/>
      <c r="BP54" s="159"/>
      <c r="BQ54" s="13"/>
      <c r="BR54" s="7"/>
    </row>
    <row r="55" spans="1:70" hidden="1" outlineLevel="1" x14ac:dyDescent="0.3">
      <c r="A55" s="84" t="s">
        <v>80</v>
      </c>
      <c r="B55" s="3"/>
      <c r="C55" s="3"/>
      <c r="D55" s="3"/>
      <c r="E55" s="3"/>
      <c r="F55" s="3"/>
      <c r="G55" s="3"/>
      <c r="H55" s="3">
        <v>2326321</v>
      </c>
      <c r="I55" s="3"/>
      <c r="J55" s="3"/>
      <c r="K55" s="3">
        <v>710403</v>
      </c>
      <c r="L55" s="3">
        <v>339299</v>
      </c>
      <c r="M55" s="3">
        <v>701748</v>
      </c>
      <c r="N55" s="109">
        <v>3143883</v>
      </c>
      <c r="P55" s="132">
        <v>243169</v>
      </c>
      <c r="Q55" s="3">
        <v>947340</v>
      </c>
      <c r="R55" s="3">
        <v>1268206</v>
      </c>
      <c r="S55" s="122">
        <v>941181</v>
      </c>
      <c r="T55" s="13"/>
      <c r="U55" s="159">
        <v>2326321</v>
      </c>
      <c r="V55" s="159">
        <v>2326321</v>
      </c>
      <c r="W55" s="159"/>
      <c r="X55" s="159"/>
      <c r="Y55" s="159"/>
      <c r="Z55" s="303">
        <v>2326321</v>
      </c>
      <c r="AA55" s="159"/>
      <c r="AB55" s="159"/>
      <c r="AC55" s="159"/>
      <c r="AD55" s="303"/>
      <c r="AE55" s="159"/>
      <c r="AF55" s="159"/>
      <c r="AG55" s="159"/>
      <c r="AH55" s="159"/>
      <c r="AI55" s="159"/>
      <c r="AJ55" s="159"/>
      <c r="AK55" s="428"/>
      <c r="AL55" s="159"/>
      <c r="AM55" s="159"/>
      <c r="AN55" s="159"/>
      <c r="AO55" s="428"/>
      <c r="AP55" s="159"/>
      <c r="AQ55" s="159"/>
      <c r="AR55" s="159"/>
      <c r="AS55" s="159"/>
      <c r="AT55" s="159"/>
      <c r="AU55" s="159"/>
      <c r="AV55" s="159"/>
      <c r="AW55" s="159"/>
      <c r="AX55" s="159"/>
      <c r="AY55" s="159"/>
      <c r="AZ55" s="159"/>
      <c r="BA55" s="159"/>
      <c r="BB55" s="7"/>
      <c r="BC55" s="7"/>
      <c r="BD55" s="3">
        <v>2326321</v>
      </c>
      <c r="BE55" s="3"/>
      <c r="BF55" s="3"/>
      <c r="BG55" s="3"/>
      <c r="BH55" s="3"/>
      <c r="BI55" s="3"/>
      <c r="BJ55" s="3"/>
      <c r="BK55" s="3"/>
      <c r="BL55" s="389"/>
      <c r="BM55" s="389"/>
      <c r="BN55" s="159"/>
      <c r="BO55" s="159"/>
      <c r="BP55" s="159"/>
      <c r="BQ55" s="13"/>
      <c r="BR55" s="7"/>
    </row>
    <row r="56" spans="1:70" hidden="1" outlineLevel="1" x14ac:dyDescent="0.3">
      <c r="A56" s="84" t="s">
        <v>29</v>
      </c>
      <c r="B56" s="3"/>
      <c r="C56" s="3"/>
      <c r="D56" s="3"/>
      <c r="E56" s="3"/>
      <c r="F56" s="3"/>
      <c r="G56" s="3"/>
      <c r="H56" s="3">
        <v>144409</v>
      </c>
      <c r="I56" s="3"/>
      <c r="J56" s="3"/>
      <c r="K56" s="3">
        <v>146480</v>
      </c>
      <c r="L56" s="3">
        <v>153606</v>
      </c>
      <c r="M56" s="3">
        <v>170541</v>
      </c>
      <c r="N56" s="109">
        <v>140930</v>
      </c>
      <c r="P56" s="132">
        <v>5740</v>
      </c>
      <c r="Q56" s="3">
        <v>7394</v>
      </c>
      <c r="R56" s="3">
        <v>18076</v>
      </c>
      <c r="S56" s="122">
        <v>11067</v>
      </c>
      <c r="T56" s="13"/>
      <c r="U56" s="159">
        <v>144409</v>
      </c>
      <c r="V56" s="159">
        <v>144409</v>
      </c>
      <c r="W56" s="159"/>
      <c r="X56" s="159"/>
      <c r="Y56" s="159"/>
      <c r="Z56" s="303">
        <v>144409</v>
      </c>
      <c r="AA56" s="159"/>
      <c r="AB56" s="159"/>
      <c r="AC56" s="159"/>
      <c r="AD56" s="303"/>
      <c r="AE56" s="159"/>
      <c r="AF56" s="159"/>
      <c r="AG56" s="159"/>
      <c r="AH56" s="159"/>
      <c r="AI56" s="159"/>
      <c r="AJ56" s="159"/>
      <c r="AK56" s="428"/>
      <c r="AL56" s="159"/>
      <c r="AM56" s="159"/>
      <c r="AN56" s="159"/>
      <c r="AO56" s="428"/>
      <c r="AP56" s="159"/>
      <c r="AQ56" s="159"/>
      <c r="AR56" s="159"/>
      <c r="AS56" s="159"/>
      <c r="AT56" s="159"/>
      <c r="AU56" s="159"/>
      <c r="AV56" s="159"/>
      <c r="AW56" s="159"/>
      <c r="AX56" s="159"/>
      <c r="AY56" s="159"/>
      <c r="AZ56" s="159"/>
      <c r="BA56" s="159"/>
      <c r="BB56" s="7"/>
      <c r="BC56" s="7"/>
      <c r="BD56" s="3">
        <v>144409</v>
      </c>
      <c r="BE56" s="3"/>
      <c r="BF56" s="3"/>
      <c r="BG56" s="3"/>
      <c r="BH56" s="3"/>
      <c r="BI56" s="3"/>
      <c r="BJ56" s="3"/>
      <c r="BK56" s="3"/>
      <c r="BL56" s="389"/>
      <c r="BM56" s="389"/>
      <c r="BN56" s="159"/>
      <c r="BO56" s="159"/>
      <c r="BP56" s="159"/>
      <c r="BQ56" s="13"/>
      <c r="BR56" s="7"/>
    </row>
    <row r="57" spans="1:70" ht="28" hidden="1" outlineLevel="1" x14ac:dyDescent="0.3">
      <c r="A57" s="90" t="s">
        <v>30</v>
      </c>
      <c r="B57" s="3"/>
      <c r="C57" s="3"/>
      <c r="D57" s="3"/>
      <c r="E57" s="3"/>
      <c r="F57" s="3"/>
      <c r="G57" s="3"/>
      <c r="H57" s="3">
        <v>20099</v>
      </c>
      <c r="I57" s="3"/>
      <c r="J57" s="3"/>
      <c r="K57" s="3">
        <v>224507</v>
      </c>
      <c r="L57" s="3">
        <v>0</v>
      </c>
      <c r="M57" s="3">
        <v>0</v>
      </c>
      <c r="N57" s="109">
        <v>261086</v>
      </c>
      <c r="P57" s="132"/>
      <c r="Q57" s="3"/>
      <c r="R57" s="3"/>
      <c r="S57" s="122"/>
      <c r="T57" s="13"/>
      <c r="U57" s="159">
        <v>20099</v>
      </c>
      <c r="V57" s="159">
        <v>20099</v>
      </c>
      <c r="W57" s="159"/>
      <c r="X57" s="159"/>
      <c r="Y57" s="159"/>
      <c r="Z57" s="303">
        <v>20099</v>
      </c>
      <c r="AA57" s="159"/>
      <c r="AB57" s="159"/>
      <c r="AC57" s="159"/>
      <c r="AD57" s="303"/>
      <c r="AE57" s="159"/>
      <c r="AF57" s="159"/>
      <c r="AG57" s="159"/>
      <c r="AH57" s="159"/>
      <c r="AI57" s="159"/>
      <c r="AJ57" s="159"/>
      <c r="AK57" s="428"/>
      <c r="AL57" s="159"/>
      <c r="AM57" s="159"/>
      <c r="AN57" s="159"/>
      <c r="AO57" s="428"/>
      <c r="AP57" s="159"/>
      <c r="AQ57" s="159"/>
      <c r="AR57" s="159"/>
      <c r="AS57" s="159"/>
      <c r="AT57" s="159"/>
      <c r="AU57" s="159"/>
      <c r="AV57" s="159"/>
      <c r="AW57" s="159"/>
      <c r="AX57" s="159"/>
      <c r="AY57" s="159"/>
      <c r="AZ57" s="159"/>
      <c r="BA57" s="159"/>
      <c r="BB57" s="7"/>
      <c r="BC57" s="7"/>
      <c r="BD57" s="3">
        <v>20099</v>
      </c>
      <c r="BE57" s="3"/>
      <c r="BF57" s="3"/>
      <c r="BG57" s="3"/>
      <c r="BH57" s="3"/>
      <c r="BI57" s="3"/>
      <c r="BJ57" s="3"/>
      <c r="BK57" s="3"/>
      <c r="BL57" s="389"/>
      <c r="BM57" s="389"/>
      <c r="BN57" s="159"/>
      <c r="BO57" s="159"/>
      <c r="BP57" s="159"/>
      <c r="BQ57" s="13"/>
      <c r="BR57" s="7"/>
    </row>
    <row r="58" spans="1:70" ht="28" hidden="1" outlineLevel="1" x14ac:dyDescent="0.3">
      <c r="A58" s="90" t="s">
        <v>31</v>
      </c>
      <c r="B58" s="3"/>
      <c r="C58" s="3"/>
      <c r="D58" s="3"/>
      <c r="E58" s="3"/>
      <c r="F58" s="3"/>
      <c r="G58" s="3"/>
      <c r="H58" s="3">
        <v>1258721</v>
      </c>
      <c r="I58" s="3"/>
      <c r="J58" s="3"/>
      <c r="K58" s="3">
        <v>21046</v>
      </c>
      <c r="L58" s="3">
        <v>71041</v>
      </c>
      <c r="M58" s="3">
        <v>236107</v>
      </c>
      <c r="N58" s="109">
        <v>2570170</v>
      </c>
      <c r="P58" s="132">
        <v>0</v>
      </c>
      <c r="Q58" s="3">
        <v>35000</v>
      </c>
      <c r="R58" s="3">
        <v>204650</v>
      </c>
      <c r="S58" s="122">
        <v>537000</v>
      </c>
      <c r="T58" s="13"/>
      <c r="U58" s="159">
        <v>1258721</v>
      </c>
      <c r="V58" s="159">
        <v>1258721</v>
      </c>
      <c r="W58" s="159"/>
      <c r="X58" s="159"/>
      <c r="Y58" s="159"/>
      <c r="Z58" s="303">
        <v>1258721</v>
      </c>
      <c r="AA58" s="159"/>
      <c r="AB58" s="159"/>
      <c r="AC58" s="159"/>
      <c r="AD58" s="303"/>
      <c r="AE58" s="159"/>
      <c r="AF58" s="159"/>
      <c r="AG58" s="159"/>
      <c r="AH58" s="159"/>
      <c r="AI58" s="159"/>
      <c r="AJ58" s="159"/>
      <c r="AK58" s="428"/>
      <c r="AL58" s="159"/>
      <c r="AM58" s="159"/>
      <c r="AN58" s="159"/>
      <c r="AO58" s="428"/>
      <c r="AP58" s="159"/>
      <c r="AQ58" s="159"/>
      <c r="AR58" s="159"/>
      <c r="AS58" s="159"/>
      <c r="AT58" s="159"/>
      <c r="AU58" s="159"/>
      <c r="AV58" s="159"/>
      <c r="AW58" s="159"/>
      <c r="AX58" s="159"/>
      <c r="AY58" s="159"/>
      <c r="AZ58" s="159"/>
      <c r="BA58" s="159"/>
      <c r="BB58" s="7"/>
      <c r="BC58" s="7"/>
      <c r="BD58" s="3">
        <v>1258721</v>
      </c>
      <c r="BE58" s="3"/>
      <c r="BF58" s="3"/>
      <c r="BG58" s="3"/>
      <c r="BH58" s="3"/>
      <c r="BI58" s="3"/>
      <c r="BJ58" s="3"/>
      <c r="BK58" s="3"/>
      <c r="BL58" s="389"/>
      <c r="BM58" s="389"/>
      <c r="BN58" s="159"/>
      <c r="BO58" s="159"/>
      <c r="BP58" s="159"/>
      <c r="BQ58" s="13"/>
      <c r="BR58" s="7"/>
    </row>
    <row r="59" spans="1:70" hidden="1" outlineLevel="1" x14ac:dyDescent="0.3">
      <c r="A59" s="89" t="s">
        <v>32</v>
      </c>
      <c r="B59" s="4"/>
      <c r="C59" s="4"/>
      <c r="D59" s="4"/>
      <c r="E59" s="4"/>
      <c r="F59" s="4"/>
      <c r="G59" s="4"/>
      <c r="H59" s="4">
        <f>IFERROR(H58+H57+H56+H55,"n.a.")</f>
        <v>3749550</v>
      </c>
      <c r="I59" s="4">
        <f>IFERROR(I58+I57+I56+I55,"n.a.")</f>
        <v>0</v>
      </c>
      <c r="J59" s="4"/>
      <c r="K59" s="4">
        <f>IFERROR(K58+K57+K56+K55,"n.a.")</f>
        <v>1102436</v>
      </c>
      <c r="L59" s="4">
        <f>IFERROR(L58+L57+L56+L55,"n.a.")</f>
        <v>563946</v>
      </c>
      <c r="M59" s="4">
        <f>IFERROR(M58+M57+M56+M55,"n.a.")</f>
        <v>1108396</v>
      </c>
      <c r="N59" s="110">
        <f>IFERROR(N58+N57+N56+N55,"n.a.")</f>
        <v>6116069</v>
      </c>
      <c r="P59" s="133">
        <f>IFERROR(P58+P57+P56+P55,"n.a.")</f>
        <v>248909</v>
      </c>
      <c r="Q59" s="4">
        <f>IFERROR(Q58+Q57+Q56+Q55,"n.a.")</f>
        <v>989734</v>
      </c>
      <c r="R59" s="4">
        <f>IFERROR(R58+R57+R56+R55,"n.a.")</f>
        <v>1490932</v>
      </c>
      <c r="S59" s="110">
        <f>IFERROR(S58+S57+S56+S55,"n.a.")</f>
        <v>1489248</v>
      </c>
      <c r="T59" s="13"/>
      <c r="U59" s="159">
        <f>IFERROR(U58+U57+U56+U55,"n.a.")</f>
        <v>3749550</v>
      </c>
      <c r="V59" s="159">
        <f>IFERROR(V58+V57+V56+V55,"n.a.")</f>
        <v>3749550</v>
      </c>
      <c r="W59" s="159"/>
      <c r="X59" s="159"/>
      <c r="Y59" s="159"/>
      <c r="Z59" s="303">
        <f>IFERROR(Z58+Z57+Z56+Z55,"n.a.")</f>
        <v>3749550</v>
      </c>
      <c r="AA59" s="159"/>
      <c r="AB59" s="159"/>
      <c r="AC59" s="159"/>
      <c r="AD59" s="303"/>
      <c r="AE59" s="159"/>
      <c r="AF59" s="159"/>
      <c r="AG59" s="159"/>
      <c r="AH59" s="159"/>
      <c r="AI59" s="159"/>
      <c r="AJ59" s="159"/>
      <c r="AK59" s="428"/>
      <c r="AL59" s="159"/>
      <c r="AM59" s="159"/>
      <c r="AN59" s="159"/>
      <c r="AO59" s="428"/>
      <c r="AP59" s="159"/>
      <c r="AQ59" s="159"/>
      <c r="AR59" s="159"/>
      <c r="AS59" s="159"/>
      <c r="AT59" s="159"/>
      <c r="AU59" s="159"/>
      <c r="AV59" s="159"/>
      <c r="AW59" s="159"/>
      <c r="AX59" s="159"/>
      <c r="AY59" s="159"/>
      <c r="AZ59" s="159"/>
      <c r="BA59" s="159"/>
      <c r="BB59" s="7"/>
      <c r="BC59" s="7"/>
      <c r="BD59" s="4">
        <f>IFERROR(BD58+BD57+BD56+BD55,"n.a.")</f>
        <v>3749550</v>
      </c>
      <c r="BE59" s="4">
        <f>IFERROR(BE58+BE57+BE56+BE55,"n.a.")</f>
        <v>0</v>
      </c>
      <c r="BF59" s="4">
        <f>IFERROR(BF58+BF57+BF56+BF55,"n.a.")</f>
        <v>0</v>
      </c>
      <c r="BG59" s="4">
        <f>IFERROR(BG58+BG57+BG56+BG55,"n.a.")</f>
        <v>0</v>
      </c>
      <c r="BH59" s="4"/>
      <c r="BI59" s="4"/>
      <c r="BJ59" s="4"/>
      <c r="BK59" s="4"/>
      <c r="BL59" s="385">
        <f>IFERROR(BL58+BL57+BL56+BL55,"n.a.")</f>
        <v>0</v>
      </c>
      <c r="BM59" s="385">
        <f>IFERROR(BM58+BM57+BM56+BM55,"n.a.")</f>
        <v>0</v>
      </c>
      <c r="BN59" s="159"/>
      <c r="BO59" s="159"/>
      <c r="BP59" s="159"/>
      <c r="BQ59" s="13"/>
      <c r="BR59" s="7"/>
    </row>
    <row r="60" spans="1:70" hidden="1" outlineLevel="1" x14ac:dyDescent="0.3">
      <c r="A60" s="85" t="s">
        <v>33</v>
      </c>
      <c r="B60" s="3"/>
      <c r="C60" s="3"/>
      <c r="D60" s="3"/>
      <c r="E60" s="3"/>
      <c r="F60" s="3"/>
      <c r="G60" s="3"/>
      <c r="H60" s="3">
        <v>5035611</v>
      </c>
      <c r="I60" s="3"/>
      <c r="J60" s="3"/>
      <c r="K60" s="3"/>
      <c r="L60" s="3"/>
      <c r="M60" s="3">
        <v>1843551</v>
      </c>
      <c r="N60" s="109">
        <v>7496865</v>
      </c>
      <c r="P60" s="132">
        <v>674297</v>
      </c>
      <c r="Q60" s="3">
        <v>2466635</v>
      </c>
      <c r="R60" s="3">
        <v>2106004</v>
      </c>
      <c r="S60" s="122">
        <v>2173290</v>
      </c>
      <c r="T60" s="13"/>
      <c r="U60" s="159">
        <v>5035611</v>
      </c>
      <c r="V60" s="159">
        <v>5035611</v>
      </c>
      <c r="W60" s="159"/>
      <c r="X60" s="159"/>
      <c r="Y60" s="159"/>
      <c r="Z60" s="303">
        <v>5035611</v>
      </c>
      <c r="AA60" s="159"/>
      <c r="AB60" s="159"/>
      <c r="AC60" s="159"/>
      <c r="AD60" s="303"/>
      <c r="AE60" s="159"/>
      <c r="AF60" s="159"/>
      <c r="AG60" s="159"/>
      <c r="AH60" s="159"/>
      <c r="AI60" s="159"/>
      <c r="AJ60" s="159"/>
      <c r="AK60" s="428"/>
      <c r="AL60" s="159"/>
      <c r="AM60" s="159"/>
      <c r="AN60" s="159"/>
      <c r="AO60" s="428"/>
      <c r="AP60" s="159"/>
      <c r="AQ60" s="159"/>
      <c r="AR60" s="159"/>
      <c r="AS60" s="159"/>
      <c r="AT60" s="159"/>
      <c r="AU60" s="159"/>
      <c r="AV60" s="159"/>
      <c r="AW60" s="159"/>
      <c r="AX60" s="159"/>
      <c r="AY60" s="159"/>
      <c r="AZ60" s="159"/>
      <c r="BA60" s="159"/>
      <c r="BB60" s="7"/>
      <c r="BC60" s="7"/>
      <c r="BD60" s="3">
        <v>5035611</v>
      </c>
      <c r="BE60" s="3"/>
      <c r="BF60" s="3"/>
      <c r="BG60" s="3"/>
      <c r="BH60" s="3"/>
      <c r="BI60" s="3"/>
      <c r="BJ60" s="3"/>
      <c r="BK60" s="3"/>
      <c r="BL60" s="389"/>
      <c r="BM60" s="389"/>
      <c r="BN60" s="159"/>
      <c r="BO60" s="159"/>
      <c r="BP60" s="159"/>
      <c r="BQ60" s="13"/>
      <c r="BR60" s="7"/>
    </row>
    <row r="61" spans="1:70" hidden="1" outlineLevel="1" x14ac:dyDescent="0.3">
      <c r="A61" s="84" t="s">
        <v>34</v>
      </c>
      <c r="B61" s="3"/>
      <c r="C61" s="3"/>
      <c r="D61" s="3"/>
      <c r="E61" s="3"/>
      <c r="F61" s="3"/>
      <c r="G61" s="3"/>
      <c r="H61" s="3">
        <v>782981</v>
      </c>
      <c r="I61" s="3"/>
      <c r="J61" s="3"/>
      <c r="K61" s="3">
        <v>98800</v>
      </c>
      <c r="L61" s="3">
        <v>101074</v>
      </c>
      <c r="M61" s="3">
        <v>441722</v>
      </c>
      <c r="N61" s="109">
        <v>934361</v>
      </c>
      <c r="P61" s="132">
        <v>93989</v>
      </c>
      <c r="Q61" s="3">
        <v>145596</v>
      </c>
      <c r="R61" s="3">
        <v>207777</v>
      </c>
      <c r="S61" s="122">
        <v>235527</v>
      </c>
      <c r="T61" s="13"/>
      <c r="U61" s="159">
        <v>782981</v>
      </c>
      <c r="V61" s="159">
        <v>782981</v>
      </c>
      <c r="W61" s="159"/>
      <c r="X61" s="159"/>
      <c r="Y61" s="159"/>
      <c r="Z61" s="303">
        <v>782981</v>
      </c>
      <c r="AA61" s="159"/>
      <c r="AB61" s="159"/>
      <c r="AC61" s="159"/>
      <c r="AD61" s="303"/>
      <c r="AE61" s="159"/>
      <c r="AF61" s="159"/>
      <c r="AG61" s="159"/>
      <c r="AH61" s="159"/>
      <c r="AI61" s="159"/>
      <c r="AJ61" s="159"/>
      <c r="AK61" s="428"/>
      <c r="AL61" s="159"/>
      <c r="AM61" s="159"/>
      <c r="AN61" s="159"/>
      <c r="AO61" s="428"/>
      <c r="AP61" s="159"/>
      <c r="AQ61" s="159"/>
      <c r="AR61" s="159"/>
      <c r="AS61" s="159"/>
      <c r="AT61" s="159"/>
      <c r="AU61" s="159"/>
      <c r="AV61" s="159"/>
      <c r="AW61" s="159"/>
      <c r="AX61" s="159"/>
      <c r="AY61" s="159"/>
      <c r="AZ61" s="159"/>
      <c r="BA61" s="159"/>
      <c r="BB61" s="7"/>
      <c r="BC61" s="7"/>
      <c r="BD61" s="3">
        <v>782981</v>
      </c>
      <c r="BE61" s="3"/>
      <c r="BF61" s="3"/>
      <c r="BG61" s="3"/>
      <c r="BH61" s="3"/>
      <c r="BI61" s="3"/>
      <c r="BJ61" s="3"/>
      <c r="BK61" s="3"/>
      <c r="BL61" s="389"/>
      <c r="BM61" s="389"/>
      <c r="BN61" s="159"/>
      <c r="BO61" s="159"/>
      <c r="BP61" s="159"/>
      <c r="BQ61" s="13"/>
      <c r="BR61" s="7"/>
    </row>
    <row r="62" spans="1:70" s="1" customFormat="1" hidden="1" outlineLevel="1" x14ac:dyDescent="0.3">
      <c r="A62" s="85" t="s">
        <v>35</v>
      </c>
      <c r="B62" s="5"/>
      <c r="C62" s="5"/>
      <c r="D62" s="5"/>
      <c r="E62" s="5"/>
      <c r="F62" s="5"/>
      <c r="G62" s="5"/>
      <c r="H62" s="5">
        <v>14360623</v>
      </c>
      <c r="I62" s="5"/>
      <c r="J62" s="5"/>
      <c r="K62" s="5">
        <v>2256797</v>
      </c>
      <c r="L62" s="5">
        <v>2305809</v>
      </c>
      <c r="M62" s="5">
        <v>2768010</v>
      </c>
      <c r="N62" s="111">
        <v>16791343</v>
      </c>
      <c r="P62" s="134">
        <v>1638610</v>
      </c>
      <c r="Q62" s="5">
        <v>3340010</v>
      </c>
      <c r="R62" s="5">
        <v>2825322</v>
      </c>
      <c r="S62" s="123">
        <v>2896521</v>
      </c>
      <c r="T62" s="14"/>
      <c r="U62" s="160">
        <v>14360623</v>
      </c>
      <c r="V62" s="160">
        <v>14360623</v>
      </c>
      <c r="W62" s="160"/>
      <c r="X62" s="160"/>
      <c r="Y62" s="160"/>
      <c r="Z62" s="304">
        <v>14360623</v>
      </c>
      <c r="AA62" s="160"/>
      <c r="AB62" s="160"/>
      <c r="AC62" s="160"/>
      <c r="AD62" s="304"/>
      <c r="AE62" s="160"/>
      <c r="AF62" s="160"/>
      <c r="AG62" s="160"/>
      <c r="AH62" s="160"/>
      <c r="AI62" s="160"/>
      <c r="AJ62" s="160"/>
      <c r="AK62" s="429"/>
      <c r="AL62" s="160"/>
      <c r="AM62" s="160"/>
      <c r="AN62" s="160"/>
      <c r="AO62" s="429"/>
      <c r="AP62" s="160"/>
      <c r="AQ62" s="160"/>
      <c r="AR62" s="160"/>
      <c r="AS62" s="160"/>
      <c r="AT62" s="160"/>
      <c r="AU62" s="160"/>
      <c r="AV62" s="160"/>
      <c r="AW62" s="160"/>
      <c r="AX62" s="160"/>
      <c r="AY62" s="160"/>
      <c r="AZ62" s="160"/>
      <c r="BA62" s="160"/>
      <c r="BB62" s="8"/>
      <c r="BC62" s="8"/>
      <c r="BD62" s="5">
        <v>14360623</v>
      </c>
      <c r="BE62" s="5"/>
      <c r="BF62" s="5"/>
      <c r="BG62" s="5"/>
      <c r="BH62" s="5"/>
      <c r="BI62" s="5"/>
      <c r="BJ62" s="5"/>
      <c r="BK62" s="5"/>
      <c r="BL62" s="390"/>
      <c r="BM62" s="390"/>
      <c r="BN62" s="160"/>
      <c r="BO62" s="160"/>
      <c r="BP62" s="160"/>
      <c r="BQ62" s="14"/>
      <c r="BR62" s="8"/>
    </row>
    <row r="63" spans="1:70" hidden="1" outlineLevel="1" x14ac:dyDescent="0.3">
      <c r="A63" s="92" t="s">
        <v>36</v>
      </c>
      <c r="B63" s="3"/>
      <c r="C63" s="3"/>
      <c r="D63" s="3"/>
      <c r="E63" s="3"/>
      <c r="F63" s="3"/>
      <c r="G63" s="3"/>
      <c r="H63" s="3"/>
      <c r="I63" s="3"/>
      <c r="J63" s="3"/>
      <c r="K63" s="3"/>
      <c r="L63" s="3"/>
      <c r="M63" s="3"/>
      <c r="N63" s="109"/>
      <c r="P63" s="132"/>
      <c r="Q63" s="3"/>
      <c r="R63" s="3"/>
      <c r="S63" s="122"/>
      <c r="T63" s="13"/>
      <c r="U63" s="159"/>
      <c r="V63" s="159"/>
      <c r="W63" s="159"/>
      <c r="X63" s="159"/>
      <c r="Y63" s="159"/>
      <c r="Z63" s="303"/>
      <c r="AA63" s="159"/>
      <c r="AB63" s="159"/>
      <c r="AC63" s="159"/>
      <c r="AD63" s="303"/>
      <c r="AE63" s="159"/>
      <c r="AF63" s="159"/>
      <c r="AG63" s="159"/>
      <c r="AH63" s="159"/>
      <c r="AI63" s="159"/>
      <c r="AJ63" s="159"/>
      <c r="AK63" s="428"/>
      <c r="AL63" s="159"/>
      <c r="AM63" s="159"/>
      <c r="AN63" s="159"/>
      <c r="AO63" s="428"/>
      <c r="AP63" s="159"/>
      <c r="AQ63" s="159"/>
      <c r="AR63" s="159"/>
      <c r="AS63" s="159"/>
      <c r="AT63" s="159"/>
      <c r="AU63" s="159"/>
      <c r="AV63" s="159"/>
      <c r="AW63" s="159"/>
      <c r="AX63" s="159"/>
      <c r="AY63" s="159"/>
      <c r="AZ63" s="159"/>
      <c r="BA63" s="159"/>
      <c r="BB63" s="7"/>
      <c r="BC63" s="7"/>
      <c r="BD63" s="3"/>
      <c r="BE63" s="3"/>
      <c r="BF63" s="3"/>
      <c r="BG63" s="3"/>
      <c r="BH63" s="3"/>
      <c r="BI63" s="3"/>
      <c r="BJ63" s="3"/>
      <c r="BK63" s="3"/>
      <c r="BL63" s="389"/>
      <c r="BM63" s="389"/>
      <c r="BN63" s="159"/>
      <c r="BO63" s="159"/>
      <c r="BP63" s="159"/>
      <c r="BQ63" s="13"/>
      <c r="BR63" s="7"/>
    </row>
    <row r="64" spans="1:70" hidden="1" outlineLevel="1" x14ac:dyDescent="0.3">
      <c r="A64" s="84" t="s">
        <v>37</v>
      </c>
      <c r="B64" s="3"/>
      <c r="C64" s="3"/>
      <c r="D64" s="3"/>
      <c r="E64" s="3"/>
      <c r="F64" s="3"/>
      <c r="G64" s="3"/>
      <c r="H64" s="3">
        <v>2312305</v>
      </c>
      <c r="I64" s="3"/>
      <c r="J64" s="3"/>
      <c r="K64" s="3">
        <v>658566</v>
      </c>
      <c r="L64" s="3">
        <v>921633</v>
      </c>
      <c r="M64" s="3">
        <v>19692</v>
      </c>
      <c r="N64" s="109">
        <v>19692</v>
      </c>
      <c r="P64" s="132"/>
      <c r="Q64" s="3"/>
      <c r="R64" s="3"/>
      <c r="S64" s="122"/>
      <c r="T64" s="13"/>
      <c r="U64" s="159">
        <v>2312305</v>
      </c>
      <c r="V64" s="159">
        <v>2312305</v>
      </c>
      <c r="W64" s="159"/>
      <c r="X64" s="159"/>
      <c r="Y64" s="159"/>
      <c r="Z64" s="303">
        <v>2312305</v>
      </c>
      <c r="AA64" s="159"/>
      <c r="AB64" s="159"/>
      <c r="AC64" s="159"/>
      <c r="AD64" s="303"/>
      <c r="AE64" s="159"/>
      <c r="AF64" s="159"/>
      <c r="AG64" s="159"/>
      <c r="AH64" s="159"/>
      <c r="AI64" s="159"/>
      <c r="AJ64" s="159"/>
      <c r="AK64" s="428"/>
      <c r="AL64" s="159"/>
      <c r="AM64" s="159"/>
      <c r="AN64" s="159"/>
      <c r="AO64" s="428"/>
      <c r="AP64" s="159"/>
      <c r="AQ64" s="159"/>
      <c r="AR64" s="159"/>
      <c r="AS64" s="159"/>
      <c r="AT64" s="159"/>
      <c r="AU64" s="159"/>
      <c r="AV64" s="159"/>
      <c r="AW64" s="159"/>
      <c r="AX64" s="159"/>
      <c r="AY64" s="159"/>
      <c r="AZ64" s="159"/>
      <c r="BA64" s="159"/>
      <c r="BB64" s="7"/>
      <c r="BC64" s="7"/>
      <c r="BD64" s="3">
        <v>2312305</v>
      </c>
      <c r="BE64" s="3"/>
      <c r="BF64" s="3"/>
      <c r="BG64" s="3"/>
      <c r="BH64" s="3"/>
      <c r="BI64" s="3"/>
      <c r="BJ64" s="3"/>
      <c r="BK64" s="3"/>
      <c r="BL64" s="389"/>
      <c r="BM64" s="389"/>
      <c r="BN64" s="159"/>
      <c r="BO64" s="159"/>
      <c r="BP64" s="159"/>
      <c r="BQ64" s="13"/>
      <c r="BR64" s="7"/>
    </row>
    <row r="65" spans="1:70" hidden="1" outlineLevel="1" x14ac:dyDescent="0.3">
      <c r="A65" s="84" t="s">
        <v>38</v>
      </c>
      <c r="B65" s="3"/>
      <c r="C65" s="3"/>
      <c r="D65" s="3"/>
      <c r="E65" s="3"/>
      <c r="F65" s="3"/>
      <c r="G65" s="3"/>
      <c r="H65" s="3">
        <v>162459</v>
      </c>
      <c r="I65" s="3"/>
      <c r="J65" s="3"/>
      <c r="K65" s="3">
        <v>0</v>
      </c>
      <c r="L65" s="3">
        <v>0</v>
      </c>
      <c r="M65" s="3">
        <v>172305</v>
      </c>
      <c r="N65" s="109">
        <v>152613</v>
      </c>
      <c r="P65" s="132"/>
      <c r="Q65" s="3"/>
      <c r="R65" s="3"/>
      <c r="S65" s="122"/>
      <c r="T65" s="13"/>
      <c r="U65" s="159">
        <v>162459</v>
      </c>
      <c r="V65" s="159">
        <v>162459</v>
      </c>
      <c r="W65" s="159"/>
      <c r="X65" s="159"/>
      <c r="Y65" s="159"/>
      <c r="Z65" s="303">
        <v>162459</v>
      </c>
      <c r="AA65" s="159"/>
      <c r="AB65" s="159"/>
      <c r="AC65" s="159"/>
      <c r="AD65" s="303"/>
      <c r="AE65" s="159"/>
      <c r="AF65" s="159"/>
      <c r="AG65" s="159"/>
      <c r="AH65" s="159"/>
      <c r="AI65" s="159"/>
      <c r="AJ65" s="159"/>
      <c r="AK65" s="428"/>
      <c r="AL65" s="159"/>
      <c r="AM65" s="159"/>
      <c r="AN65" s="159"/>
      <c r="AO65" s="428"/>
      <c r="AP65" s="159"/>
      <c r="AQ65" s="159"/>
      <c r="AR65" s="159"/>
      <c r="AS65" s="159"/>
      <c r="AT65" s="159"/>
      <c r="AU65" s="159"/>
      <c r="AV65" s="159"/>
      <c r="AW65" s="159"/>
      <c r="AX65" s="159"/>
      <c r="AY65" s="159"/>
      <c r="AZ65" s="159"/>
      <c r="BA65" s="159"/>
      <c r="BB65" s="7"/>
      <c r="BC65" s="7"/>
      <c r="BD65" s="3">
        <v>162459</v>
      </c>
      <c r="BE65" s="3"/>
      <c r="BF65" s="3"/>
      <c r="BG65" s="3"/>
      <c r="BH65" s="3"/>
      <c r="BI65" s="3"/>
      <c r="BJ65" s="3"/>
      <c r="BK65" s="3"/>
      <c r="BL65" s="389"/>
      <c r="BM65" s="389"/>
      <c r="BN65" s="159"/>
      <c r="BO65" s="159"/>
      <c r="BP65" s="159"/>
      <c r="BQ65" s="13"/>
      <c r="BR65" s="7"/>
    </row>
    <row r="66" spans="1:70" s="1" customFormat="1" hidden="1" outlineLevel="1" x14ac:dyDescent="0.3">
      <c r="A66" s="85" t="s">
        <v>39</v>
      </c>
      <c r="B66" s="5"/>
      <c r="C66" s="5"/>
      <c r="D66" s="5"/>
      <c r="E66" s="5"/>
      <c r="F66" s="5"/>
      <c r="G66" s="5"/>
      <c r="H66" s="5">
        <v>4484387</v>
      </c>
      <c r="I66" s="5"/>
      <c r="J66" s="5"/>
      <c r="K66" s="5">
        <v>1208410</v>
      </c>
      <c r="L66" s="5">
        <v>7837929</v>
      </c>
      <c r="M66" s="5">
        <v>8099944</v>
      </c>
      <c r="N66" s="111">
        <v>5263532</v>
      </c>
      <c r="P66" s="134">
        <v>372715</v>
      </c>
      <c r="Q66" s="5">
        <v>1221125</v>
      </c>
      <c r="R66" s="5">
        <v>1380355</v>
      </c>
      <c r="S66" s="123">
        <v>1226810</v>
      </c>
      <c r="T66" s="14"/>
      <c r="U66" s="160">
        <v>4484387</v>
      </c>
      <c r="V66" s="160">
        <v>4484387</v>
      </c>
      <c r="W66" s="160"/>
      <c r="X66" s="160"/>
      <c r="Y66" s="160"/>
      <c r="Z66" s="304">
        <v>4484387</v>
      </c>
      <c r="AA66" s="160"/>
      <c r="AB66" s="160"/>
      <c r="AC66" s="160"/>
      <c r="AD66" s="304"/>
      <c r="AE66" s="160"/>
      <c r="AF66" s="160"/>
      <c r="AG66" s="160"/>
      <c r="AH66" s="160"/>
      <c r="AI66" s="160"/>
      <c r="AJ66" s="160"/>
      <c r="AK66" s="429"/>
      <c r="AL66" s="160"/>
      <c r="AM66" s="160"/>
      <c r="AN66" s="160"/>
      <c r="AO66" s="429"/>
      <c r="AP66" s="160"/>
      <c r="AQ66" s="160"/>
      <c r="AR66" s="160"/>
      <c r="AS66" s="160"/>
      <c r="AT66" s="160"/>
      <c r="AU66" s="160"/>
      <c r="AV66" s="160"/>
      <c r="AW66" s="160"/>
      <c r="AX66" s="160"/>
      <c r="AY66" s="160"/>
      <c r="AZ66" s="160"/>
      <c r="BA66" s="160"/>
      <c r="BB66" s="8"/>
      <c r="BC66" s="8"/>
      <c r="BD66" s="5">
        <v>4484387</v>
      </c>
      <c r="BE66" s="5"/>
      <c r="BF66" s="5"/>
      <c r="BG66" s="5"/>
      <c r="BH66" s="5"/>
      <c r="BI66" s="5"/>
      <c r="BJ66" s="5"/>
      <c r="BK66" s="5"/>
      <c r="BL66" s="390"/>
      <c r="BM66" s="390"/>
      <c r="BN66" s="160"/>
      <c r="BO66" s="160"/>
      <c r="BP66" s="160"/>
      <c r="BQ66" s="14"/>
      <c r="BR66" s="8"/>
    </row>
    <row r="67" spans="1:70" hidden="1" outlineLevel="1" x14ac:dyDescent="0.3">
      <c r="A67" s="92" t="s">
        <v>40</v>
      </c>
      <c r="B67" s="3"/>
      <c r="C67" s="3"/>
      <c r="D67" s="3"/>
      <c r="E67" s="3"/>
      <c r="F67" s="3"/>
      <c r="G67" s="3"/>
      <c r="H67" s="3"/>
      <c r="I67" s="3"/>
      <c r="J67" s="3"/>
      <c r="K67" s="3"/>
      <c r="L67" s="3"/>
      <c r="M67" s="3"/>
      <c r="N67" s="109"/>
      <c r="P67" s="132"/>
      <c r="Q67" s="3"/>
      <c r="R67" s="3"/>
      <c r="S67" s="122"/>
      <c r="T67" s="13"/>
      <c r="U67" s="159"/>
      <c r="V67" s="159"/>
      <c r="W67" s="159"/>
      <c r="X67" s="159"/>
      <c r="Y67" s="159"/>
      <c r="Z67" s="303"/>
      <c r="AA67" s="159"/>
      <c r="AB67" s="159"/>
      <c r="AC67" s="159"/>
      <c r="AD67" s="303"/>
      <c r="AE67" s="159"/>
      <c r="AF67" s="159"/>
      <c r="AG67" s="159"/>
      <c r="AH67" s="159"/>
      <c r="AI67" s="159"/>
      <c r="AJ67" s="159"/>
      <c r="AK67" s="428"/>
      <c r="AL67" s="159"/>
      <c r="AM67" s="159"/>
      <c r="AN67" s="159"/>
      <c r="AO67" s="428"/>
      <c r="AP67" s="159"/>
      <c r="AQ67" s="159"/>
      <c r="AR67" s="159"/>
      <c r="AS67" s="159"/>
      <c r="AT67" s="159"/>
      <c r="AU67" s="159"/>
      <c r="AV67" s="159"/>
      <c r="AW67" s="159"/>
      <c r="AX67" s="159"/>
      <c r="AY67" s="159"/>
      <c r="AZ67" s="159"/>
      <c r="BA67" s="159"/>
      <c r="BB67" s="7"/>
      <c r="BC67" s="7"/>
      <c r="BD67" s="3"/>
      <c r="BE67" s="3"/>
      <c r="BF67" s="3"/>
      <c r="BG67" s="3"/>
      <c r="BH67" s="3"/>
      <c r="BI67" s="3"/>
      <c r="BJ67" s="3"/>
      <c r="BK67" s="3"/>
      <c r="BL67" s="389"/>
      <c r="BM67" s="389"/>
      <c r="BN67" s="159"/>
      <c r="BO67" s="159"/>
      <c r="BP67" s="159"/>
      <c r="BQ67" s="13"/>
      <c r="BR67" s="7"/>
    </row>
    <row r="68" spans="1:70" s="1" customFormat="1" hidden="1" outlineLevel="1" x14ac:dyDescent="0.3">
      <c r="A68" s="85" t="s">
        <v>41</v>
      </c>
      <c r="B68" s="5"/>
      <c r="C68" s="5"/>
      <c r="D68" s="5"/>
      <c r="E68" s="5"/>
      <c r="F68" s="5"/>
      <c r="G68" s="5"/>
      <c r="H68" s="5">
        <v>9876236</v>
      </c>
      <c r="I68" s="5"/>
      <c r="J68" s="5"/>
      <c r="K68" s="5">
        <v>1048387</v>
      </c>
      <c r="L68" s="5">
        <v>-5532120</v>
      </c>
      <c r="M68" s="5">
        <v>-5331934</v>
      </c>
      <c r="N68" s="111">
        <v>11527811</v>
      </c>
      <c r="P68" s="134">
        <v>1265895</v>
      </c>
      <c r="Q68" s="5">
        <v>2118885</v>
      </c>
      <c r="R68" s="5">
        <v>1444967</v>
      </c>
      <c r="S68" s="123">
        <v>1669711</v>
      </c>
      <c r="T68" s="14"/>
      <c r="U68" s="160">
        <v>9876236</v>
      </c>
      <c r="V68" s="160">
        <v>9876236</v>
      </c>
      <c r="W68" s="160"/>
      <c r="X68" s="160"/>
      <c r="Y68" s="160"/>
      <c r="Z68" s="304">
        <v>9876236</v>
      </c>
      <c r="AA68" s="160"/>
      <c r="AB68" s="160"/>
      <c r="AC68" s="160"/>
      <c r="AD68" s="304"/>
      <c r="AE68" s="160"/>
      <c r="AF68" s="160"/>
      <c r="AG68" s="160"/>
      <c r="AH68" s="160"/>
      <c r="AI68" s="160"/>
      <c r="AJ68" s="160"/>
      <c r="AK68" s="429"/>
      <c r="AL68" s="160"/>
      <c r="AM68" s="160"/>
      <c r="AN68" s="160"/>
      <c r="AO68" s="429"/>
      <c r="AP68" s="160"/>
      <c r="AQ68" s="160"/>
      <c r="AR68" s="160"/>
      <c r="AS68" s="160"/>
      <c r="AT68" s="160"/>
      <c r="AU68" s="160"/>
      <c r="AV68" s="160"/>
      <c r="AW68" s="160"/>
      <c r="AX68" s="160"/>
      <c r="AY68" s="160"/>
      <c r="AZ68" s="160"/>
      <c r="BA68" s="160"/>
      <c r="BB68" s="8"/>
      <c r="BC68" s="8"/>
      <c r="BD68" s="5">
        <v>9876236</v>
      </c>
      <c r="BE68" s="5"/>
      <c r="BF68" s="5"/>
      <c r="BG68" s="5"/>
      <c r="BH68" s="5"/>
      <c r="BI68" s="5"/>
      <c r="BJ68" s="5"/>
      <c r="BK68" s="5"/>
      <c r="BL68" s="390"/>
      <c r="BM68" s="390"/>
      <c r="BN68" s="160"/>
      <c r="BO68" s="160"/>
      <c r="BP68" s="160"/>
      <c r="BQ68" s="14"/>
      <c r="BR68" s="8"/>
    </row>
    <row r="69" spans="1:70" hidden="1" outlineLevel="1" x14ac:dyDescent="0.3">
      <c r="A69" s="89" t="s">
        <v>42</v>
      </c>
      <c r="B69" s="4" t="str">
        <f t="shared" ref="B69:G69" si="59">IF(B62=B66+B68,"","ERROR")</f>
        <v/>
      </c>
      <c r="C69" s="4" t="str">
        <f t="shared" si="59"/>
        <v/>
      </c>
      <c r="D69" s="4" t="str">
        <f t="shared" si="59"/>
        <v/>
      </c>
      <c r="E69" s="4" t="str">
        <f t="shared" si="59"/>
        <v/>
      </c>
      <c r="F69" s="4" t="str">
        <f t="shared" si="59"/>
        <v/>
      </c>
      <c r="G69" s="4" t="str">
        <f t="shared" si="59"/>
        <v/>
      </c>
      <c r="H69" s="4" t="str">
        <f>IF(BD62=BD66+BD68,"","ERROR")</f>
        <v/>
      </c>
      <c r="I69" s="4" t="str">
        <f>IF(BE62=BE66+BE68,"","ERROR")</f>
        <v/>
      </c>
      <c r="J69" s="4"/>
      <c r="K69" s="4" t="str">
        <f>IF(K62=K66+K68,"","ERROR")</f>
        <v/>
      </c>
      <c r="L69" s="4" t="str">
        <f>IF(L62=L66+L68,"","ERROR")</f>
        <v/>
      </c>
      <c r="M69" s="4" t="str">
        <f>IF(M62=M66+M68,"","ERROR")</f>
        <v/>
      </c>
      <c r="N69" s="110" t="str">
        <f>IF(N62=N66+N68,"","ERROR")</f>
        <v/>
      </c>
      <c r="P69" s="133" t="str">
        <f>IF(P62=P66+P68,"","ERROR")</f>
        <v/>
      </c>
      <c r="Q69" s="4" t="str">
        <f>IF(Q62=Q66+Q68,"","ERROR")</f>
        <v/>
      </c>
      <c r="R69" s="4" t="str">
        <f>IF(R62=R66+R68,"","ERROR")</f>
        <v/>
      </c>
      <c r="S69" s="110" t="str">
        <f>IF(S62=S66+S68,"","ERROR")</f>
        <v/>
      </c>
      <c r="T69" s="13"/>
      <c r="U69" s="159"/>
      <c r="V69" s="159"/>
      <c r="W69" s="159"/>
      <c r="X69" s="159"/>
      <c r="Y69" s="159"/>
      <c r="Z69" s="303"/>
      <c r="AA69" s="159"/>
      <c r="AB69" s="159"/>
      <c r="AC69" s="159"/>
      <c r="AD69" s="303"/>
      <c r="AE69" s="159"/>
      <c r="AF69" s="159"/>
      <c r="AG69" s="159"/>
      <c r="AH69" s="159"/>
      <c r="AI69" s="159"/>
      <c r="AJ69" s="159"/>
      <c r="AK69" s="428"/>
      <c r="AL69" s="159"/>
      <c r="AM69" s="159"/>
      <c r="AN69" s="159"/>
      <c r="AO69" s="428"/>
      <c r="AP69" s="159"/>
      <c r="AQ69" s="159"/>
      <c r="AR69" s="159"/>
      <c r="AS69" s="159"/>
      <c r="AT69" s="159"/>
      <c r="AU69" s="159"/>
      <c r="AV69" s="159"/>
      <c r="AW69" s="159"/>
      <c r="AX69" s="159"/>
      <c r="AY69" s="159"/>
      <c r="AZ69" s="159"/>
      <c r="BA69" s="159"/>
      <c r="BB69" s="7"/>
      <c r="BC69" s="7"/>
      <c r="BD69" s="4"/>
      <c r="BE69" s="4" t="str">
        <f>IF(BE62=BE66+BE68,"","ERROR")</f>
        <v/>
      </c>
      <c r="BF69" s="4" t="str">
        <f>IF(BF62=BF66+BF68,"","ERROR")</f>
        <v/>
      </c>
      <c r="BG69" s="4" t="str">
        <f>IF(BG62=BG66+BG68,"","ERROR")</f>
        <v/>
      </c>
      <c r="BH69" s="4"/>
      <c r="BI69" s="4"/>
      <c r="BJ69" s="4"/>
      <c r="BK69" s="4"/>
      <c r="BL69" s="385" t="str">
        <f>IF(BL62=BL66+BL68,"","ERROR")</f>
        <v/>
      </c>
      <c r="BM69" s="385" t="str">
        <f>IF(BM62=BM66+BM68,"","ERROR")</f>
        <v/>
      </c>
      <c r="BN69" s="159"/>
      <c r="BO69" s="159"/>
      <c r="BP69" s="159"/>
      <c r="BQ69" s="13"/>
      <c r="BR69" s="7"/>
    </row>
    <row r="70" spans="1:70" hidden="1" outlineLevel="1" x14ac:dyDescent="0.3">
      <c r="B70" s="6"/>
      <c r="C70" s="6"/>
      <c r="D70" s="6"/>
      <c r="E70" s="6"/>
      <c r="F70" s="6"/>
      <c r="G70" s="6"/>
      <c r="H70" s="6"/>
      <c r="I70" s="6"/>
      <c r="J70" s="6"/>
      <c r="K70" s="6"/>
      <c r="L70" s="6"/>
      <c r="M70" s="6"/>
      <c r="N70" s="112"/>
      <c r="P70" s="135"/>
      <c r="Q70" s="6"/>
      <c r="R70" s="6"/>
      <c r="S70" s="122"/>
      <c r="T70" s="13"/>
      <c r="U70" s="159"/>
      <c r="V70" s="159"/>
      <c r="W70" s="159"/>
      <c r="X70" s="159"/>
      <c r="Y70" s="159"/>
      <c r="Z70" s="303"/>
      <c r="AA70" s="159"/>
      <c r="AB70" s="159"/>
      <c r="AC70" s="159"/>
      <c r="AD70" s="303"/>
      <c r="AE70" s="159"/>
      <c r="AF70" s="159"/>
      <c r="AG70" s="159"/>
      <c r="AH70" s="159"/>
      <c r="AI70" s="159"/>
      <c r="AJ70" s="159"/>
      <c r="AK70" s="428"/>
      <c r="AL70" s="159"/>
      <c r="AM70" s="159"/>
      <c r="AN70" s="159"/>
      <c r="AO70" s="428"/>
      <c r="AP70" s="159"/>
      <c r="AQ70" s="159"/>
      <c r="AR70" s="159"/>
      <c r="AS70" s="159"/>
      <c r="AT70" s="159"/>
      <c r="AU70" s="159"/>
      <c r="AV70" s="159"/>
      <c r="AW70" s="159"/>
      <c r="AX70" s="159"/>
      <c r="AY70" s="159"/>
      <c r="AZ70" s="159"/>
      <c r="BA70" s="159"/>
      <c r="BB70" s="7"/>
      <c r="BC70" s="7"/>
      <c r="BD70" s="6"/>
      <c r="BE70" s="6"/>
      <c r="BF70" s="6"/>
      <c r="BG70" s="6"/>
      <c r="BH70" s="6"/>
      <c r="BI70" s="6"/>
      <c r="BJ70" s="6"/>
      <c r="BK70" s="6"/>
      <c r="BL70" s="391"/>
      <c r="BM70" s="391"/>
      <c r="BN70" s="159"/>
      <c r="BO70" s="159"/>
      <c r="BP70" s="159"/>
      <c r="BQ70" s="13"/>
      <c r="BR70" s="7"/>
    </row>
    <row r="71" spans="1:70" hidden="1" outlineLevel="1" x14ac:dyDescent="0.3">
      <c r="A71" s="86" t="s">
        <v>44</v>
      </c>
      <c r="B71" s="6"/>
      <c r="C71" s="6"/>
      <c r="D71" s="6"/>
      <c r="E71" s="6"/>
      <c r="F71" s="6"/>
      <c r="G71" s="6"/>
      <c r="H71" s="6"/>
      <c r="I71" s="6"/>
      <c r="J71" s="6"/>
      <c r="K71" s="6"/>
      <c r="L71" s="6"/>
      <c r="M71" s="6"/>
      <c r="N71" s="112"/>
      <c r="P71" s="135"/>
      <c r="Q71" s="6"/>
      <c r="R71" s="6"/>
      <c r="S71" s="122"/>
      <c r="T71" s="13"/>
      <c r="U71" s="159"/>
      <c r="V71" s="159"/>
      <c r="W71" s="159"/>
      <c r="X71" s="159"/>
      <c r="Y71" s="159"/>
      <c r="Z71" s="303"/>
      <c r="AA71" s="159"/>
      <c r="AB71" s="159"/>
      <c r="AC71" s="159"/>
      <c r="AD71" s="303"/>
      <c r="AE71" s="159"/>
      <c r="AF71" s="159"/>
      <c r="AG71" s="159"/>
      <c r="AH71" s="159"/>
      <c r="AI71" s="159"/>
      <c r="AJ71" s="159"/>
      <c r="AK71" s="428"/>
      <c r="AL71" s="159"/>
      <c r="AM71" s="159"/>
      <c r="AN71" s="159"/>
      <c r="AO71" s="428"/>
      <c r="AP71" s="159"/>
      <c r="AQ71" s="159"/>
      <c r="AR71" s="159"/>
      <c r="AS71" s="159"/>
      <c r="AT71" s="159"/>
      <c r="AU71" s="159"/>
      <c r="AV71" s="159"/>
      <c r="AW71" s="159"/>
      <c r="AX71" s="159"/>
      <c r="AY71" s="159"/>
      <c r="AZ71" s="159"/>
      <c r="BA71" s="159"/>
      <c r="BB71" s="7"/>
      <c r="BC71" s="7"/>
      <c r="BD71" s="6"/>
      <c r="BE71" s="6"/>
      <c r="BF71" s="6"/>
      <c r="BG71" s="6"/>
      <c r="BH71" s="6"/>
      <c r="BI71" s="6"/>
      <c r="BJ71" s="6"/>
      <c r="BK71" s="6"/>
      <c r="BL71" s="391"/>
      <c r="BM71" s="391"/>
      <c r="BN71" s="159"/>
      <c r="BO71" s="159"/>
      <c r="BP71" s="159"/>
      <c r="BQ71" s="13"/>
      <c r="BR71" s="7"/>
    </row>
    <row r="72" spans="1:70" hidden="1" outlineLevel="1" x14ac:dyDescent="0.3">
      <c r="A72" s="84" t="s">
        <v>45</v>
      </c>
      <c r="B72" s="5"/>
      <c r="C72" s="5"/>
      <c r="D72" s="5"/>
      <c r="E72" s="5"/>
      <c r="F72" s="5">
        <v>510155</v>
      </c>
      <c r="G72" s="5"/>
      <c r="H72" s="5">
        <v>1066165</v>
      </c>
      <c r="I72" s="5"/>
      <c r="J72" s="5"/>
      <c r="K72" s="5">
        <v>-776192</v>
      </c>
      <c r="L72" s="5">
        <v>-410161</v>
      </c>
      <c r="M72" s="5">
        <v>719894</v>
      </c>
      <c r="N72" s="111">
        <v>2360953</v>
      </c>
      <c r="P72" s="134">
        <v>905264</v>
      </c>
      <c r="Q72" s="5">
        <v>372107</v>
      </c>
      <c r="R72" s="5">
        <v>1303940</v>
      </c>
      <c r="S72" s="111">
        <v>38047</v>
      </c>
      <c r="T72" s="13"/>
      <c r="U72" s="159"/>
      <c r="V72" s="159"/>
      <c r="W72" s="159"/>
      <c r="X72" s="159"/>
      <c r="Y72" s="159"/>
      <c r="Z72" s="303"/>
      <c r="AA72" s="159"/>
      <c r="AB72" s="159"/>
      <c r="AC72" s="159"/>
      <c r="AD72" s="303"/>
      <c r="AE72" s="159"/>
      <c r="AF72" s="159"/>
      <c r="AG72" s="159"/>
      <c r="AH72" s="159"/>
      <c r="AI72" s="159"/>
      <c r="AJ72" s="159"/>
      <c r="AK72" s="428"/>
      <c r="AL72" s="159"/>
      <c r="AM72" s="159"/>
      <c r="AN72" s="159"/>
      <c r="AO72" s="428"/>
      <c r="AP72" s="159"/>
      <c r="AQ72" s="159"/>
      <c r="AR72" s="159"/>
      <c r="AS72" s="159"/>
      <c r="AT72" s="159"/>
      <c r="AU72" s="159"/>
      <c r="AV72" s="159"/>
      <c r="AW72" s="159"/>
      <c r="AX72" s="159"/>
      <c r="AY72" s="159"/>
      <c r="AZ72" s="159"/>
      <c r="BA72" s="159"/>
      <c r="BB72" s="7"/>
      <c r="BC72" s="7"/>
      <c r="BD72" s="5"/>
      <c r="BE72" s="5"/>
      <c r="BF72" s="5"/>
      <c r="BG72" s="5"/>
      <c r="BH72" s="5"/>
      <c r="BI72" s="5"/>
      <c r="BJ72" s="5"/>
      <c r="BK72" s="5"/>
      <c r="BL72" s="390"/>
      <c r="BM72" s="390"/>
      <c r="BN72" s="159"/>
      <c r="BO72" s="159"/>
      <c r="BP72" s="159"/>
      <c r="BQ72" s="13"/>
      <c r="BR72" s="7"/>
    </row>
    <row r="73" spans="1:70" hidden="1" outlineLevel="1" x14ac:dyDescent="0.3">
      <c r="A73" s="84" t="s">
        <v>46</v>
      </c>
      <c r="B73" s="5"/>
      <c r="C73" s="5"/>
      <c r="D73" s="5"/>
      <c r="E73" s="5"/>
      <c r="F73" s="5">
        <v>-38766</v>
      </c>
      <c r="G73" s="5"/>
      <c r="H73" s="5">
        <v>374445</v>
      </c>
      <c r="I73" s="5"/>
      <c r="J73" s="5"/>
      <c r="K73" s="5">
        <v>1125147</v>
      </c>
      <c r="L73" s="5">
        <v>117400</v>
      </c>
      <c r="M73" s="5">
        <v>-541955</v>
      </c>
      <c r="N73" s="111">
        <v>-1400497</v>
      </c>
      <c r="P73" s="134">
        <v>-669953</v>
      </c>
      <c r="Q73" s="5">
        <v>-612024</v>
      </c>
      <c r="R73" s="5">
        <v>182182</v>
      </c>
      <c r="S73" s="111">
        <v>-365072</v>
      </c>
      <c r="T73" s="13"/>
      <c r="U73" s="159"/>
      <c r="V73" s="159"/>
      <c r="W73" s="159"/>
      <c r="X73" s="159"/>
      <c r="Y73" s="159"/>
      <c r="Z73" s="303"/>
      <c r="AA73" s="159"/>
      <c r="AB73" s="159"/>
      <c r="AC73" s="159"/>
      <c r="AD73" s="303"/>
      <c r="AE73" s="159"/>
      <c r="AF73" s="159"/>
      <c r="AG73" s="159"/>
      <c r="AH73" s="159"/>
      <c r="AI73" s="159"/>
      <c r="AJ73" s="159"/>
      <c r="AK73" s="428"/>
      <c r="AL73" s="159"/>
      <c r="AM73" s="159"/>
      <c r="AN73" s="159"/>
      <c r="AO73" s="428"/>
      <c r="AP73" s="159"/>
      <c r="AQ73" s="159"/>
      <c r="AR73" s="159"/>
      <c r="AS73" s="159"/>
      <c r="AT73" s="159"/>
      <c r="AU73" s="159"/>
      <c r="AV73" s="159"/>
      <c r="AW73" s="159"/>
      <c r="AX73" s="159"/>
      <c r="AY73" s="159"/>
      <c r="AZ73" s="159"/>
      <c r="BA73" s="159"/>
      <c r="BB73" s="7"/>
      <c r="BC73" s="7"/>
      <c r="BD73" s="5"/>
      <c r="BE73" s="5"/>
      <c r="BF73" s="5"/>
      <c r="BG73" s="5"/>
      <c r="BH73" s="5"/>
      <c r="BI73" s="5"/>
      <c r="BJ73" s="5"/>
      <c r="BK73" s="5"/>
      <c r="BL73" s="390"/>
      <c r="BM73" s="390"/>
      <c r="BN73" s="159"/>
      <c r="BO73" s="159"/>
      <c r="BP73" s="159"/>
      <c r="BQ73" s="13"/>
      <c r="BR73" s="7"/>
    </row>
    <row r="74" spans="1:70" hidden="1" outlineLevel="1" x14ac:dyDescent="0.3">
      <c r="A74" s="84" t="s">
        <v>47</v>
      </c>
      <c r="B74" s="5"/>
      <c r="C74" s="5"/>
      <c r="D74" s="5"/>
      <c r="E74" s="5"/>
      <c r="F74" s="5">
        <v>-4312</v>
      </c>
      <c r="G74" s="5"/>
      <c r="H74" s="5">
        <v>174639</v>
      </c>
      <c r="I74" s="5"/>
      <c r="J74" s="5"/>
      <c r="K74" s="5">
        <v>-61183</v>
      </c>
      <c r="L74" s="5">
        <v>-79905</v>
      </c>
      <c r="M74" s="5">
        <v>185875</v>
      </c>
      <c r="N74" s="111">
        <v>1480861</v>
      </c>
      <c r="P74" s="134">
        <v>-111440</v>
      </c>
      <c r="Q74" s="5">
        <v>944088</v>
      </c>
      <c r="R74" s="5">
        <v>-1165256</v>
      </c>
      <c r="S74" s="111">
        <v>0</v>
      </c>
      <c r="T74" s="13"/>
      <c r="U74" s="159"/>
      <c r="V74" s="159"/>
      <c r="W74" s="159"/>
      <c r="X74" s="159"/>
      <c r="Y74" s="159"/>
      <c r="Z74" s="303"/>
      <c r="AA74" s="159"/>
      <c r="AB74" s="159"/>
      <c r="AC74" s="159"/>
      <c r="AD74" s="303"/>
      <c r="AE74" s="159"/>
      <c r="AF74" s="159"/>
      <c r="AG74" s="159"/>
      <c r="AH74" s="159"/>
      <c r="AI74" s="159"/>
      <c r="AJ74" s="159"/>
      <c r="AK74" s="428"/>
      <c r="AL74" s="159"/>
      <c r="AM74" s="159"/>
      <c r="AN74" s="159"/>
      <c r="AO74" s="428"/>
      <c r="AP74" s="159"/>
      <c r="AQ74" s="159"/>
      <c r="AR74" s="159"/>
      <c r="AS74" s="159"/>
      <c r="AT74" s="159"/>
      <c r="AU74" s="159"/>
      <c r="AV74" s="159"/>
      <c r="AW74" s="159"/>
      <c r="AX74" s="159"/>
      <c r="AY74" s="159"/>
      <c r="AZ74" s="159"/>
      <c r="BA74" s="159"/>
      <c r="BB74" s="7"/>
      <c r="BC74" s="7"/>
      <c r="BD74" s="5"/>
      <c r="BE74" s="5"/>
      <c r="BF74" s="5"/>
      <c r="BG74" s="5"/>
      <c r="BH74" s="5"/>
      <c r="BI74" s="5"/>
      <c r="BJ74" s="5"/>
      <c r="BK74" s="5"/>
      <c r="BL74" s="390"/>
      <c r="BM74" s="390"/>
      <c r="BN74" s="159"/>
      <c r="BO74" s="159"/>
      <c r="BP74" s="159"/>
      <c r="BQ74" s="13"/>
      <c r="BR74" s="7"/>
    </row>
    <row r="75" spans="1:70" hidden="1" outlineLevel="1" x14ac:dyDescent="0.3">
      <c r="AH75" s="152"/>
      <c r="BL75" s="20"/>
      <c r="BM75" s="20"/>
      <c r="BN75" s="152"/>
      <c r="BO75" s="152"/>
      <c r="BP75" s="152"/>
    </row>
    <row r="76" spans="1:70" s="74" customFormat="1" collapsed="1" x14ac:dyDescent="0.3">
      <c r="A76" s="144" t="s">
        <v>83</v>
      </c>
      <c r="N76" s="120"/>
      <c r="P76" s="143"/>
      <c r="S76" s="120"/>
      <c r="T76" s="75"/>
      <c r="U76" s="161"/>
      <c r="V76" s="161"/>
      <c r="W76" s="161"/>
      <c r="X76" s="161"/>
      <c r="Y76" s="161"/>
      <c r="Z76" s="137"/>
      <c r="AA76" s="161"/>
      <c r="AB76" s="161"/>
      <c r="AC76" s="161"/>
      <c r="AD76" s="137"/>
      <c r="AE76" s="161"/>
      <c r="AF76" s="161"/>
      <c r="AG76" s="161"/>
      <c r="AH76" s="161"/>
      <c r="AI76" s="161"/>
      <c r="AJ76" s="161"/>
      <c r="AK76" s="114"/>
      <c r="AL76" s="161"/>
      <c r="AM76" s="161"/>
      <c r="AN76" s="161"/>
      <c r="AO76" s="114"/>
      <c r="AP76" s="161"/>
      <c r="AQ76" s="161"/>
      <c r="AR76" s="161"/>
      <c r="AS76" s="161"/>
      <c r="AT76" s="161"/>
      <c r="AU76" s="161"/>
      <c r="AV76" s="161"/>
      <c r="AW76" s="161"/>
      <c r="AX76" s="161"/>
      <c r="AY76" s="161"/>
      <c r="AZ76" s="161"/>
      <c r="BA76" s="161"/>
      <c r="BL76" s="24"/>
      <c r="BM76" s="24"/>
      <c r="BN76" s="161"/>
      <c r="BO76" s="161"/>
      <c r="BP76" s="161"/>
      <c r="BQ76" s="75"/>
    </row>
    <row r="77" spans="1:70" s="75" customFormat="1" x14ac:dyDescent="0.3">
      <c r="A77" s="145" t="s">
        <v>62</v>
      </c>
      <c r="D77" s="76" t="str">
        <f t="shared" ref="D77:I77" si="60">IFERROR(D4/B4-1,"n.a.")</f>
        <v>n.a.</v>
      </c>
      <c r="E77" s="76" t="str">
        <f t="shared" si="60"/>
        <v>n.a.</v>
      </c>
      <c r="F77" s="76" t="str">
        <f t="shared" si="60"/>
        <v>n.a.</v>
      </c>
      <c r="G77" s="76" t="str">
        <f t="shared" si="60"/>
        <v>n.a.</v>
      </c>
      <c r="H77" s="76" t="str">
        <f t="shared" si="60"/>
        <v>n.a.</v>
      </c>
      <c r="I77" s="76" t="str">
        <f t="shared" si="60"/>
        <v>n.a.</v>
      </c>
      <c r="J77" s="76"/>
      <c r="K77" s="76"/>
      <c r="L77" s="76">
        <f>IFERROR(L4/K4-1,"n.a.")</f>
        <v>7.2590687205869475E-2</v>
      </c>
      <c r="M77" s="76">
        <f>IFERROR(M4/L4-1,"n.a.")</f>
        <v>0.2291466817825063</v>
      </c>
      <c r="N77" s="113"/>
      <c r="O77" s="76"/>
      <c r="P77" s="136"/>
      <c r="Q77" s="76" t="str">
        <f>IFERROR(Q4/P4-1,"n.a.")</f>
        <v>n.a.</v>
      </c>
      <c r="R77" s="76" t="str">
        <f>IFERROR(R4/Q4-1,"n.a.")</f>
        <v>n.a.</v>
      </c>
      <c r="S77" s="113"/>
      <c r="U77" s="161"/>
      <c r="V77" s="161"/>
      <c r="W77" s="161"/>
      <c r="X77" s="161"/>
      <c r="Y77" s="161"/>
      <c r="Z77" s="136">
        <f>IFERROR(Z4/V4-1,"n.a.")</f>
        <v>0.23793103448275854</v>
      </c>
      <c r="AA77" s="224">
        <f>IFERROR(AA4/W4-1,"n.a.")</f>
        <v>0.42906574394463659</v>
      </c>
      <c r="AB77" s="224">
        <f>IFERROR(AB4/X4-1,"n.a.")</f>
        <v>0.21739130434782616</v>
      </c>
      <c r="AC77" s="224">
        <f>IFERROR(AC4/Y4-1,"n.a.")</f>
        <v>0.19710144927536222</v>
      </c>
      <c r="AD77" s="136">
        <f>IFERROR(AD4/Z4-1,"n.a.")</f>
        <v>-0.49303621169916434</v>
      </c>
      <c r="AE77" s="224">
        <f t="shared" ref="AE77:AO77" si="61">IFERROR(AE4/AA4-1,"n.a.")</f>
        <v>-0.4576271186440678</v>
      </c>
      <c r="AF77" s="224">
        <f t="shared" si="61"/>
        <v>-0.16596638655462181</v>
      </c>
      <c r="AG77" s="224">
        <f t="shared" si="61"/>
        <v>-0.12590799031476996</v>
      </c>
      <c r="AH77" s="136">
        <f t="shared" si="61"/>
        <v>0.82967032967032961</v>
      </c>
      <c r="AI77" s="224">
        <f t="shared" si="61"/>
        <v>0.9598214285714286</v>
      </c>
      <c r="AJ77" s="359">
        <f t="shared" si="61"/>
        <v>3.5264483627204024E-2</v>
      </c>
      <c r="AK77" s="438">
        <f t="shared" si="61"/>
        <v>-0.11634349030470914</v>
      </c>
      <c r="AL77" s="359">
        <f t="shared" si="61"/>
        <v>-2.7027027027026973E-2</v>
      </c>
      <c r="AM77" s="359">
        <f t="shared" si="61"/>
        <v>-0.44646924829157175</v>
      </c>
      <c r="AN77" s="359">
        <f t="shared" si="61"/>
        <v>-1.2165450121654486E-2</v>
      </c>
      <c r="AO77" s="438">
        <f t="shared" si="61"/>
        <v>-0.20376175548589337</v>
      </c>
      <c r="AP77" s="359">
        <f t="shared" ref="AP77:AV77" si="62">IFERROR(AP4/AL4-1,"n.a.")</f>
        <v>0.76543209876543217</v>
      </c>
      <c r="AQ77" s="359">
        <f t="shared" si="62"/>
        <v>1.4567901234567899</v>
      </c>
      <c r="AR77" s="359">
        <f t="shared" si="62"/>
        <v>0.75123152709359609</v>
      </c>
      <c r="AS77" s="359">
        <f t="shared" si="62"/>
        <v>1.106299212598425</v>
      </c>
      <c r="AT77" s="359">
        <f t="shared" si="62"/>
        <v>0.15209790209790208</v>
      </c>
      <c r="AU77" s="359">
        <f t="shared" si="62"/>
        <v>4.3551088777219471E-2</v>
      </c>
      <c r="AV77" s="359">
        <f t="shared" si="62"/>
        <v>2.3909985935302469E-2</v>
      </c>
      <c r="AW77" s="359">
        <f>IFERROR(AW4/AS4-1,"n.a.")</f>
        <v>2.2429906542056122E-2</v>
      </c>
      <c r="AX77" s="947">
        <v>-0.02</v>
      </c>
      <c r="AY77" s="947">
        <v>0.01</v>
      </c>
      <c r="AZ77" s="947">
        <v>0.05</v>
      </c>
      <c r="BA77" s="947">
        <v>4.4999999999999998E-2</v>
      </c>
      <c r="BB77" s="947">
        <v>0.05</v>
      </c>
      <c r="BC77" s="947"/>
      <c r="BD77" s="76"/>
      <c r="BE77" s="76"/>
      <c r="BF77" s="76"/>
      <c r="BG77" s="76"/>
      <c r="BH77" s="76"/>
      <c r="BI77" s="76"/>
      <c r="BJ77" s="76">
        <f t="shared" ref="BJ77:BP77" si="63">IFERROR(BJ4/BI4-1,"n.a.")</f>
        <v>0.84069614324694886</v>
      </c>
      <c r="BK77" s="76">
        <f t="shared" si="63"/>
        <v>0.50914808630648589</v>
      </c>
      <c r="BL77" s="224">
        <f>IFERROR(BL4/BK4-1,"n.a.")</f>
        <v>0.28526412910893573</v>
      </c>
      <c r="BM77" s="224">
        <f>IFERROR(BM4/BL4-1,"n.a.")</f>
        <v>0.26311787072243353</v>
      </c>
      <c r="BN77" s="224">
        <f t="shared" si="63"/>
        <v>-0.29921733895243829</v>
      </c>
      <c r="BO77" s="224">
        <f t="shared" si="63"/>
        <v>0.29037800687285231</v>
      </c>
      <c r="BP77" s="224">
        <f t="shared" si="63"/>
        <v>-0.18308921438082559</v>
      </c>
    </row>
    <row r="78" spans="1:70" s="75" customFormat="1" x14ac:dyDescent="0.3">
      <c r="A78" s="348" t="s">
        <v>287</v>
      </c>
      <c r="D78" s="76"/>
      <c r="E78" s="76"/>
      <c r="F78" s="76"/>
      <c r="G78" s="76"/>
      <c r="H78" s="76"/>
      <c r="I78" s="76"/>
      <c r="J78" s="76"/>
      <c r="K78" s="76"/>
      <c r="L78" s="76"/>
      <c r="M78" s="76"/>
      <c r="N78" s="113"/>
      <c r="O78" s="76"/>
      <c r="P78" s="136"/>
      <c r="Q78" s="76"/>
      <c r="R78" s="76"/>
      <c r="S78" s="113"/>
      <c r="U78" s="161"/>
      <c r="V78" s="161"/>
      <c r="W78" s="161"/>
      <c r="X78" s="161"/>
      <c r="Y78" s="161"/>
      <c r="Z78" s="136"/>
      <c r="AA78" s="224"/>
      <c r="AB78" s="224"/>
      <c r="AC78" s="224"/>
      <c r="AD78" s="136"/>
      <c r="AE78" s="224"/>
      <c r="AF78" s="224"/>
      <c r="AG78" s="224"/>
      <c r="AH78" s="352">
        <f>AH4/Z4-1</f>
        <v>-7.2423398328690824E-2</v>
      </c>
      <c r="AI78" s="336">
        <f>AI4/AA4-1</f>
        <v>6.2953995157384979E-2</v>
      </c>
      <c r="AJ78" s="360">
        <f>AJ4/AB4-1</f>
        <v>-0.13655462184873945</v>
      </c>
      <c r="AK78" s="439">
        <f>AK4/AC4-1</f>
        <v>-0.22760290556900731</v>
      </c>
      <c r="AL78" s="360">
        <f>AL4/$Z$4-1</f>
        <v>-9.7493036211699136E-2</v>
      </c>
      <c r="AM78" s="360">
        <f>AM4/$AA$4-1</f>
        <v>-0.41162227602905566</v>
      </c>
      <c r="AN78" s="360">
        <f>AN4/$AB$4-1</f>
        <v>-0.1470588235294118</v>
      </c>
      <c r="AO78" s="439">
        <f>AO4/$AC$4-1</f>
        <v>-0.38498789346246975</v>
      </c>
      <c r="AP78" s="360">
        <f>AP4/$AB$4-1</f>
        <v>0.20168067226890751</v>
      </c>
      <c r="AQ78" s="360">
        <f>AQ4/$AB$4-1</f>
        <v>0.25420168067226889</v>
      </c>
      <c r="AR78" s="360">
        <f>AR4/$AB$4-1</f>
        <v>0.49369747899159666</v>
      </c>
      <c r="AS78" s="360">
        <f>AS4/$AB$4-1</f>
        <v>0.12394957983193278</v>
      </c>
      <c r="AT78" s="360">
        <f>AT4/Z4-1</f>
        <v>0.83565459610027859</v>
      </c>
      <c r="AU78" s="360">
        <f>AU4/AC4-1</f>
        <v>0.50847457627118642</v>
      </c>
      <c r="AV78" s="360">
        <f>AV4/AB4-1</f>
        <v>0.52941176470588225</v>
      </c>
      <c r="AW78" s="360"/>
      <c r="AX78" s="360"/>
      <c r="AY78" s="360"/>
      <c r="AZ78" s="360"/>
      <c r="BA78" s="360"/>
      <c r="BB78" s="360"/>
      <c r="BC78" s="360"/>
      <c r="BD78" s="76"/>
      <c r="BE78" s="76"/>
      <c r="BF78" s="76"/>
      <c r="BG78" s="76"/>
      <c r="BH78" s="76"/>
      <c r="BI78" s="76"/>
      <c r="BJ78" s="76"/>
      <c r="BK78" s="76"/>
      <c r="BL78" s="224"/>
      <c r="BM78" s="224"/>
      <c r="BN78" s="224"/>
      <c r="BO78" s="360">
        <f>IFERROR(BO4/BM4-1,"n.a.")</f>
        <v>-9.5725466586393693E-2</v>
      </c>
      <c r="BP78" s="360">
        <f>IFERROR(BP4/BM4-1,"n.a.")</f>
        <v>-0.26128838049367853</v>
      </c>
    </row>
    <row r="79" spans="1:70" s="75" customFormat="1" x14ac:dyDescent="0.3">
      <c r="A79" s="145" t="s">
        <v>60</v>
      </c>
      <c r="D79" s="76" t="str">
        <f t="shared" ref="D79:I80" si="64">IFERROR(D5/B5-1,"n.a.")</f>
        <v>n.a.</v>
      </c>
      <c r="E79" s="76" t="str">
        <f t="shared" si="64"/>
        <v>n.a.</v>
      </c>
      <c r="F79" s="76" t="str">
        <f t="shared" si="64"/>
        <v>n.a.</v>
      </c>
      <c r="G79" s="76" t="str">
        <f t="shared" si="64"/>
        <v>n.a.</v>
      </c>
      <c r="H79" s="76" t="str">
        <f t="shared" si="64"/>
        <v>n.a.</v>
      </c>
      <c r="I79" s="76" t="str">
        <f t="shared" si="64"/>
        <v>n.a.</v>
      </c>
      <c r="J79" s="76"/>
      <c r="K79" s="76"/>
      <c r="L79" s="76">
        <f>IFERROR(L5/K5-1,"n.a.")</f>
        <v>-0.34126196669437669</v>
      </c>
      <c r="M79" s="76">
        <f>IFERROR(M5/L5-1,"n.a.")</f>
        <v>-0.17130063097903525</v>
      </c>
      <c r="N79" s="113"/>
      <c r="O79" s="76"/>
      <c r="P79" s="136"/>
      <c r="Q79" s="76" t="str">
        <f>IFERROR(Q5/P5-1,"n.a.")</f>
        <v>n.a.</v>
      </c>
      <c r="R79" s="76" t="str">
        <f>IFERROR(R5/Q5-1,"n.a.")</f>
        <v>n.a.</v>
      </c>
      <c r="S79" s="113"/>
      <c r="U79" s="161"/>
      <c r="V79" s="161"/>
      <c r="W79" s="161"/>
      <c r="X79" s="161"/>
      <c r="Y79" s="161"/>
      <c r="Z79" s="136" t="str">
        <f>IFERROR(Z5/V5-1,"n.a.")</f>
        <v>n.a.</v>
      </c>
      <c r="AA79" s="224" t="str">
        <f>IFERROR(AA5/W5-1,"n.a.")</f>
        <v>n.a.</v>
      </c>
      <c r="AB79" s="224" t="str">
        <f t="shared" ref="AB79:AK79" si="65">IFERROR(AB5/X5-1,"n.a.")</f>
        <v>n.a.</v>
      </c>
      <c r="AC79" s="224" t="str">
        <f t="shared" si="65"/>
        <v>n.a.</v>
      </c>
      <c r="AD79" s="136">
        <f>IFERROR(AD5/Z5-1,"n.a.")</f>
        <v>-0.511794494165836</v>
      </c>
      <c r="AE79" s="224">
        <f t="shared" si="65"/>
        <v>-0.4839864395217548</v>
      </c>
      <c r="AF79" s="224">
        <f t="shared" si="65"/>
        <v>-0.20245301379198943</v>
      </c>
      <c r="AG79" s="224">
        <f t="shared" si="65"/>
        <v>-0.2057679782693167</v>
      </c>
      <c r="AH79" s="136">
        <f t="shared" si="65"/>
        <v>0.80467453503652142</v>
      </c>
      <c r="AI79" s="224">
        <f t="shared" si="65"/>
        <v>0.93532989810195288</v>
      </c>
      <c r="AJ79" s="224">
        <f t="shared" si="65"/>
        <v>4.4602048003843819E-2</v>
      </c>
      <c r="AK79" s="113">
        <f t="shared" si="65"/>
        <v>-0.1124457733932146</v>
      </c>
      <c r="AL79" s="136">
        <f t="shared" ref="AL79:AT79" si="66">IFERROR(AL5/AH5-1,"n.a.")</f>
        <v>-5.1563925777088682E-2</v>
      </c>
      <c r="AM79" s="224">
        <f t="shared" si="66"/>
        <v>-0.4689492936875671</v>
      </c>
      <c r="AN79" s="224">
        <f t="shared" si="66"/>
        <v>-4.7584838059962054E-2</v>
      </c>
      <c r="AO79" s="113">
        <f t="shared" si="66"/>
        <v>-0.23903845159445958</v>
      </c>
      <c r="AP79" s="136">
        <f t="shared" si="66"/>
        <v>0.71135501941323209</v>
      </c>
      <c r="AQ79" s="224">
        <f t="shared" si="66"/>
        <v>1.4005746612132839</v>
      </c>
      <c r="AR79" s="224">
        <f t="shared" si="66"/>
        <v>0.7154645368372945</v>
      </c>
      <c r="AS79" s="224">
        <f t="shared" si="66"/>
        <v>1.1071601088386016</v>
      </c>
      <c r="AT79" s="224">
        <f t="shared" si="66"/>
        <v>0.14615875788629173</v>
      </c>
      <c r="AU79" s="224"/>
      <c r="AV79" s="224"/>
      <c r="AW79" s="224"/>
      <c r="AX79" s="224"/>
      <c r="AY79" s="224"/>
      <c r="AZ79" s="224"/>
      <c r="BA79" s="224"/>
      <c r="BB79" s="224"/>
      <c r="BC79" s="224"/>
      <c r="BD79" s="76"/>
      <c r="BE79" s="76"/>
      <c r="BF79" s="76"/>
      <c r="BG79" s="76"/>
      <c r="BH79" s="76"/>
      <c r="BI79" s="76"/>
      <c r="BJ79" s="76">
        <f>IFERROR(BJ5/BI5-1,"n.a.")</f>
        <v>1.2402133574535443</v>
      </c>
      <c r="BK79" s="76">
        <f>IFERROR(BK5/BJ5-1,"n.a.")</f>
        <v>0.58363664792350733</v>
      </c>
      <c r="BL79" s="76"/>
      <c r="BM79" s="76" t="str">
        <f t="shared" ref="BM79:BP80" si="67">IFERROR(BM5/BL5-1,"n.a.")</f>
        <v>n.a.</v>
      </c>
      <c r="BN79" s="76">
        <f t="shared" si="67"/>
        <v>-0.35801865262902088</v>
      </c>
      <c r="BO79" s="76">
        <f t="shared" si="67"/>
        <v>0.29401758926924026</v>
      </c>
      <c r="BP79" s="76">
        <f t="shared" si="67"/>
        <v>-0.21059041285050883</v>
      </c>
    </row>
    <row r="80" spans="1:70" s="75" customFormat="1" x14ac:dyDescent="0.3">
      <c r="A80" s="145" t="s">
        <v>61</v>
      </c>
      <c r="D80" s="76" t="str">
        <f t="shared" si="64"/>
        <v>n.a.</v>
      </c>
      <c r="E80" s="76" t="str">
        <f t="shared" si="64"/>
        <v>n.a.</v>
      </c>
      <c r="F80" s="76" t="str">
        <f t="shared" si="64"/>
        <v>n.a.</v>
      </c>
      <c r="G80" s="76" t="str">
        <f t="shared" si="64"/>
        <v>n.a.</v>
      </c>
      <c r="H80" s="76" t="str">
        <f t="shared" si="64"/>
        <v>n.a.</v>
      </c>
      <c r="I80" s="76" t="str">
        <f t="shared" si="64"/>
        <v>n.a.</v>
      </c>
      <c r="L80" s="76">
        <f>IFERROR(L6/K6-1,"n.a.")</f>
        <v>0.18796537184892803</v>
      </c>
      <c r="M80" s="76">
        <f>IFERROR(M6/L6-1,"n.a.")</f>
        <v>0.29105074037015366</v>
      </c>
      <c r="N80" s="113"/>
      <c r="O80" s="76"/>
      <c r="P80" s="137"/>
      <c r="Q80" s="76" t="str">
        <f>IFERROR(Q6/P6-1,"n.a.")</f>
        <v>n.a.</v>
      </c>
      <c r="R80" s="76" t="str">
        <f>IFERROR(R6/Q6-1,"n.a.")</f>
        <v>n.a.</v>
      </c>
      <c r="S80" s="113"/>
      <c r="U80" s="161"/>
      <c r="V80" s="161"/>
      <c r="W80" s="161"/>
      <c r="X80" s="161"/>
      <c r="Y80" s="161"/>
      <c r="Z80" s="136" t="str">
        <f>IFERROR(Z6/V6-1,"n.a.")</f>
        <v>n.a.</v>
      </c>
      <c r="AA80" s="224" t="str">
        <f t="shared" ref="AA80:AK80" si="68">IFERROR(AA6/W6-1,"n.a.")</f>
        <v>n.a.</v>
      </c>
      <c r="AB80" s="224" t="str">
        <f t="shared" si="68"/>
        <v>n.a.</v>
      </c>
      <c r="AC80" s="224" t="str">
        <f t="shared" si="68"/>
        <v>n.a.</v>
      </c>
      <c r="AD80" s="136">
        <f t="shared" si="68"/>
        <v>-0.5331412103746398</v>
      </c>
      <c r="AE80" s="224">
        <f t="shared" si="68"/>
        <v>-0.37472508881745903</v>
      </c>
      <c r="AF80" s="224">
        <f t="shared" si="68"/>
        <v>-0.23465150766188825</v>
      </c>
      <c r="AG80" s="224">
        <f t="shared" si="68"/>
        <v>2.1698113207547109E-2</v>
      </c>
      <c r="AH80" s="136">
        <f t="shared" si="68"/>
        <v>1.4666666666666668</v>
      </c>
      <c r="AI80" s="224">
        <f t="shared" si="68"/>
        <v>1.2567640692640691</v>
      </c>
      <c r="AJ80" s="224">
        <f t="shared" si="68"/>
        <v>0.26089905057159402</v>
      </c>
      <c r="AK80" s="113">
        <f t="shared" si="68"/>
        <v>-7.1027771858796829E-2</v>
      </c>
      <c r="AL80" s="136">
        <f t="shared" ref="AL80:AT80" si="69">IFERROR(AL6/AH6-1,"n.a.")</f>
        <v>-5.4054054054054057E-2</v>
      </c>
      <c r="AM80" s="224">
        <f t="shared" si="69"/>
        <v>-0.37363625464572592</v>
      </c>
      <c r="AN80" s="224">
        <f t="shared" si="69"/>
        <v>7.6219746446408498E-2</v>
      </c>
      <c r="AO80" s="113">
        <f t="shared" si="69"/>
        <v>-0.18434131049774449</v>
      </c>
      <c r="AP80" s="136">
        <f t="shared" si="69"/>
        <v>0.81587301587301586</v>
      </c>
      <c r="AQ80" s="224">
        <f t="shared" si="69"/>
        <v>1.228251507321275</v>
      </c>
      <c r="AR80" s="224">
        <f t="shared" si="69"/>
        <v>0.6497108588562861</v>
      </c>
      <c r="AS80" s="224">
        <f>IFERROR(AS6/AO6-1,"n.a.")</f>
        <v>1.0360892388451441</v>
      </c>
      <c r="AT80" s="224">
        <f t="shared" si="69"/>
        <v>0.11369463869463869</v>
      </c>
      <c r="AU80" s="224"/>
      <c r="AV80" s="224"/>
      <c r="AW80" s="224"/>
      <c r="AX80" s="224"/>
      <c r="AY80" s="224"/>
      <c r="AZ80" s="224"/>
      <c r="BA80" s="224"/>
      <c r="BB80" s="224"/>
      <c r="BC80" s="224"/>
      <c r="BD80" s="76"/>
      <c r="BE80" s="76"/>
      <c r="BF80" s="76"/>
      <c r="BG80" s="76"/>
      <c r="BH80" s="76"/>
      <c r="BI80" s="76"/>
      <c r="BJ80" s="76">
        <f>IFERROR(BJ6/BI6-1,"n.a.")</f>
        <v>0.20960512123716546</v>
      </c>
      <c r="BK80" s="76">
        <f>IFERROR(BK6/BJ6-1,"n.a.")</f>
        <v>0.29123071132856615</v>
      </c>
      <c r="BL80" s="76"/>
      <c r="BM80" s="76" t="str">
        <f t="shared" si="67"/>
        <v>n.a.</v>
      </c>
      <c r="BN80" s="76">
        <f t="shared" si="67"/>
        <v>-0.25823051574833322</v>
      </c>
      <c r="BO80" s="76">
        <f t="shared" si="67"/>
        <v>0.48168523712852607</v>
      </c>
      <c r="BP80" s="76">
        <f t="shared" si="67"/>
        <v>-0.14122404866909533</v>
      </c>
    </row>
    <row r="81" spans="1:69" s="75" customFormat="1" x14ac:dyDescent="0.3">
      <c r="A81" s="145"/>
      <c r="D81" s="76"/>
      <c r="N81" s="114"/>
      <c r="P81" s="137"/>
      <c r="S81" s="114"/>
      <c r="U81" s="161"/>
      <c r="V81" s="161"/>
      <c r="W81" s="161"/>
      <c r="X81" s="161"/>
      <c r="Y81" s="161"/>
      <c r="Z81" s="137"/>
      <c r="AA81" s="161"/>
      <c r="AB81" s="161"/>
      <c r="AC81" s="161"/>
      <c r="AD81" s="137"/>
      <c r="AE81" s="161"/>
      <c r="AF81" s="161"/>
      <c r="AG81" s="161"/>
      <c r="AH81" s="137"/>
      <c r="AI81" s="161"/>
      <c r="AJ81" s="161"/>
      <c r="AK81" s="114"/>
      <c r="AL81" s="161"/>
      <c r="AM81" s="161"/>
      <c r="AN81" s="161"/>
      <c r="AO81" s="114"/>
      <c r="AP81" s="161"/>
      <c r="AQ81" s="161"/>
      <c r="AR81" s="161"/>
      <c r="AS81" s="161"/>
      <c r="AT81" s="161"/>
      <c r="AU81" s="161"/>
      <c r="AV81" s="161"/>
      <c r="AW81" s="161"/>
      <c r="AX81" s="161"/>
      <c r="AY81" s="161"/>
      <c r="AZ81" s="161"/>
      <c r="BA81" s="161"/>
      <c r="BB81" s="74"/>
      <c r="BC81" s="74"/>
    </row>
    <row r="82" spans="1:69" s="75" customFormat="1" x14ac:dyDescent="0.3">
      <c r="A82" s="146" t="s">
        <v>12</v>
      </c>
      <c r="D82" s="76" t="str">
        <f t="shared" ref="D82:I82" si="70">IFERROR(D11/B11-1,"n.a.")</f>
        <v>n.a.</v>
      </c>
      <c r="E82" s="76" t="str">
        <f t="shared" si="70"/>
        <v>n.a.</v>
      </c>
      <c r="F82" s="76" t="str">
        <f t="shared" si="70"/>
        <v>n.a.</v>
      </c>
      <c r="G82" s="76" t="str">
        <f t="shared" si="70"/>
        <v>n.a.</v>
      </c>
      <c r="H82" s="76">
        <f t="shared" si="70"/>
        <v>0.60284279996853463</v>
      </c>
      <c r="I82" s="76">
        <f t="shared" si="70"/>
        <v>1.5603817479417055</v>
      </c>
      <c r="J82" s="76"/>
      <c r="K82" s="76"/>
      <c r="L82" s="76">
        <f>IFERROR(L11/K11-1,"n.a.")</f>
        <v>1.1484391749924958</v>
      </c>
      <c r="M82" s="76">
        <f>IFERROR(M11/L11-1,"n.a.")</f>
        <v>0.14244352060383791</v>
      </c>
      <c r="N82" s="113">
        <f>IFERROR(N11/M11-1,"n.a.")</f>
        <v>1.0867377831493878</v>
      </c>
      <c r="O82" s="76"/>
      <c r="P82" s="136"/>
      <c r="Q82" s="76">
        <f>IFERROR(Q11/P11-1,"n.a.")</f>
        <v>1.471834879927238</v>
      </c>
      <c r="R82" s="76">
        <f>IFERROR(R11/Q11-1,"n.a.")</f>
        <v>0.88681542373743594</v>
      </c>
      <c r="S82" s="113"/>
      <c r="U82" s="161"/>
      <c r="V82" s="161"/>
      <c r="W82" s="161"/>
      <c r="X82" s="161"/>
      <c r="Y82" s="161"/>
      <c r="Z82" s="327">
        <f t="shared" ref="Z82:AO82" si="71">IFERROR(Z11/V11-1,"n.a.")</f>
        <v>0.17522036069566505</v>
      </c>
      <c r="AA82" s="316">
        <f t="shared" si="71"/>
        <v>0.21028695758018379</v>
      </c>
      <c r="AB82" s="316">
        <f t="shared" si="71"/>
        <v>0.22280222272691419</v>
      </c>
      <c r="AC82" s="316">
        <f t="shared" si="71"/>
        <v>0.24427339643016599</v>
      </c>
      <c r="AD82" s="327">
        <f t="shared" si="71"/>
        <v>-0.43640809661934354</v>
      </c>
      <c r="AE82" s="316">
        <f t="shared" si="71"/>
        <v>-0.24564239819271882</v>
      </c>
      <c r="AF82" s="316">
        <f t="shared" si="71"/>
        <v>-7.158229597552046E-2</v>
      </c>
      <c r="AG82" s="316">
        <f t="shared" si="71"/>
        <v>-7.3418100652545171E-2</v>
      </c>
      <c r="AH82" s="327">
        <f t="shared" si="71"/>
        <v>0.6055490112584021</v>
      </c>
      <c r="AI82" s="316">
        <f t="shared" si="71"/>
        <v>0.78149013503807163</v>
      </c>
      <c r="AJ82" s="359">
        <f t="shared" si="71"/>
        <v>1.3012674730663365E-2</v>
      </c>
      <c r="AK82" s="438">
        <f t="shared" si="71"/>
        <v>1.8497935020583611E-2</v>
      </c>
      <c r="AL82" s="359">
        <f t="shared" si="71"/>
        <v>6.4591888647837381E-2</v>
      </c>
      <c r="AM82" s="359">
        <f t="shared" si="71"/>
        <v>-0.38322535742900887</v>
      </c>
      <c r="AN82" s="359">
        <f t="shared" si="71"/>
        <v>5.5954555743411349E-2</v>
      </c>
      <c r="AO82" s="438">
        <f t="shared" si="71"/>
        <v>-0.18756597351040005</v>
      </c>
      <c r="AP82" s="359">
        <f t="shared" ref="AP82:AX82" si="72">IFERROR(AP11/AL11-1,"n.a.")</f>
        <v>0.50532276212035043</v>
      </c>
      <c r="AQ82" s="359">
        <f t="shared" si="72"/>
        <v>1.1736389489250372</v>
      </c>
      <c r="AR82" s="359">
        <f t="shared" si="72"/>
        <v>0.61101999022437559</v>
      </c>
      <c r="AS82" s="359">
        <f t="shared" si="72"/>
        <v>1.0962690974930438</v>
      </c>
      <c r="AT82" s="359">
        <f t="shared" si="72"/>
        <v>0.49499776307806642</v>
      </c>
      <c r="AU82" s="359">
        <f t="shared" si="72"/>
        <v>0.48114395403920573</v>
      </c>
      <c r="AV82" s="359">
        <f t="shared" si="72"/>
        <v>0.51290004819218682</v>
      </c>
      <c r="AW82" s="359">
        <f t="shared" si="72"/>
        <v>0.34759052351662012</v>
      </c>
      <c r="AX82" s="359">
        <f t="shared" si="72"/>
        <v>0.13220828921251915</v>
      </c>
      <c r="AY82" s="359">
        <f>IFERROR(AY11/AU11-1,"n.a.")</f>
        <v>9.989124589522147E-2</v>
      </c>
      <c r="AZ82" s="359">
        <f>IFERROR(AZ11/AV11-1,"n.a.")</f>
        <v>0.10369957223245296</v>
      </c>
      <c r="BA82" s="359">
        <f>IFERROR(BA11/AW11-1,"n.a.")</f>
        <v>0.14216429049298474</v>
      </c>
      <c r="BB82" s="359">
        <f>IFERROR(BB11/AX11-1,"n.a.")</f>
        <v>0.14354534804881025</v>
      </c>
      <c r="BC82" s="359">
        <f>IFERROR(BC11/AY11-1,"n.a.")</f>
        <v>6.8015995953254249E-2</v>
      </c>
      <c r="BD82" s="76"/>
      <c r="BE82" s="76"/>
      <c r="BF82" s="76"/>
      <c r="BG82" s="76"/>
      <c r="BH82" s="76"/>
      <c r="BI82" s="76"/>
      <c r="BJ82" s="76">
        <f t="shared" ref="BJ82:BP82" si="73">IFERROR(BJ11/BI11-1,"n.a.")</f>
        <v>1.2650902302426883</v>
      </c>
      <c r="BK82" s="76">
        <f t="shared" si="73"/>
        <v>0.43573901098901091</v>
      </c>
      <c r="BL82" s="76">
        <f>IFERROR(BL11/BK11-1,"n.a.")</f>
        <v>5.6541314826188405E-3</v>
      </c>
      <c r="BM82" s="76">
        <f>IFERROR(BM11/BL11-1,"n.a.")</f>
        <v>0.40666662988078128</v>
      </c>
      <c r="BN82" s="76">
        <f t="shared" si="73"/>
        <v>-0.19753204817790826</v>
      </c>
      <c r="BO82" s="76">
        <f t="shared" si="73"/>
        <v>0.27053356619392765</v>
      </c>
      <c r="BP82" s="76">
        <f t="shared" si="73"/>
        <v>-0.12641896126542873</v>
      </c>
    </row>
    <row r="83" spans="1:69" s="75" customFormat="1" x14ac:dyDescent="0.3">
      <c r="A83" s="348" t="s">
        <v>288</v>
      </c>
      <c r="D83" s="76"/>
      <c r="E83" s="76"/>
      <c r="F83" s="76"/>
      <c r="G83" s="76"/>
      <c r="H83" s="76"/>
      <c r="I83" s="76"/>
      <c r="J83" s="76"/>
      <c r="K83" s="76"/>
      <c r="L83" s="76"/>
      <c r="M83" s="76"/>
      <c r="N83" s="113"/>
      <c r="O83" s="76"/>
      <c r="P83" s="136"/>
      <c r="Q83" s="76"/>
      <c r="R83" s="76"/>
      <c r="S83" s="113"/>
      <c r="U83" s="161"/>
      <c r="V83" s="161"/>
      <c r="W83" s="161"/>
      <c r="X83" s="161"/>
      <c r="Y83" s="161"/>
      <c r="Z83" s="327"/>
      <c r="AA83" s="316"/>
      <c r="AB83" s="316"/>
      <c r="AC83" s="316"/>
      <c r="AD83" s="327"/>
      <c r="AE83" s="316"/>
      <c r="AF83" s="316"/>
      <c r="AG83" s="316"/>
      <c r="AH83" s="352">
        <f>AH11/Z11-1</f>
        <v>-9.5125576773946063E-2</v>
      </c>
      <c r="AI83" s="336">
        <f>AI11/AA11-1</f>
        <v>0.34388062591064927</v>
      </c>
      <c r="AJ83" s="360">
        <f>AJ11/AB11-1</f>
        <v>-5.950109837886064E-2</v>
      </c>
      <c r="AK83" s="439">
        <f>AK11/AC11-1</f>
        <v>-5.6278248887167037E-2</v>
      </c>
      <c r="AL83" s="360">
        <f>AL11/$Z$11-1</f>
        <v>-3.6678028788652783E-2</v>
      </c>
      <c r="AM83" s="360">
        <f>AM11/$AA$11-1</f>
        <v>-0.17112850729587947</v>
      </c>
      <c r="AN83" s="360">
        <f>AN11/$AB$11-1</f>
        <v>-6.8759001614835391E-3</v>
      </c>
      <c r="AO83" s="439">
        <f>AO11/$AC$11-1</f>
        <v>-0.23328833785758496</v>
      </c>
      <c r="AP83" s="360">
        <f>AP11/$Z$11-1</f>
        <v>0.45011049051508589</v>
      </c>
      <c r="AQ83" s="360">
        <f>AQ11/$AA$11-1</f>
        <v>0.80166736019531104</v>
      </c>
      <c r="AR83" s="360">
        <f>AR11/$AB$11-1</f>
        <v>0.5999427776134385</v>
      </c>
      <c r="AS83" s="360">
        <f>AS11/$AC$11-1</f>
        <v>0.60723396403667174</v>
      </c>
      <c r="AT83" s="360"/>
      <c r="AU83" s="360"/>
      <c r="AV83" s="360"/>
      <c r="AW83" s="360"/>
      <c r="AX83" s="360"/>
      <c r="AY83" s="360"/>
      <c r="AZ83" s="360"/>
      <c r="BA83" s="360"/>
      <c r="BB83" s="360"/>
      <c r="BC83" s="360"/>
      <c r="BD83" s="76"/>
      <c r="BE83" s="76"/>
      <c r="BF83" s="76"/>
      <c r="BG83" s="76"/>
      <c r="BH83" s="76"/>
      <c r="BI83" s="76"/>
      <c r="BJ83" s="76"/>
      <c r="BK83" s="76"/>
      <c r="BL83" s="76"/>
      <c r="BM83" s="76"/>
      <c r="BN83" s="76"/>
      <c r="BO83" s="360">
        <f>IFERROR(BO11/BM11-1,"n.a.")</f>
        <v>1.9562468584859216E-2</v>
      </c>
      <c r="BP83" s="360">
        <f>IFERROR(BP11/BM11-1,"n.a.")</f>
        <v>-0.10932955963885505</v>
      </c>
    </row>
    <row r="84" spans="1:69" s="75" customFormat="1" ht="13.5" customHeight="1" x14ac:dyDescent="0.3">
      <c r="A84" s="147" t="s">
        <v>65</v>
      </c>
      <c r="D84" s="76" t="str">
        <f t="shared" ref="D84:I84" si="74">IFERROR(D13/B13-1,"n.a.")</f>
        <v>n.a.</v>
      </c>
      <c r="E84" s="76" t="str">
        <f t="shared" si="74"/>
        <v>n.a.</v>
      </c>
      <c r="F84" s="76" t="str">
        <f t="shared" si="74"/>
        <v>n.a.</v>
      </c>
      <c r="G84" s="76" t="str">
        <f t="shared" si="74"/>
        <v>n.a.</v>
      </c>
      <c r="H84" s="76">
        <f t="shared" si="74"/>
        <v>-0.25015787160449754</v>
      </c>
      <c r="I84" s="76">
        <f t="shared" si="74"/>
        <v>-0.19945381025272779</v>
      </c>
      <c r="J84" s="76"/>
      <c r="K84" s="76"/>
      <c r="L84" s="76">
        <f>IFERROR(L13/K13-1,"n.a.")</f>
        <v>1.3071143140134569</v>
      </c>
      <c r="M84" s="76">
        <f>IFERROR(M13/L13-1,"n.a.")</f>
        <v>0.12777870633461474</v>
      </c>
      <c r="N84" s="113">
        <f>IFERROR(N13/M13-1,"n.a.")</f>
        <v>-0.22495315725400944</v>
      </c>
      <c r="O84" s="76"/>
      <c r="P84" s="136"/>
      <c r="Q84" s="76" t="str">
        <f>IFERROR(Q13/P13-1,"n.a.")</f>
        <v>n.a.</v>
      </c>
      <c r="R84" s="76" t="str">
        <f>IFERROR(R13/Q13-1,"n.a.")</f>
        <v>n.a.</v>
      </c>
      <c r="S84" s="113"/>
      <c r="U84" s="161"/>
      <c r="V84" s="161"/>
      <c r="W84" s="161"/>
      <c r="X84" s="161"/>
      <c r="Y84" s="161"/>
      <c r="Z84" s="326">
        <v>0.42</v>
      </c>
      <c r="AA84" s="316">
        <f t="shared" ref="AA84:AO84" si="75">IFERROR(AA13/W13-1,"n.a.")</f>
        <v>0.25483579828655145</v>
      </c>
      <c r="AB84" s="316">
        <f t="shared" si="75"/>
        <v>0.34517433811239395</v>
      </c>
      <c r="AC84" s="316">
        <f t="shared" si="75"/>
        <v>0.46638134314280322</v>
      </c>
      <c r="AD84" s="327">
        <f t="shared" si="75"/>
        <v>-0.53182572715898968</v>
      </c>
      <c r="AE84" s="316">
        <f t="shared" si="75"/>
        <v>-0.30551901113199365</v>
      </c>
      <c r="AF84" s="316">
        <f t="shared" si="75"/>
        <v>-1.3228375059100239E-2</v>
      </c>
      <c r="AG84" s="316">
        <f t="shared" si="75"/>
        <v>4.0875562623921891E-2</v>
      </c>
      <c r="AH84" s="327">
        <f t="shared" si="75"/>
        <v>1.0022225715458442</v>
      </c>
      <c r="AI84" s="316">
        <f t="shared" si="75"/>
        <v>0.93311440600783757</v>
      </c>
      <c r="AJ84" s="359">
        <f t="shared" si="75"/>
        <v>-5.7875216014981912E-2</v>
      </c>
      <c r="AK84" s="438">
        <f t="shared" si="75"/>
        <v>-0.13119783958151165</v>
      </c>
      <c r="AL84" s="359">
        <f t="shared" si="75"/>
        <v>0.18437988646499637</v>
      </c>
      <c r="AM84" s="359">
        <f t="shared" si="75"/>
        <v>-0.26836471519413319</v>
      </c>
      <c r="AN84" s="359">
        <f t="shared" si="75"/>
        <v>0.26943436598753379</v>
      </c>
      <c r="AO84" s="438">
        <f t="shared" si="75"/>
        <v>-9.4121203499537676E-2</v>
      </c>
      <c r="AP84" s="359">
        <f t="shared" ref="AP84:AX84" si="76">IFERROR(AP13/AL13-1,"n.a.")</f>
        <v>0.53616028518713565</v>
      </c>
      <c r="AQ84" s="359">
        <f t="shared" si="76"/>
        <v>0.94175807597060679</v>
      </c>
      <c r="AR84" s="359">
        <f t="shared" si="76"/>
        <v>0.37704727809270455</v>
      </c>
      <c r="AS84" s="359">
        <f t="shared" si="76"/>
        <v>0.73224191743713551</v>
      </c>
      <c r="AT84" s="359">
        <f t="shared" si="76"/>
        <v>0.1563323708048201</v>
      </c>
      <c r="AU84" s="359">
        <f t="shared" si="76"/>
        <v>0.12837172018844112</v>
      </c>
      <c r="AV84" s="359">
        <f t="shared" si="76"/>
        <v>0.22187314008059245</v>
      </c>
      <c r="AW84" s="359">
        <f t="shared" si="76"/>
        <v>0.28626923042055363</v>
      </c>
      <c r="AX84" s="359">
        <f t="shared" si="76"/>
        <v>0.23319473858251882</v>
      </c>
      <c r="AY84" s="359">
        <f>IFERROR(AY13/AU13-1,"n.a.")</f>
        <v>0.15155863861903685</v>
      </c>
      <c r="AZ84" s="359">
        <f>IFERROR(AZ13/AV13-1,"n.a.")</f>
        <v>0.14658801444022362</v>
      </c>
      <c r="BA84" s="359">
        <f>IFERROR(BA13/AW13-1,"n.a.")</f>
        <v>0.15437468504311602</v>
      </c>
      <c r="BB84" s="359">
        <f>IFERROR(BB13/AX13-1,"n.a.")</f>
        <v>0.14695009086767286</v>
      </c>
      <c r="BC84" s="359">
        <f>IFERROR(BC13/AY13-1,"n.a.")</f>
        <v>7.9692744538843341E-2</v>
      </c>
      <c r="BD84" s="76"/>
      <c r="BE84" s="76"/>
      <c r="BF84" s="76"/>
      <c r="BG84" s="76"/>
      <c r="BH84" s="76"/>
      <c r="BI84" s="76"/>
      <c r="BJ84" s="76">
        <f t="shared" ref="BJ84:BO84" si="77">IFERROR(BJ13/BI13-1,"n.a.")</f>
        <v>1.2249488752556239</v>
      </c>
      <c r="BK84" s="76">
        <f t="shared" si="77"/>
        <v>0.21461397058823528</v>
      </c>
      <c r="BL84" s="76">
        <f>IFERROR(BL13/BK13-1,"n.a.")</f>
        <v>-0.3074650018917896</v>
      </c>
      <c r="BM84" s="76">
        <f>IFERROR(BM13/BL13-1,"n.a.")</f>
        <v>0.28833132098974534</v>
      </c>
      <c r="BN84" s="76">
        <f t="shared" si="77"/>
        <v>-0.17512657312616853</v>
      </c>
      <c r="BO84" s="76">
        <f t="shared" si="77"/>
        <v>0.23832366914067937</v>
      </c>
      <c r="BP84" s="76">
        <f>IFERROR(BP13/BO13-1,"n.a.")</f>
        <v>2.4984130634870816E-3</v>
      </c>
    </row>
    <row r="85" spans="1:69" s="75" customFormat="1" x14ac:dyDescent="0.3">
      <c r="A85" s="349" t="s">
        <v>289</v>
      </c>
      <c r="D85" s="76"/>
      <c r="E85" s="76"/>
      <c r="F85" s="76"/>
      <c r="G85" s="76"/>
      <c r="H85" s="76"/>
      <c r="I85" s="76"/>
      <c r="J85" s="76"/>
      <c r="K85" s="76"/>
      <c r="L85" s="76"/>
      <c r="M85" s="76"/>
      <c r="N85" s="113"/>
      <c r="O85" s="76"/>
      <c r="P85" s="136"/>
      <c r="Q85" s="76"/>
      <c r="R85" s="76"/>
      <c r="S85" s="113"/>
      <c r="U85" s="161"/>
      <c r="V85" s="161"/>
      <c r="W85" s="161"/>
      <c r="X85" s="161"/>
      <c r="Y85" s="161"/>
      <c r="Z85" s="326"/>
      <c r="AA85" s="316"/>
      <c r="AB85" s="316"/>
      <c r="AC85" s="316"/>
      <c r="AD85" s="327"/>
      <c r="AE85" s="316"/>
      <c r="AF85" s="316"/>
      <c r="AG85" s="316"/>
      <c r="AH85" s="353">
        <f>AH13/Z13-1</f>
        <v>-6.2610903500666448E-2</v>
      </c>
      <c r="AI85" s="337">
        <f>AI13/AA13-1</f>
        <v>0.34251120427931192</v>
      </c>
      <c r="AJ85" s="360">
        <f>AJ13/AB13-1</f>
        <v>-7.0337996010009562E-2</v>
      </c>
      <c r="AK85" s="439">
        <f>AK13/AC13-1</f>
        <v>-9.5685062465526993E-2</v>
      </c>
      <c r="AL85" s="360">
        <f>AL13/$Z$13-1</f>
        <v>0.11022479168540622</v>
      </c>
      <c r="AM85" s="360">
        <f>AM13/$AA$13-1</f>
        <v>-1.7771432702038403E-2</v>
      </c>
      <c r="AN85" s="360">
        <f>AN13/$AB$13-1</f>
        <v>0.18014489661773347</v>
      </c>
      <c r="AO85" s="439">
        <f>AO13/$AC$13-1</f>
        <v>-0.18080027272888077</v>
      </c>
      <c r="AP85" s="360">
        <f>AP13/$AC$13-1</f>
        <v>0.34155111334811683</v>
      </c>
      <c r="AQ85" s="360">
        <f>AQ13/$AC$13-1</f>
        <v>0.69715194504255762</v>
      </c>
      <c r="AR85" s="360">
        <f>AR13/$AC$13-1</f>
        <v>0.81294111403958746</v>
      </c>
      <c r="AS85" s="360">
        <f>AS13/$AC$13-1</f>
        <v>0.41905210633210199</v>
      </c>
      <c r="AT85" s="360"/>
      <c r="AU85" s="360"/>
      <c r="AV85" s="360"/>
      <c r="AW85" s="360"/>
      <c r="AX85" s="360"/>
      <c r="AY85" s="360"/>
      <c r="AZ85" s="360"/>
      <c r="BA85" s="360"/>
      <c r="BB85" s="360"/>
      <c r="BC85" s="360"/>
      <c r="BD85" s="76"/>
      <c r="BE85" s="76"/>
      <c r="BF85" s="76"/>
      <c r="BG85" s="76"/>
      <c r="BH85" s="76"/>
      <c r="BI85" s="76"/>
      <c r="BJ85" s="76"/>
      <c r="BK85" s="76"/>
      <c r="BL85" s="76"/>
      <c r="BM85" s="76"/>
      <c r="BN85" s="76"/>
      <c r="BO85" s="360">
        <f>IFERROR(BO13/BM13-1,"n.a.")</f>
        <v>2.1460288543048822E-2</v>
      </c>
      <c r="BP85" s="360">
        <f>IFERROR(BP13/BM13-1,"n.a.")</f>
        <v>2.4012318271777966E-2</v>
      </c>
    </row>
    <row r="86" spans="1:69" s="75" customFormat="1" x14ac:dyDescent="0.3">
      <c r="A86" s="148" t="s">
        <v>75</v>
      </c>
      <c r="D86" s="76" t="str">
        <f t="shared" ref="D86:I87" si="78">IFERROR(D14/B14-1,"n.a.")</f>
        <v>n.a.</v>
      </c>
      <c r="E86" s="76" t="str">
        <f t="shared" si="78"/>
        <v>n.a.</v>
      </c>
      <c r="F86" s="76" t="str">
        <f t="shared" si="78"/>
        <v>n.a.</v>
      </c>
      <c r="G86" s="76" t="str">
        <f t="shared" si="78"/>
        <v>n.a.</v>
      </c>
      <c r="H86" s="76">
        <f t="shared" si="78"/>
        <v>-4.2528213768574519E-2</v>
      </c>
      <c r="I86" s="76">
        <f t="shared" si="78"/>
        <v>-0.15485312569117016</v>
      </c>
      <c r="J86" s="76"/>
      <c r="K86" s="76"/>
      <c r="L86" s="76">
        <f>IFERROR(L14/K14-1,"n.a.")</f>
        <v>1.120912385865684</v>
      </c>
      <c r="M86" s="76">
        <f>IFERROR(M14/L14-1,"n.a.")</f>
        <v>0.29086370987039523</v>
      </c>
      <c r="N86" s="113">
        <f>IFERROR(N15/M14-1,"n.a.")</f>
        <v>0.76760747065626611</v>
      </c>
      <c r="O86" s="76"/>
      <c r="P86" s="136"/>
      <c r="Q86" s="76" t="str">
        <f>IFERROR(Q14/P14-1,"n.a.")</f>
        <v>n.a.</v>
      </c>
      <c r="R86" s="76" t="str">
        <f>IFERROR(R14/Q14-1,"n.a.")</f>
        <v>n.a.</v>
      </c>
      <c r="S86" s="113"/>
      <c r="U86" s="161"/>
      <c r="V86" s="161"/>
      <c r="W86" s="161"/>
      <c r="X86" s="161"/>
      <c r="Y86" s="161"/>
      <c r="Z86" s="136" t="str">
        <f t="shared" ref="Z86:AO86" si="79">IFERROR(Z14/V14-1,"n.a.")</f>
        <v>n.a.</v>
      </c>
      <c r="AA86" s="224" t="str">
        <f t="shared" si="79"/>
        <v>n.a.</v>
      </c>
      <c r="AB86" s="224" t="str">
        <f t="shared" si="79"/>
        <v>n.a.</v>
      </c>
      <c r="AC86" s="224" t="str">
        <f t="shared" si="79"/>
        <v>n.a.</v>
      </c>
      <c r="AD86" s="136" t="str">
        <f t="shared" si="79"/>
        <v>n.a.</v>
      </c>
      <c r="AE86" s="224" t="str">
        <f t="shared" si="79"/>
        <v>n.a.</v>
      </c>
      <c r="AF86" s="224" t="str">
        <f t="shared" si="79"/>
        <v>n.a.</v>
      </c>
      <c r="AG86" s="224" t="str">
        <f t="shared" si="79"/>
        <v>n.a.</v>
      </c>
      <c r="AH86" s="136" t="str">
        <f t="shared" si="79"/>
        <v>n.a.</v>
      </c>
      <c r="AI86" s="224" t="str">
        <f t="shared" si="79"/>
        <v>n.a.</v>
      </c>
      <c r="AJ86" s="359" t="str">
        <f t="shared" si="79"/>
        <v>n.a.</v>
      </c>
      <c r="AK86" s="438" t="str">
        <f t="shared" si="79"/>
        <v>n.a.</v>
      </c>
      <c r="AL86" s="359" t="str">
        <f t="shared" si="79"/>
        <v>n.a.</v>
      </c>
      <c r="AM86" s="359" t="str">
        <f t="shared" si="79"/>
        <v>n.a.</v>
      </c>
      <c r="AN86" s="359" t="str">
        <f t="shared" si="79"/>
        <v>n.a.</v>
      </c>
      <c r="AO86" s="438" t="str">
        <f t="shared" si="79"/>
        <v>n.a.</v>
      </c>
      <c r="AP86" s="359" t="str">
        <f>IFERROR(AP14/AL14-1,"n.a.")</f>
        <v>n.a.</v>
      </c>
      <c r="AQ86" s="359" t="str">
        <f>IFERROR(AQ14/AM14-1,"n.a.")</f>
        <v>n.a.</v>
      </c>
      <c r="AR86" s="359" t="str">
        <f>IFERROR(AR14/AN14-1,"n.a.")</f>
        <v>n.a.</v>
      </c>
      <c r="AS86" s="359" t="str">
        <f>IFERROR(AS14/AO14-1,"n.a.")</f>
        <v>n.a.</v>
      </c>
      <c r="AT86" s="359" t="str">
        <f>IFERROR(AT14/AP14-1,"n.a.")</f>
        <v>n.a.</v>
      </c>
      <c r="AU86" s="359"/>
      <c r="AV86" s="359"/>
      <c r="AW86" s="359"/>
      <c r="AX86" s="359"/>
      <c r="AY86" s="359"/>
      <c r="AZ86" s="359"/>
      <c r="BA86" s="359"/>
      <c r="BB86" s="359"/>
      <c r="BC86" s="359"/>
      <c r="BD86" s="76"/>
      <c r="BE86" s="76"/>
      <c r="BF86" s="76"/>
      <c r="BG86" s="76"/>
      <c r="BH86" s="76"/>
      <c r="BI86" s="76"/>
      <c r="BJ86" s="76"/>
      <c r="BK86" s="76"/>
      <c r="BL86" s="76"/>
      <c r="BM86" s="76" t="str">
        <f t="shared" ref="BM86:BP87" si="80">IFERROR(BM14/BL14-1,"n.a.")</f>
        <v>n.a.</v>
      </c>
      <c r="BN86" s="76" t="str">
        <f t="shared" si="80"/>
        <v>n.a.</v>
      </c>
      <c r="BO86" s="76" t="str">
        <f t="shared" si="80"/>
        <v>n.a.</v>
      </c>
      <c r="BP86" s="76" t="str">
        <f t="shared" si="80"/>
        <v>n.a.</v>
      </c>
    </row>
    <row r="87" spans="1:69" s="75" customFormat="1" x14ac:dyDescent="0.3">
      <c r="A87" s="147" t="s">
        <v>66</v>
      </c>
      <c r="D87" s="76" t="str">
        <f t="shared" si="78"/>
        <v>n.a.</v>
      </c>
      <c r="E87" s="76" t="str">
        <f t="shared" si="78"/>
        <v>n.a.</v>
      </c>
      <c r="F87" s="76" t="str">
        <f t="shared" si="78"/>
        <v>n.a.</v>
      </c>
      <c r="G87" s="76" t="str">
        <f t="shared" si="78"/>
        <v>n.a.</v>
      </c>
      <c r="H87" s="76">
        <f t="shared" si="78"/>
        <v>31.303592553390203</v>
      </c>
      <c r="I87" s="76">
        <f t="shared" si="78"/>
        <v>74.236177287217629</v>
      </c>
      <c r="J87" s="76"/>
      <c r="K87" s="76"/>
      <c r="L87" s="76">
        <f>IFERROR(L15/K15-1,"n.a.")</f>
        <v>-3.0522052406632527E-2</v>
      </c>
      <c r="M87" s="76">
        <f>IFERROR(M15/L15-1,"n.a.")</f>
        <v>-0.29261396422388919</v>
      </c>
      <c r="N87" s="113">
        <f>IFERROR(N16/M15-1,"n.a.")</f>
        <v>2.144595807162085</v>
      </c>
      <c r="O87" s="76"/>
      <c r="P87" s="136"/>
      <c r="Q87" s="76" t="str">
        <f>IFERROR(Q15/P15-1,"n.a.")</f>
        <v>n.a.</v>
      </c>
      <c r="R87" s="76" t="str">
        <f>IFERROR(R15/Q15-1,"n.a.")</f>
        <v>n.a.</v>
      </c>
      <c r="S87" s="113"/>
      <c r="U87" s="161"/>
      <c r="V87" s="161"/>
      <c r="W87" s="161"/>
      <c r="X87" s="161"/>
      <c r="Y87" s="161"/>
      <c r="Z87" s="326">
        <v>0.3</v>
      </c>
      <c r="AA87" s="317">
        <f t="shared" ref="AA87:AO87" si="81">AA15/W15-1</f>
        <v>0.12972475759113755</v>
      </c>
      <c r="AB87" s="317">
        <f t="shared" si="81"/>
        <v>1.5569219801274237E-2</v>
      </c>
      <c r="AC87" s="317">
        <f t="shared" si="81"/>
        <v>0.10187421635756011</v>
      </c>
      <c r="AD87" s="328">
        <f t="shared" si="81"/>
        <v>-0.45449057467028031</v>
      </c>
      <c r="AE87" s="317">
        <f t="shared" si="81"/>
        <v>-0.22545278371814081</v>
      </c>
      <c r="AF87" s="317">
        <f t="shared" si="81"/>
        <v>-7.4150090249302192E-2</v>
      </c>
      <c r="AG87" s="317">
        <f t="shared" si="81"/>
        <v>-0.15107990967828178</v>
      </c>
      <c r="AH87" s="328">
        <f t="shared" si="81"/>
        <v>0.49020629965286666</v>
      </c>
      <c r="AI87" s="317">
        <f t="shared" si="81"/>
        <v>0.70117466816933072</v>
      </c>
      <c r="AJ87" s="361">
        <f t="shared" si="81"/>
        <v>6.5969872564016541E-2</v>
      </c>
      <c r="AK87" s="440">
        <f t="shared" si="81"/>
        <v>7.117251881314024E-2</v>
      </c>
      <c r="AL87" s="361">
        <f t="shared" si="81"/>
        <v>-6.0649231111971069E-3</v>
      </c>
      <c r="AM87" s="361">
        <f t="shared" si="81"/>
        <v>-0.49826199635553758</v>
      </c>
      <c r="AN87" s="361">
        <f t="shared" si="81"/>
        <v>-0.12276611862110176</v>
      </c>
      <c r="AO87" s="440">
        <f t="shared" si="81"/>
        <v>-0.29705806554854364</v>
      </c>
      <c r="AP87" s="361">
        <f t="shared" ref="AP87:AX87" si="82">AP15/AL15-1</f>
        <v>0.35928841281965829</v>
      </c>
      <c r="AQ87" s="361">
        <f t="shared" si="82"/>
        <v>1.4124799643595618</v>
      </c>
      <c r="AR87" s="361">
        <f t="shared" si="82"/>
        <v>0.70268566436188862</v>
      </c>
      <c r="AS87" s="361">
        <f t="shared" si="82"/>
        <v>0.94934405226405216</v>
      </c>
      <c r="AT87" s="361">
        <f t="shared" si="82"/>
        <v>0.25588452687290175</v>
      </c>
      <c r="AU87" s="361">
        <f t="shared" si="82"/>
        <v>0.16603572102433994</v>
      </c>
      <c r="AV87" s="361">
        <f t="shared" si="82"/>
        <v>0.20643674685168834</v>
      </c>
      <c r="AW87" s="361">
        <f t="shared" si="82"/>
        <v>0.16988938928846165</v>
      </c>
      <c r="AX87" s="361">
        <f t="shared" si="82"/>
        <v>0.15186086527874387</v>
      </c>
      <c r="AY87" s="361">
        <f>AY15/AU15-1</f>
        <v>7.9343055976349941E-2</v>
      </c>
      <c r="AZ87" s="361">
        <f>AZ15/AV15-1</f>
        <v>8.978162586326599E-2</v>
      </c>
      <c r="BA87" s="361">
        <f>BA15/AW15-1</f>
        <v>6.5274746958863483E-2</v>
      </c>
      <c r="BB87" s="361">
        <f>BB15/AX15-1</f>
        <v>6.1896969869678742E-2</v>
      </c>
      <c r="BC87" s="361">
        <f>BC15/AY15-1</f>
        <v>-2.2753733366648765E-2</v>
      </c>
      <c r="BD87" s="76"/>
      <c r="BE87" s="76"/>
      <c r="BF87" s="76"/>
      <c r="BG87" s="76"/>
      <c r="BH87" s="76"/>
      <c r="BI87" s="76"/>
      <c r="BJ87" s="76">
        <f>IFERROR(BJ15/BI15-1,"n.a.")</f>
        <v>1.3956594323873124</v>
      </c>
      <c r="BK87" s="76">
        <f>IFERROR(BK15/BJ15-1,"n.a.")</f>
        <v>0.76306620209059228</v>
      </c>
      <c r="BL87" s="76">
        <f>IFERROR(BL15/BK15-1,"n.a.")</f>
        <v>0.27767628458498028</v>
      </c>
      <c r="BM87" s="76">
        <f t="shared" si="80"/>
        <v>0.39756493461295372</v>
      </c>
      <c r="BN87" s="76">
        <f t="shared" si="80"/>
        <v>-0.23165299365290604</v>
      </c>
      <c r="BO87" s="76">
        <f t="shared" si="80"/>
        <v>0.28423259406377577</v>
      </c>
      <c r="BP87" s="76">
        <f t="shared" si="80"/>
        <v>-0.24200687478871008</v>
      </c>
    </row>
    <row r="88" spans="1:69" s="75" customFormat="1" x14ac:dyDescent="0.3">
      <c r="A88" s="349" t="s">
        <v>290</v>
      </c>
      <c r="D88" s="76"/>
      <c r="E88" s="76"/>
      <c r="F88" s="76"/>
      <c r="G88" s="76"/>
      <c r="H88" s="76"/>
      <c r="I88" s="76"/>
      <c r="J88" s="76"/>
      <c r="K88" s="76"/>
      <c r="L88" s="76"/>
      <c r="M88" s="76"/>
      <c r="N88" s="113"/>
      <c r="O88" s="76"/>
      <c r="P88" s="136"/>
      <c r="Q88" s="76"/>
      <c r="R88" s="76"/>
      <c r="S88" s="113"/>
      <c r="U88" s="161"/>
      <c r="V88" s="161"/>
      <c r="W88" s="161"/>
      <c r="X88" s="161"/>
      <c r="Y88" s="161"/>
      <c r="Z88" s="326"/>
      <c r="AA88" s="317"/>
      <c r="AB88" s="317"/>
      <c r="AC88" s="317"/>
      <c r="AD88" s="328"/>
      <c r="AE88" s="317"/>
      <c r="AF88" s="317"/>
      <c r="AG88" s="317"/>
      <c r="AH88" s="354">
        <f>AH15/Z15-1</f>
        <v>-0.18707841785363655</v>
      </c>
      <c r="AI88" s="338">
        <f>AI15/AA15-1</f>
        <v>0.31764010363977069</v>
      </c>
      <c r="AJ88" s="362">
        <f>AJ15/AB15-1</f>
        <v>-1.3071889689642457E-2</v>
      </c>
      <c r="AK88" s="441">
        <f>AK15/AC15-1</f>
        <v>-9.0660128579006516E-2</v>
      </c>
      <c r="AL88" s="362">
        <f>AL15/$Z$15-1</f>
        <v>-0.19200872474478692</v>
      </c>
      <c r="AM88" s="362">
        <f>AM15/$AA$15-1</f>
        <v>-0.33888988487789884</v>
      </c>
      <c r="AN88" s="362">
        <f>AN15/$AB$15-1</f>
        <v>-0.13423322315050357</v>
      </c>
      <c r="AO88" s="441">
        <f>AO15/$AC$15-1</f>
        <v>-0.36078687170948831</v>
      </c>
      <c r="AP88" s="362">
        <f>AP15/$Z$15-1</f>
        <v>9.8293178113790347E-2</v>
      </c>
      <c r="AQ88" s="362">
        <f>AQ15/$AA$15-1</f>
        <v>0.59491490696751237</v>
      </c>
      <c r="AR88" s="362">
        <f>AR15/$AC$15-1</f>
        <v>0.42127941103065414</v>
      </c>
      <c r="AS88" s="362">
        <f>AS15/$AC$15-1</f>
        <v>0.24604630976220743</v>
      </c>
      <c r="AT88" s="362"/>
      <c r="AU88" s="362"/>
      <c r="AV88" s="362"/>
      <c r="AW88" s="362"/>
      <c r="AX88" s="362"/>
      <c r="AY88" s="362"/>
      <c r="AZ88" s="362"/>
      <c r="BA88" s="362"/>
      <c r="BB88" s="362"/>
      <c r="BC88" s="362"/>
      <c r="BD88" s="76"/>
      <c r="BE88" s="76"/>
      <c r="BF88" s="76"/>
      <c r="BG88" s="76"/>
      <c r="BH88" s="76"/>
      <c r="BI88" s="76"/>
      <c r="BJ88" s="76"/>
      <c r="BK88" s="76"/>
      <c r="BL88" s="76"/>
      <c r="BM88" s="76"/>
      <c r="BN88" s="76"/>
      <c r="BO88" s="360">
        <f>IFERROR(BO15/BM15-1,"n.a.")</f>
        <v>-1.3263730897735027E-2</v>
      </c>
      <c r="BP88" s="360">
        <f>IFERROR(BP15/BM15-1,"n.a.")</f>
        <v>-0.25206069162384581</v>
      </c>
    </row>
    <row r="89" spans="1:69" s="75" customFormat="1" x14ac:dyDescent="0.3">
      <c r="A89" s="147" t="s">
        <v>67</v>
      </c>
      <c r="D89" s="76" t="str">
        <f t="shared" ref="D89:I89" si="83">IFERROR(D16/B16-1,"n.a.")</f>
        <v>n.a.</v>
      </c>
      <c r="E89" s="76" t="str">
        <f t="shared" si="83"/>
        <v>n.a.</v>
      </c>
      <c r="F89" s="76" t="str">
        <f t="shared" si="83"/>
        <v>n.a.</v>
      </c>
      <c r="G89" s="76" t="str">
        <f t="shared" si="83"/>
        <v>n.a.</v>
      </c>
      <c r="H89" s="76">
        <f t="shared" si="83"/>
        <v>1.6374048735490816</v>
      </c>
      <c r="I89" s="76">
        <f t="shared" si="83"/>
        <v>0.78209122363717287</v>
      </c>
      <c r="J89" s="76"/>
      <c r="K89" s="76"/>
      <c r="L89" s="76">
        <f>IFERROR(L16/K16-1,"n.a.")</f>
        <v>-0.17981235178884425</v>
      </c>
      <c r="M89" s="76">
        <f>IFERROR(M16/L16-1,"n.a.")</f>
        <v>3.0088413995390741</v>
      </c>
      <c r="N89" s="113" t="str">
        <f>IFERROR(#REF!/M16-1,"n.a.")</f>
        <v>n.a.</v>
      </c>
      <c r="O89" s="76"/>
      <c r="P89" s="136"/>
      <c r="Q89" s="76" t="str">
        <f>IFERROR(Q16/P16-1,"n.a.")</f>
        <v>n.a.</v>
      </c>
      <c r="R89" s="76" t="str">
        <f>IFERROR(R16/Q16-1,"n.a.")</f>
        <v>n.a.</v>
      </c>
      <c r="S89" s="113"/>
      <c r="U89" s="161"/>
      <c r="V89" s="161"/>
      <c r="W89" s="161"/>
      <c r="X89" s="161"/>
      <c r="Y89" s="161"/>
      <c r="Z89" s="136" t="str">
        <f t="shared" ref="Z89:AO89" si="84">IFERROR(Z16/V16-1,"n.a.")</f>
        <v>n.a.</v>
      </c>
      <c r="AA89" s="224">
        <f t="shared" si="84"/>
        <v>1.2822930630978617</v>
      </c>
      <c r="AB89" s="224">
        <f t="shared" si="84"/>
        <v>3.7145388974755278</v>
      </c>
      <c r="AC89" s="224">
        <f t="shared" si="84"/>
        <v>1.018874912371202</v>
      </c>
      <c r="AD89" s="136">
        <f t="shared" si="84"/>
        <v>1.5307799087792855</v>
      </c>
      <c r="AE89" s="224">
        <f t="shared" si="84"/>
        <v>-0.10413555542281427</v>
      </c>
      <c r="AF89" s="224">
        <f t="shared" si="84"/>
        <v>-0.23574460272846887</v>
      </c>
      <c r="AG89" s="224">
        <f t="shared" si="84"/>
        <v>6.2339074774131475E-2</v>
      </c>
      <c r="AH89" s="136">
        <f t="shared" si="84"/>
        <v>0.47536212416325241</v>
      </c>
      <c r="AI89" s="224">
        <f t="shared" si="84"/>
        <v>0.78177716533683017</v>
      </c>
      <c r="AJ89" s="359">
        <f t="shared" si="84"/>
        <v>-2.9020653050485845E-2</v>
      </c>
      <c r="AK89" s="438">
        <f t="shared" si="84"/>
        <v>0.29010533586599907</v>
      </c>
      <c r="AL89" s="359">
        <f t="shared" si="84"/>
        <v>0.19649468892261002</v>
      </c>
      <c r="AM89" s="359">
        <f t="shared" si="84"/>
        <v>-2.9513206723422836E-2</v>
      </c>
      <c r="AN89" s="359">
        <f t="shared" si="84"/>
        <v>0.42899385628537945</v>
      </c>
      <c r="AO89" s="438">
        <f t="shared" si="84"/>
        <v>0.12381207335028788</v>
      </c>
      <c r="AP89" s="359">
        <f t="shared" ref="AP89:AX89" si="85">IFERROR(AP16/AL16-1,"n.a.")</f>
        <v>1.3411076868444747</v>
      </c>
      <c r="AQ89" s="359">
        <f t="shared" si="85"/>
        <v>1.0326793185221366</v>
      </c>
      <c r="AR89" s="359">
        <f t="shared" si="85"/>
        <v>1.0278199145905127</v>
      </c>
      <c r="AS89" s="359">
        <f t="shared" si="85"/>
        <v>1.2202111549717554</v>
      </c>
      <c r="AT89" s="359">
        <f t="shared" si="85"/>
        <v>0.36016609423924928</v>
      </c>
      <c r="AU89" s="359">
        <f t="shared" si="85"/>
        <v>0.87278171051341968</v>
      </c>
      <c r="AV89" s="359">
        <f t="shared" si="85"/>
        <v>0.23697353950981936</v>
      </c>
      <c r="AW89" s="359">
        <f t="shared" si="85"/>
        <v>0.14804433417314078</v>
      </c>
      <c r="AX89" s="359">
        <f t="shared" si="85"/>
        <v>0.19997729793670116</v>
      </c>
      <c r="AY89" s="359">
        <f>IFERROR(AY16/AU16-1,"n.a.")</f>
        <v>0.27526910038761265</v>
      </c>
      <c r="AZ89" s="359">
        <f>IFERROR(AZ16/AV16-1,"n.a.")</f>
        <v>0.3485352939436468</v>
      </c>
      <c r="BA89" s="359">
        <f>IFERROR(BA16/AW16-1,"n.a.")</f>
        <v>0.52976889802675498</v>
      </c>
      <c r="BB89" s="359">
        <f>IFERROR(BB16/AX16-1,"n.a.")</f>
        <v>0.59551559385771435</v>
      </c>
      <c r="BC89" s="359">
        <f>IFERROR(BC16/AY16-1,"n.a.")</f>
        <v>0.35738908495918698</v>
      </c>
      <c r="BD89" s="76"/>
      <c r="BE89" s="76"/>
      <c r="BF89" s="76"/>
      <c r="BG89" s="76"/>
      <c r="BH89" s="76"/>
      <c r="BI89" s="76"/>
      <c r="BJ89" s="76"/>
      <c r="BK89" s="76"/>
      <c r="BL89" s="76"/>
      <c r="BM89" s="76">
        <f>IFERROR(BM16/BL16-1,"n.a.")</f>
        <v>-0.42463596877697973</v>
      </c>
      <c r="BN89" s="76">
        <f>IFERROR(BN16/BM16-1,"n.a.")</f>
        <v>-1.6281511589458786E-3</v>
      </c>
      <c r="BO89" s="76">
        <f>IFERROR(BO16/BN16-1,"n.a.")</f>
        <v>0.29978365668620932</v>
      </c>
      <c r="BP89" s="76">
        <f>IFERROR(BP16/BO16-1,"n.a.")</f>
        <v>0.17865711007465457</v>
      </c>
    </row>
    <row r="90" spans="1:69" s="75" customFormat="1" x14ac:dyDescent="0.3">
      <c r="A90" s="349" t="s">
        <v>291</v>
      </c>
      <c r="D90" s="76"/>
      <c r="E90" s="76"/>
      <c r="F90" s="76"/>
      <c r="G90" s="76"/>
      <c r="H90" s="76"/>
      <c r="I90" s="76"/>
      <c r="J90" s="76"/>
      <c r="K90" s="76"/>
      <c r="L90" s="76"/>
      <c r="M90" s="76"/>
      <c r="N90" s="113"/>
      <c r="O90" s="76"/>
      <c r="P90" s="136"/>
      <c r="Q90" s="76"/>
      <c r="R90" s="76"/>
      <c r="S90" s="113"/>
      <c r="U90" s="161"/>
      <c r="V90" s="161"/>
      <c r="W90" s="161"/>
      <c r="X90" s="161"/>
      <c r="Y90" s="161"/>
      <c r="Z90" s="136"/>
      <c r="AA90" s="224"/>
      <c r="AB90" s="224"/>
      <c r="AC90" s="224"/>
      <c r="AD90" s="136"/>
      <c r="AE90" s="224"/>
      <c r="AF90" s="224"/>
      <c r="AG90" s="224"/>
      <c r="AH90" s="352">
        <f>AH16/Z16-1</f>
        <v>2.7338168220062893</v>
      </c>
      <c r="AI90" s="336">
        <f>AI16/AA16-1</f>
        <v>0.59623081058479177</v>
      </c>
      <c r="AJ90" s="360">
        <f>AJ16/AB16-1</f>
        <v>-0.25792379345464722</v>
      </c>
      <c r="AK90" s="439">
        <f>AK16/AC16-1</f>
        <v>0.37052930886505542</v>
      </c>
      <c r="AL90" s="360">
        <f>AL16/$Z$16-1</f>
        <v>3.4674919969404234</v>
      </c>
      <c r="AM90" s="360">
        <f>AM16/$AA$16-1</f>
        <v>0.54912092069370599</v>
      </c>
      <c r="AN90" s="360">
        <f>AN16/$AB$16-1</f>
        <v>6.0422340048869483E-2</v>
      </c>
      <c r="AO90" s="439">
        <f>AO16/$AC$16-1</f>
        <v>0.54021738418297494</v>
      </c>
      <c r="AP90" s="360">
        <f>AP16/$Z$16-1</f>
        <v>9.4588798549533983</v>
      </c>
      <c r="AQ90" s="360">
        <f>AQ16/$AA$16-1</f>
        <v>2.1488660573840672</v>
      </c>
      <c r="AR90" s="360">
        <f>AR16/$AB$16-1</f>
        <v>1.1503455390277697</v>
      </c>
      <c r="AS90" s="360">
        <f>AS16/$AB$16-1</f>
        <v>1.2814973794984548</v>
      </c>
      <c r="AT90" s="360"/>
      <c r="AU90" s="360"/>
      <c r="AV90" s="360"/>
      <c r="AW90" s="360"/>
      <c r="AX90" s="360"/>
      <c r="AY90" s="360"/>
      <c r="AZ90" s="360"/>
      <c r="BA90" s="360"/>
      <c r="BB90" s="360"/>
      <c r="BC90" s="360"/>
      <c r="BD90" s="76"/>
      <c r="BE90" s="76"/>
      <c r="BF90" s="76"/>
      <c r="BG90" s="76"/>
      <c r="BH90" s="76"/>
      <c r="BI90" s="76"/>
      <c r="BJ90" s="76"/>
      <c r="BK90" s="76"/>
      <c r="BL90" s="76"/>
      <c r="BM90" s="76"/>
      <c r="BN90" s="76"/>
      <c r="BO90" s="360">
        <f>IFERROR(BO16/BM16-1,"n.a.")</f>
        <v>0.2976674124191967</v>
      </c>
      <c r="BP90" s="360">
        <f>IFERROR(BP16/BM16-1,"n.a.")</f>
        <v>0.52950492216006539</v>
      </c>
    </row>
    <row r="91" spans="1:69" s="75" customFormat="1" x14ac:dyDescent="0.3">
      <c r="A91" s="145" t="s">
        <v>13</v>
      </c>
      <c r="D91" s="76" t="str">
        <f t="shared" ref="D91:I96" si="86">IFERROR(D21/B21-1,"n.a.")</f>
        <v>n.a.</v>
      </c>
      <c r="E91" s="76" t="str">
        <f t="shared" si="86"/>
        <v>n.a.</v>
      </c>
      <c r="F91" s="76" t="str">
        <f t="shared" si="86"/>
        <v>n.a.</v>
      </c>
      <c r="G91" s="76" t="str">
        <f t="shared" si="86"/>
        <v>n.a.</v>
      </c>
      <c r="H91" s="76">
        <f t="shared" si="86"/>
        <v>0.21242366199118723</v>
      </c>
      <c r="I91" s="76">
        <f t="shared" si="86"/>
        <v>1.9931520504841238</v>
      </c>
      <c r="J91" s="76"/>
      <c r="K91" s="76"/>
      <c r="L91" s="76">
        <f t="shared" ref="L91:N96" si="87">IFERROR(L21/K21-1,"n.a.")</f>
        <v>0.61462539255271431</v>
      </c>
      <c r="M91" s="76">
        <f t="shared" si="87"/>
        <v>-0.21408579425372709</v>
      </c>
      <c r="N91" s="113">
        <f t="shared" si="87"/>
        <v>0.97160687426781367</v>
      </c>
      <c r="O91" s="76"/>
      <c r="P91" s="136"/>
      <c r="Q91" s="76">
        <f t="shared" ref="Q91:R96" si="88">IFERROR(Q21/P21-1,"n.a.")</f>
        <v>1.3207537259536473</v>
      </c>
      <c r="R91" s="76">
        <f t="shared" si="88"/>
        <v>0.6197438378305995</v>
      </c>
      <c r="S91" s="113"/>
      <c r="U91" s="161"/>
      <c r="V91" s="161"/>
      <c r="W91" s="161"/>
      <c r="X91" s="161"/>
      <c r="Y91" s="161"/>
      <c r="Z91" s="136">
        <f t="shared" ref="Z91:AI96" si="89">IFERROR(Z21/V21-1,"n.a.")</f>
        <v>0.19461133834254785</v>
      </c>
      <c r="AA91" s="224">
        <f t="shared" si="89"/>
        <v>0.51447517211785243</v>
      </c>
      <c r="AB91" s="224">
        <f t="shared" si="89"/>
        <v>0.42329259315640089</v>
      </c>
      <c r="AC91" s="224">
        <f t="shared" si="89"/>
        <v>3.3541594021072818E-2</v>
      </c>
      <c r="AD91" s="136">
        <f t="shared" si="89"/>
        <v>-0.29502679270275156</v>
      </c>
      <c r="AE91" s="224">
        <f t="shared" si="89"/>
        <v>-0.40756112338726924</v>
      </c>
      <c r="AF91" s="224">
        <f t="shared" si="89"/>
        <v>-0.21569015281379578</v>
      </c>
      <c r="AG91" s="224">
        <f t="shared" si="89"/>
        <v>-0.16946340530247039</v>
      </c>
      <c r="AH91" s="136">
        <f t="shared" si="89"/>
        <v>0.16458989885187059</v>
      </c>
      <c r="AI91" s="224">
        <f t="shared" si="89"/>
        <v>0.5203562608849972</v>
      </c>
      <c r="AJ91" s="359">
        <f t="shared" ref="AJ91:AS96" si="90">IFERROR(AJ21/AF21-1,"n.a.")</f>
        <v>-5.3659994582628934E-2</v>
      </c>
      <c r="AK91" s="438">
        <f t="shared" si="90"/>
        <v>-1.8864210766566636E-2</v>
      </c>
      <c r="AL91" s="359">
        <f t="shared" si="90"/>
        <v>0.15284955094577612</v>
      </c>
      <c r="AM91" s="359">
        <f t="shared" si="90"/>
        <v>-0.24179983262340066</v>
      </c>
      <c r="AN91" s="359">
        <f t="shared" si="90"/>
        <v>-7.3412424248405772E-3</v>
      </c>
      <c r="AO91" s="438">
        <f t="shared" si="90"/>
        <v>-4.190053824253781E-2</v>
      </c>
      <c r="AP91" s="359">
        <f t="shared" si="90"/>
        <v>0.36825342974067565</v>
      </c>
      <c r="AQ91" s="359">
        <f t="shared" si="90"/>
        <v>0.83514860527620494</v>
      </c>
      <c r="AR91" s="359">
        <f t="shared" si="90"/>
        <v>0.66986762012524093</v>
      </c>
      <c r="AS91" s="359">
        <f t="shared" si="90"/>
        <v>1.1601166331424344</v>
      </c>
      <c r="AT91" s="359">
        <f t="shared" ref="AT91:BA96" si="91">IFERROR(AT21/AP21-1,"n.a.")</f>
        <v>1.094408336200297</v>
      </c>
      <c r="AU91" s="359">
        <f t="shared" si="91"/>
        <v>1.1343042071197411</v>
      </c>
      <c r="AV91" s="359">
        <f t="shared" si="91"/>
        <v>1.1754913495798638</v>
      </c>
      <c r="AW91" s="359">
        <f t="shared" si="91"/>
        <v>0.59617381584116957</v>
      </c>
      <c r="AX91" s="359">
        <f t="shared" si="91"/>
        <v>9.9675615841547938E-3</v>
      </c>
      <c r="AY91" s="359">
        <f t="shared" si="91"/>
        <v>8.8024692509503621E-2</v>
      </c>
      <c r="AZ91" s="359">
        <f t="shared" si="91"/>
        <v>3.3093554321961483E-2</v>
      </c>
      <c r="BA91" s="359">
        <f t="shared" si="91"/>
        <v>6.7805348245849828E-2</v>
      </c>
      <c r="BB91" s="359">
        <f t="shared" ref="BB91:BC96" si="92">IFERROR(BB21/AX21-1,"n.a.")</f>
        <v>0.10591631225937848</v>
      </c>
      <c r="BC91" s="359">
        <f t="shared" si="92"/>
        <v>1.6689230437639146E-2</v>
      </c>
      <c r="BD91" s="76"/>
      <c r="BE91" s="76"/>
      <c r="BF91" s="76"/>
      <c r="BG91" s="76"/>
      <c r="BH91" s="76"/>
      <c r="BI91" s="76"/>
      <c r="BJ91" s="76"/>
      <c r="BK91" s="76"/>
      <c r="BL91" s="76">
        <f t="shared" ref="BL91:BP96" si="93">IFERROR(BL21/BK21-1,"n.a.")</f>
        <v>-4.1945735241564752E-2</v>
      </c>
      <c r="BM91" s="76">
        <f t="shared" si="93"/>
        <v>0.44764522375013516</v>
      </c>
      <c r="BN91" s="76">
        <f t="shared" si="93"/>
        <v>-0.26774954412542218</v>
      </c>
      <c r="BO91" s="76">
        <f t="shared" si="93"/>
        <v>0.11380072922057338</v>
      </c>
      <c r="BP91" s="76">
        <f t="shared" si="93"/>
        <v>-4.3944454116858878E-2</v>
      </c>
    </row>
    <row r="92" spans="1:69" s="75" customFormat="1" x14ac:dyDescent="0.3">
      <c r="A92" s="149" t="s">
        <v>14</v>
      </c>
      <c r="D92" s="76" t="str">
        <f t="shared" si="86"/>
        <v>n.a.</v>
      </c>
      <c r="E92" s="76" t="str">
        <f t="shared" si="86"/>
        <v>n.a.</v>
      </c>
      <c r="F92" s="76" t="str">
        <f t="shared" si="86"/>
        <v>n.a.</v>
      </c>
      <c r="G92" s="76" t="str">
        <f t="shared" si="86"/>
        <v>n.a.</v>
      </c>
      <c r="H92" s="76">
        <f t="shared" si="86"/>
        <v>0.83590258959496078</v>
      </c>
      <c r="I92" s="76">
        <f t="shared" si="86"/>
        <v>1.3987555682171346</v>
      </c>
      <c r="J92" s="76"/>
      <c r="K92" s="76"/>
      <c r="L92" s="76">
        <f t="shared" si="87"/>
        <v>2.0322178255232259</v>
      </c>
      <c r="M92" s="76">
        <f t="shared" si="87"/>
        <v>0.45675507744620414</v>
      </c>
      <c r="N92" s="113">
        <f t="shared" si="87"/>
        <v>1.1414955384606369</v>
      </c>
      <c r="O92" s="76"/>
      <c r="P92" s="136"/>
      <c r="Q92" s="76">
        <f t="shared" si="88"/>
        <v>1.5698776906077976</v>
      </c>
      <c r="R92" s="76">
        <f t="shared" si="88"/>
        <v>1.0433281827164751</v>
      </c>
      <c r="S92" s="113"/>
      <c r="U92" s="161"/>
      <c r="V92" s="161"/>
      <c r="W92" s="161"/>
      <c r="X92" s="161"/>
      <c r="Y92" s="161"/>
      <c r="Z92" s="136">
        <f t="shared" si="89"/>
        <v>0.16787045602836748</v>
      </c>
      <c r="AA92" s="224">
        <f t="shared" si="89"/>
        <v>9.0883087963438802E-2</v>
      </c>
      <c r="AB92" s="224">
        <f t="shared" si="89"/>
        <v>0.14313744661740357</v>
      </c>
      <c r="AC92" s="224">
        <f t="shared" si="89"/>
        <v>0.35966355787741477</v>
      </c>
      <c r="AD92" s="136">
        <f t="shared" si="89"/>
        <v>-0.49122392017685224</v>
      </c>
      <c r="AE92" s="224">
        <f t="shared" si="89"/>
        <v>-0.15740411638688678</v>
      </c>
      <c r="AF92" s="224">
        <f t="shared" si="89"/>
        <v>-2.8776456944046291E-4</v>
      </c>
      <c r="AG92" s="224">
        <f t="shared" si="89"/>
        <v>-3.3440995803045714E-2</v>
      </c>
      <c r="AH92" s="136">
        <f t="shared" si="89"/>
        <v>0.84244527406174829</v>
      </c>
      <c r="AI92" s="224">
        <f t="shared" si="89"/>
        <v>0.88154711618584858</v>
      </c>
      <c r="AJ92" s="224">
        <f t="shared" si="90"/>
        <v>3.889057665912854E-2</v>
      </c>
      <c r="AK92" s="113">
        <f t="shared" si="90"/>
        <v>3.1860733329339253E-2</v>
      </c>
      <c r="AL92" s="224">
        <f t="shared" si="90"/>
        <v>3.4621613522584083E-2</v>
      </c>
      <c r="AM92" s="224">
        <f t="shared" si="90"/>
        <v>-0.4270120610341005</v>
      </c>
      <c r="AN92" s="224">
        <f t="shared" si="90"/>
        <v>7.8333185608172817E-2</v>
      </c>
      <c r="AO92" s="113">
        <f t="shared" si="90"/>
        <v>-0.23710302411848261</v>
      </c>
      <c r="AP92" s="224">
        <f t="shared" si="90"/>
        <v>0.55718720239026509</v>
      </c>
      <c r="AQ92" s="224">
        <f t="shared" si="90"/>
        <v>1.3123142545594493</v>
      </c>
      <c r="AR92" s="224">
        <f t="shared" si="90"/>
        <v>0.59186708778833452</v>
      </c>
      <c r="AS92" s="224">
        <f t="shared" si="90"/>
        <v>1.0690005203888742</v>
      </c>
      <c r="AT92" s="224">
        <f t="shared" si="91"/>
        <v>0.29571051198411435</v>
      </c>
      <c r="AU92" s="224">
        <f t="shared" si="91"/>
        <v>0.26877209042133909</v>
      </c>
      <c r="AV92" s="224">
        <f t="shared" si="91"/>
        <v>0.28668234425479011</v>
      </c>
      <c r="AW92" s="224">
        <f t="shared" si="91"/>
        <v>0.23674788015282311</v>
      </c>
      <c r="AX92" s="224">
        <f t="shared" si="91"/>
        <v>0.19790209456520103</v>
      </c>
      <c r="AY92" s="224">
        <f t="shared" si="91"/>
        <v>0.10638169173952883</v>
      </c>
      <c r="AZ92" s="224">
        <f t="shared" si="91"/>
        <v>0.14445717174749384</v>
      </c>
      <c r="BA92" s="224">
        <f t="shared" si="91"/>
        <v>0.18495674025526432</v>
      </c>
      <c r="BB92" s="224">
        <f t="shared" si="92"/>
        <v>0.16059508504131315</v>
      </c>
      <c r="BC92" s="224">
        <f t="shared" si="92"/>
        <v>9.5623529039792654E-2</v>
      </c>
      <c r="BD92" s="76"/>
      <c r="BE92" s="76"/>
      <c r="BF92" s="76"/>
      <c r="BG92" s="76"/>
      <c r="BH92" s="76"/>
      <c r="BI92" s="76"/>
      <c r="BJ92" s="76"/>
      <c r="BK92" s="76"/>
      <c r="BL92" s="76">
        <f t="shared" si="93"/>
        <v>2.8019382911503632E-2</v>
      </c>
      <c r="BM92" s="76">
        <f t="shared" si="93"/>
        <v>0.38872285114110983</v>
      </c>
      <c r="BN92" s="76">
        <f t="shared" si="93"/>
        <v>-0.16548051924001717</v>
      </c>
      <c r="BO92" s="76">
        <f t="shared" si="93"/>
        <v>0.33330854571014767</v>
      </c>
      <c r="BP92" s="76">
        <f t="shared" si="93"/>
        <v>-0.15401350065290043</v>
      </c>
    </row>
    <row r="93" spans="1:69" s="75" customFormat="1" x14ac:dyDescent="0.3">
      <c r="A93" s="145" t="s">
        <v>15</v>
      </c>
      <c r="D93" s="76" t="str">
        <f t="shared" si="86"/>
        <v>n.a.</v>
      </c>
      <c r="E93" s="76" t="str">
        <f t="shared" si="86"/>
        <v>n.a.</v>
      </c>
      <c r="F93" s="76" t="str">
        <f t="shared" si="86"/>
        <v>n.a.</v>
      </c>
      <c r="G93" s="76" t="str">
        <f t="shared" si="86"/>
        <v>n.a.</v>
      </c>
      <c r="H93" s="76">
        <f t="shared" si="86"/>
        <v>1.0647540349032885</v>
      </c>
      <c r="I93" s="76">
        <f t="shared" si="86"/>
        <v>2.0484820876582175</v>
      </c>
      <c r="J93" s="76"/>
      <c r="K93" s="76"/>
      <c r="L93" s="76">
        <f t="shared" si="87"/>
        <v>0.29712608971290977</v>
      </c>
      <c r="M93" s="76">
        <f t="shared" si="87"/>
        <v>8.4420301053997893E-3</v>
      </c>
      <c r="N93" s="113">
        <f t="shared" si="87"/>
        <v>1.5859932032995032</v>
      </c>
      <c r="O93" s="76"/>
      <c r="P93" s="136"/>
      <c r="Q93" s="76">
        <f t="shared" si="88"/>
        <v>1.2627635031075561</v>
      </c>
      <c r="R93" s="76">
        <f t="shared" si="88"/>
        <v>0.38491337565909833</v>
      </c>
      <c r="S93" s="113"/>
      <c r="U93" s="161"/>
      <c r="V93" s="161"/>
      <c r="W93" s="161"/>
      <c r="X93" s="161"/>
      <c r="Y93" s="161"/>
      <c r="Z93" s="136">
        <f t="shared" si="89"/>
        <v>0.39771582348008661</v>
      </c>
      <c r="AA93" s="224">
        <f t="shared" si="89"/>
        <v>0.10914645669291345</v>
      </c>
      <c r="AB93" s="224">
        <f t="shared" si="89"/>
        <v>-0.10996266232961283</v>
      </c>
      <c r="AC93" s="224">
        <f t="shared" si="89"/>
        <v>-0.15519432540268951</v>
      </c>
      <c r="AD93" s="136">
        <f t="shared" si="89"/>
        <v>-0.3315947838865998</v>
      </c>
      <c r="AE93" s="224">
        <f t="shared" si="89"/>
        <v>-0.14706917996103974</v>
      </c>
      <c r="AF93" s="224">
        <f t="shared" si="89"/>
        <v>-0.15922037477053874</v>
      </c>
      <c r="AG93" s="224">
        <f t="shared" si="89"/>
        <v>-4.2336756442549861E-2</v>
      </c>
      <c r="AH93" s="136">
        <f t="shared" si="89"/>
        <v>6.7852036361232715E-2</v>
      </c>
      <c r="AI93" s="224">
        <f t="shared" si="89"/>
        <v>9.9339798843399496E-2</v>
      </c>
      <c r="AJ93" s="224">
        <f t="shared" si="90"/>
        <v>6.9872844013596946E-2</v>
      </c>
      <c r="AK93" s="113">
        <f t="shared" si="90"/>
        <v>8.0171977744056599E-2</v>
      </c>
      <c r="AL93" s="224">
        <f t="shared" si="90"/>
        <v>0.14617221529028868</v>
      </c>
      <c r="AM93" s="224">
        <f t="shared" si="90"/>
        <v>-1.6117455731509023E-2</v>
      </c>
      <c r="AN93" s="224">
        <f t="shared" si="90"/>
        <v>0.14864797909105554</v>
      </c>
      <c r="AO93" s="113">
        <f t="shared" si="90"/>
        <v>-4.6520460990140178E-2</v>
      </c>
      <c r="AP93" s="224">
        <f t="shared" si="90"/>
        <v>0.168605626156483</v>
      </c>
      <c r="AQ93" s="224">
        <f t="shared" si="90"/>
        <v>0.31687797610802781</v>
      </c>
      <c r="AR93" s="224">
        <f t="shared" si="90"/>
        <v>0.25720494114729076</v>
      </c>
      <c r="AS93" s="224">
        <f t="shared" si="90"/>
        <v>0.40589837056762734</v>
      </c>
      <c r="AT93" s="224">
        <f t="shared" si="91"/>
        <v>0.18396409982001272</v>
      </c>
      <c r="AU93" s="224">
        <f t="shared" si="91"/>
        <v>0.1553318405146018</v>
      </c>
      <c r="AV93" s="224">
        <f t="shared" si="91"/>
        <v>8.3078506636930838E-2</v>
      </c>
      <c r="AW93" s="224">
        <f t="shared" si="91"/>
        <v>-9.8394443333926773E-4</v>
      </c>
      <c r="AX93" s="224">
        <f t="shared" si="91"/>
        <v>1.7143444096348492E-2</v>
      </c>
      <c r="AY93" s="224">
        <f t="shared" si="91"/>
        <v>2.0723030017338218E-2</v>
      </c>
      <c r="AZ93" s="224">
        <f t="shared" si="91"/>
        <v>1.8753761839896077E-2</v>
      </c>
      <c r="BA93" s="224">
        <f t="shared" si="91"/>
        <v>1.9614737570080365E-2</v>
      </c>
      <c r="BB93" s="224">
        <f t="shared" si="92"/>
        <v>5.8997818710615713E-2</v>
      </c>
      <c r="BC93" s="224">
        <f t="shared" si="92"/>
        <v>4.6873885087726164E-2</v>
      </c>
      <c r="BD93" s="76"/>
      <c r="BE93" s="76"/>
      <c r="BF93" s="76"/>
      <c r="BG93" s="76"/>
      <c r="BH93" s="76"/>
      <c r="BI93" s="76">
        <f>AH23/AG23-1</f>
        <v>-0.13743326027089309</v>
      </c>
      <c r="BJ93" s="76"/>
      <c r="BK93" s="76"/>
      <c r="BL93" s="76">
        <f t="shared" si="93"/>
        <v>0.13296248706472213</v>
      </c>
      <c r="BM93" s="76">
        <f t="shared" si="93"/>
        <v>0.12064062343742465</v>
      </c>
      <c r="BN93" s="76">
        <f t="shared" si="93"/>
        <v>-0.17668390631362407</v>
      </c>
      <c r="BO93" s="76">
        <f t="shared" si="93"/>
        <v>7.9455257541914737E-2</v>
      </c>
      <c r="BP93" s="76">
        <f t="shared" si="93"/>
        <v>5.181677808620222E-2</v>
      </c>
    </row>
    <row r="94" spans="1:69" s="74" customFormat="1" x14ac:dyDescent="0.3">
      <c r="A94" s="145" t="s">
        <v>16</v>
      </c>
      <c r="D94" s="76" t="str">
        <f t="shared" si="86"/>
        <v>n.a.</v>
      </c>
      <c r="E94" s="76" t="str">
        <f t="shared" si="86"/>
        <v>n.a.</v>
      </c>
      <c r="F94" s="76" t="str">
        <f t="shared" si="86"/>
        <v>n.a.</v>
      </c>
      <c r="G94" s="76" t="str">
        <f t="shared" si="86"/>
        <v>n.a.</v>
      </c>
      <c r="H94" s="76">
        <f t="shared" si="86"/>
        <v>0.37918392061879835</v>
      </c>
      <c r="I94" s="76">
        <f t="shared" si="86"/>
        <v>0.94715934526780532</v>
      </c>
      <c r="J94" s="76"/>
      <c r="K94" s="76"/>
      <c r="L94" s="76">
        <f t="shared" si="87"/>
        <v>1.4279386277119248</v>
      </c>
      <c r="M94" s="76">
        <f t="shared" si="87"/>
        <v>-0.4184251045927323</v>
      </c>
      <c r="N94" s="113">
        <f t="shared" si="87"/>
        <v>0.68160061809517458</v>
      </c>
      <c r="O94" s="76"/>
      <c r="P94" s="136"/>
      <c r="Q94" s="76">
        <f t="shared" si="88"/>
        <v>-0.11293744102595893</v>
      </c>
      <c r="R94" s="76">
        <f t="shared" si="88"/>
        <v>0.30195235007977894</v>
      </c>
      <c r="S94" s="113"/>
      <c r="T94" s="75"/>
      <c r="U94" s="161"/>
      <c r="V94" s="161"/>
      <c r="W94" s="161"/>
      <c r="X94" s="161"/>
      <c r="Y94" s="161"/>
      <c r="Z94" s="136">
        <f t="shared" si="89"/>
        <v>8.7780036960015462E-2</v>
      </c>
      <c r="AA94" s="224">
        <f t="shared" si="89"/>
        <v>-0.12262333655105839</v>
      </c>
      <c r="AB94" s="224">
        <f t="shared" si="89"/>
        <v>8.9131162932765573E-2</v>
      </c>
      <c r="AC94" s="224">
        <f t="shared" si="89"/>
        <v>0.14493399162820642</v>
      </c>
      <c r="AD94" s="136">
        <f t="shared" si="89"/>
        <v>-0.38007293660306185</v>
      </c>
      <c r="AE94" s="224">
        <f t="shared" si="89"/>
        <v>-9.2581541159221681E-2</v>
      </c>
      <c r="AF94" s="224">
        <f t="shared" si="89"/>
        <v>0.1551600232645225</v>
      </c>
      <c r="AG94" s="224">
        <f t="shared" si="89"/>
        <v>0.16501130396333985</v>
      </c>
      <c r="AH94" s="136">
        <f t="shared" si="89"/>
        <v>1.122540299594085</v>
      </c>
      <c r="AI94" s="224">
        <f t="shared" si="89"/>
        <v>1.3940739778450779</v>
      </c>
      <c r="AJ94" s="224">
        <f t="shared" si="90"/>
        <v>8.5509381491934544E-2</v>
      </c>
      <c r="AK94" s="438">
        <f t="shared" si="90"/>
        <v>1.6348042995755208E-3</v>
      </c>
      <c r="AL94" s="359">
        <f t="shared" si="90"/>
        <v>3.0562831778226052E-2</v>
      </c>
      <c r="AM94" s="359">
        <f t="shared" si="90"/>
        <v>-0.35033755980212167</v>
      </c>
      <c r="AN94" s="359">
        <f t="shared" si="90"/>
        <v>0.19106346586150935</v>
      </c>
      <c r="AO94" s="438">
        <f t="shared" si="90"/>
        <v>-0.12659698958592747</v>
      </c>
      <c r="AP94" s="359">
        <f t="shared" si="90"/>
        <v>0.51694687743833612</v>
      </c>
      <c r="AQ94" s="359">
        <f t="shared" si="90"/>
        <v>0.92778254370685653</v>
      </c>
      <c r="AR94" s="359">
        <f t="shared" si="90"/>
        <v>0.35663302321611479</v>
      </c>
      <c r="AS94" s="359">
        <f t="shared" si="90"/>
        <v>0.7279411088388863</v>
      </c>
      <c r="AT94" s="359">
        <f t="shared" si="91"/>
        <v>0.41601327211985484</v>
      </c>
      <c r="AU94" s="359">
        <f t="shared" si="91"/>
        <v>0.3555052082393082</v>
      </c>
      <c r="AV94" s="359">
        <f t="shared" si="91"/>
        <v>0.15416206268751798</v>
      </c>
      <c r="AW94" s="359">
        <f t="shared" si="91"/>
        <v>0.13844712528855352</v>
      </c>
      <c r="AX94" s="359">
        <f t="shared" si="91"/>
        <v>6.2371592519531172E-2</v>
      </c>
      <c r="AY94" s="359">
        <f t="shared" si="91"/>
        <v>2.4360229338554085E-2</v>
      </c>
      <c r="AZ94" s="359">
        <f t="shared" si="91"/>
        <v>0.16884725692625024</v>
      </c>
      <c r="BA94" s="359">
        <f t="shared" si="91"/>
        <v>0.2266799041168055</v>
      </c>
      <c r="BB94" s="359">
        <f t="shared" si="92"/>
        <v>0.1636453073186841</v>
      </c>
      <c r="BC94" s="359">
        <f t="shared" si="92"/>
        <v>5.8040346046134283E-2</v>
      </c>
      <c r="BD94" s="76"/>
      <c r="BE94" s="76"/>
      <c r="BF94" s="76"/>
      <c r="BG94" s="76"/>
      <c r="BH94" s="76"/>
      <c r="BI94" s="76">
        <f>AH24/AG24-1</f>
        <v>-0.17110325820922545</v>
      </c>
      <c r="BJ94" s="76"/>
      <c r="BK94" s="76"/>
      <c r="BL94" s="76">
        <f t="shared" si="93"/>
        <v>2.1221818585175134E-2</v>
      </c>
      <c r="BM94" s="76">
        <f t="shared" si="93"/>
        <v>0.21897514492367942</v>
      </c>
      <c r="BN94" s="76">
        <f t="shared" si="93"/>
        <v>-5.0451856881394419E-2</v>
      </c>
      <c r="BO94" s="76">
        <f t="shared" si="93"/>
        <v>0.42471270731711885</v>
      </c>
      <c r="BP94" s="76">
        <f t="shared" si="93"/>
        <v>-7.7462673590527942E-2</v>
      </c>
      <c r="BQ94" s="75"/>
    </row>
    <row r="95" spans="1:69" s="74" customFormat="1" x14ac:dyDescent="0.3">
      <c r="A95" s="145" t="s">
        <v>17</v>
      </c>
      <c r="D95" s="76" t="str">
        <f t="shared" si="86"/>
        <v>n.a.</v>
      </c>
      <c r="E95" s="76" t="str">
        <f t="shared" si="86"/>
        <v>n.a.</v>
      </c>
      <c r="F95" s="76" t="str">
        <f t="shared" si="86"/>
        <v>n.a.</v>
      </c>
      <c r="G95" s="76" t="str">
        <f t="shared" si="86"/>
        <v>n.a.</v>
      </c>
      <c r="H95" s="76">
        <f t="shared" si="86"/>
        <v>13.515010832559579</v>
      </c>
      <c r="I95" s="76">
        <f t="shared" si="86"/>
        <v>5.7765289951162719</v>
      </c>
      <c r="J95" s="76"/>
      <c r="K95" s="76"/>
      <c r="L95" s="76">
        <f t="shared" si="87"/>
        <v>2.2956336395386376</v>
      </c>
      <c r="M95" s="76">
        <f t="shared" si="87"/>
        <v>-0.89160081350317311</v>
      </c>
      <c r="N95" s="113">
        <f t="shared" si="87"/>
        <v>8.6008893087832075</v>
      </c>
      <c r="O95" s="76"/>
      <c r="P95" s="136"/>
      <c r="Q95" s="76">
        <f t="shared" si="88"/>
        <v>0.60336090093260597</v>
      </c>
      <c r="R95" s="76">
        <f t="shared" si="88"/>
        <v>0.45712749261954144</v>
      </c>
      <c r="S95" s="113"/>
      <c r="T95" s="75"/>
      <c r="U95" s="161"/>
      <c r="V95" s="161"/>
      <c r="W95" s="161"/>
      <c r="X95" s="161"/>
      <c r="Y95" s="161"/>
      <c r="Z95" s="136">
        <f t="shared" si="89"/>
        <v>-0.43720775459396832</v>
      </c>
      <c r="AA95" s="224">
        <f t="shared" si="89"/>
        <v>-0.25378881337430559</v>
      </c>
      <c r="AB95" s="224">
        <f t="shared" si="89"/>
        <v>-0.41110621742641118</v>
      </c>
      <c r="AC95" s="224">
        <f t="shared" si="89"/>
        <v>-0.31807208173071277</v>
      </c>
      <c r="AD95" s="136">
        <f t="shared" si="89"/>
        <v>-0.47427755538231098</v>
      </c>
      <c r="AE95" s="224">
        <f t="shared" si="89"/>
        <v>1.0497269675867944</v>
      </c>
      <c r="AF95" s="224">
        <f t="shared" si="89"/>
        <v>0.17408330736470345</v>
      </c>
      <c r="AG95" s="224">
        <f t="shared" si="89"/>
        <v>0.28817828678972468</v>
      </c>
      <c r="AH95" s="136">
        <f t="shared" si="89"/>
        <v>4.2679574120665809E-2</v>
      </c>
      <c r="AI95" s="224">
        <f t="shared" si="89"/>
        <v>-0.32463228285257584</v>
      </c>
      <c r="AJ95" s="224">
        <f t="shared" si="90"/>
        <v>0.25063479284077528</v>
      </c>
      <c r="AK95" s="113">
        <f t="shared" si="90"/>
        <v>0.14788980200886392</v>
      </c>
      <c r="AL95" s="224">
        <f t="shared" si="90"/>
        <v>0.48586974759701818</v>
      </c>
      <c r="AM95" s="224">
        <f t="shared" si="90"/>
        <v>8.7122363602148312E-2</v>
      </c>
      <c r="AN95" s="224">
        <f t="shared" si="90"/>
        <v>0.29309271495069256</v>
      </c>
      <c r="AO95" s="113">
        <f t="shared" si="90"/>
        <v>-0.24243423733154323</v>
      </c>
      <c r="AP95" s="224">
        <f t="shared" si="90"/>
        <v>3.3871600875424068E-2</v>
      </c>
      <c r="AQ95" s="224">
        <f t="shared" si="90"/>
        <v>0.38243929719904934</v>
      </c>
      <c r="AR95" s="224">
        <f t="shared" si="90"/>
        <v>7.5206932583470554E-2</v>
      </c>
      <c r="AS95" s="224">
        <f t="shared" si="90"/>
        <v>-0.41222660451774829</v>
      </c>
      <c r="AT95" s="224">
        <f t="shared" si="91"/>
        <v>0.37987475684728444</v>
      </c>
      <c r="AU95" s="224">
        <f t="shared" si="91"/>
        <v>0.31088272547329288</v>
      </c>
      <c r="AV95" s="224">
        <f t="shared" si="91"/>
        <v>0.66760797004111216</v>
      </c>
      <c r="AW95" s="224">
        <f t="shared" si="91"/>
        <v>1.9711113628639403</v>
      </c>
      <c r="AX95" s="224">
        <f t="shared" si="91"/>
        <v>0.15881840763202826</v>
      </c>
      <c r="AY95" s="224">
        <f t="shared" si="91"/>
        <v>2.038627003633442E-2</v>
      </c>
      <c r="AZ95" s="224">
        <f t="shared" si="91"/>
        <v>-0.11075683839570394</v>
      </c>
      <c r="BA95" s="224">
        <f t="shared" si="91"/>
        <v>0.14182344003895131</v>
      </c>
      <c r="BB95" s="224">
        <f t="shared" si="92"/>
        <v>6.3076132423447895E-2</v>
      </c>
      <c r="BC95" s="224">
        <f t="shared" si="92"/>
        <v>0.3887132662686954</v>
      </c>
      <c r="BD95" s="76"/>
      <c r="BE95" s="76"/>
      <c r="BF95" s="76"/>
      <c r="BG95" s="76"/>
      <c r="BH95" s="76"/>
      <c r="BI95" s="76">
        <f>AH25/AG25-1</f>
        <v>-0.44252021113115525</v>
      </c>
      <c r="BJ95" s="76"/>
      <c r="BK95" s="76"/>
      <c r="BL95" s="76">
        <f t="shared" si="93"/>
        <v>2.1406942330884404</v>
      </c>
      <c r="BM95" s="76">
        <f t="shared" si="93"/>
        <v>-0.32168355750461264</v>
      </c>
      <c r="BN95" s="76">
        <f t="shared" si="93"/>
        <v>4.4098237868096302E-2</v>
      </c>
      <c r="BO95" s="76">
        <f t="shared" si="93"/>
        <v>3.6699132057971262E-4</v>
      </c>
      <c r="BP95" s="76">
        <f t="shared" si="93"/>
        <v>7.8203881736273795E-2</v>
      </c>
      <c r="BQ95" s="75"/>
    </row>
    <row r="96" spans="1:69" s="74" customFormat="1" x14ac:dyDescent="0.3">
      <c r="A96" s="149" t="s">
        <v>18</v>
      </c>
      <c r="D96" s="76" t="str">
        <f t="shared" si="86"/>
        <v>n.a.</v>
      </c>
      <c r="E96" s="76" t="str">
        <f t="shared" si="86"/>
        <v>n.a.</v>
      </c>
      <c r="F96" s="76" t="str">
        <f t="shared" si="86"/>
        <v>n.a.</v>
      </c>
      <c r="G96" s="76" t="str">
        <f t="shared" si="86"/>
        <v>n.a.</v>
      </c>
      <c r="H96" s="76">
        <f t="shared" si="86"/>
        <v>22.161796875</v>
      </c>
      <c r="I96" s="76">
        <f t="shared" si="86"/>
        <v>-34.341673032849506</v>
      </c>
      <c r="J96" s="76"/>
      <c r="K96" s="76"/>
      <c r="L96" s="76">
        <f t="shared" si="87"/>
        <v>1.0053473112602762</v>
      </c>
      <c r="M96" s="76">
        <f t="shared" si="87"/>
        <v>-0.9964440048290828</v>
      </c>
      <c r="N96" s="113">
        <f t="shared" si="87"/>
        <v>61.274986779481758</v>
      </c>
      <c r="O96" s="76"/>
      <c r="P96" s="136"/>
      <c r="Q96" s="76">
        <f t="shared" si="88"/>
        <v>-0.83711675740807845</v>
      </c>
      <c r="R96" s="76">
        <f t="shared" si="88"/>
        <v>-8.2391253906943103</v>
      </c>
      <c r="S96" s="113"/>
      <c r="T96" s="75"/>
      <c r="U96" s="161"/>
      <c r="V96" s="161"/>
      <c r="W96" s="161"/>
      <c r="X96" s="161"/>
      <c r="Y96" s="161"/>
      <c r="Z96" s="136">
        <f t="shared" si="89"/>
        <v>-4.5069337442218798</v>
      </c>
      <c r="AA96" s="224">
        <f t="shared" si="89"/>
        <v>4.9639211299119008</v>
      </c>
      <c r="AB96" s="224">
        <f t="shared" si="89"/>
        <v>3.6497767332549937</v>
      </c>
      <c r="AC96" s="224">
        <f t="shared" si="89"/>
        <v>-1.8203119101349821</v>
      </c>
      <c r="AD96" s="136">
        <f t="shared" si="89"/>
        <v>-1.2854486640686686</v>
      </c>
      <c r="AE96" s="224">
        <f t="shared" si="89"/>
        <v>-1.0396970549615456</v>
      </c>
      <c r="AF96" s="224">
        <f t="shared" si="89"/>
        <v>-0.1933133853598048</v>
      </c>
      <c r="AG96" s="224">
        <f t="shared" si="89"/>
        <v>-0.95264977194166611</v>
      </c>
      <c r="AH96" s="136">
        <f t="shared" si="89"/>
        <v>-4.4465066476309456</v>
      </c>
      <c r="AI96" s="224">
        <f t="shared" si="89"/>
        <v>-42.285144713526286</v>
      </c>
      <c r="AJ96" s="224">
        <f t="shared" si="90"/>
        <v>-0.24130959641105754</v>
      </c>
      <c r="AK96" s="113">
        <f t="shared" si="90"/>
        <v>-2.2038876889848815</v>
      </c>
      <c r="AL96" s="224">
        <f t="shared" si="90"/>
        <v>-0.53631067961165046</v>
      </c>
      <c r="AM96" s="224">
        <f t="shared" si="90"/>
        <v>-1.4089626336365231</v>
      </c>
      <c r="AN96" s="224">
        <f t="shared" si="90"/>
        <v>-0.7022275810429881</v>
      </c>
      <c r="AO96" s="113">
        <f t="shared" si="90"/>
        <v>13.614549695012558</v>
      </c>
      <c r="AP96" s="224">
        <f t="shared" si="90"/>
        <v>4.1817280848687881</v>
      </c>
      <c r="AQ96" s="224">
        <f t="shared" si="90"/>
        <v>-4.6702962243853801</v>
      </c>
      <c r="AR96" s="224">
        <f t="shared" si="90"/>
        <v>8.7097346768974759</v>
      </c>
      <c r="AS96" s="224">
        <f t="shared" si="90"/>
        <v>-3.5632047040626555</v>
      </c>
      <c r="AT96" s="224">
        <f t="shared" si="91"/>
        <v>6.2750020877164081E-2</v>
      </c>
      <c r="AU96" s="224">
        <f t="shared" si="91"/>
        <v>0.13461675936119422</v>
      </c>
      <c r="AV96" s="224">
        <f t="shared" si="91"/>
        <v>0.64579140094944121</v>
      </c>
      <c r="AW96" s="224">
        <f t="shared" si="91"/>
        <v>0.31883238945893844</v>
      </c>
      <c r="AX96" s="224">
        <f t="shared" si="91"/>
        <v>0.91724734039182487</v>
      </c>
      <c r="AY96" s="224">
        <f t="shared" si="91"/>
        <v>0.50314501072138884</v>
      </c>
      <c r="AZ96" s="224">
        <f t="shared" si="91"/>
        <v>0.34580678453619096</v>
      </c>
      <c r="BA96" s="224">
        <f t="shared" si="91"/>
        <v>-0.36883273929597948</v>
      </c>
      <c r="BB96" s="224">
        <f t="shared" si="92"/>
        <v>0.31288943770252753</v>
      </c>
      <c r="BC96" s="224">
        <f t="shared" si="92"/>
        <v>0.19235627141188494</v>
      </c>
      <c r="BD96" s="76"/>
      <c r="BE96" s="76"/>
      <c r="BF96" s="76"/>
      <c r="BG96" s="76"/>
      <c r="BH96" s="76"/>
      <c r="BI96" s="76"/>
      <c r="BJ96" s="76"/>
      <c r="BK96" s="76"/>
      <c r="BL96" s="76">
        <f t="shared" si="93"/>
        <v>-2.7892677664540781</v>
      </c>
      <c r="BM96" s="76">
        <f t="shared" si="93"/>
        <v>-2.453087583430988</v>
      </c>
      <c r="BN96" s="76">
        <f t="shared" si="93"/>
        <v>-0.71209717242729453</v>
      </c>
      <c r="BO96" s="76">
        <f t="shared" si="93"/>
        <v>2.0679024875419918</v>
      </c>
      <c r="BP96" s="76">
        <f t="shared" si="93"/>
        <v>-1.2506537736925767</v>
      </c>
      <c r="BQ96" s="75"/>
    </row>
    <row r="97" spans="1:69" s="74" customFormat="1" x14ac:dyDescent="0.3">
      <c r="A97" s="149" t="s">
        <v>76</v>
      </c>
      <c r="D97" s="76" t="str">
        <f t="shared" ref="D97:I99" si="94">IFERROR(D40/B40-1,"n.a.")</f>
        <v>n.a.</v>
      </c>
      <c r="E97" s="76" t="str">
        <f t="shared" si="94"/>
        <v>n.a.</v>
      </c>
      <c r="F97" s="76" t="str">
        <f t="shared" si="94"/>
        <v>n.a.</v>
      </c>
      <c r="G97" s="76" t="str">
        <f t="shared" si="94"/>
        <v>n.a.</v>
      </c>
      <c r="H97" s="76">
        <f t="shared" si="94"/>
        <v>-5.6530304330415877</v>
      </c>
      <c r="I97" s="76">
        <f t="shared" si="94"/>
        <v>-1.4699807153664253</v>
      </c>
      <c r="J97" s="76"/>
      <c r="K97" s="76"/>
      <c r="L97" s="76">
        <f t="shared" ref="L97:M99" si="95">IFERROR(L40/K40-1,"n.a.")</f>
        <v>1.2946240502212238</v>
      </c>
      <c r="M97" s="76">
        <f t="shared" si="95"/>
        <v>-1.0708604004973161</v>
      </c>
      <c r="N97" s="113">
        <f>IFERROR(N40/M40-1,"n.a.")</f>
        <v>2.4565822946242188</v>
      </c>
      <c r="O97" s="76"/>
      <c r="P97" s="136"/>
      <c r="Q97" s="76">
        <f t="shared" ref="Q97:R99" si="96">IFERROR(Q40/P40-1,"n.a.")</f>
        <v>-0.72815412298684912</v>
      </c>
      <c r="R97" s="76">
        <f t="shared" si="96"/>
        <v>-6.3935102856264683</v>
      </c>
      <c r="S97" s="113"/>
      <c r="T97" s="75"/>
      <c r="U97" s="161"/>
      <c r="V97" s="161"/>
      <c r="W97" s="161"/>
      <c r="X97" s="161"/>
      <c r="Y97" s="161"/>
      <c r="Z97" s="136">
        <f t="shared" ref="Z97:AO99" si="97">IFERROR(Z40/V40-1,"n.a.")</f>
        <v>-0.89272420038072642</v>
      </c>
      <c r="AA97" s="224">
        <f t="shared" si="97"/>
        <v>-7.097172928650104</v>
      </c>
      <c r="AB97" s="224">
        <f t="shared" si="97"/>
        <v>3.7608245768829711</v>
      </c>
      <c r="AC97" s="224">
        <f t="shared" si="97"/>
        <v>-2.2638570950192962</v>
      </c>
      <c r="AD97" s="136">
        <f t="shared" si="97"/>
        <v>-1.5716384784529707</v>
      </c>
      <c r="AE97" s="224">
        <f t="shared" si="97"/>
        <v>-0.72536130068245686</v>
      </c>
      <c r="AF97" s="224">
        <f t="shared" si="97"/>
        <v>-0.16518064737874283</v>
      </c>
      <c r="AG97" s="224">
        <f t="shared" si="97"/>
        <v>-0.64926073283875119</v>
      </c>
      <c r="AH97" s="136">
        <f t="shared" si="97"/>
        <v>-4.0476156238203949</v>
      </c>
      <c r="AI97" s="224">
        <f t="shared" si="97"/>
        <v>4.3234240818563858</v>
      </c>
      <c r="AJ97" s="224">
        <f t="shared" si="97"/>
        <v>-6.6487450856926089E-2</v>
      </c>
      <c r="AK97" s="113">
        <f t="shared" si="97"/>
        <v>-0.61323839009287928</v>
      </c>
      <c r="AL97" s="224">
        <f t="shared" si="97"/>
        <v>-0.4034491707363107</v>
      </c>
      <c r="AM97" s="224">
        <f t="shared" si="97"/>
        <v>-1.4535354263414233</v>
      </c>
      <c r="AN97" s="224">
        <f t="shared" si="97"/>
        <v>-1.3908264655776266</v>
      </c>
      <c r="AO97" s="113">
        <f t="shared" si="97"/>
        <v>-1.7885434344081201</v>
      </c>
      <c r="AP97" s="224">
        <f t="shared" ref="AP97:AQ99" si="98">IFERROR(AP40/AL40-1,"n.a.")</f>
        <v>2.9033753855888635</v>
      </c>
      <c r="AQ97" s="224">
        <f t="shared" si="98"/>
        <v>-3.6935476547246062</v>
      </c>
      <c r="AR97" s="224">
        <f t="shared" ref="AR97:AX99" si="99">IFERROR(AR40/AN40-1,"n.a.")</f>
        <v>-6.64453246006107</v>
      </c>
      <c r="AS97" s="224">
        <f t="shared" si="99"/>
        <v>-13.591911316847362</v>
      </c>
      <c r="AT97" s="224">
        <f t="shared" si="99"/>
        <v>4.6377560454200495E-3</v>
      </c>
      <c r="AU97" s="224">
        <f t="shared" si="99"/>
        <v>0.21850696785794566</v>
      </c>
      <c r="AV97" s="224">
        <f t="shared" si="99"/>
        <v>0.55465329146723419</v>
      </c>
      <c r="AW97" s="224">
        <f t="shared" si="99"/>
        <v>0.13140557431288524</v>
      </c>
      <c r="AX97" s="224">
        <f t="shared" si="99"/>
        <v>0.68649687117090319</v>
      </c>
      <c r="AY97" s="224">
        <f>IFERROR(AY40/AU40-1,"n.a.")</f>
        <v>0.47988544839528613</v>
      </c>
      <c r="AZ97" s="224">
        <f>IFERROR(AZ40/AV40-1,"n.a.")</f>
        <v>0.23042785946713296</v>
      </c>
      <c r="BA97" s="224">
        <f>IFERROR(BA40/AW40-1,"n.a.")</f>
        <v>-0.75902237423400309</v>
      </c>
      <c r="BB97" s="224">
        <f>IFERROR(BB40/AX39-1,"n.a.")</f>
        <v>80.358596930786092</v>
      </c>
      <c r="BC97" s="224">
        <f>IFERROR(BC40/AY40-1,"n.a.")</f>
        <v>-1.5428169887490628E-2</v>
      </c>
      <c r="BD97" s="76"/>
      <c r="BE97" s="76"/>
      <c r="BF97" s="76"/>
      <c r="BG97" s="76"/>
      <c r="BH97" s="76"/>
      <c r="BI97" s="76"/>
      <c r="BJ97" s="76"/>
      <c r="BK97" s="76"/>
      <c r="BL97" s="76">
        <f>IFERROR(BL40/BK40-1,"n.a.")</f>
        <v>0.1617889493945055</v>
      </c>
      <c r="BM97" s="76">
        <f t="shared" ref="BM97:BM99" si="100">IFERROR(BM40/BL40-1,"n.a.")</f>
        <v>0.29840156842913679</v>
      </c>
      <c r="BN97" s="76">
        <f t="shared" ref="BN97:BP99" si="101">IFERROR(BN40/BM40-1,"n.a.")</f>
        <v>-0.52391450623967262</v>
      </c>
      <c r="BO97" s="76">
        <f t="shared" si="101"/>
        <v>1.2082401028104996</v>
      </c>
      <c r="BP97" s="76">
        <f t="shared" si="101"/>
        <v>-1.1806625343514827</v>
      </c>
      <c r="BQ97" s="75"/>
    </row>
    <row r="98" spans="1:69" s="74" customFormat="1" ht="28" x14ac:dyDescent="0.3">
      <c r="A98" s="150" t="s">
        <v>26</v>
      </c>
      <c r="D98" s="76" t="str">
        <f t="shared" si="94"/>
        <v>n.a.</v>
      </c>
      <c r="E98" s="76" t="str">
        <f t="shared" si="94"/>
        <v>n.a.</v>
      </c>
      <c r="F98" s="76" t="str">
        <f t="shared" si="94"/>
        <v>n.a.</v>
      </c>
      <c r="G98" s="76" t="str">
        <f t="shared" si="94"/>
        <v>n.a.</v>
      </c>
      <c r="H98" s="76">
        <f t="shared" si="94"/>
        <v>-2.2283653846153846</v>
      </c>
      <c r="I98" s="76" t="str">
        <f t="shared" si="94"/>
        <v>n.a.</v>
      </c>
      <c r="J98" s="76"/>
      <c r="K98" s="76"/>
      <c r="L98" s="76">
        <f t="shared" si="95"/>
        <v>2.6807999999999996</v>
      </c>
      <c r="M98" s="76">
        <f t="shared" si="95"/>
        <v>-1.0163008041730059</v>
      </c>
      <c r="N98" s="113">
        <f>IFERROR(N41/M41-1,"n.a.")</f>
        <v>-0.56000000000000005</v>
      </c>
      <c r="O98" s="76"/>
      <c r="P98" s="136"/>
      <c r="Q98" s="76" t="str">
        <f t="shared" si="96"/>
        <v>n.a.</v>
      </c>
      <c r="R98" s="76" t="str">
        <f t="shared" si="96"/>
        <v>n.a.</v>
      </c>
      <c r="S98" s="113"/>
      <c r="T98" s="75"/>
      <c r="U98" s="161"/>
      <c r="V98" s="161"/>
      <c r="W98" s="161"/>
      <c r="X98" s="161"/>
      <c r="Y98" s="161"/>
      <c r="Z98" s="136" t="str">
        <f t="shared" si="97"/>
        <v>n.a.</v>
      </c>
      <c r="AA98" s="224" t="str">
        <f t="shared" si="97"/>
        <v>n.a.</v>
      </c>
      <c r="AB98" s="224" t="str">
        <f t="shared" si="97"/>
        <v>n.a.</v>
      </c>
      <c r="AC98" s="224" t="str">
        <f t="shared" si="97"/>
        <v>n.a.</v>
      </c>
      <c r="AD98" s="136" t="str">
        <f t="shared" si="97"/>
        <v>n.a.</v>
      </c>
      <c r="AE98" s="224" t="str">
        <f t="shared" si="97"/>
        <v>n.a.</v>
      </c>
      <c r="AF98" s="224" t="str">
        <f t="shared" si="97"/>
        <v>n.a.</v>
      </c>
      <c r="AG98" s="224" t="str">
        <f t="shared" si="97"/>
        <v>n.a.</v>
      </c>
      <c r="AH98" s="136" t="str">
        <f t="shared" si="97"/>
        <v>n.a.</v>
      </c>
      <c r="AI98" s="224" t="str">
        <f t="shared" si="97"/>
        <v>n.a.</v>
      </c>
      <c r="AJ98" s="224" t="str">
        <f t="shared" si="97"/>
        <v>n.a.</v>
      </c>
      <c r="AK98" s="113" t="str">
        <f t="shared" si="97"/>
        <v>n.a.</v>
      </c>
      <c r="AL98" s="224" t="str">
        <f t="shared" si="97"/>
        <v>n.a.</v>
      </c>
      <c r="AM98" s="224" t="str">
        <f t="shared" si="97"/>
        <v>n.a.</v>
      </c>
      <c r="AN98" s="224" t="str">
        <f t="shared" si="97"/>
        <v>n.a.</v>
      </c>
      <c r="AO98" s="113" t="str">
        <f t="shared" si="97"/>
        <v>n.a.</v>
      </c>
      <c r="AP98" s="224" t="str">
        <f t="shared" si="98"/>
        <v>n.a.</v>
      </c>
      <c r="AQ98" s="224" t="str">
        <f t="shared" si="98"/>
        <v>n.a.</v>
      </c>
      <c r="AR98" s="224" t="str">
        <f t="shared" si="99"/>
        <v>n.a.</v>
      </c>
      <c r="AS98" s="224" t="str">
        <f t="shared" si="99"/>
        <v>n.a.</v>
      </c>
      <c r="AT98" s="224" t="str">
        <f t="shared" si="99"/>
        <v>n.a.</v>
      </c>
      <c r="AU98" s="224" t="str">
        <f t="shared" si="99"/>
        <v>n.a.</v>
      </c>
      <c r="AV98" s="224" t="str">
        <f t="shared" si="99"/>
        <v>n.a.</v>
      </c>
      <c r="AW98" s="224" t="str">
        <f t="shared" si="99"/>
        <v>n.a.</v>
      </c>
      <c r="AX98" s="224" t="str">
        <f t="shared" si="99"/>
        <v>n.a.</v>
      </c>
      <c r="AY98" s="224" t="str">
        <f>IFERROR(AY41/AU41-1,"n.a.")</f>
        <v>n.a.</v>
      </c>
      <c r="AZ98" s="224"/>
      <c r="BA98" s="224"/>
      <c r="BB98" s="224"/>
      <c r="BC98" s="224"/>
      <c r="BD98" s="76"/>
      <c r="BE98" s="76"/>
      <c r="BF98" s="76"/>
      <c r="BG98" s="76"/>
      <c r="BH98" s="76"/>
      <c r="BI98" s="76"/>
      <c r="BJ98" s="76" t="str">
        <f>IFERROR(BJ41/BI41-1,"n.a.")</f>
        <v>n.a.</v>
      </c>
      <c r="BK98" s="76" t="str">
        <f>IFERROR(BK41/BJ41-1,"n.a.")</f>
        <v>n.a.</v>
      </c>
      <c r="BL98" s="76" t="str">
        <f>IFERROR(BL41/BK41-1,"n.a.")</f>
        <v>n.a.</v>
      </c>
      <c r="BM98" s="76" t="str">
        <f t="shared" si="100"/>
        <v>n.a.</v>
      </c>
      <c r="BN98" s="76">
        <f t="shared" si="101"/>
        <v>-0.54545454545454541</v>
      </c>
      <c r="BO98" s="76"/>
      <c r="BP98" s="76" t="str">
        <f>IFERROR(BP41/BO41-1,"n.a.")</f>
        <v>n.a.</v>
      </c>
      <c r="BQ98" s="75"/>
    </row>
    <row r="99" spans="1:69" s="74" customFormat="1" ht="28" x14ac:dyDescent="0.3">
      <c r="A99" s="150" t="s">
        <v>27</v>
      </c>
      <c r="D99" s="76" t="str">
        <f t="shared" si="94"/>
        <v>n.a.</v>
      </c>
      <c r="E99" s="76" t="str">
        <f t="shared" si="94"/>
        <v>n.a.</v>
      </c>
      <c r="F99" s="76" t="str">
        <f t="shared" si="94"/>
        <v>n.a.</v>
      </c>
      <c r="G99" s="76" t="str">
        <f t="shared" si="94"/>
        <v>n.a.</v>
      </c>
      <c r="H99" s="76">
        <f t="shared" si="94"/>
        <v>-0.58653846153846156</v>
      </c>
      <c r="I99" s="76" t="str">
        <f t="shared" si="94"/>
        <v>n.a.</v>
      </c>
      <c r="J99" s="76"/>
      <c r="K99" s="76"/>
      <c r="L99" s="76">
        <f t="shared" si="95"/>
        <v>2.6807999999999996</v>
      </c>
      <c r="M99" s="76">
        <f t="shared" si="95"/>
        <v>-1.0023907846120408</v>
      </c>
      <c r="N99" s="113">
        <f>IFERROR(N42/M42-1,"n.a.")</f>
        <v>-3</v>
      </c>
      <c r="O99" s="76"/>
      <c r="P99" s="136"/>
      <c r="Q99" s="76" t="str">
        <f t="shared" si="96"/>
        <v>n.a.</v>
      </c>
      <c r="R99" s="76" t="str">
        <f t="shared" si="96"/>
        <v>n.a.</v>
      </c>
      <c r="S99" s="113"/>
      <c r="T99" s="75"/>
      <c r="U99" s="161"/>
      <c r="V99" s="161"/>
      <c r="W99" s="161"/>
      <c r="X99" s="161"/>
      <c r="Y99" s="161"/>
      <c r="Z99" s="136" t="str">
        <f t="shared" si="97"/>
        <v>n.a.</v>
      </c>
      <c r="AA99" s="224" t="str">
        <f t="shared" si="97"/>
        <v>n.a.</v>
      </c>
      <c r="AB99" s="224" t="str">
        <f t="shared" si="97"/>
        <v>n.a.</v>
      </c>
      <c r="AC99" s="224" t="str">
        <f t="shared" si="97"/>
        <v>n.a.</v>
      </c>
      <c r="AD99" s="136" t="str">
        <f t="shared" si="97"/>
        <v>n.a.</v>
      </c>
      <c r="AE99" s="224" t="str">
        <f t="shared" si="97"/>
        <v>n.a.</v>
      </c>
      <c r="AF99" s="224" t="str">
        <f t="shared" si="97"/>
        <v>n.a.</v>
      </c>
      <c r="AG99" s="224" t="str">
        <f t="shared" si="97"/>
        <v>n.a.</v>
      </c>
      <c r="AH99" s="136" t="str">
        <f t="shared" si="97"/>
        <v>n.a.</v>
      </c>
      <c r="AI99" s="224" t="str">
        <f t="shared" si="97"/>
        <v>n.a.</v>
      </c>
      <c r="AJ99" s="224" t="str">
        <f t="shared" si="97"/>
        <v>n.a.</v>
      </c>
      <c r="AK99" s="113" t="str">
        <f t="shared" si="97"/>
        <v>n.a.</v>
      </c>
      <c r="AL99" s="224" t="str">
        <f t="shared" si="97"/>
        <v>n.a.</v>
      </c>
      <c r="AM99" s="224" t="str">
        <f t="shared" si="97"/>
        <v>n.a.</v>
      </c>
      <c r="AN99" s="224" t="str">
        <f t="shared" si="97"/>
        <v>n.a.</v>
      </c>
      <c r="AO99" s="113" t="str">
        <f t="shared" si="97"/>
        <v>n.a.</v>
      </c>
      <c r="AP99" s="224" t="str">
        <f t="shared" si="98"/>
        <v>n.a.</v>
      </c>
      <c r="AQ99" s="224" t="str">
        <f t="shared" si="98"/>
        <v>n.a.</v>
      </c>
      <c r="AR99" s="224" t="str">
        <f t="shared" si="99"/>
        <v>n.a.</v>
      </c>
      <c r="AS99" s="224" t="str">
        <f t="shared" si="99"/>
        <v>n.a.</v>
      </c>
      <c r="AT99" s="224" t="str">
        <f t="shared" si="99"/>
        <v>n.a.</v>
      </c>
      <c r="AU99" s="224" t="str">
        <f t="shared" si="99"/>
        <v>n.a.</v>
      </c>
      <c r="AV99" s="224" t="str">
        <f t="shared" si="99"/>
        <v>n.a.</v>
      </c>
      <c r="AW99" s="224" t="str">
        <f t="shared" si="99"/>
        <v>n.a.</v>
      </c>
      <c r="AX99" s="224" t="str">
        <f t="shared" si="99"/>
        <v>n.a.</v>
      </c>
      <c r="AY99" s="224" t="str">
        <f>IFERROR(AY42/AU42-1,"n.a.")</f>
        <v>n.a.</v>
      </c>
      <c r="AZ99" s="224"/>
      <c r="BA99" s="224"/>
      <c r="BB99" s="224"/>
      <c r="BC99" s="224"/>
      <c r="BD99" s="76"/>
      <c r="BE99" s="76"/>
      <c r="BF99" s="76"/>
      <c r="BG99" s="76"/>
      <c r="BH99" s="76"/>
      <c r="BI99" s="76"/>
      <c r="BJ99" s="76" t="str">
        <f>IFERROR(BJ42/BI42-1,"n.a.")</f>
        <v>n.a.</v>
      </c>
      <c r="BK99" s="76" t="str">
        <f>IFERROR(BK42/BJ42-1,"n.a.")</f>
        <v>n.a.</v>
      </c>
      <c r="BL99" s="76" t="str">
        <f>IFERROR(BL42/BK42-1,"n.a.")</f>
        <v>n.a.</v>
      </c>
      <c r="BM99" s="76" t="str">
        <f t="shared" si="100"/>
        <v>n.a.</v>
      </c>
      <c r="BN99" s="76">
        <f t="shared" si="101"/>
        <v>-0.54545454545454541</v>
      </c>
      <c r="BO99" s="76"/>
      <c r="BP99" s="76" t="str">
        <f>IFERROR(BP42/BO42-1,"n.a.")</f>
        <v>n.a.</v>
      </c>
      <c r="BQ99" s="75"/>
    </row>
    <row r="100" spans="1:69" s="74" customFormat="1" x14ac:dyDescent="0.3">
      <c r="A100" s="149" t="s">
        <v>51</v>
      </c>
      <c r="D100" s="76" t="str">
        <f t="shared" ref="D100:I100" si="102">IFERROR(D45/B45-1,"n.a.")</f>
        <v>n.a.</v>
      </c>
      <c r="E100" s="76" t="str">
        <f t="shared" si="102"/>
        <v>n.a.</v>
      </c>
      <c r="F100" s="76" t="str">
        <f t="shared" si="102"/>
        <v>n.a.</v>
      </c>
      <c r="G100" s="76" t="str">
        <f t="shared" si="102"/>
        <v>n.a.</v>
      </c>
      <c r="H100" s="76">
        <f t="shared" si="102"/>
        <v>53.359835286664556</v>
      </c>
      <c r="I100" s="76">
        <f t="shared" si="102"/>
        <v>4.207671452573698</v>
      </c>
      <c r="J100" s="76"/>
      <c r="K100" s="76"/>
      <c r="L100" s="76">
        <f>IFERROR(L45/K45-1,"n.a.")</f>
        <v>1.4195956289300771</v>
      </c>
      <c r="M100" s="76">
        <f>IFERROR(M45/L45-1,"n.a.")</f>
        <v>-1.0239535441696852</v>
      </c>
      <c r="N100" s="113">
        <f>IFERROR(N45/M45-1,"n.a.")</f>
        <v>1.0549584510046932</v>
      </c>
      <c r="O100" s="76"/>
      <c r="P100" s="136"/>
      <c r="Q100" s="76" t="str">
        <f>IFERROR(Q45/P45-1,"n.a.")</f>
        <v>n.a.</v>
      </c>
      <c r="R100" s="76" t="str">
        <f>IFERROR(R45/Q45-1,"n.a.")</f>
        <v>n.a.</v>
      </c>
      <c r="S100" s="113"/>
      <c r="T100" s="75"/>
      <c r="U100" s="161"/>
      <c r="V100" s="161"/>
      <c r="W100" s="161"/>
      <c r="X100" s="161"/>
      <c r="Y100" s="161"/>
      <c r="Z100" s="136" t="str">
        <f>IFERROR(Z45/V45-1,"n.a.")</f>
        <v>n.a.</v>
      </c>
      <c r="AA100" s="224">
        <f>IFERROR(AA45/W45-1,"n.a.")</f>
        <v>1.3327092552668405</v>
      </c>
      <c r="AB100" s="224">
        <f>IFERROR(AB45/X45-1,"n.a.")</f>
        <v>0.44404504167710823</v>
      </c>
      <c r="AC100" s="224">
        <f>IFERROR(AC45/Y45-1,"n.a.")</f>
        <v>9.9476446928897673</v>
      </c>
      <c r="AD100" s="136">
        <f>IFERROR(AD45/Z45-1,"n.a.")</f>
        <v>-0.95231191027882045</v>
      </c>
      <c r="AE100" s="224">
        <f t="shared" ref="AE100:AO100" si="103">IFERROR(AE45/AA45-1,"n.a.")</f>
        <v>-0.73661318697354661</v>
      </c>
      <c r="AF100" s="224">
        <f t="shared" si="103"/>
        <v>-0.1617801017331042</v>
      </c>
      <c r="AG100" s="224">
        <f t="shared" si="103"/>
        <v>-0.38204818451843503</v>
      </c>
      <c r="AH100" s="136">
        <f t="shared" si="103"/>
        <v>9.033387005114605</v>
      </c>
      <c r="AI100" s="224">
        <f t="shared" si="103"/>
        <v>4.0754112993828588</v>
      </c>
      <c r="AJ100" s="359">
        <f t="shared" si="103"/>
        <v>-0.16801463475890999</v>
      </c>
      <c r="AK100" s="438">
        <f t="shared" si="103"/>
        <v>-0.25528152160221695</v>
      </c>
      <c r="AL100" s="359">
        <f t="shared" si="103"/>
        <v>-0.21386732117150076</v>
      </c>
      <c r="AM100" s="359">
        <f t="shared" si="103"/>
        <v>-1.0377609654775082</v>
      </c>
      <c r="AN100" s="359">
        <f t="shared" si="103"/>
        <v>-0.23344905093886281</v>
      </c>
      <c r="AO100" s="438">
        <f t="shared" si="103"/>
        <v>-1.3548995994804069</v>
      </c>
      <c r="AP100" s="359">
        <f t="shared" ref="AP100:AX100" si="104">IFERROR(AP45/AL45-1,"n.a.")</f>
        <v>1.773142644427633</v>
      </c>
      <c r="AQ100" s="359">
        <f t="shared" si="104"/>
        <v>-40.95920661687947</v>
      </c>
      <c r="AR100" s="359">
        <f t="shared" si="104"/>
        <v>2.1294289819594487</v>
      </c>
      <c r="AS100" s="359">
        <f t="shared" si="104"/>
        <v>-11.184112701831976</v>
      </c>
      <c r="AT100" s="359">
        <f t="shared" si="104"/>
        <v>0.10143154685869438</v>
      </c>
      <c r="AU100" s="359">
        <f t="shared" si="104"/>
        <v>0.17372772360795152</v>
      </c>
      <c r="AV100" s="359">
        <f t="shared" si="104"/>
        <v>0.66119945378887213</v>
      </c>
      <c r="AW100" s="359">
        <f t="shared" si="104"/>
        <v>0.16874255935667914</v>
      </c>
      <c r="AX100" s="359">
        <f t="shared" si="104"/>
        <v>0.63458593705464827</v>
      </c>
      <c r="AY100" s="359">
        <f>IFERROR(AY45/AU45-1,"n.a.")</f>
        <v>0.35191700866861519</v>
      </c>
      <c r="AZ100" s="359">
        <f>IFERROR(AZ45/AV45-1,"n.a.")</f>
        <v>0.24771975800260004</v>
      </c>
      <c r="BA100" s="359">
        <f>IFERROR(BA45/AW45-1,"n.a.")</f>
        <v>0.11348468468468464</v>
      </c>
      <c r="BB100" s="359">
        <f>IFERROR(BB45/AX44-1,"n.a.")</f>
        <v>12.720852897750701</v>
      </c>
      <c r="BC100" s="359">
        <f>IFERROR(BC45/AY45-1,"n.a.")</f>
        <v>0.13597863227296791</v>
      </c>
      <c r="BD100" s="76"/>
      <c r="BE100" s="76"/>
      <c r="BF100" s="76"/>
      <c r="BG100" s="76"/>
      <c r="BH100" s="76"/>
      <c r="BI100" s="76"/>
      <c r="BJ100" s="76" t="str">
        <f t="shared" ref="BJ100:BP100" si="105">IFERROR(BJ45/BI45-1,"n.a.")</f>
        <v>n.a.</v>
      </c>
      <c r="BK100" s="76" t="str">
        <f t="shared" si="105"/>
        <v>n.a.</v>
      </c>
      <c r="BL100" s="76" t="str">
        <f>IFERROR(BL45/BK45-1,"n.a.")</f>
        <v>n.a.</v>
      </c>
      <c r="BM100" s="76">
        <f>IFERROR(BM45/BL45-1,"n.a.")</f>
        <v>11.128214508171599</v>
      </c>
      <c r="BN100" s="76">
        <f t="shared" si="105"/>
        <v>-0.52782542203207994</v>
      </c>
      <c r="BO100" s="76">
        <f t="shared" si="105"/>
        <v>4.3780397058747367E-2</v>
      </c>
      <c r="BP100" s="76">
        <f t="shared" si="105"/>
        <v>-1.2506537736925767</v>
      </c>
      <c r="BQ100" s="75"/>
    </row>
    <row r="101" spans="1:69" s="74" customFormat="1" x14ac:dyDescent="0.3">
      <c r="A101" s="350" t="s">
        <v>292</v>
      </c>
      <c r="D101" s="76"/>
      <c r="E101" s="76"/>
      <c r="F101" s="76"/>
      <c r="G101" s="76"/>
      <c r="H101" s="76"/>
      <c r="I101" s="76"/>
      <c r="J101" s="76"/>
      <c r="K101" s="76"/>
      <c r="L101" s="76"/>
      <c r="M101" s="76"/>
      <c r="N101" s="113"/>
      <c r="O101" s="76"/>
      <c r="P101" s="136"/>
      <c r="Q101" s="76"/>
      <c r="R101" s="76"/>
      <c r="S101" s="113"/>
      <c r="T101" s="75"/>
      <c r="U101" s="161"/>
      <c r="V101" s="161"/>
      <c r="W101" s="161"/>
      <c r="X101" s="161"/>
      <c r="Y101" s="161"/>
      <c r="Z101" s="136"/>
      <c r="AA101" s="224"/>
      <c r="AB101" s="224"/>
      <c r="AC101" s="224"/>
      <c r="AD101" s="136"/>
      <c r="AE101" s="224"/>
      <c r="AF101" s="224"/>
      <c r="AG101" s="224"/>
      <c r="AH101" s="352">
        <f>AH45/Z45-1</f>
        <v>-0.52152694029277724</v>
      </c>
      <c r="AI101" s="336">
        <f>AI45/AA45-1</f>
        <v>0.33679640694290192</v>
      </c>
      <c r="AJ101" s="360">
        <f>AJ45/AB45-1</f>
        <v>-0.30261331178806739</v>
      </c>
      <c r="AK101" s="439">
        <f>AK45/AC45-1</f>
        <v>-0.53979986425142124</v>
      </c>
      <c r="AL101" s="360">
        <f>AL45/$Z$45-1</f>
        <v>-0.62385669182509251</v>
      </c>
      <c r="AM101" s="360">
        <f>AM45/$AA$45-1</f>
        <v>-1.0504787229730277</v>
      </c>
      <c r="AN101" s="360">
        <f>AN45/$AB$45-1</f>
        <v>-0.46541757228853964</v>
      </c>
      <c r="AO101" s="439">
        <f>AO45/$AC$45-1</f>
        <v>-1.1633248438579995</v>
      </c>
      <c r="AP101" s="360">
        <f>AP45/$Z$45-1</f>
        <v>4.3099048315921262E-2</v>
      </c>
      <c r="AQ101" s="360">
        <f>AQ45/$AA$45-1</f>
        <v>1.0170897210354362</v>
      </c>
      <c r="AR101" s="360">
        <f>AR45/$AB$45-1</f>
        <v>0.67293774252648597</v>
      </c>
      <c r="AS101" s="360">
        <f>AS45/$AB$45-1</f>
        <v>0.51981747214857132</v>
      </c>
      <c r="AT101" s="360">
        <f>AT45/$Z$45-1</f>
        <v>0.14890219831343687</v>
      </c>
      <c r="AU101" s="360">
        <f>AU45/$AA$45-1</f>
        <v>1.3675141265839206</v>
      </c>
      <c r="AV101" s="360">
        <f>AV45/$AB$45-1</f>
        <v>1.7790832641077872</v>
      </c>
      <c r="AW101" s="360">
        <f>AW45/$AC$45-1</f>
        <v>0.94399125729337263</v>
      </c>
      <c r="AX101" s="360">
        <f>AX45/$AB$45-1</f>
        <v>1.3656872674306131</v>
      </c>
      <c r="AY101" s="360">
        <f>AY45/$AA$45-1</f>
        <v>2.2006826159920228</v>
      </c>
      <c r="AZ101" s="360">
        <f>AZ45/AB$45-1</f>
        <v>2.4675170977616441</v>
      </c>
      <c r="BA101" s="360">
        <f>BA45/AC$45-1</f>
        <v>1.1646044921570948</v>
      </c>
      <c r="BB101" s="360">
        <f>BB45/Z$44-1</f>
        <v>2.6098687664041993</v>
      </c>
      <c r="BC101" s="360">
        <f>BC45/$AA$45-1</f>
        <v>2.6359070604544828</v>
      </c>
      <c r="BD101" s="76"/>
      <c r="BE101" s="76"/>
      <c r="BF101" s="76"/>
      <c r="BG101" s="76"/>
      <c r="BH101" s="76"/>
      <c r="BI101" s="76"/>
      <c r="BJ101" s="76"/>
      <c r="BK101" s="76"/>
      <c r="BL101" s="76"/>
      <c r="BM101" s="76"/>
      <c r="BN101" s="76"/>
      <c r="BO101" s="76"/>
      <c r="BP101" s="76"/>
      <c r="BQ101" s="75"/>
    </row>
    <row r="102" spans="1:69" s="74" customFormat="1" x14ac:dyDescent="0.3">
      <c r="A102" s="149" t="s">
        <v>52</v>
      </c>
      <c r="D102" s="76" t="str">
        <f t="shared" ref="D102:I102" si="106">IFERROR(D49/B49-1,"n.a.")</f>
        <v>n.a.</v>
      </c>
      <c r="E102" s="76" t="str">
        <f t="shared" si="106"/>
        <v>n.a.</v>
      </c>
      <c r="F102" s="76" t="str">
        <f t="shared" si="106"/>
        <v>n.a.</v>
      </c>
      <c r="G102" s="76" t="str">
        <f t="shared" si="106"/>
        <v>n.a.</v>
      </c>
      <c r="H102" s="76">
        <f t="shared" si="106"/>
        <v>-4.7221785035084274</v>
      </c>
      <c r="I102" s="76">
        <f t="shared" si="106"/>
        <v>1.1299036625585837</v>
      </c>
      <c r="J102" s="76"/>
      <c r="K102" s="76"/>
      <c r="L102" s="76">
        <f>IFERROR(L49/K49-1,"n.a.")</f>
        <v>1.0758769246972943</v>
      </c>
      <c r="M102" s="76">
        <f>IFERROR(M49/L49-1,"n.a.")</f>
        <v>-1.0373630523095416</v>
      </c>
      <c r="N102" s="113">
        <f>IFERROR(N49/M49-1,"n.a.")</f>
        <v>-1.200506620008879</v>
      </c>
      <c r="O102" s="76"/>
      <c r="P102" s="136"/>
      <c r="Q102" s="76" t="str">
        <f>IFERROR(Q49/P49-1,"n.a.")</f>
        <v>n.a.</v>
      </c>
      <c r="R102" s="76" t="str">
        <f>IFERROR(R49/Q49-1,"n.a.")</f>
        <v>n.a.</v>
      </c>
      <c r="S102" s="113"/>
      <c r="T102" s="75"/>
      <c r="U102" s="161"/>
      <c r="V102" s="161"/>
      <c r="W102" s="161"/>
      <c r="X102" s="161"/>
      <c r="Y102" s="161"/>
      <c r="Z102" s="136" t="str">
        <f t="shared" ref="Z102:AO102" si="107">IFERROR(Z49/V49-1,"n.a.")</f>
        <v>n.a.</v>
      </c>
      <c r="AA102" s="224">
        <f t="shared" si="107"/>
        <v>0.9617574457000384</v>
      </c>
      <c r="AB102" s="224">
        <f t="shared" si="107"/>
        <v>1.2424227055100219</v>
      </c>
      <c r="AC102" s="224">
        <f t="shared" si="107"/>
        <v>-4.4671279228321801</v>
      </c>
      <c r="AD102" s="136">
        <f t="shared" si="107"/>
        <v>-0.66333346692851314</v>
      </c>
      <c r="AE102" s="224">
        <f t="shared" si="107"/>
        <v>-0.5584852451138469</v>
      </c>
      <c r="AF102" s="224">
        <f t="shared" si="107"/>
        <v>-0.11693287555356524</v>
      </c>
      <c r="AG102" s="224">
        <f t="shared" si="107"/>
        <v>-0.51004331955381144</v>
      </c>
      <c r="AH102" s="136">
        <f t="shared" si="107"/>
        <v>1.966925259419456</v>
      </c>
      <c r="AI102" s="224">
        <f t="shared" si="107"/>
        <v>2.0411522928422077</v>
      </c>
      <c r="AJ102" s="359">
        <f t="shared" si="107"/>
        <v>-6.7004922727016636E-2</v>
      </c>
      <c r="AK102" s="438">
        <f t="shared" si="107"/>
        <v>0.10989749322170961</v>
      </c>
      <c r="AL102" s="359">
        <f t="shared" si="107"/>
        <v>-6.9541782580783251E-2</v>
      </c>
      <c r="AM102" s="359">
        <f t="shared" si="107"/>
        <v>-0.77738089912244557</v>
      </c>
      <c r="AN102" s="359">
        <f t="shared" si="107"/>
        <v>-0.27364092315378852</v>
      </c>
      <c r="AO102" s="438">
        <f t="shared" si="107"/>
        <v>-0.72551656157756861</v>
      </c>
      <c r="AP102" s="359">
        <f t="shared" ref="AP102:AX102" si="108">IFERROR(AP49/AL49-1,"n.a.")</f>
        <v>1.1227674881591523</v>
      </c>
      <c r="AQ102" s="359">
        <f t="shared" si="108"/>
        <v>5.7839910309158409</v>
      </c>
      <c r="AR102" s="359">
        <f t="shared" si="108"/>
        <v>1.8409519526215736</v>
      </c>
      <c r="AS102" s="359">
        <f t="shared" si="108"/>
        <v>11.892577629447469</v>
      </c>
      <c r="AT102" s="359">
        <f t="shared" si="108"/>
        <v>0.10490916878134993</v>
      </c>
      <c r="AU102" s="359">
        <f t="shared" si="108"/>
        <v>0.13977418359042471</v>
      </c>
      <c r="AV102" s="359">
        <f t="shared" si="108"/>
        <v>0.52099385921968455</v>
      </c>
      <c r="AW102" s="359">
        <f t="shared" si="108"/>
        <v>0.27350028838424589</v>
      </c>
      <c r="AX102" s="359">
        <f t="shared" si="108"/>
        <v>0.59642061524601564</v>
      </c>
      <c r="AY102" s="359">
        <f>IFERROR(AY49/AU49-1,"n.a.")</f>
        <v>0.43160870956887143</v>
      </c>
      <c r="AZ102" s="359">
        <f>IFERROR(AZ49/AV49-1,"n.a.")</f>
        <v>0.30534449959547816</v>
      </c>
      <c r="BA102" s="359">
        <f>IFERROR(BA49/AW49-1,"n.a.")</f>
        <v>-0.1665781074478897</v>
      </c>
      <c r="BB102" s="359" t="str">
        <f>IFERROR(BB49/AX48-1,"n.a.")</f>
        <v>n.a.</v>
      </c>
      <c r="BC102" s="359">
        <f>IFERROR(BC49/AY49-1,"n.a.")</f>
        <v>0.14786415679889631</v>
      </c>
      <c r="BD102" s="76"/>
      <c r="BE102" s="76"/>
      <c r="BF102" s="76"/>
      <c r="BG102" s="76"/>
      <c r="BH102" s="76"/>
      <c r="BI102" s="76"/>
      <c r="BJ102" s="76" t="str">
        <f t="shared" ref="BJ102:BP102" si="109">IFERROR(BJ49/BI49-1,"n.a.")</f>
        <v>n.a.</v>
      </c>
      <c r="BK102" s="76" t="str">
        <f t="shared" si="109"/>
        <v>n.a.</v>
      </c>
      <c r="BL102" s="77">
        <f>IFERROR(BL49/BK49-1,"n.a.")</f>
        <v>-1.0310618810278982</v>
      </c>
      <c r="BM102" s="76">
        <f>IFERROR(BM49/BL49-1,"n.a.")</f>
        <v>-83.418142745506643</v>
      </c>
      <c r="BN102" s="76">
        <f t="shared" si="109"/>
        <v>-0.36862848279845417</v>
      </c>
      <c r="BO102" s="76">
        <f t="shared" si="109"/>
        <v>0.59486128909535063</v>
      </c>
      <c r="BP102" s="76">
        <f t="shared" si="109"/>
        <v>-0.45963109174527172</v>
      </c>
      <c r="BQ102" s="75"/>
    </row>
    <row r="103" spans="1:69" s="74" customFormat="1" x14ac:dyDescent="0.3">
      <c r="A103" s="350" t="s">
        <v>293</v>
      </c>
      <c r="D103" s="76"/>
      <c r="E103" s="76"/>
      <c r="F103" s="76"/>
      <c r="G103" s="76"/>
      <c r="H103" s="76"/>
      <c r="I103" s="76"/>
      <c r="J103" s="76"/>
      <c r="K103" s="76"/>
      <c r="L103" s="76"/>
      <c r="M103" s="76"/>
      <c r="N103" s="113"/>
      <c r="O103" s="76"/>
      <c r="P103" s="136"/>
      <c r="Q103" s="76"/>
      <c r="R103" s="76"/>
      <c r="S103" s="113"/>
      <c r="T103" s="75"/>
      <c r="U103" s="161"/>
      <c r="V103" s="161"/>
      <c r="W103" s="161"/>
      <c r="X103" s="161"/>
      <c r="Y103" s="161"/>
      <c r="Z103" s="136"/>
      <c r="AA103" s="224"/>
      <c r="AB103" s="224"/>
      <c r="AC103" s="224"/>
      <c r="AD103" s="136"/>
      <c r="AE103" s="224"/>
      <c r="AF103" s="224"/>
      <c r="AG103" s="224"/>
      <c r="AH103" s="352">
        <f>AH49/Z49-1</f>
        <v>-1.1355590290302864E-3</v>
      </c>
      <c r="AI103" s="336">
        <f>AI49/AA49-1</f>
        <v>0.34271360914568993</v>
      </c>
      <c r="AJ103" s="360">
        <f>AJ49/AB49-1</f>
        <v>-0.17610271998986737</v>
      </c>
      <c r="AK103" s="439">
        <f>AK49/AC49-1</f>
        <v>-0.45619830858554522</v>
      </c>
      <c r="AL103" s="360">
        <f>AL49/$Z$49-1</f>
        <v>-7.059837281070902E-2</v>
      </c>
      <c r="AM103" s="360">
        <f>AM49/$AA$49-1</f>
        <v>-0.70108630359593049</v>
      </c>
      <c r="AN103" s="360">
        <f>AN49/$AB$49-1</f>
        <v>-0.40155473227573546</v>
      </c>
      <c r="AO103" s="439">
        <f>AO49/$AC$49-1</f>
        <v>-0.85073544192062645</v>
      </c>
      <c r="AP103" s="360">
        <f>AP49/$Z$49-1</f>
        <v>0.97290355763964032</v>
      </c>
      <c r="AQ103" s="360">
        <f>AQ49/$AA$49-1</f>
        <v>1.0278278354231083</v>
      </c>
      <c r="AR103" s="360">
        <f>AR49/$AB$49-1</f>
        <v>0.70015425187838987</v>
      </c>
      <c r="AS103" s="360">
        <f>AS49/$AB$49-1</f>
        <v>0.49406514767016341</v>
      </c>
      <c r="AT103" s="360">
        <f>AT49/$Z$49-1</f>
        <v>1.179879229957383</v>
      </c>
      <c r="AU103" s="360">
        <f>AU49/$AA$49-1</f>
        <v>1.3112658155813115</v>
      </c>
      <c r="AV103" s="360">
        <f>AV49/$AB$49-1</f>
        <v>1.5859241768332679</v>
      </c>
      <c r="AW103" s="360">
        <f>AW49/$AC$49-1</f>
        <v>1.4507301981279661</v>
      </c>
      <c r="AX103" s="360">
        <f>AX49/$Z$49-1</f>
        <v>2.4800041414505767</v>
      </c>
      <c r="AY103" s="360">
        <f>AY49/$AA$49-1</f>
        <v>2.3088282717150066</v>
      </c>
      <c r="AZ103" s="360">
        <f>AZ49/AB$49-1</f>
        <v>2.3755219006002704</v>
      </c>
      <c r="BA103" s="360">
        <f>BA49/AC$49-1</f>
        <v>1.0424921998584176</v>
      </c>
      <c r="BB103" s="360" t="e">
        <f>BB49/Z$48-1</f>
        <v>#DIV/0!</v>
      </c>
      <c r="BC103" s="360">
        <f>BC49/$AA$49-1</f>
        <v>2.7980853741044949</v>
      </c>
      <c r="BD103" s="76"/>
      <c r="BE103" s="76"/>
      <c r="BF103" s="76"/>
      <c r="BG103" s="76"/>
      <c r="BH103" s="76"/>
      <c r="BI103" s="76"/>
      <c r="BJ103" s="76"/>
      <c r="BK103" s="76"/>
      <c r="BL103" s="77"/>
      <c r="BM103" s="76"/>
      <c r="BN103" s="76"/>
      <c r="BO103" s="76"/>
      <c r="BP103" s="76"/>
      <c r="BQ103" s="75"/>
    </row>
    <row r="104" spans="1:69" s="74" customFormat="1" x14ac:dyDescent="0.3">
      <c r="A104" s="149" t="s">
        <v>53</v>
      </c>
      <c r="D104" s="76" t="str">
        <f t="shared" ref="D104:I104" si="110">IFERROR(D50/B50-1,"n.a.")</f>
        <v>n.a.</v>
      </c>
      <c r="E104" s="76" t="str">
        <f t="shared" si="110"/>
        <v>n.a.</v>
      </c>
      <c r="F104" s="76" t="str">
        <f t="shared" si="110"/>
        <v>n.a.</v>
      </c>
      <c r="G104" s="76" t="str">
        <f t="shared" si="110"/>
        <v>n.a.</v>
      </c>
      <c r="H104" s="76">
        <f t="shared" si="110"/>
        <v>-0.71754565157818684</v>
      </c>
      <c r="I104" s="76">
        <f t="shared" si="110"/>
        <v>4.851214227485305</v>
      </c>
      <c r="J104" s="76"/>
      <c r="K104" s="76"/>
      <c r="L104" s="76">
        <f>IFERROR(L50/K50-1,"n.a.")</f>
        <v>1.5484787248301388</v>
      </c>
      <c r="M104" s="76">
        <f>IFERROR(M50/L50-1,"n.a.")</f>
        <v>-1.0674454192196359</v>
      </c>
      <c r="N104" s="113">
        <f>IFERROR(N50/M50-1,"n.a.")</f>
        <v>3.1751456485390159</v>
      </c>
      <c r="O104" s="76"/>
      <c r="P104" s="136"/>
      <c r="Q104" s="76" t="str">
        <f>IFERROR(Q50/P50-1,"n.a.")</f>
        <v>n.a.</v>
      </c>
      <c r="R104" s="76" t="str">
        <f>IFERROR(R50/Q50-1,"n.a.")</f>
        <v>n.a.</v>
      </c>
      <c r="S104" s="113"/>
      <c r="T104" s="75"/>
      <c r="U104" s="161"/>
      <c r="V104" s="161"/>
      <c r="W104" s="161"/>
      <c r="X104" s="161"/>
      <c r="Y104" s="161"/>
      <c r="Z104" s="136" t="str">
        <f t="shared" ref="Z104:AO104" si="111">IFERROR(Z50/V50-1,"n.a.")</f>
        <v>n.a.</v>
      </c>
      <c r="AA104" s="224">
        <f t="shared" si="111"/>
        <v>0.64610337855410971</v>
      </c>
      <c r="AB104" s="224">
        <f t="shared" si="111"/>
        <v>0.31879011152929437</v>
      </c>
      <c r="AC104" s="224">
        <f t="shared" si="111"/>
        <v>1.7788010786143955</v>
      </c>
      <c r="AD104" s="136">
        <f t="shared" si="111"/>
        <v>-0.71504301372953138</v>
      </c>
      <c r="AE104" s="224">
        <f t="shared" si="111"/>
        <v>-0.46127245112230131</v>
      </c>
      <c r="AF104" s="224">
        <f t="shared" si="111"/>
        <v>-0.10303902429206835</v>
      </c>
      <c r="AG104" s="224">
        <f t="shared" si="111"/>
        <v>-0.23776182016332503</v>
      </c>
      <c r="AH104" s="136">
        <f t="shared" si="111"/>
        <v>1.1376045002578774</v>
      </c>
      <c r="AI104" s="224">
        <f t="shared" si="111"/>
        <v>1.2464652485087582</v>
      </c>
      <c r="AJ104" s="359">
        <f t="shared" si="111"/>
        <v>-4.0152757739418843E-2</v>
      </c>
      <c r="AK104" s="438">
        <f t="shared" si="111"/>
        <v>-3.2949168856096445E-2</v>
      </c>
      <c r="AL104" s="359">
        <f t="shared" si="111"/>
        <v>4.6995682266431471E-2</v>
      </c>
      <c r="AM104" s="359">
        <f t="shared" si="111"/>
        <v>-0.58637411692864894</v>
      </c>
      <c r="AN104" s="359">
        <f t="shared" si="111"/>
        <v>-6.8633730579880203E-2</v>
      </c>
      <c r="AO104" s="438">
        <f t="shared" si="111"/>
        <v>-0.53214051148216401</v>
      </c>
      <c r="AP104" s="359">
        <f t="shared" ref="AP104:AX104" si="112">IFERROR(AP50/AL50-1,"n.a.")</f>
        <v>0.82580897563694444</v>
      </c>
      <c r="AQ104" s="359">
        <f t="shared" si="112"/>
        <v>2.6621137996161539</v>
      </c>
      <c r="AR104" s="359">
        <f t="shared" si="112"/>
        <v>1.0445762992635874</v>
      </c>
      <c r="AS104" s="359">
        <f t="shared" si="112"/>
        <v>3.8063424920997138</v>
      </c>
      <c r="AT104" s="359">
        <f t="shared" si="112"/>
        <v>0.12552064223549619</v>
      </c>
      <c r="AU104" s="359">
        <f t="shared" si="112"/>
        <v>0.16627001779359429</v>
      </c>
      <c r="AV104" s="359">
        <f t="shared" si="112"/>
        <v>0.54175321263546583</v>
      </c>
      <c r="AW104" s="359">
        <f t="shared" si="112"/>
        <v>0.17713458569222862</v>
      </c>
      <c r="AX104" s="359">
        <f t="shared" si="112"/>
        <v>0.45669556237090814</v>
      </c>
      <c r="AY104" s="359">
        <f>IFERROR(AY50/AU50-1,"n.a.")</f>
        <v>0.33553007981234084</v>
      </c>
      <c r="AZ104" s="359">
        <f>IFERROR(AZ50/AV50-1,"n.a.")</f>
        <v>0.20252948867192289</v>
      </c>
      <c r="BA104" s="359">
        <f>IFERROR(BA50/AW50-1,"n.a.")</f>
        <v>0.14631493689260422</v>
      </c>
      <c r="BB104" s="359">
        <f>IFERROR(BB50/AX49-1,"n.a.")</f>
        <v>0.32564554131416434</v>
      </c>
      <c r="BC104" s="359">
        <f>IFERROR(BC50/AY50-1,"n.a.")</f>
        <v>0.11106797433570104</v>
      </c>
      <c r="BD104" s="76"/>
      <c r="BE104" s="76"/>
      <c r="BF104" s="76"/>
      <c r="BG104" s="76"/>
      <c r="BH104" s="76"/>
      <c r="BI104" s="76"/>
      <c r="BJ104" s="76" t="str">
        <f t="shared" ref="BJ104:BP104" si="113">IFERROR(BJ50/BI50-1,"n.a.")</f>
        <v>n.a.</v>
      </c>
      <c r="BK104" s="76" t="str">
        <f t="shared" si="113"/>
        <v>n.a.</v>
      </c>
      <c r="BL104" s="76">
        <f>IFERROR(BL50/BK50-1,"n.a.")</f>
        <v>1.0312963235120653E-2</v>
      </c>
      <c r="BM104" s="76">
        <f>IFERROR(BM50/BL50-1,"n.a.")</f>
        <v>2.2466044699058068</v>
      </c>
      <c r="BN104" s="76">
        <f t="shared" si="113"/>
        <v>-0.34660694105562329</v>
      </c>
      <c r="BO104" s="76">
        <f t="shared" si="113"/>
        <v>7.8893075712463068E-2</v>
      </c>
      <c r="BP104" s="76">
        <f t="shared" si="113"/>
        <v>-0.45963109174527172</v>
      </c>
      <c r="BQ104" s="75"/>
    </row>
    <row r="105" spans="1:69" s="74" customFormat="1" x14ac:dyDescent="0.3">
      <c r="A105" s="350" t="s">
        <v>294</v>
      </c>
      <c r="D105" s="76"/>
      <c r="E105" s="76"/>
      <c r="F105" s="76"/>
      <c r="G105" s="76"/>
      <c r="H105" s="76"/>
      <c r="I105" s="76"/>
      <c r="J105" s="76"/>
      <c r="K105" s="76"/>
      <c r="L105" s="76"/>
      <c r="M105" s="76"/>
      <c r="N105" s="113"/>
      <c r="O105" s="76"/>
      <c r="P105" s="136"/>
      <c r="Q105" s="76"/>
      <c r="R105" s="76"/>
      <c r="S105" s="113"/>
      <c r="T105" s="75"/>
      <c r="U105" s="161"/>
      <c r="V105" s="161"/>
      <c r="W105" s="161"/>
      <c r="X105" s="161"/>
      <c r="Y105" s="161"/>
      <c r="Z105" s="136"/>
      <c r="AA105" s="224"/>
      <c r="AB105" s="224"/>
      <c r="AC105" s="224"/>
      <c r="AD105" s="136"/>
      <c r="AE105" s="224"/>
      <c r="AF105" s="224"/>
      <c r="AG105" s="224"/>
      <c r="AH105" s="352">
        <f>AH50/Z50-1</f>
        <v>-0.39087466376832403</v>
      </c>
      <c r="AI105" s="336">
        <f>AI50/AA50-1</f>
        <v>0.21023271696805357</v>
      </c>
      <c r="AJ105" s="360">
        <f>AJ50/AB50-1</f>
        <v>-0.13905448105138163</v>
      </c>
      <c r="AK105" s="439">
        <f>AK50/AC50-1</f>
        <v>-0.26287693465932715</v>
      </c>
      <c r="AL105" s="360">
        <f>AL50/$Z$50-1</f>
        <v>-0.36224840300634698</v>
      </c>
      <c r="AM105" s="360">
        <f>AM50/$AA$50-1</f>
        <v>-0.49941642372224826</v>
      </c>
      <c r="AN105" s="360">
        <f>AN50/$AB$50-1</f>
        <v>-0.19814438384285626</v>
      </c>
      <c r="AO105" s="439">
        <f>AO50/$AC$50-1</f>
        <v>-0.65512997967501341</v>
      </c>
      <c r="AP105" s="360">
        <f>AP50/$Z$50-1</f>
        <v>0.16441259001780706</v>
      </c>
      <c r="AQ105" s="360">
        <f>AQ50/$AA$50-1</f>
        <v>0.83319402254796038</v>
      </c>
      <c r="AR105" s="360">
        <f>AR50/$AB$50-1</f>
        <v>0.63945498822629654</v>
      </c>
      <c r="AS105" s="360">
        <f>AS50/$AB$50-1</f>
        <v>0.56419184092418551</v>
      </c>
      <c r="AT105" s="360">
        <f>AT50/$Z$50-1</f>
        <v>0.3105704061439396</v>
      </c>
      <c r="AU105" s="360">
        <f>AU50/$AA$50-1</f>
        <v>1.1379992252961202</v>
      </c>
      <c r="AV105" s="360">
        <f>AV50/$AB$50-1</f>
        <v>1.5276349950691328</v>
      </c>
      <c r="AW105" s="360">
        <f>AW50/$AC$50-1</f>
        <v>0.95117524489156091</v>
      </c>
      <c r="AX105" s="360">
        <f>AX50/$Z$50-1</f>
        <v>0.90910209480451565</v>
      </c>
      <c r="AY105" s="360">
        <f>AY50/$AA$50-1</f>
        <v>1.8553622759984507</v>
      </c>
      <c r="AZ105" s="360">
        <f>AZ50/AB$50-1</f>
        <v>2.0395556181697425</v>
      </c>
      <c r="BA105" s="360">
        <f>BA50/AC$50-1</f>
        <v>1.2366613277142813</v>
      </c>
      <c r="BB105" s="360">
        <f>BB50/Z$49-1</f>
        <v>3.6132519738687829</v>
      </c>
      <c r="BC105" s="360">
        <f>BC50/$AA$50-1</f>
        <v>2.1725015799881757</v>
      </c>
      <c r="BD105" s="76"/>
      <c r="BE105" s="76"/>
      <c r="BF105" s="76"/>
      <c r="BG105" s="76"/>
      <c r="BH105" s="76"/>
      <c r="BI105" s="76"/>
      <c r="BJ105" s="76"/>
      <c r="BK105" s="76"/>
      <c r="BL105" s="76"/>
      <c r="BM105" s="76"/>
      <c r="BN105" s="76"/>
      <c r="BO105" s="76"/>
      <c r="BP105" s="76"/>
      <c r="BQ105" s="75"/>
    </row>
    <row r="106" spans="1:69" s="74" customFormat="1" x14ac:dyDescent="0.3">
      <c r="A106" s="149" t="s">
        <v>91</v>
      </c>
      <c r="D106" s="76" t="str">
        <f t="shared" ref="D106:I106" si="114">IFERROR(D51/B51-1,"n.a.")</f>
        <v>n.a.</v>
      </c>
      <c r="E106" s="76" t="str">
        <f t="shared" si="114"/>
        <v>n.a.</v>
      </c>
      <c r="F106" s="76" t="str">
        <f t="shared" si="114"/>
        <v>n.a.</v>
      </c>
      <c r="G106" s="76" t="str">
        <f t="shared" si="114"/>
        <v>n.a.</v>
      </c>
      <c r="H106" s="76">
        <f t="shared" si="114"/>
        <v>8.2063019966722131</v>
      </c>
      <c r="I106" s="76">
        <f t="shared" si="114"/>
        <v>4.8362466787861838</v>
      </c>
      <c r="J106" s="76"/>
      <c r="K106" s="76"/>
      <c r="L106" s="76">
        <f>IFERROR(L51/K51-1,"n.a.")</f>
        <v>-0.72825216623693922</v>
      </c>
      <c r="M106" s="76">
        <f>IFERROR(M51/L51-1,"n.a.")</f>
        <v>-1.948511651831641</v>
      </c>
      <c r="N106" s="113">
        <f>IFERROR(N51/M51-1,"n.a.")</f>
        <v>5.7913608846605014</v>
      </c>
      <c r="O106" s="76"/>
      <c r="P106" s="136"/>
      <c r="Q106" s="76" t="str">
        <f>IFERROR(Q51/P51-1,"n.a.")</f>
        <v>n.a.</v>
      </c>
      <c r="R106" s="76" t="str">
        <f>IFERROR(R51/Q51-1,"n.a.")</f>
        <v>n.a.</v>
      </c>
      <c r="S106" s="113"/>
      <c r="T106" s="75"/>
      <c r="U106" s="161"/>
      <c r="V106" s="161"/>
      <c r="W106" s="161"/>
      <c r="X106" s="161"/>
      <c r="Y106" s="161"/>
      <c r="Z106" s="136">
        <f t="shared" ref="Z106:AO106" si="115">IFERROR(Z51/V51-1,"n.a.")</f>
        <v>0.34000000000000008</v>
      </c>
      <c r="AA106" s="224">
        <f t="shared" si="115"/>
        <v>0.40879103308229792</v>
      </c>
      <c r="AB106" s="224">
        <f t="shared" si="115"/>
        <v>0.27737233091621127</v>
      </c>
      <c r="AC106" s="224">
        <f t="shared" si="115"/>
        <v>0.47713006718287398</v>
      </c>
      <c r="AD106" s="136">
        <f t="shared" si="115"/>
        <v>-0.74186201406826191</v>
      </c>
      <c r="AE106" s="224">
        <f t="shared" si="115"/>
        <v>-0.39312791690122939</v>
      </c>
      <c r="AF106" s="224">
        <f t="shared" si="115"/>
        <v>-8.776266770445651E-2</v>
      </c>
      <c r="AG106" s="224">
        <f t="shared" si="115"/>
        <v>6.2251119585458259E-2</v>
      </c>
      <c r="AH106" s="136">
        <f t="shared" si="115"/>
        <v>1.6432895747064227</v>
      </c>
      <c r="AI106" s="224">
        <f t="shared" si="115"/>
        <v>1.0562111696696079</v>
      </c>
      <c r="AJ106" s="359">
        <f t="shared" si="115"/>
        <v>3.690291878553853E-2</v>
      </c>
      <c r="AK106" s="438">
        <f t="shared" si="115"/>
        <v>-4.3469781154325871E-2</v>
      </c>
      <c r="AL106" s="359">
        <f t="shared" si="115"/>
        <v>4.383559034721829E-2</v>
      </c>
      <c r="AM106" s="359">
        <f t="shared" si="115"/>
        <v>-0.46840062140047956</v>
      </c>
      <c r="AN106" s="359">
        <f t="shared" si="115"/>
        <v>-0.10725737288201076</v>
      </c>
      <c r="AO106" s="438">
        <f t="shared" si="115"/>
        <v>-0.42073393364344613</v>
      </c>
      <c r="AP106" s="359">
        <f t="shared" ref="AP106:AX106" si="116">IFERROR(AP51/AL51-1,"n.a.")</f>
        <v>0.67003850048809865</v>
      </c>
      <c r="AQ106" s="359">
        <f t="shared" si="116"/>
        <v>1.7575128150728525</v>
      </c>
      <c r="AR106" s="359">
        <f t="shared" si="116"/>
        <v>0.8823813232939548</v>
      </c>
      <c r="AS106" s="359">
        <f t="shared" si="116"/>
        <v>1.9299250175995808</v>
      </c>
      <c r="AT106" s="359">
        <f t="shared" si="116"/>
        <v>0.12021633285760136</v>
      </c>
      <c r="AU106" s="359">
        <f t="shared" si="116"/>
        <v>0.13355769576801313</v>
      </c>
      <c r="AV106" s="359">
        <f t="shared" si="116"/>
        <v>0.51585921363128007</v>
      </c>
      <c r="AW106" s="359">
        <f t="shared" si="116"/>
        <v>0.3936796903266182</v>
      </c>
      <c r="AX106" s="359">
        <f t="shared" si="116"/>
        <v>0.4134899076842049</v>
      </c>
      <c r="AY106" s="359">
        <f>IFERROR(AY51/AU51-1,"n.a.")</f>
        <v>0.29745200965554242</v>
      </c>
      <c r="AZ106" s="359">
        <f>IFERROR(AZ51/AV51-1,"n.a.")</f>
        <v>0.14518394050330752</v>
      </c>
      <c r="BA106" s="359">
        <f>IFERROR(BA51/AW51-1,"n.a.")</f>
        <v>0.28589399068025712</v>
      </c>
      <c r="BB106" s="359">
        <f>IFERROR(BB51/AX50-1,"n.a.")</f>
        <v>0.24339873282882807</v>
      </c>
      <c r="BC106" s="359">
        <f>IFERROR(BC51/AY51-1,"n.a.")</f>
        <v>7.2956191353696465E-2</v>
      </c>
      <c r="BD106" s="224"/>
      <c r="BE106" s="76"/>
      <c r="BF106" s="76"/>
      <c r="BG106" s="76"/>
      <c r="BH106" s="76"/>
      <c r="BI106" s="76"/>
      <c r="BJ106" s="76" t="str">
        <f t="shared" ref="BJ106:BP106" si="117">IFERROR(BJ51/BI51-1,"n.a.")</f>
        <v>n.a.</v>
      </c>
      <c r="BK106" s="76" t="str">
        <f t="shared" si="117"/>
        <v>n.a.</v>
      </c>
      <c r="BL106" s="76">
        <f>IFERROR(BL51/BK51-1,"n.a.")</f>
        <v>0.2101561466051296</v>
      </c>
      <c r="BM106" s="76">
        <f>IFERROR(BM51/BL51-1,"n.a.")</f>
        <v>0.75199412568329715</v>
      </c>
      <c r="BN106" s="76">
        <f t="shared" si="117"/>
        <v>-0.3230307966383491</v>
      </c>
      <c r="BO106" s="76">
        <f t="shared" si="117"/>
        <v>0.39719162463665869</v>
      </c>
      <c r="BP106" s="76">
        <f t="shared" si="117"/>
        <v>-0.24725335735685405</v>
      </c>
      <c r="BQ106" s="75"/>
    </row>
    <row r="107" spans="1:69" s="74" customFormat="1" x14ac:dyDescent="0.3">
      <c r="A107" s="350" t="s">
        <v>295</v>
      </c>
      <c r="D107" s="76"/>
      <c r="E107" s="76"/>
      <c r="F107" s="76"/>
      <c r="G107" s="76"/>
      <c r="H107" s="76"/>
      <c r="I107" s="76"/>
      <c r="J107" s="76"/>
      <c r="K107" s="76"/>
      <c r="L107" s="76"/>
      <c r="M107" s="76"/>
      <c r="N107" s="113"/>
      <c r="O107" s="76"/>
      <c r="P107" s="136"/>
      <c r="Q107" s="76"/>
      <c r="R107" s="76"/>
      <c r="S107" s="113"/>
      <c r="T107" s="75"/>
      <c r="U107" s="161"/>
      <c r="V107" s="161"/>
      <c r="W107" s="161"/>
      <c r="X107" s="161"/>
      <c r="Y107" s="161"/>
      <c r="Z107" s="136"/>
      <c r="AA107" s="224"/>
      <c r="AB107" s="224"/>
      <c r="AC107" s="224"/>
      <c r="AD107" s="136"/>
      <c r="AE107" s="224"/>
      <c r="AF107" s="224"/>
      <c r="AG107" s="224"/>
      <c r="AH107" s="352">
        <f>AH51/Z51-1</f>
        <v>-0.3176665529509235</v>
      </c>
      <c r="AI107" s="336">
        <f>AI51/AA51-1</f>
        <v>0.24785715582835466</v>
      </c>
      <c r="AJ107" s="360">
        <f>AJ51/AB51-1</f>
        <v>-5.409844751761772E-2</v>
      </c>
      <c r="AK107" s="439">
        <f>AK51/AC51-1</f>
        <v>1.6075295886140761E-2</v>
      </c>
      <c r="AL107" s="360">
        <f>AL51/$Z$51-1</f>
        <v>-0.2877560634858749</v>
      </c>
      <c r="AM107" s="360">
        <f>AM51/$AA$51-1</f>
        <v>-0.33663991138068172</v>
      </c>
      <c r="AN107" s="360">
        <f>AN51/$AB$51-1</f>
        <v>-0.15555336304189349</v>
      </c>
      <c r="AO107" s="439">
        <f>AO51/$AC$51-1</f>
        <v>-0.41142206022996375</v>
      </c>
      <c r="AP107" s="360">
        <f>AP51/$Z$51-1</f>
        <v>0.18947479571779002</v>
      </c>
      <c r="AQ107" s="360">
        <f>AQ51/$AA$51-1</f>
        <v>0.82922394537563338</v>
      </c>
      <c r="AR107" s="360">
        <f>AR51/$AB$51-1</f>
        <v>0.58957057792833045</v>
      </c>
      <c r="AS107" s="360">
        <f>AS51/$AB$51-1</f>
        <v>0.30792758127374076</v>
      </c>
      <c r="AT107" s="360">
        <f>AT51/$Z$51-1</f>
        <v>0.33246909368552724</v>
      </c>
      <c r="AU107" s="360">
        <f>AU51/$AA$51-1</f>
        <v>1.073530880563677</v>
      </c>
      <c r="AV107" s="360">
        <f>AV51/$AB$51-1</f>
        <v>1.4095652062698583</v>
      </c>
      <c r="AW107" s="360">
        <f>AW51/$AC$51-1</f>
        <v>1.4033856167898069</v>
      </c>
      <c r="AX107" s="360">
        <f>AX51/$Z$51-1</f>
        <v>0.88343161622561195</v>
      </c>
      <c r="AY107" s="360">
        <f>AY51/$AA$51-1</f>
        <v>1.6903068080701691</v>
      </c>
      <c r="AZ107" s="360">
        <f>AZ51/AB$51-1</f>
        <v>1.7593953778157814</v>
      </c>
      <c r="BA107" s="360">
        <f>BA51/AC$51-1</f>
        <v>2.0904991219173761</v>
      </c>
      <c r="BB107" s="360">
        <f>BB51/Z$50-1</f>
        <v>1.3737751255207962</v>
      </c>
      <c r="BC107" s="360">
        <f>BC51/$AA$51-1</f>
        <v>1.8865813463598888</v>
      </c>
      <c r="BD107" s="224"/>
      <c r="BE107" s="76"/>
      <c r="BF107" s="76"/>
      <c r="BG107" s="76"/>
      <c r="BH107" s="76"/>
      <c r="BI107" s="76"/>
      <c r="BJ107" s="76"/>
      <c r="BK107" s="76"/>
      <c r="BL107" s="76"/>
      <c r="BM107" s="76"/>
      <c r="BN107" s="76"/>
      <c r="BO107" s="76"/>
      <c r="BP107" s="76"/>
      <c r="BQ107" s="75"/>
    </row>
    <row r="108" spans="1:69" x14ac:dyDescent="0.3">
      <c r="BD108" s="20"/>
      <c r="BN108"/>
      <c r="BO108"/>
      <c r="BP108"/>
    </row>
    <row r="109" spans="1:69" x14ac:dyDescent="0.3">
      <c r="A109" s="101" t="s">
        <v>48</v>
      </c>
      <c r="BD109" s="20"/>
      <c r="BN109"/>
      <c r="BO109"/>
      <c r="BP109"/>
    </row>
    <row r="110" spans="1:69" s="96" customFormat="1" x14ac:dyDescent="0.3">
      <c r="A110" s="93" t="s">
        <v>54</v>
      </c>
      <c r="B110" s="11" t="str">
        <f t="shared" ref="B110:I110" si="118">IFERROR(B22/B11,"n.a.")</f>
        <v>n.a.</v>
      </c>
      <c r="C110" s="11" t="str">
        <f t="shared" si="118"/>
        <v>n.a.</v>
      </c>
      <c r="D110" s="11" t="str">
        <f t="shared" si="118"/>
        <v>n.a.</v>
      </c>
      <c r="E110" s="11" t="str">
        <f t="shared" si="118"/>
        <v>n.a.</v>
      </c>
      <c r="F110" s="11">
        <f t="shared" si="118"/>
        <v>0.62619460047808095</v>
      </c>
      <c r="G110" s="11">
        <f t="shared" si="118"/>
        <v>0.72808355273547531</v>
      </c>
      <c r="H110" s="11">
        <f t="shared" si="118"/>
        <v>0.71724581389432529</v>
      </c>
      <c r="I110" s="11">
        <f t="shared" si="118"/>
        <v>0.68212268645312146</v>
      </c>
      <c r="J110" s="11"/>
      <c r="K110" s="11">
        <f>IFERROR(K22/K11,"n.a.")</f>
        <v>0.37656365117666091</v>
      </c>
      <c r="L110" s="11">
        <f>IFERROR(L22/L11,"n.a.")</f>
        <v>0.53146629834003534</v>
      </c>
      <c r="M110" s="11">
        <f>IFERROR(M22/M11,"n.a.")</f>
        <v>0.67768446722790643</v>
      </c>
      <c r="N110" s="115">
        <f>IFERROR(N22/N11,"n.a.")</f>
        <v>0.69546747788423058</v>
      </c>
      <c r="P110" s="138">
        <f>IFERROR(P22/P11,"n.a.")</f>
        <v>0.60644970138995358</v>
      </c>
      <c r="Q110" s="11">
        <f>IFERROR(Q22/Q11,"n.a.")</f>
        <v>0.63050391057014255</v>
      </c>
      <c r="R110" s="11">
        <f>IFERROR(R22/R11,"n.a.")</f>
        <v>0.68280468432305974</v>
      </c>
      <c r="S110" s="115">
        <f>IFERROR(S22/S11,"n.a.")</f>
        <v>0.73296589347037888</v>
      </c>
      <c r="U110" s="181">
        <f t="shared" ref="U110:AL110" si="119">IFERROR(U22/U11,"n.a.")</f>
        <v>0.71556969593941067</v>
      </c>
      <c r="V110" s="181">
        <f t="shared" si="119"/>
        <v>0.72514352440046603</v>
      </c>
      <c r="W110" s="181">
        <f t="shared" si="119"/>
        <v>0.71811590895258959</v>
      </c>
      <c r="X110" s="181">
        <f t="shared" si="119"/>
        <v>0.71564050457869643</v>
      </c>
      <c r="Y110" s="181">
        <f t="shared" si="119"/>
        <v>0.6461748234225686</v>
      </c>
      <c r="Z110" s="329">
        <f t="shared" si="119"/>
        <v>0.72060842957680538</v>
      </c>
      <c r="AA110" s="181">
        <f t="shared" si="119"/>
        <v>0.64726839809968961</v>
      </c>
      <c r="AB110" s="181">
        <f t="shared" si="119"/>
        <v>0.66901698728984105</v>
      </c>
      <c r="AC110" s="181">
        <f t="shared" si="119"/>
        <v>0.70609912736718194</v>
      </c>
      <c r="AD110" s="329">
        <f t="shared" si="119"/>
        <v>0.65052093489706664</v>
      </c>
      <c r="AE110" s="181">
        <f t="shared" si="119"/>
        <v>0.72298030340653241</v>
      </c>
      <c r="AF110" s="181">
        <f t="shared" si="119"/>
        <v>0.72039176440231956</v>
      </c>
      <c r="AG110" s="181">
        <f t="shared" si="119"/>
        <v>0.73656356755188379</v>
      </c>
      <c r="AH110" s="329">
        <f t="shared" si="119"/>
        <v>0.74650428842401273</v>
      </c>
      <c r="AI110" s="181">
        <f t="shared" si="119"/>
        <v>0.76358632482950006</v>
      </c>
      <c r="AJ110" s="181">
        <f t="shared" si="119"/>
        <v>0.73879452272341728</v>
      </c>
      <c r="AK110" s="442">
        <f t="shared" si="119"/>
        <v>0.74622735778291094</v>
      </c>
      <c r="AL110" s="181">
        <f t="shared" si="119"/>
        <v>0.72548878084329504</v>
      </c>
      <c r="AM110" s="181">
        <f t="shared" ref="AM110:AT110" si="120">IFERROR(AM22/AM11,"n.a.")</f>
        <v>0.70937701437075795</v>
      </c>
      <c r="AN110" s="181">
        <f t="shared" si="120"/>
        <v>0.75445164459501224</v>
      </c>
      <c r="AO110" s="442">
        <f t="shared" si="120"/>
        <v>0.70072716800460777</v>
      </c>
      <c r="AP110" s="181">
        <f t="shared" si="120"/>
        <v>0.75048479531100953</v>
      </c>
      <c r="AQ110" s="181">
        <f t="shared" si="120"/>
        <v>0.75463433473969121</v>
      </c>
      <c r="AR110" s="181">
        <f t="shared" si="120"/>
        <v>0.745482209808777</v>
      </c>
      <c r="AS110" s="181">
        <f t="shared" si="120"/>
        <v>0.69161200581833537</v>
      </c>
      <c r="AT110" s="181">
        <f t="shared" si="120"/>
        <v>0.65044313937073328</v>
      </c>
      <c r="AU110" s="181">
        <f t="shared" ref="AU110:AV110" si="121">IFERROR(AU22/AU11,"n.a.")</f>
        <v>0.64643209039899352</v>
      </c>
      <c r="AV110" s="181">
        <f t="shared" si="121"/>
        <v>0.63401332987144532</v>
      </c>
      <c r="AW110" s="181">
        <f t="shared" ref="AW110:BG110" si="122">IFERROR(AW22/AW11,"n.a.")</f>
        <v>0.63472521300608487</v>
      </c>
      <c r="AX110" s="181">
        <f t="shared" si="122"/>
        <v>0.68818361998541611</v>
      </c>
      <c r="AY110" s="181">
        <f t="shared" si="122"/>
        <v>0.65024667887800458</v>
      </c>
      <c r="AZ110" s="181">
        <f>IFERROR(AZ22/AZ11,"n.a.")</f>
        <v>0.65742627850005586</v>
      </c>
      <c r="BA110" s="181">
        <f>IFERROR(BA22/BA11,"n.a.")</f>
        <v>0.65850589588725916</v>
      </c>
      <c r="BB110" s="181">
        <f>IFERROR(BB22/BB11,"n.a.")</f>
        <v>0.69844412232869446</v>
      </c>
      <c r="BC110" s="181">
        <f>IFERROR(BC22/BC11,"n.a.")</f>
        <v>0.66705514126953791</v>
      </c>
      <c r="BD110" s="225">
        <f t="shared" si="122"/>
        <v>0.72188162960912317</v>
      </c>
      <c r="BE110" s="11">
        <f t="shared" si="122"/>
        <v>0.6646029722975334</v>
      </c>
      <c r="BF110" s="11">
        <f t="shared" si="122"/>
        <v>1</v>
      </c>
      <c r="BG110" s="11" t="str">
        <f t="shared" si="122"/>
        <v>n.a.</v>
      </c>
      <c r="BH110" s="11"/>
      <c r="BI110" s="16">
        <f t="shared" ref="BI110:BN110" si="123">IFERROR(BI22/BI11,"n.a.")</f>
        <v>0.45986309894212818</v>
      </c>
      <c r="BJ110" s="16">
        <f t="shared" si="123"/>
        <v>0.57060439560439558</v>
      </c>
      <c r="BK110" s="16">
        <f t="shared" si="123"/>
        <v>0.68033711627622184</v>
      </c>
      <c r="BL110" s="16">
        <f t="shared" si="123"/>
        <v>0.69546747788423058</v>
      </c>
      <c r="BM110" s="16">
        <f t="shared" si="123"/>
        <v>0.68659592702868089</v>
      </c>
      <c r="BN110" s="16">
        <f t="shared" si="123"/>
        <v>0.71401938883027671</v>
      </c>
      <c r="BO110" s="16">
        <f>IFERROR(BO22/BO11,"n.a.")</f>
        <v>0.74929791566391013</v>
      </c>
      <c r="BP110" s="16">
        <f>IFERROR(BP22/BP11,"n.a.")</f>
        <v>0.72562921186890872</v>
      </c>
    </row>
    <row r="111" spans="1:69" s="96" customFormat="1" x14ac:dyDescent="0.3">
      <c r="A111" s="93" t="s">
        <v>55</v>
      </c>
      <c r="B111" s="11" t="str">
        <f t="shared" ref="B111:I111" si="124">IFERROR(B26/B11,"n.a.")</f>
        <v>n.a.</v>
      </c>
      <c r="C111" s="11" t="str">
        <f t="shared" si="124"/>
        <v>n.a.</v>
      </c>
      <c r="D111" s="11" t="str">
        <f t="shared" si="124"/>
        <v>n.a.</v>
      </c>
      <c r="E111" s="11" t="str">
        <f t="shared" si="124"/>
        <v>n.a.</v>
      </c>
      <c r="F111" s="11">
        <f t="shared" si="124"/>
        <v>-1.027440693394038E-2</v>
      </c>
      <c r="G111" s="11">
        <f t="shared" si="124"/>
        <v>4.1138392664229473E-3</v>
      </c>
      <c r="H111" s="11">
        <f t="shared" si="124"/>
        <v>-0.14846978532123692</v>
      </c>
      <c r="I111" s="11">
        <f t="shared" si="124"/>
        <v>-5.357102855503338E-2</v>
      </c>
      <c r="J111" s="11"/>
      <c r="K111" s="11">
        <f>IFERROR(K26/K11,"n.a.")</f>
        <v>-1.0337152235012532</v>
      </c>
      <c r="L111" s="11">
        <f>IFERROR(L26/L11,"n.a.")</f>
        <v>-0.96486699190089653</v>
      </c>
      <c r="M111" s="11">
        <f>IFERROR(M26/M11,"n.a.")</f>
        <v>-3.0032665089329709E-3</v>
      </c>
      <c r="N111" s="115">
        <f>IFERROR(N26/N11,"n.a.")</f>
        <v>-8.9627160465168942E-2</v>
      </c>
      <c r="P111" s="138">
        <f>IFERROR(P26/P11,"n.a.")</f>
        <v>-0.7748409623735838</v>
      </c>
      <c r="Q111" s="11">
        <f>IFERROR(Q26/Q11,"n.a.")</f>
        <v>-5.1058672838280174E-2</v>
      </c>
      <c r="R111" s="11">
        <f>IFERROR(R26/R11,"n.a.")</f>
        <v>0.19589628657295902</v>
      </c>
      <c r="S111" s="115">
        <f>IFERROR(S26/S11,"n.a.")</f>
        <v>0.33562194964245856</v>
      </c>
      <c r="U111" s="181">
        <f t="shared" ref="U111:AL111" si="125">IFERROR(U26/U11,"n.a.")</f>
        <v>-0.4763952963520936</v>
      </c>
      <c r="V111" s="181">
        <f t="shared" si="125"/>
        <v>-2.9509486580666249E-2</v>
      </c>
      <c r="W111" s="181">
        <f t="shared" si="125"/>
        <v>2.1760696244902927E-2</v>
      </c>
      <c r="X111" s="181">
        <f t="shared" si="125"/>
        <v>3.7846960116745938E-2</v>
      </c>
      <c r="Y111" s="181">
        <f t="shared" si="125"/>
        <v>-0.15161682983570318</v>
      </c>
      <c r="Z111" s="329">
        <f t="shared" si="125"/>
        <v>8.805822101579501E-2</v>
      </c>
      <c r="AA111" s="181">
        <f t="shared" si="125"/>
        <v>0.10723000468917555</v>
      </c>
      <c r="AB111" s="181">
        <f t="shared" si="125"/>
        <v>0.14391527207305069</v>
      </c>
      <c r="AC111" s="181">
        <f t="shared" si="125"/>
        <v>9.9956401581809906E-2</v>
      </c>
      <c r="AD111" s="329">
        <f t="shared" si="125"/>
        <v>-4.4599827283617013E-2</v>
      </c>
      <c r="AE111" s="181">
        <f t="shared" si="125"/>
        <v>-5.6428348829186759E-3</v>
      </c>
      <c r="AF111" s="181">
        <f t="shared" si="125"/>
        <v>0.12504557282825232</v>
      </c>
      <c r="AG111" s="181">
        <f t="shared" si="125"/>
        <v>5.1079763312042743E-3</v>
      </c>
      <c r="AH111" s="329">
        <f t="shared" si="125"/>
        <v>9.5738965387110742E-2</v>
      </c>
      <c r="AI111" s="181">
        <f t="shared" si="125"/>
        <v>0.13076988199592418</v>
      </c>
      <c r="AJ111" s="181">
        <f t="shared" si="125"/>
        <v>9.3652210364792557E-2</v>
      </c>
      <c r="AK111" s="442">
        <f t="shared" si="125"/>
        <v>-6.037744024133645E-3</v>
      </c>
      <c r="AL111" s="181">
        <f t="shared" si="125"/>
        <v>4.1699675028914453E-2</v>
      </c>
      <c r="AM111" s="181">
        <f t="shared" ref="AM111:AT111" si="126">IFERROR(AM26/AM11,"n.a.")</f>
        <v>-8.6709134341940622E-2</v>
      </c>
      <c r="AN111" s="181">
        <f t="shared" si="126"/>
        <v>2.6409323269941515E-2</v>
      </c>
      <c r="AO111" s="442">
        <f t="shared" si="126"/>
        <v>-0.10861055446893671</v>
      </c>
      <c r="AP111" s="181">
        <f t="shared" si="126"/>
        <v>0.1435415597668033</v>
      </c>
      <c r="AQ111" s="181">
        <f t="shared" si="126"/>
        <v>0.14641263607846997</v>
      </c>
      <c r="AR111" s="181">
        <f t="shared" si="126"/>
        <v>0.15917091252966548</v>
      </c>
      <c r="AS111" s="181">
        <f t="shared" si="126"/>
        <v>0.13280312363453883</v>
      </c>
      <c r="AT111" s="181">
        <f t="shared" si="126"/>
        <v>0.10203948086505937</v>
      </c>
      <c r="AU111" s="181">
        <f t="shared" ref="AU111:AV111" si="127">IFERROR(AU26/AU11,"n.a.")</f>
        <v>0.11215805879222879</v>
      </c>
      <c r="AV111" s="181">
        <f t="shared" si="127"/>
        <v>0.17315229742746463</v>
      </c>
      <c r="AW111" s="181">
        <f t="shared" ref="AW111:BG111" si="128">IFERROR(AW26/AW11,"n.a.")</f>
        <v>0.12996905054919641</v>
      </c>
      <c r="AX111" s="181">
        <f t="shared" si="128"/>
        <v>0.17279057675824547</v>
      </c>
      <c r="AY111" s="181">
        <f t="shared" si="128"/>
        <v>0.15327863287839569</v>
      </c>
      <c r="AZ111" s="181">
        <f t="shared" si="128"/>
        <v>0.21113493426889851</v>
      </c>
      <c r="BA111" s="181">
        <f t="shared" ref="BA111" si="129">IFERROR(BA26/BA11,"n.a.")</f>
        <v>7.182172503049597E-2</v>
      </c>
      <c r="BB111" s="181">
        <f>IFERROR(BB26/BB11,"n.a.")</f>
        <v>0.19837859823180828</v>
      </c>
      <c r="BC111" s="181">
        <f>IFERROR(BC26/BC11,"n.a.")</f>
        <v>0.17112359728551702</v>
      </c>
      <c r="BD111" s="225">
        <f t="shared" si="128"/>
        <v>-1.8032183706733634E-2</v>
      </c>
      <c r="BE111" s="11">
        <f t="shared" si="128"/>
        <v>1.3369158132351782</v>
      </c>
      <c r="BF111" s="11">
        <f t="shared" si="128"/>
        <v>1</v>
      </c>
      <c r="BG111" s="11" t="str">
        <f t="shared" si="128"/>
        <v>n.a.</v>
      </c>
      <c r="BH111" s="11"/>
      <c r="BI111" s="16">
        <f t="shared" ref="BI111:BN111" si="130">IFERROR(BI26/BI11,"n.a.")</f>
        <v>0.45986309894212818</v>
      </c>
      <c r="BJ111" s="16">
        <f t="shared" si="130"/>
        <v>0.57060439560439558</v>
      </c>
      <c r="BK111" s="16">
        <f t="shared" si="130"/>
        <v>5.0374754357464184E-2</v>
      </c>
      <c r="BL111" s="16">
        <f t="shared" si="130"/>
        <v>-8.9627160465168942E-2</v>
      </c>
      <c r="BM111" s="16">
        <f t="shared" si="130"/>
        <v>9.2584917594264363E-2</v>
      </c>
      <c r="BN111" s="16">
        <f t="shared" si="130"/>
        <v>3.32168524680026E-2</v>
      </c>
      <c r="BO111" s="16">
        <f>IFERROR(BO26/BO11,"n.a.")</f>
        <v>8.0207297962363394E-2</v>
      </c>
      <c r="BP111" s="16">
        <f>IFERROR(BP26/BP11,"n.a.")</f>
        <v>-2.3013619825212092E-2</v>
      </c>
    </row>
    <row r="112" spans="1:69" s="96" customFormat="1" x14ac:dyDescent="0.3">
      <c r="A112" s="93" t="s">
        <v>56</v>
      </c>
      <c r="B112" s="11" t="str">
        <f t="shared" ref="B112:I112" si="131">IFERROR(B45/B11,"n.a.")</f>
        <v>n.a.</v>
      </c>
      <c r="C112" s="11" t="str">
        <f t="shared" si="131"/>
        <v>n.a.</v>
      </c>
      <c r="D112" s="11" t="str">
        <f t="shared" si="131"/>
        <v>n.a.</v>
      </c>
      <c r="E112" s="11" t="str">
        <f t="shared" si="131"/>
        <v>n.a.</v>
      </c>
      <c r="F112" s="11">
        <f t="shared" si="131"/>
        <v>-2.5340861476913891E-3</v>
      </c>
      <c r="G112" s="11">
        <f t="shared" si="131"/>
        <v>4.115096360163642E-2</v>
      </c>
      <c r="H112" s="11">
        <f t="shared" si="131"/>
        <v>-8.5942617450336628E-2</v>
      </c>
      <c r="I112" s="11">
        <f t="shared" si="131"/>
        <v>8.3698729131473443E-2</v>
      </c>
      <c r="J112" s="11"/>
      <c r="K112" s="11">
        <f>IFERROR(K45/K11,"n.a.")</f>
        <v>-0.82759978326206185</v>
      </c>
      <c r="L112" s="11">
        <f>IFERROR(L45/L11,"n.a.")</f>
        <v>-0.93205190139551342</v>
      </c>
      <c r="M112" s="11">
        <f>IFERROR(M45/M11,"n.a.")</f>
        <v>1.9542275820091472E-2</v>
      </c>
      <c r="N112" s="115">
        <f>IFERROR(N45/N11,"n.a.")</f>
        <v>1.9244662732733356E-2</v>
      </c>
      <c r="P112" s="138">
        <f>IFERROR(P45/P11,"n.a.")</f>
        <v>0</v>
      </c>
      <c r="Q112" s="11">
        <f>IFERROR(Q45/Q11,"n.a.")</f>
        <v>0</v>
      </c>
      <c r="R112" s="11">
        <f>IFERROR(R45/R11,"n.a.")</f>
        <v>0</v>
      </c>
      <c r="S112" s="115">
        <f>IFERROR(S45/S11,"n.a.")</f>
        <v>0</v>
      </c>
      <c r="U112" s="181">
        <f t="shared" ref="U112:AL112" si="132">IFERROR(U45/U11,"n.a.")</f>
        <v>-0.40648392939838562</v>
      </c>
      <c r="V112" s="181">
        <f t="shared" si="132"/>
        <v>0</v>
      </c>
      <c r="W112" s="181">
        <f t="shared" si="132"/>
        <v>8.0454628446229692E-2</v>
      </c>
      <c r="X112" s="181">
        <f t="shared" si="132"/>
        <v>0.14434264292453081</v>
      </c>
      <c r="Y112" s="181">
        <f t="shared" si="132"/>
        <v>1.8658125996090048E-2</v>
      </c>
      <c r="Z112" s="329">
        <f t="shared" si="132"/>
        <v>0.24828488777965371</v>
      </c>
      <c r="AA112" s="181">
        <f t="shared" si="132"/>
        <v>0.15506839533395606</v>
      </c>
      <c r="AB112" s="181">
        <f t="shared" si="132"/>
        <v>0.17045870046990247</v>
      </c>
      <c r="AC112" s="181">
        <f t="shared" si="132"/>
        <v>0.1641621002477392</v>
      </c>
      <c r="AD112" s="329">
        <f t="shared" si="132"/>
        <v>2.1008520409584567E-2</v>
      </c>
      <c r="AE112" s="181">
        <f t="shared" si="132"/>
        <v>5.4142717393296923E-2</v>
      </c>
      <c r="AF112" s="181">
        <f t="shared" si="132"/>
        <v>0.15389826577760041</v>
      </c>
      <c r="AG112" s="181">
        <f t="shared" si="132"/>
        <v>0.10948224647254517</v>
      </c>
      <c r="AH112" s="329">
        <f t="shared" si="132"/>
        <v>0.13128631651611791</v>
      </c>
      <c r="AI112" s="181">
        <f t="shared" si="132"/>
        <v>0.15425095779795572</v>
      </c>
      <c r="AJ112" s="181">
        <f t="shared" si="132"/>
        <v>0.12639635026974405</v>
      </c>
      <c r="AK112" s="442">
        <f t="shared" si="132"/>
        <v>8.0052643408606544E-2</v>
      </c>
      <c r="AL112" s="181">
        <f t="shared" si="132"/>
        <v>9.6946505789584275E-2</v>
      </c>
      <c r="AM112" s="181">
        <f t="shared" ref="AM112:AT112" si="133">IFERROR(AM45/AM11,"n.a.")</f>
        <v>-9.4437492890456151E-3</v>
      </c>
      <c r="AN112" s="181">
        <f t="shared" si="133"/>
        <v>9.1755125000549331E-2</v>
      </c>
      <c r="AO112" s="442">
        <f t="shared" si="133"/>
        <v>-3.4969794662368187E-2</v>
      </c>
      <c r="AP112" s="181">
        <f t="shared" si="133"/>
        <v>0.1785972392091234</v>
      </c>
      <c r="AQ112" s="181">
        <f t="shared" si="133"/>
        <v>0.17360966468953193</v>
      </c>
      <c r="AR112" s="181">
        <f t="shared" si="133"/>
        <v>0.17823562039105384</v>
      </c>
      <c r="AS112" s="181">
        <f t="shared" si="133"/>
        <v>0.16989055957910565</v>
      </c>
      <c r="AT112" s="181">
        <f t="shared" si="133"/>
        <v>0.13158055370048402</v>
      </c>
      <c r="AU112" s="181">
        <f t="shared" ref="AU112:AV112" si="134">IFERROR(AU45/AU11,"n.a.")</f>
        <v>0.13757641583499339</v>
      </c>
      <c r="AV112" s="181">
        <f t="shared" si="134"/>
        <v>0.19570685822446818</v>
      </c>
      <c r="AW112" s="181">
        <f t="shared" ref="AW112:BG112" si="135">IFERROR(AW45/AW11,"n.a.")</f>
        <v>0.147343220323984</v>
      </c>
      <c r="AX112" s="181">
        <f t="shared" si="135"/>
        <v>0.18996480128075091</v>
      </c>
      <c r="AY112" s="181">
        <f t="shared" si="135"/>
        <v>0.16910026082407043</v>
      </c>
      <c r="AZ112" s="181">
        <f t="shared" si="135"/>
        <v>0.2212443675133125</v>
      </c>
      <c r="BA112" s="181">
        <f t="shared" ref="BA112" si="136">IFERROR(BA45/BA11,"n.a.")</f>
        <v>0.14364345006099194</v>
      </c>
      <c r="BB112" s="181">
        <f>IFERROR(BB45/BB11,"n.a.")</f>
        <v>0.2060652939634727</v>
      </c>
      <c r="BC112" s="181">
        <f>IFERROR(BC45/BC11,"n.a.")</f>
        <v>0.17986086700553255</v>
      </c>
      <c r="BD112" s="225">
        <f t="shared" si="135"/>
        <v>2.6055864564589165E-2</v>
      </c>
      <c r="BE112" s="11">
        <f t="shared" si="135"/>
        <v>1.3369158132351782</v>
      </c>
      <c r="BF112" s="11">
        <f t="shared" si="135"/>
        <v>1</v>
      </c>
      <c r="BG112" s="11" t="str">
        <f t="shared" si="135"/>
        <v>n.a.</v>
      </c>
      <c r="BH112" s="11"/>
      <c r="BI112" s="16">
        <f t="shared" ref="BI112:BN112" si="137">IFERROR(BI45/BI11,"n.a.")</f>
        <v>0</v>
      </c>
      <c r="BJ112" s="16">
        <f t="shared" si="137"/>
        <v>0</v>
      </c>
      <c r="BK112" s="16">
        <f t="shared" si="137"/>
        <v>0</v>
      </c>
      <c r="BL112" s="16">
        <f t="shared" si="137"/>
        <v>1.9244662732733356E-2</v>
      </c>
      <c r="BM112" s="16">
        <f t="shared" si="137"/>
        <v>0.16592659042447569</v>
      </c>
      <c r="BN112" s="16">
        <f t="shared" si="137"/>
        <v>9.7631709315541895E-2</v>
      </c>
      <c r="BO112" s="16">
        <f>IFERROR(BO45/BO11,"n.a.")</f>
        <v>8.0207297962363394E-2</v>
      </c>
      <c r="BP112" s="16">
        <f>IFERROR(BP45/BP11,"n.a.")</f>
        <v>-2.3013619825212092E-2</v>
      </c>
    </row>
    <row r="113" spans="1:69" s="96" customFormat="1" x14ac:dyDescent="0.3">
      <c r="A113" s="93" t="s">
        <v>57</v>
      </c>
      <c r="B113" s="11" t="str">
        <f t="shared" ref="B113:I113" si="138">IFERROR(B49/B11,"n.a.")</f>
        <v>n.a.</v>
      </c>
      <c r="C113" s="11" t="str">
        <f t="shared" si="138"/>
        <v>n.a.</v>
      </c>
      <c r="D113" s="11" t="str">
        <f t="shared" si="138"/>
        <v>n.a.</v>
      </c>
      <c r="E113" s="11" t="str">
        <f t="shared" si="138"/>
        <v>n.a.</v>
      </c>
      <c r="F113" s="11">
        <f t="shared" si="138"/>
        <v>2.4480379896196381E-2</v>
      </c>
      <c r="G113" s="11">
        <f t="shared" si="138"/>
        <v>3.6210585200706802E-2</v>
      </c>
      <c r="H113" s="11">
        <f t="shared" si="138"/>
        <v>-5.6849208050303378E-2</v>
      </c>
      <c r="I113" s="11">
        <f t="shared" si="138"/>
        <v>3.0122483924272622E-2</v>
      </c>
      <c r="J113" s="11"/>
      <c r="K113" s="11">
        <f>IFERROR(K49/K11,"n.a.")</f>
        <v>-0.9622891580354811</v>
      </c>
      <c r="L113" s="11">
        <f>IFERROR(L49/L11,"n.a.")</f>
        <v>-0.92978841630888631</v>
      </c>
      <c r="M113" s="11">
        <f>IFERROR(M49/M11,"n.a.")</f>
        <v>3.0408271926644699E-2</v>
      </c>
      <c r="N113" s="115">
        <f>IFERROR(N49/N11,"n.a.")</f>
        <v>-2.9218140743685023E-3</v>
      </c>
      <c r="P113" s="138">
        <f>IFERROR(P49/P11,"n.a.")</f>
        <v>0</v>
      </c>
      <c r="Q113" s="11">
        <f>IFERROR(Q49/Q11,"n.a.")</f>
        <v>0</v>
      </c>
      <c r="R113" s="11">
        <f>IFERROR(R49/R11,"n.a.")</f>
        <v>0</v>
      </c>
      <c r="S113" s="115">
        <f>IFERROR(S49/S11,"n.a.")</f>
        <v>0</v>
      </c>
      <c r="U113" s="181">
        <f t="shared" ref="U113:AL113" si="139">IFERROR(U49/U11,"n.a.")</f>
        <v>-0.40264873293432829</v>
      </c>
      <c r="V113" s="181">
        <f t="shared" si="139"/>
        <v>0</v>
      </c>
      <c r="W113" s="181">
        <f t="shared" si="139"/>
        <v>0.12265991114357008</v>
      </c>
      <c r="X113" s="181">
        <f t="shared" si="139"/>
        <v>0.11691671652641697</v>
      </c>
      <c r="Y113" s="181">
        <f t="shared" si="139"/>
        <v>-6.2964338545330123E-2</v>
      </c>
      <c r="Z113" s="329">
        <f t="shared" si="139"/>
        <v>0.16788726771338744</v>
      </c>
      <c r="AA113" s="181">
        <f t="shared" si="139"/>
        <v>0.1988197860579371</v>
      </c>
      <c r="AB113" s="181">
        <f t="shared" si="139"/>
        <v>0.21440646322006857</v>
      </c>
      <c r="AC113" s="181">
        <f t="shared" si="139"/>
        <v>0.17544811047113382</v>
      </c>
      <c r="AD113" s="329">
        <f t="shared" si="139"/>
        <v>0.100288921875684</v>
      </c>
      <c r="AE113" s="181">
        <f t="shared" si="139"/>
        <v>0.11636638763575884</v>
      </c>
      <c r="AF113" s="181">
        <f t="shared" si="139"/>
        <v>0.20393331376356869</v>
      </c>
      <c r="AG113" s="181">
        <f t="shared" si="139"/>
        <v>9.277320640251184E-2</v>
      </c>
      <c r="AH113" s="329">
        <f t="shared" si="139"/>
        <v>0.18532585020229117</v>
      </c>
      <c r="AI113" s="181">
        <f t="shared" si="139"/>
        <v>0.19864713231246173</v>
      </c>
      <c r="AJ113" s="181">
        <f t="shared" si="139"/>
        <v>0.18782467641282419</v>
      </c>
      <c r="AK113" s="442">
        <f t="shared" si="139"/>
        <v>0.10109863327529199</v>
      </c>
      <c r="AL113" s="181">
        <f t="shared" si="139"/>
        <v>0.1619756472500857</v>
      </c>
      <c r="AM113" s="181">
        <f t="shared" ref="AM113:AT113" si="140">IFERROR(AM49/AM11,"n.a.")</f>
        <v>7.1699844537974441E-2</v>
      </c>
      <c r="AN113" s="181">
        <f t="shared" si="140"/>
        <v>0.12919889196567691</v>
      </c>
      <c r="AO113" s="442">
        <f t="shared" si="140"/>
        <v>3.415649711412698E-2</v>
      </c>
      <c r="AP113" s="181">
        <f t="shared" si="140"/>
        <v>0.22841389667934062</v>
      </c>
      <c r="AQ113" s="181">
        <f t="shared" si="140"/>
        <v>0.22377732166799419</v>
      </c>
      <c r="AR113" s="181">
        <f t="shared" si="140"/>
        <v>0.22783568585968497</v>
      </c>
      <c r="AS113" s="181">
        <f t="shared" si="140"/>
        <v>0.21007097376978906</v>
      </c>
      <c r="AT113" s="181">
        <f t="shared" si="140"/>
        <v>0.16881403768689163</v>
      </c>
      <c r="AU113" s="181">
        <f t="shared" ref="AU113:AV113" si="141">IFERROR(AU49/AU11,"n.a.")</f>
        <v>0.17220177243044577</v>
      </c>
      <c r="AV113" s="181">
        <f t="shared" si="141"/>
        <v>0.22905457602289975</v>
      </c>
      <c r="AW113" s="181">
        <f t="shared" ref="AW113:BG113" si="142">IFERROR(AW49/AW11,"n.a.")</f>
        <v>0.19852131712744731</v>
      </c>
      <c r="AX113" s="181">
        <f t="shared" si="142"/>
        <v>0.23802882603316283</v>
      </c>
      <c r="AY113" s="181">
        <f t="shared" si="142"/>
        <v>0.22413630268870019</v>
      </c>
      <c r="AZ113" s="181">
        <f t="shared" si="142"/>
        <v>0.27090264274895848</v>
      </c>
      <c r="BA113" s="181">
        <f t="shared" ref="BA113" si="143">IFERROR(BA49/BA11,"n.a.")</f>
        <v>0.14485833011018218</v>
      </c>
      <c r="BB113" s="181">
        <f>IFERROR(BB49/BB11,"n.a.")</f>
        <v>0.26824626352832881</v>
      </c>
      <c r="BC113" s="181">
        <f>IFERROR(BC49/BC11,"n.a.")</f>
        <v>0.24089342207291037</v>
      </c>
      <c r="BD113" s="225">
        <f t="shared" si="142"/>
        <v>2.8175573942299272E-2</v>
      </c>
      <c r="BE113" s="11">
        <f t="shared" si="142"/>
        <v>1.3369158132351782</v>
      </c>
      <c r="BF113" s="11">
        <f t="shared" si="142"/>
        <v>1</v>
      </c>
      <c r="BG113" s="11" t="str">
        <f t="shared" si="142"/>
        <v>n.a.</v>
      </c>
      <c r="BH113" s="11"/>
      <c r="BI113" s="16">
        <f t="shared" ref="BI113:BN113" si="144">IFERROR(BI49/BI11,"n.a.")</f>
        <v>0</v>
      </c>
      <c r="BJ113" s="16">
        <f t="shared" si="144"/>
        <v>0</v>
      </c>
      <c r="BK113" s="16">
        <f t="shared" si="144"/>
        <v>9.459615123352258E-2</v>
      </c>
      <c r="BL113" s="16">
        <f t="shared" si="144"/>
        <v>-2.9218140743685023E-3</v>
      </c>
      <c r="BM113" s="16">
        <f t="shared" si="144"/>
        <v>0.17119229556013771</v>
      </c>
      <c r="BN113" s="16">
        <f t="shared" si="144"/>
        <v>0.13469190780217277</v>
      </c>
      <c r="BO113" s="16">
        <f>IFERROR(BO49/BO11,"n.a.")</f>
        <v>0.1690745647528191</v>
      </c>
      <c r="BP113" s="16">
        <f>IFERROR(BP49/BP11,"n.a.")</f>
        <v>0.10458404420209012</v>
      </c>
    </row>
    <row r="114" spans="1:69" s="96" customFormat="1" x14ac:dyDescent="0.3">
      <c r="A114" s="93" t="s">
        <v>58</v>
      </c>
      <c r="B114" s="11" t="str">
        <f t="shared" ref="B114:I114" si="145">IFERROR(B50/B11,"n.a.")</f>
        <v>n.a.</v>
      </c>
      <c r="C114" s="11" t="str">
        <f t="shared" si="145"/>
        <v>n.a.</v>
      </c>
      <c r="D114" s="11" t="str">
        <f t="shared" si="145"/>
        <v>n.a.</v>
      </c>
      <c r="E114" s="11" t="str">
        <f t="shared" si="145"/>
        <v>n.a.</v>
      </c>
      <c r="F114" s="11">
        <f t="shared" si="145"/>
        <v>3.2220700682445376E-2</v>
      </c>
      <c r="G114" s="11">
        <f t="shared" si="145"/>
        <v>7.3247709535920275E-2</v>
      </c>
      <c r="H114" s="11">
        <f t="shared" si="145"/>
        <v>5.6779598205969018E-3</v>
      </c>
      <c r="I114" s="11">
        <f t="shared" si="145"/>
        <v>0.16739224161077945</v>
      </c>
      <c r="J114" s="11"/>
      <c r="K114" s="11">
        <f>IFERROR(K50/K11,"n.a.")</f>
        <v>-0.75617371779628972</v>
      </c>
      <c r="L114" s="11">
        <f>IFERROR(L50/L11,"n.a.")</f>
        <v>-0.8969733258035032</v>
      </c>
      <c r="M114" s="11">
        <f>IFERROR(M50/M11,"n.a.")</f>
        <v>5.295381425566914E-2</v>
      </c>
      <c r="N114" s="115">
        <f>IFERROR(N50/N11,"n.a.")</f>
        <v>0.10595000912353379</v>
      </c>
      <c r="P114" s="138">
        <f>IFERROR(P50/P11,"n.a.")</f>
        <v>0</v>
      </c>
      <c r="Q114" s="11">
        <f>IFERROR(Q50/Q11,"n.a.")</f>
        <v>0</v>
      </c>
      <c r="R114" s="11">
        <f>IFERROR(R50/R11,"n.a.")</f>
        <v>0</v>
      </c>
      <c r="S114" s="115">
        <f>IFERROR(S50/S11,"n.a.")</f>
        <v>0</v>
      </c>
      <c r="U114" s="181">
        <f t="shared" ref="U114:AL114" si="146">IFERROR(U50/U11,"n.a.")</f>
        <v>-0.33273736598062031</v>
      </c>
      <c r="V114" s="181">
        <f t="shared" si="146"/>
        <v>0</v>
      </c>
      <c r="W114" s="181">
        <f t="shared" si="146"/>
        <v>0.18135384334489685</v>
      </c>
      <c r="X114" s="181">
        <f t="shared" si="146"/>
        <v>0.22341239933420184</v>
      </c>
      <c r="Y114" s="181">
        <f t="shared" si="146"/>
        <v>0.1073106172864631</v>
      </c>
      <c r="Z114" s="329">
        <f t="shared" si="146"/>
        <v>0.32811393447724613</v>
      </c>
      <c r="AA114" s="181">
        <f t="shared" si="146"/>
        <v>0.24665817670271759</v>
      </c>
      <c r="AB114" s="181">
        <f t="shared" si="146"/>
        <v>0.24094989161692038</v>
      </c>
      <c r="AC114" s="181">
        <f t="shared" si="146"/>
        <v>0.23965380913706311</v>
      </c>
      <c r="AD114" s="329">
        <f t="shared" si="146"/>
        <v>0.16589726956888559</v>
      </c>
      <c r="AE114" s="181">
        <f t="shared" si="146"/>
        <v>0.17615193991197445</v>
      </c>
      <c r="AF114" s="181">
        <f t="shared" si="146"/>
        <v>0.23278600671291677</v>
      </c>
      <c r="AG114" s="181">
        <f t="shared" si="146"/>
        <v>0.19714747654385276</v>
      </c>
      <c r="AH114" s="329">
        <f t="shared" si="146"/>
        <v>0.22087320133129834</v>
      </c>
      <c r="AI114" s="181">
        <f t="shared" si="146"/>
        <v>0.22212820811449327</v>
      </c>
      <c r="AJ114" s="181">
        <f t="shared" si="146"/>
        <v>0.22056881631777567</v>
      </c>
      <c r="AK114" s="442">
        <f t="shared" si="146"/>
        <v>0.18718902070803217</v>
      </c>
      <c r="AL114" s="181">
        <f t="shared" si="146"/>
        <v>0.21722247801075553</v>
      </c>
      <c r="AM114" s="181">
        <f t="shared" ref="AM114:AT114" si="147">IFERROR(AM50/AM11,"n.a.")</f>
        <v>0.14896522959086944</v>
      </c>
      <c r="AN114" s="181">
        <f t="shared" si="147"/>
        <v>0.19454469369628472</v>
      </c>
      <c r="AO114" s="442">
        <f t="shared" si="147"/>
        <v>0.10779725692069549</v>
      </c>
      <c r="AP114" s="181">
        <f t="shared" si="147"/>
        <v>0.26346957612166072</v>
      </c>
      <c r="AQ114" s="181">
        <f t="shared" si="147"/>
        <v>0.25097435027905618</v>
      </c>
      <c r="AR114" s="181">
        <f t="shared" si="147"/>
        <v>0.24690039372107334</v>
      </c>
      <c r="AS114" s="181">
        <f t="shared" si="147"/>
        <v>0.24715840971435585</v>
      </c>
      <c r="AT114" s="181">
        <f t="shared" si="147"/>
        <v>0.1983551105223163</v>
      </c>
      <c r="AU114" s="181">
        <f t="shared" ref="AU114:AV114" si="148">IFERROR(AU50/AU11,"n.a.")</f>
        <v>0.19762012947321039</v>
      </c>
      <c r="AV114" s="181">
        <f t="shared" si="148"/>
        <v>0.25160913681990327</v>
      </c>
      <c r="AW114" s="181">
        <f t="shared" ref="AW114:BG114" si="149">IFERROR(AW50/AW11,"n.a.")</f>
        <v>0.2158954869022349</v>
      </c>
      <c r="AX114" s="181">
        <f t="shared" si="149"/>
        <v>0.25520305055566828</v>
      </c>
      <c r="AY114" s="181">
        <f t="shared" si="149"/>
        <v>0.23995793063437493</v>
      </c>
      <c r="AZ114" s="181">
        <f t="shared" si="149"/>
        <v>0.27413928052288644</v>
      </c>
      <c r="BA114" s="181">
        <f t="shared" ref="BA114" si="150">IFERROR(BA50/BA11,"n.a.")</f>
        <v>0.21668005514067815</v>
      </c>
      <c r="BB114" s="181">
        <f>IFERROR(BB50/BB11,"n.a.")</f>
        <v>0.27593295925999323</v>
      </c>
      <c r="BC114" s="181">
        <f>IFERROR(BC50/BC11,"n.a.")</f>
        <v>0.24963069179292594</v>
      </c>
      <c r="BD114" s="225">
        <f t="shared" si="149"/>
        <v>7.2263622213622078E-2</v>
      </c>
      <c r="BE114" s="11">
        <f t="shared" si="149"/>
        <v>1.3369158132351782</v>
      </c>
      <c r="BF114" s="11">
        <f t="shared" si="149"/>
        <v>1</v>
      </c>
      <c r="BG114" s="11" t="str">
        <f t="shared" si="149"/>
        <v>n.a.</v>
      </c>
      <c r="BH114" s="11"/>
      <c r="BI114" s="16">
        <f t="shared" ref="BI114:BN114" si="151">IFERROR(BI50/BI11,"n.a.")</f>
        <v>0</v>
      </c>
      <c r="BJ114" s="16">
        <f t="shared" si="151"/>
        <v>0</v>
      </c>
      <c r="BK114" s="16">
        <f t="shared" si="151"/>
        <v>0.10546144440681274</v>
      </c>
      <c r="BL114" s="16">
        <f t="shared" si="151"/>
        <v>0.10595000912353379</v>
      </c>
      <c r="BM114" s="16">
        <f t="shared" si="151"/>
        <v>0.24453396839034905</v>
      </c>
      <c r="BN114" s="16">
        <f t="shared" si="151"/>
        <v>0.19910676464971208</v>
      </c>
      <c r="BO114" s="16">
        <f>IFERROR(BO50/BO11,"n.a.")</f>
        <v>0.1690745647528191</v>
      </c>
      <c r="BP114" s="16">
        <f>IFERROR(BP50/BP11,"n.a.")</f>
        <v>0.10458404420209012</v>
      </c>
    </row>
    <row r="115" spans="1:69" s="96" customFormat="1" x14ac:dyDescent="0.3">
      <c r="A115" s="93" t="s">
        <v>297</v>
      </c>
      <c r="B115" s="11"/>
      <c r="C115" s="11"/>
      <c r="D115" s="11"/>
      <c r="E115" s="11"/>
      <c r="F115" s="11"/>
      <c r="G115" s="11"/>
      <c r="H115" s="11"/>
      <c r="I115" s="11"/>
      <c r="J115" s="11"/>
      <c r="K115" s="11"/>
      <c r="L115" s="11"/>
      <c r="M115" s="11"/>
      <c r="N115" s="115"/>
      <c r="P115" s="138"/>
      <c r="Q115" s="11"/>
      <c r="R115" s="11"/>
      <c r="S115" s="115"/>
      <c r="U115" s="181">
        <f t="shared" ref="U115:AK115" si="152">IFERROR(U51/U11,"n.a.")</f>
        <v>0.19041743116577076</v>
      </c>
      <c r="V115" s="181">
        <f t="shared" si="152"/>
        <v>0.30271958114000108</v>
      </c>
      <c r="W115" s="181">
        <f t="shared" si="152"/>
        <v>0.23789255066642323</v>
      </c>
      <c r="X115" s="181">
        <f t="shared" si="152"/>
        <v>0.25407481156572265</v>
      </c>
      <c r="Y115" s="181">
        <f t="shared" si="152"/>
        <v>0.17872319857949451</v>
      </c>
      <c r="Z115" s="329">
        <f t="shared" si="152"/>
        <v>0.34516440685854244</v>
      </c>
      <c r="AA115" s="181">
        <f t="shared" si="152"/>
        <v>0.27691027331733398</v>
      </c>
      <c r="AB115" s="181">
        <f t="shared" si="152"/>
        <v>0.2654134317429066</v>
      </c>
      <c r="AC115" s="181">
        <f t="shared" si="152"/>
        <v>0.21216993876287826</v>
      </c>
      <c r="AD115" s="329">
        <f t="shared" si="152"/>
        <v>0.15809319521328882</v>
      </c>
      <c r="AE115" s="181">
        <f t="shared" si="152"/>
        <v>0.22277115521462271</v>
      </c>
      <c r="AF115" s="181">
        <f t="shared" si="152"/>
        <v>0.26078783275999495</v>
      </c>
      <c r="AG115" s="181">
        <f t="shared" si="152"/>
        <v>0.24323565477802644</v>
      </c>
      <c r="AH115" s="329">
        <f t="shared" si="152"/>
        <v>0.26027613720230292</v>
      </c>
      <c r="AI115" s="181">
        <f t="shared" si="152"/>
        <v>0.25712437505174285</v>
      </c>
      <c r="AJ115" s="181">
        <f t="shared" si="152"/>
        <v>0.26693808648000367</v>
      </c>
      <c r="AK115" s="442">
        <f t="shared" si="152"/>
        <v>0.2284366478280532</v>
      </c>
      <c r="AL115" s="181">
        <f t="shared" ref="AL115:AT115" si="153">IFERROR(AL51/AL11,"n.a.")</f>
        <v>0.25520154551894386</v>
      </c>
      <c r="AM115" s="181">
        <f t="shared" si="153"/>
        <v>0.22161604671444279</v>
      </c>
      <c r="AN115" s="181">
        <f t="shared" si="153"/>
        <v>0.22567922767683407</v>
      </c>
      <c r="AO115" s="442">
        <f t="shared" si="153"/>
        <v>0.16287550014466029</v>
      </c>
      <c r="AP115" s="181">
        <f t="shared" si="153"/>
        <v>0.28312626177284089</v>
      </c>
      <c r="AQ115" s="181">
        <f t="shared" si="153"/>
        <v>0.28114562869011944</v>
      </c>
      <c r="AR115" s="181">
        <f t="shared" si="153"/>
        <v>0.26369279451033406</v>
      </c>
      <c r="AS115" s="181">
        <f t="shared" si="153"/>
        <v>0.2276487323114145</v>
      </c>
      <c r="AT115" s="181">
        <f t="shared" si="153"/>
        <v>0.21214925569242563</v>
      </c>
      <c r="AU115" s="181">
        <f t="shared" ref="AU115:AV115" si="154">IFERROR(AU51/AU11,"n.a.")</f>
        <v>0.21516800589443949</v>
      </c>
      <c r="AV115" s="181">
        <f t="shared" si="154"/>
        <v>0.26420856592893194</v>
      </c>
      <c r="AW115" s="181">
        <f t="shared" ref="AW115:BB115" si="155">IFERROR(AW51/AW11,"n.a.")</f>
        <v>0.2354345843298789</v>
      </c>
      <c r="AX115" s="181">
        <f t="shared" si="155"/>
        <v>0.26485482812754146</v>
      </c>
      <c r="AY115" s="181">
        <f t="shared" si="155"/>
        <v>0.25381615019046216</v>
      </c>
      <c r="AZ115" s="181">
        <f t="shared" si="155"/>
        <v>0.27413928052288644</v>
      </c>
      <c r="BA115" s="181">
        <f t="shared" si="155"/>
        <v>0.26506162003841333</v>
      </c>
      <c r="BB115" s="181">
        <f t="shared" si="155"/>
        <v>0.27748715887515901</v>
      </c>
      <c r="BC115" s="181">
        <f t="shared" ref="BC115" si="156">IFERROR(BC51/BC11,"n.a.")</f>
        <v>0.25499019756660629</v>
      </c>
      <c r="BD115" s="225"/>
      <c r="BE115" s="11"/>
      <c r="BF115" s="11"/>
      <c r="BG115" s="11"/>
      <c r="BH115" s="11"/>
      <c r="BI115" s="16"/>
      <c r="BJ115" s="16"/>
      <c r="BK115" s="16"/>
      <c r="BL115" s="16"/>
      <c r="BM115" s="16"/>
      <c r="BN115" s="16"/>
      <c r="BO115" s="16"/>
      <c r="BP115" s="16"/>
    </row>
    <row r="116" spans="1:69" s="96" customFormat="1" x14ac:dyDescent="0.3">
      <c r="A116" s="93" t="s">
        <v>59</v>
      </c>
      <c r="B116" s="11" t="str">
        <f t="shared" ref="B116:I116" si="157">IFERROR(B36/B35,"n.a.")</f>
        <v>n.a.</v>
      </c>
      <c r="C116" s="11" t="str">
        <f t="shared" si="157"/>
        <v>n.a.</v>
      </c>
      <c r="D116" s="11" t="str">
        <f t="shared" si="157"/>
        <v>n.a.</v>
      </c>
      <c r="E116" s="11" t="str">
        <f t="shared" si="157"/>
        <v>n.a.</v>
      </c>
      <c r="F116" s="11">
        <f t="shared" si="157"/>
        <v>-0.26544497019274466</v>
      </c>
      <c r="G116" s="11">
        <f t="shared" si="157"/>
        <v>7.2758937983211647E-2</v>
      </c>
      <c r="H116" s="11">
        <f t="shared" si="157"/>
        <v>-1.8900278745118182E-2</v>
      </c>
      <c r="I116" s="11">
        <f t="shared" si="157"/>
        <v>0.90240023853302187</v>
      </c>
      <c r="J116" s="11"/>
      <c r="K116" s="11">
        <f>IFERROR(K36/K35,"n.a.")</f>
        <v>5.4352989571033175E-3</v>
      </c>
      <c r="L116" s="11">
        <f>IFERROR(L36/L35,"n.a.")</f>
        <v>4.5285786653009928E-4</v>
      </c>
      <c r="M116" s="11">
        <f>IFERROR(M36/M35,"n.a.")</f>
        <v>0.45034733362681967</v>
      </c>
      <c r="N116" s="115">
        <f>IFERROR(N36/N35,"n.a.")</f>
        <v>-0.11136176989855801</v>
      </c>
      <c r="P116" s="138">
        <f>IFERROR(P36/P35,"n.a.")</f>
        <v>-0.24447746118779112</v>
      </c>
      <c r="Q116" s="11">
        <f>IFERROR(Q36/Q35,"n.a.")</f>
        <v>0.29580950755312796</v>
      </c>
      <c r="R116" s="11">
        <f>IFERROR(R36/R35,"n.a.")</f>
        <v>-0.14172570885562963</v>
      </c>
      <c r="S116" s="115">
        <f>IFERROR(S36/S35,"n.a.")</f>
        <v>-0.21434389409177826</v>
      </c>
      <c r="U116" s="181">
        <f t="shared" ref="U116:AL116" si="158">IFERROR(U36/U35,"n.a.")</f>
        <v>0.1419753086419753</v>
      </c>
      <c r="V116" s="181">
        <f t="shared" si="158"/>
        <v>2.6587332583916056E-2</v>
      </c>
      <c r="W116" s="181">
        <f t="shared" si="158"/>
        <v>-1.506338911162366</v>
      </c>
      <c r="X116" s="181">
        <f t="shared" si="158"/>
        <v>-0.42541913443864765</v>
      </c>
      <c r="Y116" s="181">
        <f t="shared" si="158"/>
        <v>5.1460220951746377E-2</v>
      </c>
      <c r="Z116" s="329">
        <f t="shared" si="158"/>
        <v>-0.50152958389179347</v>
      </c>
      <c r="AA116" s="181">
        <f t="shared" si="158"/>
        <v>-0.10656591387620211</v>
      </c>
      <c r="AB116" s="181">
        <f t="shared" si="158"/>
        <v>-0.15747823493488233</v>
      </c>
      <c r="AC116" s="181">
        <f t="shared" si="158"/>
        <v>-7.2165989042268425E-2</v>
      </c>
      <c r="AD116" s="329">
        <f t="shared" si="158"/>
        <v>0.16025562994522216</v>
      </c>
      <c r="AE116" s="181">
        <f t="shared" si="158"/>
        <v>-3.2723316898566487E-2</v>
      </c>
      <c r="AF116" s="181">
        <f t="shared" si="158"/>
        <v>-0.16371718725231288</v>
      </c>
      <c r="AG116" s="181">
        <f t="shared" si="158"/>
        <v>-0.14712843083710819</v>
      </c>
      <c r="AH116" s="329">
        <f t="shared" si="158"/>
        <v>-0.19910215794632838</v>
      </c>
      <c r="AI116" s="181">
        <f t="shared" si="158"/>
        <v>-9.3767892260585989E-2</v>
      </c>
      <c r="AJ116" s="181">
        <f t="shared" si="158"/>
        <v>-0.19686291209766138</v>
      </c>
      <c r="AK116" s="442">
        <f t="shared" si="158"/>
        <v>-0.55674613657376837</v>
      </c>
      <c r="AL116" s="181">
        <f t="shared" si="158"/>
        <v>-0.31608006977267611</v>
      </c>
      <c r="AM116" s="181">
        <f t="shared" ref="AM116:AT116" si="159">IFERROR(AM36/AM35,"n.a.")</f>
        <v>-0.16524251704040305</v>
      </c>
      <c r="AN116" s="181">
        <f t="shared" si="159"/>
        <v>0.45168518489901255</v>
      </c>
      <c r="AO116" s="442">
        <f t="shared" si="159"/>
        <v>-2.8056604352764219E-2</v>
      </c>
      <c r="AP116" s="181">
        <f t="shared" si="159"/>
        <v>-0.14128133487205741</v>
      </c>
      <c r="AQ116" s="181">
        <f t="shared" si="159"/>
        <v>-0.1560697029443</v>
      </c>
      <c r="AR116" s="181">
        <f t="shared" si="159"/>
        <v>-0.13777230637477922</v>
      </c>
      <c r="AS116" s="181">
        <f t="shared" si="159"/>
        <v>-0.19226445611566451</v>
      </c>
      <c r="AT116" s="181">
        <f t="shared" si="159"/>
        <v>-0.11512391395662459</v>
      </c>
      <c r="AU116" s="181">
        <f t="shared" ref="AU116:AV116" si="160">IFERROR(AU36/AU35,"n.a.")</f>
        <v>-0.20365850039322758</v>
      </c>
      <c r="AV116" s="181">
        <f t="shared" si="160"/>
        <v>-0.15919989197348325</v>
      </c>
      <c r="AW116" s="181">
        <f t="shared" ref="AW116:BG116" si="161">IFERROR(AW36/AW35,"n.a.")</f>
        <v>-0.21195352147337196</v>
      </c>
      <c r="AX116" s="181">
        <f t="shared" si="161"/>
        <v>-0.15720652570857896</v>
      </c>
      <c r="AY116" s="181">
        <f t="shared" si="161"/>
        <v>-0.18280739934711643</v>
      </c>
      <c r="AZ116" s="181">
        <f t="shared" si="161"/>
        <v>-0.150579443506629</v>
      </c>
      <c r="BA116" s="181">
        <f t="shared" ref="BA116" si="162">IFERROR(BA36/BA35,"n.a.")</f>
        <v>-0.61800604542578819</v>
      </c>
      <c r="BB116" s="181">
        <f>IFERROR(BB36/BB35,"n.a.")</f>
        <v>-0.17887626849606519</v>
      </c>
      <c r="BC116" s="181">
        <f>IFERROR(BC36/BC35,"n.a.")</f>
        <v>-0.21640286026235969</v>
      </c>
      <c r="BD116" s="225">
        <f t="shared" si="161"/>
        <v>-7.4150333382983005E-2</v>
      </c>
      <c r="BE116" s="11">
        <f t="shared" si="161"/>
        <v>2.1411581664877391E-4</v>
      </c>
      <c r="BF116" s="11">
        <f t="shared" si="161"/>
        <v>0</v>
      </c>
      <c r="BG116" s="11" t="str">
        <f t="shared" si="161"/>
        <v>n.a.</v>
      </c>
      <c r="BH116" s="11"/>
      <c r="BI116" s="16">
        <f t="shared" ref="BI116:BN116" si="163">IFERROR(BI36/BI35,"n.a.")</f>
        <v>0</v>
      </c>
      <c r="BJ116" s="16">
        <f t="shared" si="163"/>
        <v>0</v>
      </c>
      <c r="BK116" s="16">
        <f t="shared" si="163"/>
        <v>1.7960266797335606E-2</v>
      </c>
      <c r="BL116" s="16">
        <f t="shared" si="163"/>
        <v>-0.11136176989855801</v>
      </c>
      <c r="BM116" s="16">
        <f t="shared" si="163"/>
        <v>-0.22119860103844421</v>
      </c>
      <c r="BN116" s="16">
        <f t="shared" si="163"/>
        <v>-0.18120766543336259</v>
      </c>
      <c r="BO116" s="16">
        <f>IFERROR(BO36/BO35,"n.a.")</f>
        <v>-0.18444871922359038</v>
      </c>
      <c r="BP116" s="16">
        <f>IFERROR(BP36/BP35,"n.a.")</f>
        <v>0.45684580839794425</v>
      </c>
    </row>
    <row r="117" spans="1:69" s="17" customFormat="1" x14ac:dyDescent="0.3">
      <c r="A117" s="93" t="s">
        <v>102</v>
      </c>
      <c r="B117" s="18"/>
      <c r="C117" s="18"/>
      <c r="D117" s="18"/>
      <c r="E117" s="18"/>
      <c r="F117" s="18"/>
      <c r="G117" s="18"/>
      <c r="H117" s="18"/>
      <c r="I117" s="18"/>
      <c r="J117" s="18"/>
      <c r="K117" s="18"/>
      <c r="L117" s="18"/>
      <c r="M117" s="18"/>
      <c r="N117" s="116"/>
      <c r="P117" s="139"/>
      <c r="Q117" s="18"/>
      <c r="R117" s="18"/>
      <c r="S117" s="116"/>
      <c r="U117" s="228">
        <f t="shared" ref="U117:AL117" si="164">U111</f>
        <v>-0.4763952963520936</v>
      </c>
      <c r="V117" s="228">
        <f t="shared" si="164"/>
        <v>-2.9509486580666249E-2</v>
      </c>
      <c r="W117" s="228">
        <f t="shared" si="164"/>
        <v>2.1760696244902927E-2</v>
      </c>
      <c r="X117" s="228">
        <f t="shared" si="164"/>
        <v>3.7846960116745938E-2</v>
      </c>
      <c r="Y117" s="228">
        <f t="shared" si="164"/>
        <v>-0.15161682983570318</v>
      </c>
      <c r="Z117" s="227">
        <f t="shared" si="164"/>
        <v>8.805822101579501E-2</v>
      </c>
      <c r="AA117" s="228">
        <f t="shared" si="164"/>
        <v>0.10723000468917555</v>
      </c>
      <c r="AB117" s="228">
        <f t="shared" si="164"/>
        <v>0.14391527207305069</v>
      </c>
      <c r="AC117" s="228">
        <f t="shared" si="164"/>
        <v>9.9956401581809906E-2</v>
      </c>
      <c r="AD117" s="227">
        <f t="shared" si="164"/>
        <v>-4.4599827283617013E-2</v>
      </c>
      <c r="AE117" s="228">
        <f t="shared" si="164"/>
        <v>-5.6428348829186759E-3</v>
      </c>
      <c r="AF117" s="228">
        <f t="shared" si="164"/>
        <v>0.12504557282825232</v>
      </c>
      <c r="AG117" s="228">
        <f t="shared" si="164"/>
        <v>5.1079763312042743E-3</v>
      </c>
      <c r="AH117" s="227">
        <f t="shared" si="164"/>
        <v>9.5738965387110742E-2</v>
      </c>
      <c r="AI117" s="228">
        <f t="shared" si="164"/>
        <v>0.13076988199592418</v>
      </c>
      <c r="AJ117" s="228">
        <f t="shared" si="164"/>
        <v>9.3652210364792557E-2</v>
      </c>
      <c r="AK117" s="443">
        <f t="shared" si="164"/>
        <v>-6.037744024133645E-3</v>
      </c>
      <c r="AL117" s="228">
        <f t="shared" si="164"/>
        <v>4.1699675028914453E-2</v>
      </c>
      <c r="AM117" s="228">
        <f t="shared" ref="AM117:AT117" si="165">AM111</f>
        <v>-8.6709134341940622E-2</v>
      </c>
      <c r="AN117" s="228">
        <f t="shared" si="165"/>
        <v>2.6409323269941515E-2</v>
      </c>
      <c r="AO117" s="443">
        <f t="shared" si="165"/>
        <v>-0.10861055446893671</v>
      </c>
      <c r="AP117" s="228">
        <f t="shared" si="165"/>
        <v>0.1435415597668033</v>
      </c>
      <c r="AQ117" s="228">
        <f t="shared" si="165"/>
        <v>0.14641263607846997</v>
      </c>
      <c r="AR117" s="228">
        <f t="shared" si="165"/>
        <v>0.15917091252966548</v>
      </c>
      <c r="AS117" s="228">
        <f t="shared" si="165"/>
        <v>0.13280312363453883</v>
      </c>
      <c r="AT117" s="228">
        <f t="shared" si="165"/>
        <v>0.10203948086505937</v>
      </c>
      <c r="AU117" s="228">
        <f t="shared" ref="AU117:AV117" si="166">AU111</f>
        <v>0.11215805879222879</v>
      </c>
      <c r="AV117" s="228">
        <f t="shared" si="166"/>
        <v>0.17315229742746463</v>
      </c>
      <c r="AW117" s="228">
        <f>AW111</f>
        <v>0.12996905054919641</v>
      </c>
      <c r="AX117" s="228">
        <f>AX111</f>
        <v>0.17279057675824547</v>
      </c>
      <c r="AY117" s="228">
        <f>AY111</f>
        <v>0.15327863287839569</v>
      </c>
      <c r="AZ117" s="228">
        <f>AZ111</f>
        <v>0.21113493426889851</v>
      </c>
      <c r="BA117" s="228">
        <f>BA111</f>
        <v>7.182172503049597E-2</v>
      </c>
      <c r="BB117" s="1000">
        <f t="shared" ref="BB117:BC117" si="167">BB111</f>
        <v>0.19837859823180828</v>
      </c>
      <c r="BC117" s="1000">
        <f t="shared" si="167"/>
        <v>0.17112359728551702</v>
      </c>
      <c r="BD117" s="226"/>
      <c r="BE117" s="18"/>
      <c r="BF117" s="18"/>
      <c r="BG117" s="18"/>
      <c r="BH117" s="18"/>
      <c r="BI117" s="19">
        <v>-0.86433672113413851</v>
      </c>
      <c r="BJ117" s="19">
        <v>-0.11032794965932315</v>
      </c>
      <c r="BK117" s="19">
        <v>0.1144700914067688</v>
      </c>
      <c r="BL117" s="19">
        <v>3.2617960925956355E-2</v>
      </c>
      <c r="BM117" s="229">
        <f>BM111</f>
        <v>9.2584917594264363E-2</v>
      </c>
      <c r="BN117" s="229">
        <f>BN111</f>
        <v>3.32168524680026E-2</v>
      </c>
      <c r="BO117" s="229">
        <f>BO111</f>
        <v>8.0207297962363394E-2</v>
      </c>
      <c r="BP117" s="229">
        <f>BP111</f>
        <v>-2.3013619825212092E-2</v>
      </c>
    </row>
    <row r="118" spans="1:69" s="17" customFormat="1" x14ac:dyDescent="0.3">
      <c r="A118" s="93" t="s">
        <v>101</v>
      </c>
      <c r="B118" s="18"/>
      <c r="C118" s="18"/>
      <c r="D118" s="18"/>
      <c r="E118" s="18"/>
      <c r="F118" s="18"/>
      <c r="G118" s="18"/>
      <c r="H118" s="18"/>
      <c r="I118" s="18"/>
      <c r="J118" s="18"/>
      <c r="K118" s="18"/>
      <c r="L118" s="18"/>
      <c r="M118" s="18"/>
      <c r="N118" s="116"/>
      <c r="P118" s="139"/>
      <c r="Q118" s="18"/>
      <c r="R118" s="18"/>
      <c r="S118" s="116"/>
      <c r="U118" s="228">
        <f>U112</f>
        <v>-0.40648392939838562</v>
      </c>
      <c r="V118" s="228">
        <f>V112</f>
        <v>0</v>
      </c>
      <c r="W118" s="228">
        <f>W112</f>
        <v>8.0454628446229692E-2</v>
      </c>
      <c r="X118" s="228">
        <f>X112</f>
        <v>0.14434264292453081</v>
      </c>
      <c r="Y118" s="228">
        <f>Y112</f>
        <v>1.8658125996090048E-2</v>
      </c>
      <c r="Z118" s="334">
        <v>0.30199999999999999</v>
      </c>
      <c r="AA118" s="318">
        <v>0.23</v>
      </c>
      <c r="AB118" s="318">
        <v>0.22900000000000001</v>
      </c>
      <c r="AC118" s="318">
        <v>0.17199999999999999</v>
      </c>
      <c r="AD118" s="330">
        <v>8.2000000000000003E-2</v>
      </c>
      <c r="AE118" s="285">
        <v>0.158</v>
      </c>
      <c r="AF118" s="285">
        <v>0.218</v>
      </c>
      <c r="AG118" s="285">
        <v>0.19400000000000001</v>
      </c>
      <c r="AH118" s="330">
        <v>0.21099999999999999</v>
      </c>
      <c r="AI118" s="285">
        <v>0.21299999999999999</v>
      </c>
      <c r="AJ118" s="285">
        <v>0.20699999999999999</v>
      </c>
      <c r="AK118" s="444">
        <v>0.15</v>
      </c>
      <c r="AL118" s="285">
        <v>0.16500000000000001</v>
      </c>
      <c r="AM118" s="285">
        <v>0.10299999999999999</v>
      </c>
      <c r="AN118" s="285">
        <v>0.14899999999999999</v>
      </c>
      <c r="AO118" s="444">
        <v>0.06</v>
      </c>
      <c r="AP118" s="285"/>
      <c r="AQ118" s="285"/>
      <c r="AR118" s="285"/>
      <c r="AS118" s="285"/>
      <c r="AT118" s="285"/>
      <c r="AU118" s="285"/>
      <c r="AV118" s="285"/>
      <c r="AW118" s="285"/>
      <c r="AX118" s="285"/>
      <c r="AY118" s="285"/>
      <c r="AZ118" s="285"/>
      <c r="BA118" s="285"/>
      <c r="BB118" s="1001"/>
      <c r="BC118" s="1001"/>
      <c r="BD118" s="226"/>
      <c r="BE118" s="18"/>
      <c r="BF118" s="18"/>
      <c r="BG118" s="18"/>
      <c r="BH118" s="18"/>
      <c r="BI118" s="19">
        <v>-0.73269610561623078</v>
      </c>
      <c r="BJ118" s="19">
        <v>-8.9666296588083921E-2</v>
      </c>
      <c r="BK118" s="19">
        <v>0.12548506445618166</v>
      </c>
      <c r="BL118" s="19">
        <v>0.19700000000000001</v>
      </c>
      <c r="BM118" s="19">
        <v>0.23200000000000001</v>
      </c>
      <c r="BN118" s="19">
        <v>0.17599999999999999</v>
      </c>
      <c r="BO118" s="393"/>
      <c r="BP118" s="393"/>
    </row>
    <row r="119" spans="1:69" x14ac:dyDescent="0.3">
      <c r="AJ119" s="365"/>
      <c r="AK119" s="431"/>
      <c r="AL119" s="365"/>
      <c r="AM119" s="365"/>
      <c r="AN119" s="365"/>
      <c r="AO119" s="431"/>
      <c r="AP119" s="365"/>
      <c r="AQ119" s="365"/>
      <c r="AR119" s="365"/>
      <c r="AS119" s="365"/>
      <c r="BD119" s="20"/>
    </row>
    <row r="120" spans="1:69" x14ac:dyDescent="0.3">
      <c r="A120" s="101" t="s">
        <v>87</v>
      </c>
      <c r="BD120" s="20"/>
      <c r="BI120" s="15"/>
      <c r="BJ120" s="15"/>
      <c r="BK120" s="15"/>
      <c r="BL120" s="15"/>
    </row>
    <row r="121" spans="1:69" s="173" customFormat="1" x14ac:dyDescent="0.3">
      <c r="A121" s="94" t="s">
        <v>127</v>
      </c>
      <c r="N121" s="174"/>
      <c r="P121" s="175"/>
      <c r="S121" s="174"/>
      <c r="T121" s="176"/>
      <c r="U121" s="177"/>
      <c r="V121" s="180">
        <v>0.05</v>
      </c>
      <c r="W121" s="180"/>
      <c r="X121" s="180"/>
      <c r="Y121" s="180"/>
      <c r="Z121" s="335">
        <v>4.7E-2</v>
      </c>
      <c r="AA121" s="218"/>
      <c r="AB121" s="177"/>
      <c r="AC121" s="177"/>
      <c r="AD121" s="331"/>
      <c r="AE121" s="177"/>
      <c r="AF121" s="177"/>
      <c r="AG121" s="177"/>
      <c r="AH121" s="331"/>
      <c r="AI121" s="177"/>
      <c r="AJ121" s="177"/>
      <c r="AK121" s="432"/>
      <c r="AL121" s="177"/>
      <c r="AM121" s="177"/>
      <c r="AN121" s="177"/>
      <c r="AO121" s="432"/>
      <c r="AP121" s="177"/>
      <c r="AQ121" s="177"/>
      <c r="AR121" s="177"/>
      <c r="AS121" s="177"/>
      <c r="AT121" s="177"/>
      <c r="AU121" s="177"/>
      <c r="AV121" s="177"/>
      <c r="AW121" s="177"/>
      <c r="AX121" s="177"/>
      <c r="AY121" s="177"/>
      <c r="AZ121" s="177"/>
      <c r="BA121" s="177"/>
      <c r="BI121" s="179"/>
      <c r="BJ121" s="179"/>
      <c r="BK121" s="179"/>
      <c r="BL121" s="179"/>
      <c r="BN121" s="176"/>
      <c r="BO121" s="176"/>
      <c r="BP121" s="176"/>
      <c r="BQ121" s="176"/>
    </row>
    <row r="122" spans="1:69" x14ac:dyDescent="0.3">
      <c r="A122" s="84" t="s">
        <v>124</v>
      </c>
      <c r="U122" s="319" t="e">
        <f>U11/U4</f>
        <v>#DIV/0!</v>
      </c>
      <c r="V122" s="319">
        <f>V11/V4</f>
        <v>5.2328E-2</v>
      </c>
      <c r="W122" s="319"/>
      <c r="X122" s="319"/>
      <c r="Y122" s="178"/>
      <c r="Z122" s="332">
        <f t="shared" ref="Z122:AL122" si="168">Z11/Z4</f>
        <v>4.9677186629526464E-2</v>
      </c>
      <c r="AA122" s="319">
        <f t="shared" si="168"/>
        <v>3.8520532687651335E-2</v>
      </c>
      <c r="AB122" s="319">
        <f t="shared" si="168"/>
        <v>4.3322058823529415E-2</v>
      </c>
      <c r="AC122" s="319">
        <f t="shared" si="168"/>
        <v>4.737271186440678E-2</v>
      </c>
      <c r="AD122" s="332">
        <f t="shared" si="168"/>
        <v>5.5226153846153848E-2</v>
      </c>
      <c r="AE122" s="319">
        <f t="shared" si="168"/>
        <v>5.3576160714285712E-2</v>
      </c>
      <c r="AF122" s="319">
        <f t="shared" si="168"/>
        <v>4.8224634760705293E-2</v>
      </c>
      <c r="AG122" s="319">
        <f t="shared" si="168"/>
        <v>5.0217479224376728E-2</v>
      </c>
      <c r="AH122" s="332">
        <f t="shared" si="168"/>
        <v>4.8461351351351351E-2</v>
      </c>
      <c r="AI122" s="319">
        <f t="shared" si="168"/>
        <v>4.8701070615034169E-2</v>
      </c>
      <c r="AJ122" s="319">
        <f t="shared" si="168"/>
        <v>4.718810218978102E-2</v>
      </c>
      <c r="AK122" s="445">
        <f t="shared" si="168"/>
        <v>5.7880407523510972E-2</v>
      </c>
      <c r="AL122" s="319">
        <f t="shared" si="168"/>
        <v>5.3024660493827161E-2</v>
      </c>
      <c r="AM122" s="319">
        <f t="shared" ref="AM122:AT122" si="169">AM11/AM4</f>
        <v>5.4265432098765429E-2</v>
      </c>
      <c r="AN122" s="319">
        <f t="shared" si="169"/>
        <v>5.0442142857142859E-2</v>
      </c>
      <c r="AO122" s="445">
        <f t="shared" si="169"/>
        <v>5.9057716535433069E-2</v>
      </c>
      <c r="AP122" s="319">
        <f t="shared" si="169"/>
        <v>4.5212290209790208E-2</v>
      </c>
      <c r="AQ122" s="319">
        <f t="shared" si="169"/>
        <v>4.8011206030150751E-2</v>
      </c>
      <c r="AR122" s="319">
        <f t="shared" si="169"/>
        <v>4.6403516174402248E-2</v>
      </c>
      <c r="AS122" s="319">
        <f t="shared" si="169"/>
        <v>5.8776485981308413E-2</v>
      </c>
      <c r="AT122" s="319">
        <f t="shared" si="169"/>
        <v>5.8668861911987863E-2</v>
      </c>
      <c r="AU122" s="319"/>
      <c r="AV122" s="319"/>
      <c r="AW122" s="319"/>
      <c r="AX122" s="319"/>
      <c r="AY122" s="319"/>
      <c r="AZ122" s="319"/>
      <c r="BA122" s="319"/>
      <c r="BB122" s="319"/>
      <c r="BC122" s="319"/>
      <c r="BI122" s="178">
        <f t="shared" ref="BI122:BP122" si="170">BI11/BI4</f>
        <v>4.3631130961269568E-2</v>
      </c>
      <c r="BJ122" s="178">
        <f t="shared" si="170"/>
        <v>5.3690799992919896E-2</v>
      </c>
      <c r="BK122" s="178">
        <f t="shared" si="170"/>
        <v>5.1079133174866294E-2</v>
      </c>
      <c r="BL122" s="178">
        <f t="shared" si="170"/>
        <v>3.9966836501901137E-2</v>
      </c>
      <c r="BM122" s="178">
        <f t="shared" si="170"/>
        <v>4.4508922335942204E-2</v>
      </c>
      <c r="BN122" s="178">
        <f t="shared" si="170"/>
        <v>5.0967276632302404E-2</v>
      </c>
      <c r="BO122" s="178">
        <f t="shared" si="170"/>
        <v>5.0183462050599204E-2</v>
      </c>
      <c r="BP122" s="178">
        <f t="shared" si="170"/>
        <v>5.366475957620212E-2</v>
      </c>
    </row>
    <row r="123" spans="1:69" x14ac:dyDescent="0.3">
      <c r="A123" s="88" t="s">
        <v>125</v>
      </c>
      <c r="U123" s="319" t="e">
        <f>U15/U5</f>
        <v>#DIV/0!</v>
      </c>
      <c r="V123" s="319" t="e">
        <f t="shared" ref="V123:AC123" si="171">V15/V5</f>
        <v>#DIV/0!</v>
      </c>
      <c r="W123" s="319"/>
      <c r="X123" s="319"/>
      <c r="Y123" s="178"/>
      <c r="Z123" s="332">
        <f t="shared" si="171"/>
        <v>4.1749918483999608E-2</v>
      </c>
      <c r="AA123" s="319">
        <f t="shared" si="171"/>
        <v>2.77526854500652E-2</v>
      </c>
      <c r="AB123" s="319">
        <f t="shared" si="171"/>
        <v>2.9894197186369958E-2</v>
      </c>
      <c r="AC123" s="319">
        <f t="shared" si="171"/>
        <v>3.4350392327811681E-2</v>
      </c>
      <c r="AD123" s="332">
        <f t="shared" ref="AD123:AL123" si="172">AD15/AD5</f>
        <v>4.6650383429935313E-2</v>
      </c>
      <c r="AE123" s="319">
        <f t="shared" si="172"/>
        <v>4.1657365050196786E-2</v>
      </c>
      <c r="AF123" s="319">
        <f t="shared" si="172"/>
        <v>3.4703334406245914E-2</v>
      </c>
      <c r="AG123" s="319">
        <f t="shared" si="172"/>
        <v>3.6715641474602351E-2</v>
      </c>
      <c r="AH123" s="297">
        <f t="shared" si="172"/>
        <v>3.8521458533853838E-2</v>
      </c>
      <c r="AI123" s="286">
        <f t="shared" si="172"/>
        <v>3.6617247651461626E-2</v>
      </c>
      <c r="AJ123" s="286">
        <f t="shared" si="172"/>
        <v>3.5413207379080582E-2</v>
      </c>
      <c r="AK123" s="427">
        <f t="shared" si="172"/>
        <v>4.4311417803223299E-2</v>
      </c>
      <c r="AL123" s="286">
        <f t="shared" si="172"/>
        <v>4.036943542144944E-2</v>
      </c>
      <c r="AM123" s="286">
        <f t="shared" ref="AM123:AT123" si="173">AM15/AM5</f>
        <v>3.4596064965574658E-2</v>
      </c>
      <c r="AN123" s="286">
        <f t="shared" si="173"/>
        <v>3.2617776997530129E-2</v>
      </c>
      <c r="AO123" s="427">
        <f t="shared" si="173"/>
        <v>4.0932887889211123E-2</v>
      </c>
      <c r="AP123" s="286">
        <f t="shared" si="173"/>
        <v>3.206447825142799E-2</v>
      </c>
      <c r="AQ123" s="286">
        <f t="shared" si="173"/>
        <v>3.4767639150597218E-2</v>
      </c>
      <c r="AR123" s="286">
        <f t="shared" si="173"/>
        <v>3.237480000574041E-2</v>
      </c>
      <c r="AS123" s="286">
        <f t="shared" si="173"/>
        <v>3.7867213418729659E-2</v>
      </c>
      <c r="AT123" s="286">
        <f t="shared" si="173"/>
        <v>3.5134122407688415E-2</v>
      </c>
      <c r="AU123" s="286"/>
      <c r="AV123" s="286"/>
      <c r="AW123" s="286"/>
      <c r="AX123" s="286"/>
      <c r="AY123" s="286"/>
      <c r="AZ123" s="286"/>
      <c r="BA123" s="286"/>
      <c r="BB123" s="286"/>
      <c r="BC123" s="286"/>
      <c r="BI123" s="178">
        <f>BI15/BI5</f>
        <v>2.6558835135698355E-2</v>
      </c>
      <c r="BJ123" s="178">
        <f>BJ15/BJ5</f>
        <v>2.8401725083176482E-2</v>
      </c>
      <c r="BK123" s="178">
        <f>BK15/BK5</f>
        <v>3.1619703699630311E-2</v>
      </c>
      <c r="BL123" s="178"/>
      <c r="BM123" s="178"/>
    </row>
    <row r="124" spans="1:69" x14ac:dyDescent="0.3">
      <c r="A124" s="88" t="s">
        <v>126</v>
      </c>
      <c r="U124" s="319" t="e">
        <f>U13/U6</f>
        <v>#DIV/0!</v>
      </c>
      <c r="V124" s="319" t="e">
        <f>V13/V6</f>
        <v>#DIV/0!</v>
      </c>
      <c r="W124" s="319"/>
      <c r="X124" s="319"/>
      <c r="Y124" s="178"/>
      <c r="Z124" s="332">
        <f t="shared" ref="Z124:AL124" si="174">Z13/Z6</f>
        <v>9.3979634966378484E-2</v>
      </c>
      <c r="AA124" s="319">
        <f t="shared" si="174"/>
        <v>9.3615293520554893E-2</v>
      </c>
      <c r="AB124" s="319">
        <f t="shared" si="174"/>
        <v>8.5731092436974785E-2</v>
      </c>
      <c r="AC124" s="319">
        <f t="shared" si="174"/>
        <v>9.0255878084179966E-2</v>
      </c>
      <c r="AD124" s="332">
        <f t="shared" si="174"/>
        <v>9.424444444444445E-2</v>
      </c>
      <c r="AE124" s="319">
        <f t="shared" si="174"/>
        <v>0.1039767316017316</v>
      </c>
      <c r="AF124" s="319">
        <f t="shared" si="174"/>
        <v>0.1105339727443002</v>
      </c>
      <c r="AG124" s="319">
        <f t="shared" si="174"/>
        <v>9.1949996448611404E-2</v>
      </c>
      <c r="AH124" s="297">
        <f t="shared" si="174"/>
        <v>7.6499332665999328E-2</v>
      </c>
      <c r="AI124" s="286">
        <f t="shared" si="174"/>
        <v>8.9065100107900738E-2</v>
      </c>
      <c r="AJ124" s="286">
        <f t="shared" si="174"/>
        <v>8.2589320015366924E-2</v>
      </c>
      <c r="AK124" s="427">
        <f t="shared" si="174"/>
        <v>8.5994342075082192E-2</v>
      </c>
      <c r="AL124" s="286">
        <f t="shared" si="174"/>
        <v>9.5781657848324514E-2</v>
      </c>
      <c r="AM124" s="286">
        <f t="shared" ref="AM124:AT124" si="175">AM13/AM6</f>
        <v>0.10403407024595655</v>
      </c>
      <c r="AN124" s="286">
        <f t="shared" si="175"/>
        <v>9.7416648818447915E-2</v>
      </c>
      <c r="AO124" s="427">
        <f t="shared" si="175"/>
        <v>9.550618672665917E-2</v>
      </c>
      <c r="AP124" s="286">
        <f t="shared" si="175"/>
        <v>8.102768065268065E-2</v>
      </c>
      <c r="AQ124" s="286">
        <f t="shared" si="175"/>
        <v>9.065807670832797E-2</v>
      </c>
      <c r="AR124" s="286">
        <f t="shared" si="175"/>
        <v>8.1315662303004077E-2</v>
      </c>
      <c r="AS124" s="286">
        <f t="shared" si="175"/>
        <v>8.1253717600478795E-2</v>
      </c>
      <c r="AT124" s="286">
        <f t="shared" si="175"/>
        <v>8.4129820522212337E-2</v>
      </c>
      <c r="AU124" s="286"/>
      <c r="AV124" s="286"/>
      <c r="AW124" s="286"/>
      <c r="AX124" s="286"/>
      <c r="AY124" s="286"/>
      <c r="AZ124" s="286"/>
      <c r="BA124" s="286"/>
      <c r="BB124" s="286"/>
      <c r="BC124" s="286"/>
      <c r="BI124" s="178">
        <f>BI13/BI6</f>
        <v>6.8497947863116165E-2</v>
      </c>
      <c r="BJ124" s="178">
        <f>BJ13/BJ6</f>
        <v>0.12599519411713617</v>
      </c>
      <c r="BK124" s="178">
        <f>BK13/BK6</f>
        <v>0.11851911642048053</v>
      </c>
      <c r="BL124" s="178"/>
      <c r="BM124" s="178"/>
    </row>
    <row r="126" spans="1:69" x14ac:dyDescent="0.3">
      <c r="A126" s="84" t="s">
        <v>71</v>
      </c>
    </row>
    <row r="127" spans="1:69" x14ac:dyDescent="0.3">
      <c r="A127" s="88" t="s">
        <v>79</v>
      </c>
      <c r="J127" s="9"/>
      <c r="BD127" s="9"/>
      <c r="BH127" s="9"/>
      <c r="BI127" s="151">
        <v>2.7E-2</v>
      </c>
      <c r="BJ127" s="151">
        <v>2.8000000000000001E-2</v>
      </c>
      <c r="BK127" s="151">
        <v>3.2000000000000001E-2</v>
      </c>
      <c r="BL127" s="9"/>
    </row>
    <row r="128" spans="1:69" x14ac:dyDescent="0.3">
      <c r="A128" s="88" t="s">
        <v>72</v>
      </c>
      <c r="J128" s="9"/>
      <c r="BD128" s="9"/>
      <c r="BH128" s="9"/>
      <c r="BI128" s="151">
        <v>2.4E-2</v>
      </c>
      <c r="BJ128" s="151">
        <v>3.5000000000000003E-2</v>
      </c>
      <c r="BK128" s="151">
        <v>0.03</v>
      </c>
    </row>
    <row r="129" spans="1:69" x14ac:dyDescent="0.3">
      <c r="A129" s="88" t="s">
        <v>73</v>
      </c>
      <c r="J129" s="9"/>
      <c r="BD129" s="9"/>
      <c r="BH129" s="9"/>
      <c r="BI129" s="151">
        <v>7.85E-2</v>
      </c>
      <c r="BJ129" s="151">
        <v>0.06</v>
      </c>
      <c r="BK129" s="151">
        <v>5.7000000000000002E-2</v>
      </c>
    </row>
    <row r="130" spans="1:69" x14ac:dyDescent="0.3">
      <c r="A130" s="88" t="s">
        <v>74</v>
      </c>
      <c r="J130" s="9"/>
      <c r="BD130" s="9"/>
      <c r="BH130" s="9"/>
      <c r="BI130" s="151">
        <v>0.05</v>
      </c>
      <c r="BJ130" s="151">
        <v>8.8999999999999996E-2</v>
      </c>
      <c r="BK130" s="151">
        <v>8.8999999999999996E-2</v>
      </c>
    </row>
    <row r="131" spans="1:69" x14ac:dyDescent="0.3">
      <c r="A131" s="94"/>
      <c r="AT131" s="161"/>
      <c r="AU131" s="161"/>
      <c r="AV131" s="161"/>
      <c r="AW131" s="161"/>
      <c r="AX131" s="161"/>
      <c r="AY131" s="161"/>
      <c r="AZ131" s="161"/>
      <c r="BA131" s="161"/>
      <c r="BB131" s="74"/>
      <c r="BC131" s="74"/>
    </row>
    <row r="132" spans="1:69" x14ac:dyDescent="0.3">
      <c r="A132" s="94" t="s">
        <v>63</v>
      </c>
      <c r="Z132" s="297">
        <f>Z133/Z137</f>
        <v>0.8685398896136477</v>
      </c>
      <c r="AA132" s="286">
        <f>AA133/AA137</f>
        <v>0.8403083700440529</v>
      </c>
      <c r="AB132" s="286">
        <f>AB133/AB137</f>
        <v>0.82136752136752134</v>
      </c>
      <c r="AC132" s="289">
        <f>AC133/AC137</f>
        <v>0.84167071393880555</v>
      </c>
      <c r="AD132" s="297">
        <v>0.82499999999999996</v>
      </c>
      <c r="AE132" s="286">
        <v>0.81399999999999995</v>
      </c>
      <c r="AF132" s="286">
        <v>0.80600000000000005</v>
      </c>
      <c r="AG132" s="289">
        <f>AG133/AG137</f>
        <v>0.79534285714285713</v>
      </c>
      <c r="AH132" s="297">
        <v>0.83</v>
      </c>
      <c r="AI132" s="286">
        <v>0.78100000000000003</v>
      </c>
      <c r="AJ132" s="286">
        <v>0.79600000000000004</v>
      </c>
      <c r="AK132" s="427">
        <f>AK133/AK137</f>
        <v>0.82747233864207914</v>
      </c>
      <c r="AL132" s="286">
        <v>0.84099999999999997</v>
      </c>
      <c r="AM132" s="286">
        <v>0.8</v>
      </c>
      <c r="AN132" s="286">
        <v>0.8</v>
      </c>
      <c r="AO132" s="427">
        <f>AO133/AO137</f>
        <v>0.75321269540502134</v>
      </c>
      <c r="AP132" s="286">
        <v>0.8</v>
      </c>
      <c r="AQ132" s="286">
        <v>0.8</v>
      </c>
      <c r="AR132" s="286">
        <v>0.8</v>
      </c>
      <c r="AS132" s="286"/>
      <c r="AT132" s="286"/>
      <c r="AU132" s="286"/>
      <c r="AV132" s="286"/>
      <c r="AW132" s="286"/>
      <c r="AX132" s="286"/>
      <c r="AY132" s="286"/>
      <c r="AZ132" s="286"/>
      <c r="BA132" s="286"/>
      <c r="BB132" s="286"/>
      <c r="BC132" s="286"/>
      <c r="BI132" s="15"/>
      <c r="BJ132" s="15"/>
      <c r="BK132" s="15"/>
      <c r="BL132" s="15">
        <f>BL133/BL137</f>
        <v>0.80251141552511418</v>
      </c>
      <c r="BM132" s="15">
        <f>BM133/BM137</f>
        <v>0.8421052631578948</v>
      </c>
      <c r="BN132" s="15">
        <v>0.80900000000000005</v>
      </c>
      <c r="BO132" s="15">
        <v>0.80700000000000005</v>
      </c>
      <c r="BP132" s="15">
        <v>0.8</v>
      </c>
    </row>
    <row r="133" spans="1:69" s="81" customFormat="1" x14ac:dyDescent="0.3">
      <c r="A133" s="167" t="s">
        <v>64</v>
      </c>
      <c r="F133" s="82"/>
      <c r="N133" s="117"/>
      <c r="P133" s="140"/>
      <c r="S133" s="117"/>
      <c r="T133" s="82"/>
      <c r="U133" s="162"/>
      <c r="V133" s="162"/>
      <c r="W133" s="162"/>
      <c r="X133" s="162"/>
      <c r="Y133" s="162"/>
      <c r="Z133" s="308">
        <v>173.1</v>
      </c>
      <c r="AA133" s="162">
        <v>152.6</v>
      </c>
      <c r="AB133" s="162">
        <v>192.2</v>
      </c>
      <c r="AC133" s="320">
        <f>BM133*4-SUM(Z133:AB133)</f>
        <v>173.30000000000007</v>
      </c>
      <c r="AD133" s="308">
        <f>AD132*AD137</f>
        <v>122.42999999999999</v>
      </c>
      <c r="AE133" s="162">
        <f>AE132*AE137</f>
        <v>142.93839999999997</v>
      </c>
      <c r="AF133" s="162">
        <f>AF132*AF137</f>
        <v>198.11480000000003</v>
      </c>
      <c r="AG133" s="162">
        <f>BN133*4-SUM(AD133:AF133)</f>
        <v>155.88720000000001</v>
      </c>
      <c r="AH133" s="308">
        <f>AH132*AH137</f>
        <v>194.38599999999997</v>
      </c>
      <c r="AI133" s="162">
        <f>AI132*AI137</f>
        <v>217.03989999999999</v>
      </c>
      <c r="AJ133" s="162">
        <f>AJ132*AJ137</f>
        <v>220.41239999999999</v>
      </c>
      <c r="AK133" s="446">
        <f>BO133*4-SUM(AH133:AJ133)</f>
        <v>197.43490000000008</v>
      </c>
      <c r="AL133" s="162">
        <f>AL132*AL137</f>
        <v>205.8768</v>
      </c>
      <c r="AM133" s="162">
        <f>AM132*AM137</f>
        <v>158.08000000000001</v>
      </c>
      <c r="AN133" s="162">
        <f>AN132*AN137</f>
        <v>225.20000000000002</v>
      </c>
      <c r="AO133" s="446">
        <f>BP133*4-SUM(AL133:AN133)</f>
        <v>159.00319999999999</v>
      </c>
      <c r="AP133" s="162">
        <f>AP132*AP137</f>
        <v>228.88000000000002</v>
      </c>
      <c r="AQ133" s="162">
        <f>AQ132*AQ137</f>
        <v>223.04000000000002</v>
      </c>
      <c r="AR133" s="162">
        <f>AR132*AR137</f>
        <v>0</v>
      </c>
      <c r="AS133" s="162"/>
      <c r="AT133" s="162"/>
      <c r="AU133" s="162"/>
      <c r="AV133" s="162"/>
      <c r="AW133" s="162"/>
      <c r="AX133" s="162"/>
      <c r="AY133" s="162"/>
      <c r="AZ133" s="162"/>
      <c r="BA133" s="162"/>
      <c r="BD133" s="81">
        <v>123.6</v>
      </c>
      <c r="BI133" s="81">
        <v>7.6</v>
      </c>
      <c r="BJ133" s="81">
        <f>BI133*(1+223.6%)</f>
        <v>24.593599999999999</v>
      </c>
      <c r="BK133" s="81">
        <v>79.599999999999994</v>
      </c>
      <c r="BL133" s="81">
        <v>140.6</v>
      </c>
      <c r="BM133" s="81">
        <v>172.8</v>
      </c>
      <c r="BN133" s="81">
        <f>BN132*BN137</f>
        <v>154.8426</v>
      </c>
      <c r="BO133" s="81">
        <f>BO132*BO137</f>
        <v>207.31829999999999</v>
      </c>
      <c r="BP133" s="81">
        <f>BP132*BP137</f>
        <v>187.04000000000002</v>
      </c>
      <c r="BQ133" s="82"/>
    </row>
    <row r="134" spans="1:69" s="78" customFormat="1" x14ac:dyDescent="0.3">
      <c r="A134" s="168"/>
      <c r="F134" s="79"/>
      <c r="N134" s="118"/>
      <c r="P134" s="141"/>
      <c r="S134" s="118"/>
      <c r="T134" s="79"/>
      <c r="U134" s="163"/>
      <c r="V134" s="163"/>
      <c r="W134" s="163"/>
      <c r="X134" s="163"/>
      <c r="Y134" s="163"/>
      <c r="Z134" s="309"/>
      <c r="AA134" s="217"/>
      <c r="AB134" s="163"/>
      <c r="AC134" s="321"/>
      <c r="AD134" s="309"/>
      <c r="AE134" s="163"/>
      <c r="AF134" s="163"/>
      <c r="AG134" s="163"/>
      <c r="AH134" s="309"/>
      <c r="AI134" s="163"/>
      <c r="AJ134" s="163"/>
      <c r="AK134" s="433"/>
      <c r="AL134" s="163"/>
      <c r="AM134" s="163"/>
      <c r="AN134" s="163"/>
      <c r="AO134" s="433"/>
      <c r="AP134" s="163"/>
      <c r="AQ134" s="163"/>
      <c r="AR134" s="163"/>
      <c r="AS134" s="163"/>
      <c r="AT134" s="163"/>
      <c r="AU134" s="163"/>
      <c r="AV134" s="163"/>
      <c r="AW134" s="163"/>
      <c r="AX134" s="163"/>
      <c r="AY134" s="163"/>
      <c r="AZ134" s="163"/>
      <c r="BA134" s="163"/>
      <c r="BJ134" s="80">
        <f t="shared" ref="BJ134:BP134" si="176">IFERROR(BJ133/BI133-1,"n.a.")</f>
        <v>2.2359999999999998</v>
      </c>
      <c r="BK134" s="80">
        <f t="shared" si="176"/>
        <v>2.2366144037473163</v>
      </c>
      <c r="BL134" s="80">
        <f>IFERROR(BL133/BK133-1,"n.a.")</f>
        <v>0.76633165829145744</v>
      </c>
      <c r="BM134" s="80">
        <f>IFERROR(BM133/BL133-1,"n.a.")</f>
        <v>0.22901849217638715</v>
      </c>
      <c r="BN134" s="80">
        <f t="shared" si="176"/>
        <v>-0.10392013888888896</v>
      </c>
      <c r="BO134" s="80">
        <f t="shared" si="176"/>
        <v>0.33889704771167617</v>
      </c>
      <c r="BP134" s="80">
        <f t="shared" si="176"/>
        <v>-9.7812397651340866E-2</v>
      </c>
      <c r="BQ134" s="79"/>
    </row>
    <row r="135" spans="1:69" s="63" customFormat="1" x14ac:dyDescent="0.3">
      <c r="A135" s="169" t="s">
        <v>121</v>
      </c>
      <c r="J135" s="81"/>
      <c r="N135" s="119"/>
      <c r="P135" s="142"/>
      <c r="S135" s="119"/>
      <c r="T135" s="83"/>
      <c r="U135" s="164"/>
      <c r="V135" s="164"/>
      <c r="W135" s="164"/>
      <c r="X135" s="164"/>
      <c r="Y135" s="164"/>
      <c r="Z135" s="310">
        <f t="shared" ref="Z135:BD135" si="177">Z137-Z133</f>
        <v>26.200000000000017</v>
      </c>
      <c r="AA135" s="322">
        <f t="shared" si="177"/>
        <v>29</v>
      </c>
      <c r="AB135" s="322">
        <f t="shared" si="177"/>
        <v>41.800000000000011</v>
      </c>
      <c r="AC135" s="290">
        <f t="shared" si="177"/>
        <v>32.599999999999937</v>
      </c>
      <c r="AD135" s="333">
        <f t="shared" si="177"/>
        <v>25.970000000000013</v>
      </c>
      <c r="AE135" s="290">
        <f t="shared" si="177"/>
        <v>32.661600000000021</v>
      </c>
      <c r="AF135" s="290">
        <f t="shared" si="177"/>
        <v>47.68519999999998</v>
      </c>
      <c r="AG135" s="290">
        <f t="shared" si="177"/>
        <v>40.112799999999993</v>
      </c>
      <c r="AH135" s="310">
        <f t="shared" si="177"/>
        <v>39.814000000000021</v>
      </c>
      <c r="AI135" s="322">
        <f t="shared" si="177"/>
        <v>60.860099999999989</v>
      </c>
      <c r="AJ135" s="322">
        <f t="shared" si="177"/>
        <v>56.487599999999986</v>
      </c>
      <c r="AK135" s="447">
        <f t="shared" si="177"/>
        <v>41.16509999999991</v>
      </c>
      <c r="AL135" s="322">
        <f t="shared" si="177"/>
        <v>38.923200000000008</v>
      </c>
      <c r="AM135" s="322">
        <f t="shared" si="177"/>
        <v>39.519999999999982</v>
      </c>
      <c r="AN135" s="322">
        <f t="shared" si="177"/>
        <v>56.299999999999983</v>
      </c>
      <c r="AO135" s="447">
        <f t="shared" si="177"/>
        <v>52.096800000000002</v>
      </c>
      <c r="AP135" s="322">
        <f t="shared" si="177"/>
        <v>57.22</v>
      </c>
      <c r="AQ135" s="322">
        <f t="shared" si="177"/>
        <v>55.759999999999991</v>
      </c>
      <c r="AR135" s="322">
        <f t="shared" si="177"/>
        <v>0</v>
      </c>
      <c r="AS135" s="322"/>
      <c r="AT135" s="322"/>
      <c r="AU135" s="322"/>
      <c r="AV135" s="322"/>
      <c r="AW135" s="322"/>
      <c r="AX135" s="322"/>
      <c r="AY135" s="322"/>
      <c r="AZ135" s="322"/>
      <c r="BA135" s="322"/>
      <c r="BB135" s="1002"/>
      <c r="BC135" s="1002"/>
      <c r="BD135" s="81">
        <f t="shared" si="177"/>
        <v>36.800000000000011</v>
      </c>
      <c r="BH135" s="81"/>
      <c r="BI135" s="81">
        <f t="shared" ref="BI135:BN135" si="178">BI137-BI133</f>
        <v>81.100000000000009</v>
      </c>
      <c r="BJ135" s="81">
        <f t="shared" si="178"/>
        <v>74.906400000000005</v>
      </c>
      <c r="BK135" s="81">
        <f t="shared" si="178"/>
        <v>41.600000000000009</v>
      </c>
      <c r="BL135" s="81">
        <f t="shared" si="178"/>
        <v>34.599999999999994</v>
      </c>
      <c r="BM135" s="81">
        <f t="shared" si="178"/>
        <v>32.399999999999977</v>
      </c>
      <c r="BN135" s="81">
        <f t="shared" si="178"/>
        <v>36.557400000000001</v>
      </c>
      <c r="BO135" s="81">
        <f>BO137-BO133</f>
        <v>49.581699999999984</v>
      </c>
      <c r="BP135" s="81">
        <f>BP137-BP133</f>
        <v>46.759999999999991</v>
      </c>
      <c r="BQ135" s="83"/>
    </row>
    <row r="136" spans="1:69" s="74" customFormat="1" x14ac:dyDescent="0.3">
      <c r="A136" s="168" t="s">
        <v>81</v>
      </c>
      <c r="J136" s="78"/>
      <c r="N136" s="120"/>
      <c r="P136" s="143"/>
      <c r="S136" s="120"/>
      <c r="T136" s="75"/>
      <c r="U136" s="161"/>
      <c r="V136" s="161"/>
      <c r="W136" s="161"/>
      <c r="X136" s="161"/>
      <c r="Y136" s="161"/>
      <c r="Z136" s="311"/>
      <c r="AA136" s="217"/>
      <c r="AB136" s="161"/>
      <c r="AC136" s="161"/>
      <c r="AD136" s="137"/>
      <c r="AE136" s="161"/>
      <c r="AF136" s="161"/>
      <c r="AG136" s="161"/>
      <c r="AH136" s="137"/>
      <c r="AI136" s="161"/>
      <c r="AJ136" s="161"/>
      <c r="AK136" s="114"/>
      <c r="AL136" s="161"/>
      <c r="AM136" s="161"/>
      <c r="AN136" s="161"/>
      <c r="AO136" s="114"/>
      <c r="AP136" s="161"/>
      <c r="AQ136" s="161"/>
      <c r="AR136" s="161"/>
      <c r="AS136" s="161"/>
      <c r="AT136" s="161"/>
      <c r="AU136" s="161"/>
      <c r="AV136" s="161"/>
      <c r="AW136" s="161"/>
      <c r="AX136" s="161"/>
      <c r="AY136" s="161"/>
      <c r="AZ136" s="161"/>
      <c r="BA136" s="161"/>
      <c r="BD136" s="78"/>
      <c r="BH136" s="78"/>
      <c r="BI136" s="78"/>
      <c r="BJ136" s="80">
        <f t="shared" ref="BJ136:BP136" si="179">IFERROR(BJ135/BI135-1,"n.a.")</f>
        <v>-7.6369913686806457E-2</v>
      </c>
      <c r="BK136" s="80">
        <f t="shared" si="179"/>
        <v>-0.44464024435829241</v>
      </c>
      <c r="BL136" s="80">
        <f>IFERROR(BL135/BK135-1,"n.a.")</f>
        <v>-0.16826923076923106</v>
      </c>
      <c r="BM136" s="80">
        <f>IFERROR(BM135/BL135-1,"n.a.")</f>
        <v>-6.3583815028902202E-2</v>
      </c>
      <c r="BN136" s="80">
        <f t="shared" si="179"/>
        <v>0.12831481481481566</v>
      </c>
      <c r="BO136" s="80">
        <f t="shared" si="179"/>
        <v>0.35626986601891764</v>
      </c>
      <c r="BP136" s="80">
        <f t="shared" si="179"/>
        <v>-5.6910109980093382E-2</v>
      </c>
      <c r="BQ136" s="75"/>
    </row>
    <row r="137" spans="1:69" s="374" customFormat="1" x14ac:dyDescent="0.3">
      <c r="A137" s="373" t="s">
        <v>70</v>
      </c>
      <c r="N137" s="375"/>
      <c r="P137" s="376"/>
      <c r="S137" s="375"/>
      <c r="T137" s="377"/>
      <c r="U137" s="378"/>
      <c r="V137" s="378">
        <v>163.4</v>
      </c>
      <c r="W137" s="378">
        <v>157.4</v>
      </c>
      <c r="X137" s="378">
        <v>206.3</v>
      </c>
      <c r="Y137" s="378">
        <v>173.7</v>
      </c>
      <c r="Z137" s="379">
        <v>199.3</v>
      </c>
      <c r="AA137" s="378">
        <v>181.6</v>
      </c>
      <c r="AB137" s="378">
        <v>234</v>
      </c>
      <c r="AC137" s="378">
        <v>205.9</v>
      </c>
      <c r="AD137" s="379">
        <v>148.4</v>
      </c>
      <c r="AE137" s="378">
        <v>175.6</v>
      </c>
      <c r="AF137" s="378">
        <v>245.8</v>
      </c>
      <c r="AG137" s="378">
        <v>196</v>
      </c>
      <c r="AH137" s="379">
        <v>234.2</v>
      </c>
      <c r="AI137" s="378">
        <v>277.89999999999998</v>
      </c>
      <c r="AJ137" s="378">
        <v>276.89999999999998</v>
      </c>
      <c r="AK137" s="434">
        <v>238.6</v>
      </c>
      <c r="AL137" s="378">
        <v>244.8</v>
      </c>
      <c r="AM137" s="378">
        <v>197.6</v>
      </c>
      <c r="AN137" s="378">
        <v>281.5</v>
      </c>
      <c r="AO137" s="434">
        <v>211.1</v>
      </c>
      <c r="AP137" s="460">
        <v>286.10000000000002</v>
      </c>
      <c r="AQ137" s="460">
        <v>278.8</v>
      </c>
      <c r="AR137" s="378"/>
      <c r="AS137" s="378"/>
      <c r="AT137" s="380"/>
      <c r="AU137" s="380"/>
      <c r="AV137" s="380"/>
      <c r="AW137" s="380"/>
      <c r="AX137" s="380"/>
      <c r="AY137" s="380"/>
      <c r="AZ137" s="380"/>
      <c r="BA137" s="380"/>
      <c r="BB137" s="380"/>
      <c r="BC137" s="380"/>
      <c r="BD137" s="374">
        <v>160.4</v>
      </c>
      <c r="BI137" s="374">
        <v>88.7</v>
      </c>
      <c r="BJ137" s="374">
        <v>99.5</v>
      </c>
      <c r="BK137" s="374">
        <v>121.2</v>
      </c>
      <c r="BL137" s="374">
        <v>175.2</v>
      </c>
      <c r="BM137" s="374">
        <v>205.2</v>
      </c>
      <c r="BN137" s="374">
        <v>191.4</v>
      </c>
      <c r="BO137" s="374">
        <v>256.89999999999998</v>
      </c>
      <c r="BP137" s="374">
        <v>233.8</v>
      </c>
      <c r="BQ137" s="377"/>
    </row>
    <row r="138" spans="1:69" s="74" customFormat="1" x14ac:dyDescent="0.3">
      <c r="A138" s="168" t="s">
        <v>81</v>
      </c>
      <c r="N138" s="120"/>
      <c r="P138" s="143"/>
      <c r="S138" s="120"/>
      <c r="T138" s="75"/>
      <c r="U138" s="161"/>
      <c r="V138" s="161"/>
      <c r="W138" s="161"/>
      <c r="X138" s="161"/>
      <c r="Y138" s="161"/>
      <c r="Z138" s="311">
        <f>Z137/V137-1</f>
        <v>0.21970624235006131</v>
      </c>
      <c r="AA138" s="217">
        <f>AA137/W137-1</f>
        <v>0.15374841168996189</v>
      </c>
      <c r="AB138" s="217">
        <f>AB137/X137-1</f>
        <v>0.13427047988366447</v>
      </c>
      <c r="AC138" s="217">
        <f>AC137/Y137-1</f>
        <v>0.18537708693149124</v>
      </c>
      <c r="AD138" s="311">
        <f>AD137/Z137-1</f>
        <v>-0.25539387857501261</v>
      </c>
      <c r="AE138" s="217">
        <f t="shared" ref="AE138:AO138" si="180">AE137/AA137-1</f>
        <v>-3.3039647577092546E-2</v>
      </c>
      <c r="AF138" s="217">
        <f t="shared" si="180"/>
        <v>5.042735042735047E-2</v>
      </c>
      <c r="AG138" s="217">
        <f t="shared" si="180"/>
        <v>-4.8081593006313761E-2</v>
      </c>
      <c r="AH138" s="311">
        <f t="shared" si="180"/>
        <v>0.57816711590296488</v>
      </c>
      <c r="AI138" s="217">
        <f t="shared" si="180"/>
        <v>0.58257403189066048</v>
      </c>
      <c r="AJ138" s="363">
        <f t="shared" si="180"/>
        <v>0.12652563059397881</v>
      </c>
      <c r="AK138" s="448">
        <f t="shared" si="180"/>
        <v>0.21734693877551026</v>
      </c>
      <c r="AL138" s="363">
        <f t="shared" si="180"/>
        <v>4.5260461144321251E-2</v>
      </c>
      <c r="AM138" s="363">
        <f t="shared" si="180"/>
        <v>-0.2889528607412738</v>
      </c>
      <c r="AN138" s="363">
        <f t="shared" si="180"/>
        <v>1.6612495485734957E-2</v>
      </c>
      <c r="AO138" s="448">
        <f t="shared" si="180"/>
        <v>-0.11525565800502935</v>
      </c>
      <c r="AP138" s="363">
        <f>AP137/AL137-1</f>
        <v>0.16870915032679745</v>
      </c>
      <c r="AQ138" s="363">
        <f>AQ137/AM137-1</f>
        <v>0.41093117408906887</v>
      </c>
      <c r="AR138" s="363">
        <f>AR137/AN137-1</f>
        <v>-1</v>
      </c>
      <c r="AS138" s="363"/>
      <c r="AT138" s="75"/>
      <c r="AU138" s="75"/>
      <c r="AV138" s="75"/>
      <c r="AW138" s="75"/>
      <c r="AX138" s="75"/>
      <c r="AY138" s="75"/>
      <c r="AZ138" s="75"/>
      <c r="BA138" s="75"/>
      <c r="BI138" s="24"/>
      <c r="BJ138" s="25">
        <f t="shared" ref="BJ138:BP138" si="181">IFERROR(BJ137/BI137-1,"n.a.")</f>
        <v>0.12175873731679809</v>
      </c>
      <c r="BK138" s="25">
        <f t="shared" si="181"/>
        <v>0.21809045226130652</v>
      </c>
      <c r="BL138" s="25">
        <f>IFERROR(BL137/BK137-1,"n.a.")</f>
        <v>0.4455445544554455</v>
      </c>
      <c r="BM138" s="25">
        <f>IFERROR(BM137/BL137-1,"n.a.")</f>
        <v>0.17123287671232879</v>
      </c>
      <c r="BN138" s="25">
        <f t="shared" si="181"/>
        <v>-6.7251461988304007E-2</v>
      </c>
      <c r="BO138" s="25">
        <f t="shared" si="181"/>
        <v>0.34221525600835934</v>
      </c>
      <c r="BP138" s="25">
        <f t="shared" si="181"/>
        <v>-8.9918256130790075E-2</v>
      </c>
      <c r="BQ138" s="75"/>
    </row>
    <row r="139" spans="1:69" s="74" customFormat="1" x14ac:dyDescent="0.3">
      <c r="A139" s="351" t="s">
        <v>296</v>
      </c>
      <c r="N139" s="120"/>
      <c r="P139" s="143"/>
      <c r="S139" s="120"/>
      <c r="T139" s="75"/>
      <c r="U139" s="161"/>
      <c r="V139" s="161"/>
      <c r="W139" s="161"/>
      <c r="X139" s="161"/>
      <c r="Y139" s="161"/>
      <c r="Z139" s="311"/>
      <c r="AA139" s="217"/>
      <c r="AB139" s="217"/>
      <c r="AC139" s="217"/>
      <c r="AD139" s="311"/>
      <c r="AE139" s="217"/>
      <c r="AF139" s="217"/>
      <c r="AG139" s="217"/>
      <c r="AH139" s="355">
        <f>AH137/Z137-1</f>
        <v>0.17511289513296524</v>
      </c>
      <c r="AI139" s="340">
        <f>AI137/AA137-1</f>
        <v>0.53028634361233462</v>
      </c>
      <c r="AJ139" s="364">
        <f>AJ137/AB137-1</f>
        <v>0.18333333333333313</v>
      </c>
      <c r="AK139" s="449">
        <f>AK137/AC137-1</f>
        <v>0.15881495871782403</v>
      </c>
      <c r="AL139" s="364">
        <f t="shared" ref="AL139:AR139" si="182">AL137/Z137-1</f>
        <v>0.22829904666332168</v>
      </c>
      <c r="AM139" s="364">
        <f t="shared" si="182"/>
        <v>8.8105726872246715E-2</v>
      </c>
      <c r="AN139" s="364">
        <f t="shared" si="182"/>
        <v>0.20299145299145294</v>
      </c>
      <c r="AO139" s="449">
        <f t="shared" si="182"/>
        <v>2.5254978144730433E-2</v>
      </c>
      <c r="AP139" s="364">
        <f t="shared" si="182"/>
        <v>0.92789757412398921</v>
      </c>
      <c r="AQ139" s="364">
        <f t="shared" si="182"/>
        <v>0.58769931662870167</v>
      </c>
      <c r="AR139" s="364">
        <f t="shared" si="182"/>
        <v>-1</v>
      </c>
      <c r="AS139" s="364"/>
      <c r="AT139" s="217"/>
      <c r="AU139" s="217"/>
      <c r="AV139" s="217"/>
      <c r="AW139" s="217"/>
      <c r="AX139" s="217"/>
      <c r="AY139" s="217"/>
      <c r="AZ139" s="217"/>
      <c r="BA139" s="217"/>
      <c r="BB139" s="217"/>
      <c r="BC139" s="217"/>
      <c r="BI139" s="24"/>
      <c r="BJ139" s="25"/>
      <c r="BK139" s="25"/>
      <c r="BL139" s="25"/>
      <c r="BM139" s="25"/>
      <c r="BN139" s="25"/>
      <c r="BO139" s="25"/>
      <c r="BP139" s="25"/>
      <c r="BQ139" s="75"/>
    </row>
    <row r="140" spans="1:69" x14ac:dyDescent="0.3">
      <c r="A140" s="94"/>
      <c r="H140" s="2"/>
      <c r="I140" s="2"/>
      <c r="Z140" s="416">
        <f>(Z4/1000)/(Z141*3)</f>
        <v>518.037518037518</v>
      </c>
      <c r="AO140" s="416">
        <f>AO4/1000/AO141</f>
        <v>1045.2674897119341</v>
      </c>
      <c r="AP140" s="416">
        <f>(AP4/1000)/(AP141*3)</f>
        <v>460.54750402576497</v>
      </c>
      <c r="BI140" s="20"/>
      <c r="BJ140" s="20"/>
      <c r="BK140" s="20"/>
      <c r="BL140" s="20"/>
      <c r="BM140" s="20"/>
      <c r="BN140" s="152"/>
      <c r="BO140" s="152"/>
      <c r="BP140" s="152"/>
    </row>
    <row r="141" spans="1:69" s="377" customFormat="1" x14ac:dyDescent="0.3">
      <c r="A141" s="381" t="s">
        <v>82</v>
      </c>
      <c r="N141" s="434"/>
      <c r="P141" s="379"/>
      <c r="S141" s="434"/>
      <c r="U141" s="378"/>
      <c r="V141" s="378">
        <v>16.899999999999999</v>
      </c>
      <c r="W141" s="378">
        <v>18</v>
      </c>
      <c r="X141" s="378">
        <v>22.6</v>
      </c>
      <c r="Y141" s="378">
        <v>22.3</v>
      </c>
      <c r="Z141" s="379">
        <v>23.1</v>
      </c>
      <c r="AA141" s="378">
        <v>27.7</v>
      </c>
      <c r="AB141" s="378">
        <v>29.8</v>
      </c>
      <c r="AC141" s="378">
        <v>27.1</v>
      </c>
      <c r="AD141" s="379">
        <v>14.8</v>
      </c>
      <c r="AE141" s="378">
        <v>18.600000000000001</v>
      </c>
      <c r="AF141" s="378">
        <v>29.8</v>
      </c>
      <c r="AG141" s="378">
        <v>28.7</v>
      </c>
      <c r="AH141" s="379">
        <v>27.3</v>
      </c>
      <c r="AI141" s="378">
        <v>33.4</v>
      </c>
      <c r="AJ141" s="378">
        <v>33.6</v>
      </c>
      <c r="AK141" s="434">
        <v>30.8</v>
      </c>
      <c r="AL141" s="378">
        <v>31.7</v>
      </c>
      <c r="AM141" s="378">
        <v>26.1</v>
      </c>
      <c r="AN141" s="462">
        <v>36.799999999999997</v>
      </c>
      <c r="AO141" s="463">
        <v>24.3</v>
      </c>
      <c r="AP141" s="462">
        <v>41.4</v>
      </c>
      <c r="AQ141" s="462">
        <v>42.2</v>
      </c>
      <c r="AR141" s="462">
        <v>44.2</v>
      </c>
      <c r="AS141" s="462">
        <v>37.5</v>
      </c>
      <c r="AT141" s="462">
        <v>42.6</v>
      </c>
      <c r="AU141" s="462">
        <v>42.5</v>
      </c>
      <c r="AV141" s="462">
        <v>46.4</v>
      </c>
      <c r="AW141" s="462">
        <v>41</v>
      </c>
      <c r="AX141" s="462"/>
      <c r="AY141" s="462"/>
      <c r="AZ141" s="462"/>
      <c r="BA141" s="462"/>
      <c r="BB141" s="462"/>
      <c r="BC141" s="462"/>
      <c r="BI141" s="378">
        <v>3.9</v>
      </c>
      <c r="BJ141" s="378">
        <v>9.1</v>
      </c>
      <c r="BK141" s="378">
        <v>15.6</v>
      </c>
      <c r="BL141" s="378">
        <v>20</v>
      </c>
      <c r="BM141" s="378">
        <v>26.9</v>
      </c>
      <c r="BN141" s="378">
        <v>23</v>
      </c>
      <c r="BO141" s="378">
        <v>31.3</v>
      </c>
      <c r="BP141" s="378">
        <v>29.7</v>
      </c>
    </row>
    <row r="142" spans="1:69" s="74" customFormat="1" x14ac:dyDescent="0.3">
      <c r="A142" s="168" t="s">
        <v>81</v>
      </c>
      <c r="N142" s="120"/>
      <c r="P142" s="143"/>
      <c r="S142" s="120"/>
      <c r="T142" s="75"/>
      <c r="U142" s="161"/>
      <c r="V142" s="161"/>
      <c r="W142" s="161"/>
      <c r="X142" s="161"/>
      <c r="Y142" s="161"/>
      <c r="Z142" s="311">
        <f>Z141/V141-1</f>
        <v>0.36686390532544388</v>
      </c>
      <c r="AA142" s="217">
        <f>AA141/W141-1</f>
        <v>0.53888888888888875</v>
      </c>
      <c r="AB142" s="217">
        <f>AB141/X141-1</f>
        <v>0.31858407079646023</v>
      </c>
      <c r="AC142" s="217">
        <f>AC141/Y141-1</f>
        <v>0.2152466367713004</v>
      </c>
      <c r="AD142" s="311">
        <f>AD141/Z141-1</f>
        <v>-0.35930735930735935</v>
      </c>
      <c r="AE142" s="217">
        <f t="shared" ref="AE142:AO142" si="183">AE141/AA141-1</f>
        <v>-0.32851985559566776</v>
      </c>
      <c r="AF142" s="217">
        <f t="shared" si="183"/>
        <v>0</v>
      </c>
      <c r="AG142" s="217">
        <f t="shared" si="183"/>
        <v>5.9040590405903925E-2</v>
      </c>
      <c r="AH142" s="311">
        <f t="shared" si="183"/>
        <v>0.84459459459459452</v>
      </c>
      <c r="AI142" s="357">
        <f t="shared" si="183"/>
        <v>0.79569892473118253</v>
      </c>
      <c r="AJ142" s="357">
        <f t="shared" si="183"/>
        <v>0.12751677852348986</v>
      </c>
      <c r="AK142" s="448">
        <f t="shared" si="183"/>
        <v>7.3170731707317138E-2</v>
      </c>
      <c r="AL142" s="363">
        <f t="shared" si="183"/>
        <v>0.16117216117216104</v>
      </c>
      <c r="AM142" s="363">
        <f t="shared" si="183"/>
        <v>-0.2185628742514969</v>
      </c>
      <c r="AN142" s="363">
        <f t="shared" si="183"/>
        <v>9.5238095238095122E-2</v>
      </c>
      <c r="AO142" s="448">
        <f t="shared" si="183"/>
        <v>-0.21103896103896103</v>
      </c>
      <c r="AP142" s="363">
        <f t="shared" ref="AP142:AW142" si="184">AP141/AL141-1</f>
        <v>0.30599369085173489</v>
      </c>
      <c r="AQ142" s="363">
        <f t="shared" si="184"/>
        <v>0.61685823754789282</v>
      </c>
      <c r="AR142" s="363">
        <f t="shared" si="184"/>
        <v>0.20108695652173925</v>
      </c>
      <c r="AS142" s="363">
        <f t="shared" si="184"/>
        <v>0.54320987654320985</v>
      </c>
      <c r="AT142" s="363">
        <f t="shared" si="184"/>
        <v>2.898550724637694E-2</v>
      </c>
      <c r="AU142" s="363">
        <f t="shared" si="184"/>
        <v>7.1090047393365108E-3</v>
      </c>
      <c r="AV142" s="363">
        <f t="shared" si="184"/>
        <v>4.977375565610842E-2</v>
      </c>
      <c r="AW142" s="363">
        <f t="shared" si="184"/>
        <v>9.3333333333333268E-2</v>
      </c>
      <c r="AX142" s="363"/>
      <c r="AY142" s="363"/>
      <c r="AZ142" s="363"/>
      <c r="BA142" s="363"/>
      <c r="BB142" s="363"/>
      <c r="BC142" s="363"/>
      <c r="BI142" s="24"/>
      <c r="BJ142" s="25">
        <f t="shared" ref="BJ142:BP142" si="185">IFERROR(BJ141/BI141-1,"n.a.")</f>
        <v>1.3333333333333335</v>
      </c>
      <c r="BK142" s="25">
        <f t="shared" si="185"/>
        <v>0.71428571428571441</v>
      </c>
      <c r="BL142" s="25">
        <f>IFERROR(BL141/BK141-1,"n.a.")</f>
        <v>0.28205128205128216</v>
      </c>
      <c r="BM142" s="25">
        <f>IFERROR(BM141/BL141-1,"n.a.")</f>
        <v>0.34499999999999997</v>
      </c>
      <c r="BN142" s="25">
        <f t="shared" si="185"/>
        <v>-0.14498141263940512</v>
      </c>
      <c r="BO142" s="25">
        <f t="shared" si="185"/>
        <v>0.36086956521739144</v>
      </c>
      <c r="BP142" s="25">
        <f t="shared" si="185"/>
        <v>-5.1118210862619806E-2</v>
      </c>
      <c r="BQ142" s="75"/>
    </row>
    <row r="143" spans="1:69" s="74" customFormat="1" x14ac:dyDescent="0.3">
      <c r="A143" s="351" t="s">
        <v>296</v>
      </c>
      <c r="N143" s="120"/>
      <c r="P143" s="143"/>
      <c r="S143" s="120"/>
      <c r="T143" s="75"/>
      <c r="U143" s="161"/>
      <c r="V143" s="161"/>
      <c r="W143" s="161"/>
      <c r="X143" s="161"/>
      <c r="Y143" s="161"/>
      <c r="Z143" s="416">
        <f>Z8/1000/Z144</f>
        <v>7.2469127163818621E-3</v>
      </c>
      <c r="AA143" s="217"/>
      <c r="AB143" s="217"/>
      <c r="AC143" s="217"/>
      <c r="AD143" s="311"/>
      <c r="AE143" s="217"/>
      <c r="AF143" s="217"/>
      <c r="AG143" s="217"/>
      <c r="AH143" s="355">
        <f>AH141/Z141-1</f>
        <v>0.18181818181818188</v>
      </c>
      <c r="AI143" s="358">
        <f>AI141/AA141-1</f>
        <v>0.20577617328519859</v>
      </c>
      <c r="AJ143" s="358">
        <f>AJ141/AB141-1</f>
        <v>0.12751677852348986</v>
      </c>
      <c r="AK143" s="450">
        <f>AK141/AC141-1</f>
        <v>0.13653136531365306</v>
      </c>
      <c r="AL143" s="358">
        <f t="shared" ref="AL143:AS143" si="186">AL141/Z141-1</f>
        <v>0.37229437229437212</v>
      </c>
      <c r="AM143" s="358">
        <f t="shared" si="186"/>
        <v>-5.7761732851985492E-2</v>
      </c>
      <c r="AN143" s="358">
        <f t="shared" si="186"/>
        <v>0.23489932885906017</v>
      </c>
      <c r="AO143" s="450">
        <f t="shared" si="186"/>
        <v>-0.10332103321033215</v>
      </c>
      <c r="AP143" s="358">
        <f t="shared" si="186"/>
        <v>1.7972972972972969</v>
      </c>
      <c r="AQ143" s="358">
        <f t="shared" si="186"/>
        <v>1.268817204301075</v>
      </c>
      <c r="AR143" s="358">
        <f t="shared" si="186"/>
        <v>0.48322147651006708</v>
      </c>
      <c r="AS143" s="358">
        <f t="shared" si="186"/>
        <v>0.30662020905923337</v>
      </c>
      <c r="AT143" s="358">
        <f>AT141/Z141-1</f>
        <v>0.8441558441558441</v>
      </c>
      <c r="AU143" s="358">
        <f>AU141/AA141-1</f>
        <v>0.53429602888086647</v>
      </c>
      <c r="AV143" s="358">
        <f>AV141/AB141-1</f>
        <v>0.55704697986577179</v>
      </c>
      <c r="AW143" s="358"/>
      <c r="AX143" s="358"/>
      <c r="AY143" s="358"/>
      <c r="AZ143" s="358"/>
      <c r="BA143" s="358"/>
      <c r="BB143" s="340"/>
      <c r="BC143" s="340"/>
      <c r="BI143" s="24"/>
      <c r="BJ143" s="25"/>
      <c r="BK143" s="25"/>
      <c r="BL143" s="25"/>
      <c r="BM143" s="25"/>
      <c r="BN143" s="25"/>
      <c r="BO143" s="25"/>
      <c r="BP143" s="25"/>
      <c r="BQ143" s="75"/>
    </row>
    <row r="144" spans="1:69" s="173" customFormat="1" x14ac:dyDescent="0.3">
      <c r="A144" s="172" t="s">
        <v>123</v>
      </c>
      <c r="N144" s="174"/>
      <c r="P144" s="175"/>
      <c r="S144" s="174"/>
      <c r="T144" s="176"/>
      <c r="U144" s="177"/>
      <c r="V144" s="291">
        <f t="shared" ref="V144:AB144" si="187">V141/V137</f>
        <v>0.10342717258261933</v>
      </c>
      <c r="W144" s="291">
        <f t="shared" si="187"/>
        <v>0.11435832274459974</v>
      </c>
      <c r="X144" s="291">
        <f t="shared" si="187"/>
        <v>0.10954920019389239</v>
      </c>
      <c r="Y144" s="291">
        <f t="shared" si="187"/>
        <v>0.12838226827864135</v>
      </c>
      <c r="Z144" s="312">
        <f t="shared" si="187"/>
        <v>0.11590566984445559</v>
      </c>
      <c r="AA144" s="291">
        <f t="shared" si="187"/>
        <v>0.15253303964757708</v>
      </c>
      <c r="AB144" s="291">
        <f t="shared" si="187"/>
        <v>0.12735042735042734</v>
      </c>
      <c r="AC144" s="291">
        <f t="shared" ref="AC144:AL144" si="188">AC141/AC137</f>
        <v>0.13161728994657601</v>
      </c>
      <c r="AD144" s="312">
        <f t="shared" si="188"/>
        <v>9.9730458221024262E-2</v>
      </c>
      <c r="AE144" s="291">
        <f t="shared" si="188"/>
        <v>0.10592255125284739</v>
      </c>
      <c r="AF144" s="291">
        <f t="shared" si="188"/>
        <v>0.12123677786818551</v>
      </c>
      <c r="AG144" s="291">
        <f t="shared" si="188"/>
        <v>0.14642857142857144</v>
      </c>
      <c r="AH144" s="312">
        <f t="shared" si="188"/>
        <v>0.1165670367207515</v>
      </c>
      <c r="AI144" s="291">
        <f t="shared" si="188"/>
        <v>0.12018711766822598</v>
      </c>
      <c r="AJ144" s="291">
        <f t="shared" si="188"/>
        <v>0.12134344528710728</v>
      </c>
      <c r="AK144" s="451">
        <f t="shared" si="188"/>
        <v>0.12908633696563288</v>
      </c>
      <c r="AL144" s="291">
        <f t="shared" si="188"/>
        <v>0.12949346405228757</v>
      </c>
      <c r="AM144" s="291">
        <f t="shared" ref="AM144:AT144" si="189">AM141/AM137</f>
        <v>0.13208502024291499</v>
      </c>
      <c r="AN144" s="291">
        <f t="shared" si="189"/>
        <v>0.13072824156305504</v>
      </c>
      <c r="AO144" s="451">
        <f t="shared" si="189"/>
        <v>0.11511132164850782</v>
      </c>
      <c r="AP144" s="291">
        <f t="shared" si="189"/>
        <v>0.14470464872422228</v>
      </c>
      <c r="AQ144" s="291">
        <f t="shared" si="189"/>
        <v>0.15136298421807748</v>
      </c>
      <c r="AR144" s="291" t="e">
        <f t="shared" si="189"/>
        <v>#DIV/0!</v>
      </c>
      <c r="AS144" s="291" t="e">
        <f t="shared" si="189"/>
        <v>#DIV/0!</v>
      </c>
      <c r="AT144" s="291" t="e">
        <f t="shared" si="189"/>
        <v>#DIV/0!</v>
      </c>
      <c r="AU144" s="291"/>
      <c r="AV144" s="291"/>
      <c r="AW144" s="291"/>
      <c r="AX144" s="291"/>
      <c r="AY144" s="291"/>
      <c r="AZ144" s="291"/>
      <c r="BA144" s="291"/>
      <c r="BB144" s="291"/>
      <c r="BC144" s="291"/>
      <c r="BI144" s="291">
        <f>BI141/BI137</f>
        <v>4.3968432919954899E-2</v>
      </c>
      <c r="BJ144" s="291">
        <f t="shared" ref="BJ144:BP144" si="190">BJ141/BJ137</f>
        <v>9.1457286432160806E-2</v>
      </c>
      <c r="BK144" s="291">
        <f t="shared" si="190"/>
        <v>0.12871287128712872</v>
      </c>
      <c r="BL144" s="291">
        <f t="shared" si="190"/>
        <v>0.11415525114155252</v>
      </c>
      <c r="BM144" s="291">
        <f t="shared" si="190"/>
        <v>0.1310916179337232</v>
      </c>
      <c r="BN144" s="291">
        <f t="shared" si="190"/>
        <v>0.12016718913270637</v>
      </c>
      <c r="BO144" s="291">
        <f t="shared" si="190"/>
        <v>0.12183729077462049</v>
      </c>
      <c r="BP144" s="291">
        <f t="shared" si="190"/>
        <v>0.12703165098374677</v>
      </c>
      <c r="BQ144" s="176"/>
    </row>
    <row r="145" spans="1:64" x14ac:dyDescent="0.3">
      <c r="A145" s="94"/>
    </row>
    <row r="146" spans="1:64" x14ac:dyDescent="0.3">
      <c r="A146" s="84" t="s">
        <v>447</v>
      </c>
      <c r="V146" s="171">
        <v>0.55700000000000005</v>
      </c>
      <c r="W146" s="171"/>
      <c r="X146" s="171"/>
      <c r="Y146" s="171"/>
      <c r="Z146" s="313">
        <v>0.61499999999999999</v>
      </c>
      <c r="AA146" s="171">
        <v>0.61499999999999999</v>
      </c>
      <c r="AB146" s="171">
        <v>0.63300000000000001</v>
      </c>
      <c r="AC146" s="171">
        <v>0.624</v>
      </c>
      <c r="AD146" s="313">
        <v>0.56100000000000005</v>
      </c>
      <c r="AE146" s="171">
        <v>0.63100000000000001</v>
      </c>
      <c r="AF146" s="171">
        <v>0.67200000000000004</v>
      </c>
      <c r="AG146" s="171">
        <v>0.61699999999999999</v>
      </c>
      <c r="AH146" s="313">
        <v>0.59699999999999998</v>
      </c>
      <c r="AI146" s="171">
        <v>0.59299999999999997</v>
      </c>
      <c r="AJ146" s="171">
        <v>0.627</v>
      </c>
      <c r="AK146" s="435"/>
      <c r="AL146" s="171">
        <v>0.6</v>
      </c>
      <c r="AM146" s="171">
        <v>0.61699999999999999</v>
      </c>
      <c r="AN146" s="171">
        <v>0.6</v>
      </c>
      <c r="AO146" s="435">
        <v>0.60299999999999998</v>
      </c>
      <c r="AP146" s="171">
        <v>0.68700000000000006</v>
      </c>
      <c r="AQ146" s="171">
        <v>0.7</v>
      </c>
      <c r="AR146" s="171">
        <v>0.71</v>
      </c>
      <c r="AS146" s="171">
        <v>0.72699999999999998</v>
      </c>
      <c r="AT146" s="171">
        <v>0.7</v>
      </c>
      <c r="AU146" s="171">
        <v>0.7</v>
      </c>
      <c r="AV146" s="171">
        <v>0.71</v>
      </c>
      <c r="AW146" s="171">
        <v>0.7</v>
      </c>
      <c r="AX146" s="171">
        <v>0.68</v>
      </c>
      <c r="AY146" s="171">
        <v>0.69</v>
      </c>
      <c r="AZ146" s="171"/>
      <c r="BA146" s="171"/>
      <c r="BB146" s="151"/>
      <c r="BC146" s="151"/>
    </row>
    <row r="147" spans="1:64" x14ac:dyDescent="0.3">
      <c r="A147" s="84" t="s">
        <v>122</v>
      </c>
      <c r="Z147" s="313">
        <v>0.85499999999999998</v>
      </c>
      <c r="AA147" s="171">
        <v>0.85499999999999998</v>
      </c>
      <c r="AB147" s="171">
        <v>0.85499999999999998</v>
      </c>
      <c r="AC147" s="171">
        <v>0.85599999999999998</v>
      </c>
      <c r="AD147" s="313">
        <v>0.85699999999999998</v>
      </c>
      <c r="AE147" s="171">
        <v>0.85899999999999999</v>
      </c>
      <c r="AF147" s="171">
        <v>0.86099999999999999</v>
      </c>
      <c r="AG147" s="171">
        <v>0.86299999999999999</v>
      </c>
      <c r="AH147" s="313">
        <v>0.86399999999999999</v>
      </c>
      <c r="AI147" s="171">
        <v>0.86599999999999999</v>
      </c>
      <c r="AJ147" s="171">
        <v>0.86799999999999999</v>
      </c>
      <c r="AK147" s="435"/>
      <c r="AL147" s="171">
        <v>0.87</v>
      </c>
      <c r="AM147" s="171">
        <v>0.871</v>
      </c>
      <c r="AN147" s="171">
        <v>0.86699999999999999</v>
      </c>
      <c r="AO147" s="435">
        <v>0.86499999999999999</v>
      </c>
      <c r="AP147" s="171">
        <v>0.86599999999999999</v>
      </c>
      <c r="AQ147" s="171">
        <v>0.87</v>
      </c>
      <c r="AR147" s="171">
        <v>0.87</v>
      </c>
      <c r="AS147" s="171">
        <v>0.86899999999999999</v>
      </c>
      <c r="AT147" s="171">
        <v>0.87</v>
      </c>
      <c r="AU147" s="171">
        <v>0.87</v>
      </c>
      <c r="AV147" s="171">
        <v>0.87</v>
      </c>
      <c r="AW147" s="171">
        <v>0.87</v>
      </c>
      <c r="AX147" s="171">
        <v>0.87</v>
      </c>
      <c r="AY147" s="171">
        <v>0.87</v>
      </c>
      <c r="AZ147" s="171"/>
      <c r="BA147" s="171"/>
      <c r="BB147" s="151"/>
      <c r="BC147" s="151"/>
    </row>
    <row r="149" spans="1:64" x14ac:dyDescent="0.3">
      <c r="A149" s="84" t="s">
        <v>94</v>
      </c>
      <c r="BI149" t="s">
        <v>100</v>
      </c>
      <c r="BJ149" t="s">
        <v>99</v>
      </c>
      <c r="BK149" t="s">
        <v>98</v>
      </c>
      <c r="BL149" s="346"/>
    </row>
    <row r="150" spans="1:64" x14ac:dyDescent="0.3">
      <c r="A150" s="84" t="s">
        <v>95</v>
      </c>
      <c r="BI150">
        <v>853.1</v>
      </c>
      <c r="BJ150">
        <v>868.5</v>
      </c>
      <c r="BK150">
        <v>783.4</v>
      </c>
      <c r="BL150" s="346"/>
    </row>
    <row r="151" spans="1:64" x14ac:dyDescent="0.3">
      <c r="A151" s="84" t="s">
        <v>96</v>
      </c>
      <c r="BI151">
        <v>697</v>
      </c>
      <c r="BJ151">
        <v>889.3</v>
      </c>
      <c r="BK151">
        <v>988.6</v>
      </c>
      <c r="BL151" s="346"/>
    </row>
    <row r="152" spans="1:64" x14ac:dyDescent="0.3">
      <c r="BI152">
        <f>BI150+BI151</f>
        <v>1550.1</v>
      </c>
      <c r="BJ152">
        <f>BJ150+BJ151</f>
        <v>1757.8</v>
      </c>
      <c r="BK152">
        <f>BK150+BK151</f>
        <v>1772</v>
      </c>
      <c r="BL152" s="346"/>
    </row>
    <row r="153" spans="1:64" x14ac:dyDescent="0.3">
      <c r="A153" s="84" t="s">
        <v>324</v>
      </c>
      <c r="AM153" s="403">
        <f t="shared" ref="AM153:AS153" si="191">-AM24/AM11</f>
        <v>0.43581010882341786</v>
      </c>
      <c r="AN153" s="403">
        <f t="shared" si="191"/>
        <v>0.45766720004531358</v>
      </c>
      <c r="AO153" s="436">
        <f t="shared" si="191"/>
        <v>0.4348621993965599</v>
      </c>
      <c r="AP153" s="436">
        <f t="shared" si="191"/>
        <v>0.37362048425009753</v>
      </c>
      <c r="AQ153" s="436">
        <f t="shared" si="191"/>
        <v>0.3865164086134274</v>
      </c>
      <c r="AR153" s="436">
        <f t="shared" si="191"/>
        <v>0.38539958597152718</v>
      </c>
      <c r="AS153" s="436">
        <f t="shared" si="191"/>
        <v>0.35845410873825184</v>
      </c>
      <c r="BJ153">
        <f>BJ152/BI152</f>
        <v>1.133991355396426</v>
      </c>
      <c r="BK153">
        <f>BK152/BJ152</f>
        <v>1.0080782796677665</v>
      </c>
      <c r="BL153" s="346"/>
    </row>
    <row r="154" spans="1:64" hidden="1" x14ac:dyDescent="0.3">
      <c r="AO154" s="515"/>
      <c r="AP154" s="510" t="s">
        <v>328</v>
      </c>
      <c r="AQ154" s="510" t="s">
        <v>329</v>
      </c>
      <c r="AR154" s="510" t="s">
        <v>330</v>
      </c>
      <c r="AS154" s="510" t="s">
        <v>331</v>
      </c>
      <c r="AT154" s="510" t="s">
        <v>346</v>
      </c>
      <c r="AU154" s="511" t="s">
        <v>357</v>
      </c>
      <c r="AV154" s="511" t="s">
        <v>357</v>
      </c>
      <c r="AW154" s="537"/>
      <c r="AX154" s="537"/>
      <c r="AY154" s="537"/>
      <c r="AZ154" s="537"/>
      <c r="BA154" s="537"/>
      <c r="BB154" s="1003"/>
      <c r="BC154" s="1003"/>
    </row>
    <row r="155" spans="1:64" s="96" customFormat="1" hidden="1" x14ac:dyDescent="0.3">
      <c r="A155" s="93" t="s">
        <v>363</v>
      </c>
      <c r="N155" s="505"/>
      <c r="P155" s="506"/>
      <c r="S155" s="505"/>
      <c r="U155" s="507"/>
      <c r="V155" s="507"/>
      <c r="W155" s="507"/>
      <c r="X155" s="507"/>
      <c r="Y155" s="507"/>
      <c r="Z155" s="506"/>
      <c r="AA155" s="507"/>
      <c r="AB155" s="507"/>
      <c r="AC155" s="507"/>
      <c r="AD155" s="506"/>
      <c r="AE155" s="507"/>
      <c r="AF155" s="507"/>
      <c r="AG155" s="507"/>
      <c r="AH155" s="506"/>
      <c r="AI155" s="507"/>
      <c r="AJ155" s="507"/>
      <c r="AK155" s="505"/>
      <c r="AL155" s="507"/>
      <c r="AM155" s="507"/>
      <c r="AN155" s="507"/>
      <c r="AO155" s="512" t="s">
        <v>363</v>
      </c>
      <c r="AP155" s="513">
        <v>0.1</v>
      </c>
      <c r="AQ155" s="513">
        <v>0.105</v>
      </c>
      <c r="AR155" s="513">
        <v>0.11</v>
      </c>
      <c r="AS155" s="513"/>
      <c r="AT155" s="513"/>
      <c r="AU155" s="514">
        <v>0.12</v>
      </c>
      <c r="AV155" s="514">
        <v>0.12</v>
      </c>
      <c r="AW155" s="538"/>
      <c r="AX155" s="538"/>
      <c r="AY155" s="538"/>
      <c r="AZ155" s="538"/>
      <c r="BA155" s="538"/>
      <c r="BB155" s="538"/>
      <c r="BC155" s="538"/>
    </row>
    <row r="156" spans="1:64" x14ac:dyDescent="0.3">
      <c r="AO156" s="508"/>
      <c r="AP156" s="509"/>
      <c r="AQ156" s="509"/>
      <c r="AR156" s="509"/>
      <c r="AS156" s="509"/>
      <c r="AT156" s="509"/>
      <c r="AU156" s="509"/>
      <c r="AV156" s="509"/>
      <c r="AW156" s="509"/>
      <c r="AX156" s="509"/>
      <c r="AY156" s="509"/>
      <c r="AZ156" s="509"/>
      <c r="BA156" s="509"/>
      <c r="BB156" s="1004"/>
      <c r="BC156" s="1004"/>
    </row>
    <row r="158" spans="1:64" x14ac:dyDescent="0.3">
      <c r="A158" s="84" t="s">
        <v>365</v>
      </c>
      <c r="AP158" s="517">
        <f t="shared" ref="AP158:AU158" si="192">(AP4/1000)/(AP141*3)</f>
        <v>460.54750402576497</v>
      </c>
      <c r="AQ158" s="517">
        <f t="shared" si="192"/>
        <v>471.56398104265401</v>
      </c>
      <c r="AR158" s="517">
        <f t="shared" si="192"/>
        <v>536.19909502262431</v>
      </c>
      <c r="AS158" s="517">
        <f t="shared" si="192"/>
        <v>475.55555555555554</v>
      </c>
      <c r="AT158" s="517">
        <f t="shared" si="192"/>
        <v>515.64945226917052</v>
      </c>
      <c r="AU158" s="517">
        <f t="shared" si="192"/>
        <v>488.62745098039215</v>
      </c>
      <c r="AV158" s="517">
        <f t="shared" ref="AV158" si="193">(AV4/1000)/(AV141*3)</f>
        <v>522.98850574712651</v>
      </c>
      <c r="AW158" s="517">
        <f>(AW4/1000)/(AW141*3)</f>
        <v>444.71544715447152</v>
      </c>
      <c r="AX158" s="517"/>
      <c r="AY158" s="517"/>
      <c r="AZ158" s="517"/>
      <c r="BA158" s="517"/>
      <c r="BB158" s="517"/>
      <c r="BC158" s="517"/>
    </row>
    <row r="159" spans="1:64" x14ac:dyDescent="0.3">
      <c r="AT159" s="286">
        <f>AT158/AP158-1</f>
        <v>0.11964444006697494</v>
      </c>
      <c r="AU159" s="286">
        <f>AU158/AQ158-1</f>
        <v>3.6184845797615495E-2</v>
      </c>
      <c r="AV159" s="286">
        <f>AV158/AR158-1</f>
        <v>-2.4637470294388342E-2</v>
      </c>
      <c r="AW159" s="286">
        <f>AW158/AS158-1</f>
        <v>-6.4850695235924349E-2</v>
      </c>
      <c r="AX159" s="286"/>
      <c r="AY159" s="286"/>
      <c r="AZ159" s="286"/>
      <c r="BA159" s="286"/>
      <c r="BB159" s="286"/>
      <c r="BC159" s="286"/>
    </row>
    <row r="160" spans="1:64" x14ac:dyDescent="0.3">
      <c r="AT160" s="286"/>
      <c r="AU160" s="286"/>
      <c r="AV160" s="286"/>
      <c r="AW160" s="286"/>
      <c r="AX160" s="286"/>
      <c r="AY160" s="286"/>
      <c r="AZ160" s="286"/>
      <c r="BA160" s="286"/>
      <c r="BB160" s="286"/>
      <c r="BC160" s="286"/>
    </row>
    <row r="161" spans="1:55" x14ac:dyDescent="0.3">
      <c r="A161" s="84" t="s">
        <v>411</v>
      </c>
      <c r="AT161" s="286"/>
      <c r="AU161" s="286"/>
      <c r="AV161" s="286"/>
      <c r="AW161" s="517">
        <f>SUM(AT4:AW4)/1000/AW162</f>
        <v>1073.017205203525</v>
      </c>
      <c r="AX161" s="517"/>
      <c r="AY161" s="517"/>
      <c r="AZ161" s="517"/>
      <c r="BA161" s="517"/>
      <c r="BB161" s="517"/>
      <c r="BC161" s="517"/>
    </row>
    <row r="162" spans="1:55" x14ac:dyDescent="0.3">
      <c r="A162" s="84" t="s">
        <v>364</v>
      </c>
      <c r="AT162" s="416"/>
      <c r="AU162" s="416"/>
      <c r="AV162" s="416"/>
      <c r="AW162" s="517">
        <v>238.3</v>
      </c>
      <c r="AX162" s="517"/>
      <c r="AY162" s="517"/>
      <c r="AZ162" s="517"/>
      <c r="BA162" s="517"/>
      <c r="BB162" s="517"/>
      <c r="BC162" s="517"/>
    </row>
    <row r="163" spans="1:55" x14ac:dyDescent="0.3">
      <c r="AU163" s="517"/>
      <c r="AV163" s="517"/>
    </row>
    <row r="165" spans="1:55" x14ac:dyDescent="0.3">
      <c r="A165" s="84" t="s">
        <v>459</v>
      </c>
    </row>
    <row r="166" spans="1:55" x14ac:dyDescent="0.3">
      <c r="A166" s="84" t="s">
        <v>460</v>
      </c>
      <c r="AV166" s="517">
        <v>4012810</v>
      </c>
      <c r="AZ166" s="517">
        <v>4608796</v>
      </c>
      <c r="BA166" s="517"/>
      <c r="BB166" s="517"/>
      <c r="BC166" s="517"/>
    </row>
    <row r="167" spans="1:55" x14ac:dyDescent="0.3">
      <c r="A167" s="84" t="s">
        <v>461</v>
      </c>
      <c r="AV167" s="517">
        <v>1249246</v>
      </c>
      <c r="AZ167" s="517">
        <v>1437944</v>
      </c>
      <c r="BA167" s="517"/>
      <c r="BB167" s="517"/>
      <c r="BC167" s="517"/>
    </row>
    <row r="168" spans="1:55" x14ac:dyDescent="0.3">
      <c r="A168" s="84" t="s">
        <v>462</v>
      </c>
      <c r="AV168" s="403">
        <f>AV167/AV166</f>
        <v>0.31131451526486426</v>
      </c>
      <c r="AZ168" s="403">
        <f>AZ167/AZ166</f>
        <v>0.31199992362430451</v>
      </c>
      <c r="BA168" s="403"/>
      <c r="BB168" s="403"/>
      <c r="BC168" s="403"/>
    </row>
  </sheetData>
  <mergeCells count="2">
    <mergeCell ref="B1:N1"/>
    <mergeCell ref="P1:S1"/>
  </mergeCells>
  <phoneticPr fontId="2" type="noConversion"/>
  <pageMargins left="0.7" right="0.7" top="0.75" bottom="0.75" header="0.3" footer="0.3"/>
  <pageSetup paperSize="9" orientation="portrait" r:id="rId1"/>
  <ignoredErrors>
    <ignoredError sqref="G26 G35 G45 BJ135:BK135 BL35 BL26 BL22 I22 I26 I45" formula="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9:O18"/>
  <sheetViews>
    <sheetView topLeftCell="A7" workbookViewId="0">
      <selection activeCell="I14" sqref="I14:O15"/>
    </sheetView>
  </sheetViews>
  <sheetFormatPr defaultRowHeight="14" x14ac:dyDescent="0.3"/>
  <cols>
    <col min="3" max="3" width="19.33203125" bestFit="1" customWidth="1"/>
    <col min="4" max="4" width="8.4140625" style="236"/>
    <col min="5" max="5" width="7.83203125" style="236" bestFit="1" customWidth="1"/>
    <col min="6" max="6" width="8.4140625" style="236"/>
    <col min="9" max="9" width="16.83203125" bestFit="1" customWidth="1"/>
    <col min="10" max="10" width="10.4140625" bestFit="1" customWidth="1"/>
  </cols>
  <sheetData>
    <row r="9" spans="3:15" ht="14.5" thickBot="1" x14ac:dyDescent="0.35"/>
    <row r="10" spans="3:15" ht="14.5" thickBot="1" x14ac:dyDescent="0.35">
      <c r="C10" s="410"/>
      <c r="D10" s="413" t="s">
        <v>267</v>
      </c>
      <c r="E10" s="413" t="s">
        <v>314</v>
      </c>
      <c r="F10" s="413" t="s">
        <v>134</v>
      </c>
    </row>
    <row r="11" spans="3:15" ht="14.5" thickBot="1" x14ac:dyDescent="0.35">
      <c r="C11" s="411" t="s">
        <v>316</v>
      </c>
      <c r="D11" s="415">
        <v>239662</v>
      </c>
      <c r="E11" s="415">
        <v>232616</v>
      </c>
      <c r="F11" s="414">
        <f t="shared" ref="F11:F17" si="0">E11/D11-1</f>
        <v>-2.9399737964299733E-2</v>
      </c>
    </row>
    <row r="12" spans="3:15" ht="14.5" thickBot="1" x14ac:dyDescent="0.35">
      <c r="C12" s="411" t="s">
        <v>317</v>
      </c>
      <c r="D12" s="415">
        <v>66466</v>
      </c>
      <c r="E12" s="415">
        <v>83591</v>
      </c>
      <c r="F12" s="414">
        <f t="shared" si="0"/>
        <v>0.25765052808954958</v>
      </c>
    </row>
    <row r="13" spans="3:15" ht="14.5" thickBot="1" x14ac:dyDescent="0.35">
      <c r="C13" s="411" t="s">
        <v>318</v>
      </c>
      <c r="D13" s="415">
        <v>38880</v>
      </c>
      <c r="E13" s="415">
        <v>53060</v>
      </c>
      <c r="F13" s="414">
        <f t="shared" si="0"/>
        <v>0.3647119341563787</v>
      </c>
    </row>
    <row r="14" spans="3:15" ht="14.5" thickBot="1" x14ac:dyDescent="0.35">
      <c r="C14" s="411" t="s">
        <v>319</v>
      </c>
      <c r="D14" s="415"/>
      <c r="E14" s="415"/>
      <c r="F14" s="414" t="e">
        <f t="shared" si="0"/>
        <v>#DIV/0!</v>
      </c>
      <c r="I14" s="408"/>
      <c r="J14" s="405" t="s">
        <v>263</v>
      </c>
      <c r="K14" s="405" t="s">
        <v>267</v>
      </c>
      <c r="L14" s="405" t="s">
        <v>275</v>
      </c>
      <c r="M14" s="405" t="s">
        <v>285</v>
      </c>
      <c r="N14" s="405" t="s">
        <v>299</v>
      </c>
      <c r="O14" s="406" t="s">
        <v>314</v>
      </c>
    </row>
    <row r="15" spans="3:15" ht="14.5" thickBot="1" x14ac:dyDescent="0.35">
      <c r="C15" s="411" t="s">
        <v>320</v>
      </c>
      <c r="D15" s="415"/>
      <c r="E15" s="415"/>
      <c r="F15" s="414" t="e">
        <f t="shared" si="0"/>
        <v>#DIV/0!</v>
      </c>
      <c r="I15" s="409" t="s">
        <v>323</v>
      </c>
      <c r="J15" s="238">
        <v>0.12</v>
      </c>
      <c r="K15" s="238">
        <v>0.11</v>
      </c>
      <c r="L15" s="238">
        <v>0.1</v>
      </c>
      <c r="M15" s="238">
        <v>0.12</v>
      </c>
      <c r="N15" s="238">
        <v>0.15</v>
      </c>
      <c r="O15" s="404">
        <v>0.15</v>
      </c>
    </row>
    <row r="16" spans="3:15" ht="14.5" thickBot="1" x14ac:dyDescent="0.35">
      <c r="C16" s="411" t="s">
        <v>321</v>
      </c>
      <c r="D16" s="415"/>
      <c r="E16" s="415"/>
      <c r="F16" s="414" t="e">
        <f t="shared" si="0"/>
        <v>#DIV/0!</v>
      </c>
    </row>
    <row r="17" spans="3:6" ht="14.5" thickBot="1" x14ac:dyDescent="0.35">
      <c r="C17" s="411" t="s">
        <v>322</v>
      </c>
      <c r="D17" s="415"/>
      <c r="E17" s="415"/>
      <c r="F17" s="414" t="e">
        <f t="shared" si="0"/>
        <v>#DIV/0!</v>
      </c>
    </row>
    <row r="18" spans="3:6" ht="14.5" thickBot="1" x14ac:dyDescent="0.35">
      <c r="C18" s="412"/>
      <c r="D18" s="415"/>
      <c r="E18" s="415"/>
      <c r="F18" s="415"/>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6:S88"/>
  <sheetViews>
    <sheetView topLeftCell="C4" zoomScale="80" zoomScaleNormal="80" workbookViewId="0">
      <pane xSplit="2" ySplit="3" topLeftCell="E46" activePane="bottomRight" state="frozen"/>
      <selection activeCell="C4" sqref="C4"/>
      <selection pane="topRight" activeCell="E4" sqref="E4"/>
      <selection pane="bottomLeft" activeCell="C7" sqref="C7"/>
      <selection pane="bottomRight" activeCell="O61" sqref="O61"/>
    </sheetView>
  </sheetViews>
  <sheetFormatPr defaultColWidth="9" defaultRowHeight="12.5" outlineLevelRow="2" outlineLevelCol="2" x14ac:dyDescent="0.3"/>
  <cols>
    <col min="1" max="2" width="9" style="182"/>
    <col min="3" max="3" width="5.08203125" style="182" customWidth="1"/>
    <col min="4" max="4" width="13.25" style="182" customWidth="1"/>
    <col min="5" max="5" width="11.33203125" style="182" customWidth="1" outlineLevel="1"/>
    <col min="6" max="6" width="13" style="182" customWidth="1"/>
    <col min="7" max="10" width="13" style="182" hidden="1" customWidth="1" outlineLevel="2"/>
    <col min="11" max="11" width="13" style="182" customWidth="1" outlineLevel="1" collapsed="1"/>
    <col min="12" max="14" width="13" style="182" customWidth="1" outlineLevel="1"/>
    <col min="15" max="16" width="13" style="182" customWidth="1"/>
    <col min="17" max="18" width="12.83203125" style="182" customWidth="1"/>
    <col min="19" max="19" width="13" style="182" customWidth="1"/>
    <col min="20" max="16384" width="9" style="182"/>
  </cols>
  <sheetData>
    <row r="6" spans="3:19" x14ac:dyDescent="0.3">
      <c r="C6" s="182" t="s">
        <v>138</v>
      </c>
      <c r="E6" s="187" t="s">
        <v>128</v>
      </c>
      <c r="F6" s="187" t="s">
        <v>129</v>
      </c>
      <c r="G6" s="187" t="s">
        <v>142</v>
      </c>
      <c r="H6" s="187" t="s">
        <v>143</v>
      </c>
      <c r="I6" s="187" t="s">
        <v>144</v>
      </c>
      <c r="J6" s="187" t="s">
        <v>98</v>
      </c>
      <c r="K6" s="187" t="s">
        <v>140</v>
      </c>
      <c r="L6" s="187" t="s">
        <v>141</v>
      </c>
      <c r="M6" s="187" t="s">
        <v>97</v>
      </c>
      <c r="N6" s="187" t="s">
        <v>139</v>
      </c>
      <c r="O6" s="188" t="s">
        <v>130</v>
      </c>
      <c r="P6" s="188" t="s">
        <v>172</v>
      </c>
      <c r="Q6" s="188" t="s">
        <v>175</v>
      </c>
      <c r="R6" s="188" t="s">
        <v>176</v>
      </c>
      <c r="S6" s="188"/>
    </row>
    <row r="7" spans="3:19" s="196" customFormat="1" x14ac:dyDescent="0.3">
      <c r="C7" s="196" t="s">
        <v>152</v>
      </c>
    </row>
    <row r="8" spans="3:19" outlineLevel="2" x14ac:dyDescent="0.3">
      <c r="C8" s="182" t="s">
        <v>148</v>
      </c>
      <c r="G8" s="203"/>
      <c r="H8" s="203"/>
      <c r="I8" s="203"/>
      <c r="J8" s="203"/>
      <c r="N8" s="203"/>
    </row>
    <row r="9" spans="3:19" outlineLevel="2" x14ac:dyDescent="0.3">
      <c r="D9" s="182" t="s">
        <v>62</v>
      </c>
      <c r="E9" s="182">
        <f>E21+E33</f>
        <v>234949.65211575179</v>
      </c>
      <c r="F9" s="182">
        <f>F21+F33</f>
        <v>302679.10624915373</v>
      </c>
      <c r="G9" s="203">
        <f>G21+G33</f>
        <v>48502.455071997232</v>
      </c>
      <c r="H9" s="203">
        <f t="shared" ref="H9:O9" si="0">H21+H33</f>
        <v>48416.550287504564</v>
      </c>
      <c r="I9" s="203">
        <f t="shared" si="0"/>
        <v>65791.709164549902</v>
      </c>
      <c r="J9" s="203">
        <f t="shared" si="0"/>
        <v>52280.255457600091</v>
      </c>
      <c r="K9" s="182">
        <f t="shared" si="0"/>
        <v>75115.938840909992</v>
      </c>
      <c r="L9" s="182">
        <f t="shared" si="0"/>
        <v>68012.504008743097</v>
      </c>
      <c r="M9" s="182">
        <f t="shared" si="0"/>
        <v>90250.946602410637</v>
      </c>
      <c r="N9" s="203">
        <f t="shared" si="0"/>
        <v>69791.927891231084</v>
      </c>
      <c r="O9" s="182">
        <f t="shared" si="0"/>
        <v>80644.172385650003</v>
      </c>
      <c r="P9" s="182">
        <f>P21+P33</f>
        <v>75667.080301985727</v>
      </c>
      <c r="Q9" s="182">
        <f>Q21+Q33</f>
        <v>96988.411126663093</v>
      </c>
      <c r="R9" s="182">
        <f>R21+R33</f>
        <v>78223.632565237611</v>
      </c>
    </row>
    <row r="10" spans="3:19" s="185" customFormat="1" ht="13" outlineLevel="2" x14ac:dyDescent="0.3">
      <c r="D10" s="190" t="s">
        <v>134</v>
      </c>
      <c r="F10" s="184">
        <f>F9/E9-1</f>
        <v>0.2882722043786381</v>
      </c>
      <c r="G10" s="205"/>
      <c r="H10" s="205"/>
      <c r="I10" s="205"/>
      <c r="J10" s="205"/>
      <c r="K10" s="184">
        <f t="shared" ref="K10:R10" si="1">K9/G9-1</f>
        <v>0.54870384868987765</v>
      </c>
      <c r="L10" s="184">
        <f t="shared" si="1"/>
        <v>0.40473667795154533</v>
      </c>
      <c r="M10" s="184">
        <f t="shared" si="1"/>
        <v>0.3717677766462395</v>
      </c>
      <c r="N10" s="205">
        <f t="shared" si="1"/>
        <v>0.33495766767691415</v>
      </c>
      <c r="O10" s="184">
        <f t="shared" si="1"/>
        <v>7.3596012112002063E-2</v>
      </c>
      <c r="P10" s="184">
        <f t="shared" si="1"/>
        <v>0.11254660308137776</v>
      </c>
      <c r="Q10" s="184">
        <f t="shared" si="1"/>
        <v>7.4652563523056603E-2</v>
      </c>
      <c r="R10" s="184">
        <f t="shared" si="1"/>
        <v>0.12081203269161911</v>
      </c>
      <c r="S10" s="184"/>
    </row>
    <row r="11" spans="3:19" outlineLevel="2" x14ac:dyDescent="0.3">
      <c r="D11" s="182" t="s">
        <v>135</v>
      </c>
      <c r="E11" s="186">
        <f>E12/E9</f>
        <v>3.4333471735794693E-2</v>
      </c>
      <c r="F11" s="186">
        <f>F12/F9</f>
        <v>2.4466198113945067E-2</v>
      </c>
      <c r="G11" s="206">
        <f>G12/G9</f>
        <v>4.5185704357035048E-2</v>
      </c>
      <c r="H11" s="206">
        <f t="shared" ref="H11:O11" si="2">H12/H9</f>
        <v>3.9813297974340453E-2</v>
      </c>
      <c r="I11" s="206">
        <f t="shared" si="2"/>
        <v>3.6944353925199243E-2</v>
      </c>
      <c r="J11" s="206">
        <f t="shared" si="2"/>
        <v>3.0692693145207586E-2</v>
      </c>
      <c r="K11" s="186">
        <f t="shared" si="2"/>
        <v>2.4685100211439777E-2</v>
      </c>
      <c r="L11" s="186">
        <f t="shared" si="2"/>
        <v>2.3895248315479883E-2</v>
      </c>
      <c r="M11" s="186">
        <f t="shared" si="2"/>
        <v>2.390309812816949E-2</v>
      </c>
      <c r="N11" s="206">
        <f t="shared" si="2"/>
        <v>2.5324321204772314E-2</v>
      </c>
      <c r="O11" s="186">
        <f t="shared" si="2"/>
        <v>2.4728006702457634E-2</v>
      </c>
      <c r="P11" s="186">
        <f>P12/P9</f>
        <v>2.3223485783860309E-2</v>
      </c>
      <c r="Q11" s="186">
        <f>Q12/Q9</f>
        <v>2.1981797469878023E-2</v>
      </c>
      <c r="R11" s="186">
        <f>R12/R9</f>
        <v>2.3979975542857999E-2</v>
      </c>
      <c r="S11" s="186"/>
    </row>
    <row r="12" spans="3:19" outlineLevel="2" x14ac:dyDescent="0.3">
      <c r="D12" s="182" t="s">
        <v>12</v>
      </c>
      <c r="E12" s="182">
        <f>E24+E36</f>
        <v>8066.6372402509596</v>
      </c>
      <c r="F12" s="182">
        <f>F24+F36</f>
        <v>7405.4069784436233</v>
      </c>
      <c r="G12" s="203">
        <f>G24+G36</f>
        <v>2191.6175954736418</v>
      </c>
      <c r="H12" s="203">
        <f t="shared" ref="H12:O12" si="3">H24+H36</f>
        <v>1927.622543486058</v>
      </c>
      <c r="I12" s="203">
        <f t="shared" si="3"/>
        <v>2430.632188718906</v>
      </c>
      <c r="J12" s="203">
        <f t="shared" si="3"/>
        <v>1604.6218383131838</v>
      </c>
      <c r="K12" s="182">
        <f t="shared" si="3"/>
        <v>1854.2444777642447</v>
      </c>
      <c r="L12" s="182">
        <f t="shared" si="3"/>
        <v>1625.1756718464871</v>
      </c>
      <c r="M12" s="182">
        <f t="shared" si="3"/>
        <v>2157.2772327976063</v>
      </c>
      <c r="N12" s="203">
        <f t="shared" si="3"/>
        <v>1767.4331994178435</v>
      </c>
      <c r="O12" s="182">
        <f t="shared" si="3"/>
        <v>1994.1696352665022</v>
      </c>
      <c r="P12" s="182">
        <f>P24+P36</f>
        <v>1757.2533636993819</v>
      </c>
      <c r="Q12" s="182">
        <f>Q24+Q36</f>
        <v>2131.9796103115723</v>
      </c>
      <c r="R12" s="182">
        <f>R24+R36</f>
        <v>1875.8007957879083</v>
      </c>
    </row>
    <row r="13" spans="3:19" s="185" customFormat="1" ht="13" outlineLevel="2" x14ac:dyDescent="0.3">
      <c r="D13" s="190" t="s">
        <v>134</v>
      </c>
      <c r="F13" s="184">
        <f>F12/E12-1</f>
        <v>-8.1970992634691098E-2</v>
      </c>
      <c r="G13" s="205"/>
      <c r="H13" s="215"/>
      <c r="I13" s="215"/>
      <c r="J13" s="215"/>
      <c r="K13" s="184">
        <f t="shared" ref="K13:R13" si="4">K12/G12-1</f>
        <v>-0.15393794903188196</v>
      </c>
      <c r="L13" s="184">
        <f t="shared" si="4"/>
        <v>-0.15690150162521088</v>
      </c>
      <c r="M13" s="184">
        <f t="shared" si="4"/>
        <v>-0.11246249316947243</v>
      </c>
      <c r="N13" s="205">
        <f t="shared" si="4"/>
        <v>0.1014640067941559</v>
      </c>
      <c r="O13" s="184">
        <f t="shared" si="4"/>
        <v>7.5462086677465567E-2</v>
      </c>
      <c r="P13" s="184">
        <f t="shared" si="4"/>
        <v>8.126979386962585E-2</v>
      </c>
      <c r="Q13" s="184">
        <f t="shared" si="4"/>
        <v>-1.172664417045155E-2</v>
      </c>
      <c r="R13" s="184">
        <f t="shared" si="4"/>
        <v>6.1313545771211508E-2</v>
      </c>
      <c r="S13" s="184"/>
    </row>
    <row r="14" spans="3:19" outlineLevel="2" x14ac:dyDescent="0.3">
      <c r="G14" s="203"/>
      <c r="H14" s="203"/>
      <c r="I14" s="203"/>
      <c r="J14" s="203"/>
      <c r="N14" s="203"/>
    </row>
    <row r="15" spans="3:19" s="197" customFormat="1" outlineLevel="1" x14ac:dyDescent="0.3">
      <c r="C15" s="197" t="s">
        <v>132</v>
      </c>
      <c r="E15" s="198"/>
      <c r="F15" s="198"/>
      <c r="G15" s="198"/>
      <c r="H15" s="198"/>
      <c r="I15" s="198"/>
      <c r="J15" s="198"/>
      <c r="K15" s="198"/>
      <c r="L15" s="198"/>
      <c r="M15" s="198"/>
      <c r="N15" s="198"/>
    </row>
    <row r="16" spans="3:19" outlineLevel="2" x14ac:dyDescent="0.3">
      <c r="C16" s="182" t="s">
        <v>133</v>
      </c>
    </row>
    <row r="17" spans="3:19" outlineLevel="2" x14ac:dyDescent="0.3">
      <c r="D17" s="182" t="s">
        <v>137</v>
      </c>
      <c r="E17" s="182">
        <f>SUM(G17:J17)</f>
        <v>203.07165000000001</v>
      </c>
      <c r="F17" s="182">
        <f>SUM(K17:N17)</f>
        <v>242.33649699999998</v>
      </c>
      <c r="G17" s="183">
        <f>'[1]OP DATA Combined'!L$226</f>
        <v>45.102163000000004</v>
      </c>
      <c r="H17" s="183">
        <f>'[1]OP DATA Combined'!O$226</f>
        <v>47.695247999999999</v>
      </c>
      <c r="I17" s="183">
        <f>'[1]OP DATA Combined'!Q$226</f>
        <v>55.730358000000003</v>
      </c>
      <c r="J17" s="183">
        <f>'[1]OP DATA Combined'!S$226</f>
        <v>54.543880999999999</v>
      </c>
      <c r="K17" s="183">
        <f>'[1]OP DATA Combined'!T$226</f>
        <v>59.153750000000002</v>
      </c>
      <c r="L17" s="183">
        <f>'[1]OP DATA Combined'!U$226</f>
        <v>56.384886000000002</v>
      </c>
      <c r="M17" s="183">
        <f>'[2]OP DATA Combined'!$V$297</f>
        <v>64.939150999999995</v>
      </c>
      <c r="N17" s="183">
        <f>'[1]OP DATA Combined'!W$226</f>
        <v>61.858710000000002</v>
      </c>
      <c r="O17" s="183">
        <f>'[1]OP DATA Combined'!X$226</f>
        <v>61.19559599999991</v>
      </c>
      <c r="P17" s="183">
        <f>'[3]OP DATA Combined'!$Y$292</f>
        <v>60.862552999999998</v>
      </c>
      <c r="Q17" s="183">
        <f>'[2]OP DATA Combined'!$Z$297</f>
        <v>70.350445000000008</v>
      </c>
      <c r="R17" s="183">
        <v>68.84</v>
      </c>
      <c r="S17" s="183"/>
    </row>
    <row r="18" spans="3:19" s="184" customFormat="1" ht="13" outlineLevel="2" x14ac:dyDescent="0.3">
      <c r="D18" s="189" t="s">
        <v>134</v>
      </c>
      <c r="F18" s="184">
        <f>F17/E17-1</f>
        <v>0.19335464600794827</v>
      </c>
      <c r="K18" s="184">
        <f t="shared" ref="K18:R18" si="5">K17/G17-1</f>
        <v>0.31155017997695578</v>
      </c>
      <c r="L18" s="184">
        <f t="shared" si="5"/>
        <v>0.18219085473672347</v>
      </c>
      <c r="M18" s="184">
        <f t="shared" si="5"/>
        <v>0.16523836075124421</v>
      </c>
      <c r="N18" s="184">
        <f t="shared" si="5"/>
        <v>0.1341090671564058</v>
      </c>
      <c r="O18" s="184">
        <f t="shared" si="5"/>
        <v>3.4517608773744879E-2</v>
      </c>
      <c r="P18" s="184">
        <f t="shared" si="5"/>
        <v>7.941253973626905E-2</v>
      </c>
      <c r="Q18" s="184">
        <f t="shared" si="5"/>
        <v>8.3328684109221118E-2</v>
      </c>
      <c r="R18" s="184">
        <f t="shared" si="5"/>
        <v>0.11285864189537742</v>
      </c>
    </row>
    <row r="19" spans="3:19" s="184" customFormat="1" ht="13" outlineLevel="2" x14ac:dyDescent="0.3">
      <c r="D19" s="182" t="s">
        <v>146</v>
      </c>
      <c r="E19" s="182">
        <f>E21/E17</f>
        <v>818.67877526849156</v>
      </c>
      <c r="F19" s="182">
        <f t="shared" ref="F19:P19" si="6">F21/F17</f>
        <v>831.43628641439727</v>
      </c>
      <c r="G19" s="182">
        <f t="shared" si="6"/>
        <v>840.53375729446122</v>
      </c>
      <c r="H19" s="182">
        <f t="shared" si="6"/>
        <v>800.55276058119171</v>
      </c>
      <c r="I19" s="182">
        <f t="shared" si="6"/>
        <v>885.85078850471234</v>
      </c>
      <c r="J19" s="182">
        <f t="shared" si="6"/>
        <v>747.82385130057207</v>
      </c>
      <c r="K19" s="182">
        <f t="shared" si="6"/>
        <v>849.61964172871512</v>
      </c>
      <c r="L19" s="182">
        <f t="shared" si="6"/>
        <v>814.86043450975671</v>
      </c>
      <c r="M19" s="182">
        <f t="shared" si="6"/>
        <v>902.90019081725654</v>
      </c>
      <c r="N19" s="182">
        <f t="shared" si="6"/>
        <v>754.13445756127146</v>
      </c>
      <c r="O19" s="182">
        <f t="shared" si="6"/>
        <v>829.90992932971972</v>
      </c>
      <c r="P19" s="182">
        <f t="shared" si="6"/>
        <v>799.02180761296677</v>
      </c>
      <c r="Q19" s="191">
        <f>Q21/Q17</f>
        <v>878.48701972148149</v>
      </c>
      <c r="R19" s="191">
        <v>754</v>
      </c>
      <c r="S19" s="182"/>
    </row>
    <row r="20" spans="3:19" s="184" customFormat="1" ht="13" outlineLevel="2" x14ac:dyDescent="0.3">
      <c r="D20" s="189" t="s">
        <v>134</v>
      </c>
      <c r="F20" s="184">
        <f>F19/E19-1</f>
        <v>1.5583048603796668E-2</v>
      </c>
      <c r="K20" s="184">
        <f t="shared" ref="K20:R20" si="7">K19/G19-1</f>
        <v>1.0809660356176254E-2</v>
      </c>
      <c r="L20" s="184">
        <f t="shared" si="7"/>
        <v>1.7872243571026791E-2</v>
      </c>
      <c r="M20" s="184">
        <f t="shared" si="7"/>
        <v>1.9246359018681991E-2</v>
      </c>
      <c r="N20" s="184">
        <f t="shared" si="7"/>
        <v>8.4386266227325368E-3</v>
      </c>
      <c r="O20" s="184">
        <f t="shared" si="7"/>
        <v>-2.3198277712709436E-2</v>
      </c>
      <c r="P20" s="184">
        <f t="shared" si="7"/>
        <v>-1.9437226580179878E-2</v>
      </c>
      <c r="Q20" s="184">
        <f t="shared" si="7"/>
        <v>-2.7038615501540186E-2</v>
      </c>
      <c r="R20" s="184">
        <f t="shared" si="7"/>
        <v>-1.7829388370116384E-4</v>
      </c>
    </row>
    <row r="21" spans="3:19" outlineLevel="2" x14ac:dyDescent="0.3">
      <c r="D21" s="182" t="s">
        <v>62</v>
      </c>
      <c r="E21" s="182">
        <f>SUM(G21:J21)</f>
        <v>166250.44971375179</v>
      </c>
      <c r="F21" s="182">
        <f>SUM(K21:N21)</f>
        <v>201487.3571283537</v>
      </c>
      <c r="G21" s="183">
        <f>'[1]OP DATA Combined'!L$243*(1-'[1]OP DATA Combined'!L$356)/1000000</f>
        <v>37909.890528497235</v>
      </c>
      <c r="H21" s="183">
        <f>'[1]OP DATA Combined'!O$243*(1-'[1]OP DATA Combined'!O$356)/1000000</f>
        <v>38182.562453004561</v>
      </c>
      <c r="I21" s="183">
        <f>'[1]OP DATA Combined'!Q$243*(1-'[1]OP DATA Combined'!Q$356)/1000000</f>
        <v>49368.781577949907</v>
      </c>
      <c r="J21" s="183">
        <f>'[1]OP DATA Combined'!S$243*(1-'[1]OP DATA Combined'!S$356)/1000000</f>
        <v>40789.215154300095</v>
      </c>
      <c r="K21" s="183">
        <f>'[1]OP DATA Combined'!T$243*(1-'[1]OP DATA Combined'!T$356)/1000000</f>
        <v>50258.187881909987</v>
      </c>
      <c r="L21" s="183">
        <f>'[1]OP DATA Combined'!U$243*(1-'[1]OP DATA Combined'!U$356)/1000000</f>
        <v>45945.812705743097</v>
      </c>
      <c r="M21" s="183">
        <f>'[2]OP DATA Combined'!$V$314*(1-'[2]OP DATA Combined'!$V$425)/1000000</f>
        <v>58633.571829410634</v>
      </c>
      <c r="N21" s="183">
        <f>'[1]OP DATA Combined'!W$243*(1-'[1]OP DATA Combined'!W$356)/1000000</f>
        <v>46649.784711289998</v>
      </c>
      <c r="O21" s="183">
        <f>'[1]OP DATA Combined'!X$243*(1-'[1]OP DATA Combined'!X$356)/1000000</f>
        <v>50786.832751650007</v>
      </c>
      <c r="P21" s="183">
        <f>'[3]OP DATA Combined'!$Y$309*(1-'[3]OP DATA Combined'!$Y$420)/1000000</f>
        <v>48630.507113999993</v>
      </c>
      <c r="Q21" s="183">
        <f>'[2]OP DATA Combined'!$Z$314*(1-'[2]OP DATA Combined'!$Z$425)/1000000</f>
        <v>61801.952764130008</v>
      </c>
      <c r="R21" s="183">
        <f>'[4]OP DATA Combined'!$AA$315*(1-'[4]OP DATA Combined'!$AA$426)/1000000</f>
        <v>51933.486123210001</v>
      </c>
      <c r="S21" s="183"/>
    </row>
    <row r="22" spans="3:19" s="185" customFormat="1" ht="13" outlineLevel="2" x14ac:dyDescent="0.3">
      <c r="D22" s="190" t="s">
        <v>134</v>
      </c>
      <c r="F22" s="184">
        <f>F21/E21-1</f>
        <v>0.21195074945825665</v>
      </c>
      <c r="K22" s="184">
        <f t="shared" ref="K22:R22" si="8">K21/G21-1</f>
        <v>0.3257275919625886</v>
      </c>
      <c r="L22" s="184">
        <f t="shared" si="8"/>
        <v>0.20331925764001868</v>
      </c>
      <c r="M22" s="184">
        <f t="shared" si="8"/>
        <v>0.18766495658460314</v>
      </c>
      <c r="N22" s="184">
        <f t="shared" si="8"/>
        <v>0.14367939012359421</v>
      </c>
      <c r="O22" s="184">
        <f t="shared" si="8"/>
        <v>1.0518581986723508E-2</v>
      </c>
      <c r="P22" s="184">
        <f t="shared" si="8"/>
        <v>5.8431753627927741E-2</v>
      </c>
      <c r="Q22" s="184">
        <f t="shared" si="8"/>
        <v>5.4036976357802358E-2</v>
      </c>
      <c r="R22" s="184">
        <f t="shared" si="8"/>
        <v>0.11326314675662941</v>
      </c>
      <c r="S22" s="184"/>
    </row>
    <row r="23" spans="3:19" s="186" customFormat="1" outlineLevel="2" x14ac:dyDescent="0.3">
      <c r="D23" s="186" t="s">
        <v>135</v>
      </c>
      <c r="E23" s="186">
        <f t="shared" ref="E23:K23" si="9">E24/E21</f>
        <v>3.7242286048863794E-2</v>
      </c>
      <c r="F23" s="186">
        <f t="shared" si="9"/>
        <v>2.4091666966828688E-2</v>
      </c>
      <c r="G23" s="186">
        <f>G24/G21</f>
        <v>4.4234105640930096E-2</v>
      </c>
      <c r="H23" s="186">
        <f>H24/H21</f>
        <v>4.0590167865072198E-2</v>
      </c>
      <c r="I23" s="186">
        <f>I24/I21</f>
        <v>3.6180926217484345E-2</v>
      </c>
      <c r="J23" s="186">
        <f>J24/J21</f>
        <v>2.8894692723425298E-2</v>
      </c>
      <c r="K23" s="186">
        <f t="shared" si="9"/>
        <v>2.2047401908378048E-2</v>
      </c>
      <c r="L23" s="186">
        <f t="shared" ref="L23:R23" si="10">L24/L21</f>
        <v>2.5033848405356756E-2</v>
      </c>
      <c r="M23" s="186">
        <f t="shared" si="10"/>
        <v>2.3615724997040906E-2</v>
      </c>
      <c r="N23" s="186">
        <f t="shared" si="10"/>
        <v>2.5964300328192056E-2</v>
      </c>
      <c r="O23" s="186">
        <f t="shared" si="10"/>
        <v>2.2032636076877034E-2</v>
      </c>
      <c r="P23" s="186">
        <f t="shared" si="10"/>
        <v>2.3890200478747188E-2</v>
      </c>
      <c r="Q23" s="186">
        <f t="shared" si="10"/>
        <v>2.0735943293690877E-2</v>
      </c>
      <c r="R23" s="186">
        <f t="shared" si="10"/>
        <v>2.3056057645588695E-2</v>
      </c>
    </row>
    <row r="24" spans="3:19" outlineLevel="2" x14ac:dyDescent="0.3">
      <c r="D24" s="182" t="s">
        <v>12</v>
      </c>
      <c r="E24" s="182">
        <f>SUM(G24:J24)</f>
        <v>6191.5468039917896</v>
      </c>
      <c r="F24" s="182">
        <f>SUM(K24:N24)</f>
        <v>4854.1663059627735</v>
      </c>
      <c r="G24" s="183">
        <f>'[1]OP DATA Combined'!L$297/1000000</f>
        <v>1676.9101024736419</v>
      </c>
      <c r="H24" s="183">
        <f>'[1]OP DATA Combined'!O$297/1000000</f>
        <v>1549.836619486058</v>
      </c>
      <c r="I24" s="183">
        <f>'[1]OP DATA Combined'!Q$297/1000000</f>
        <v>1786.208243718906</v>
      </c>
      <c r="J24" s="183">
        <f>'[1]OP DATA Combined'!S$297/1000000</f>
        <v>1178.5918383131839</v>
      </c>
      <c r="K24" s="183">
        <f>'[1]OP DATA Combined'!T$297/1000000</f>
        <v>1108.0624674192447</v>
      </c>
      <c r="L24" s="183">
        <f>'[1]OP DATA Combined'!U$297/1000000</f>
        <v>1150.2005101364871</v>
      </c>
      <c r="M24" s="183">
        <f>'[1]OP DATA Combined'!V$297/1000000</f>
        <v>1384.6743079176063</v>
      </c>
      <c r="N24" s="183">
        <f>'[1]OP DATA Combined'!W$297/1000000</f>
        <v>1211.2290204894357</v>
      </c>
      <c r="O24" s="183">
        <f>'[1]OP DATA Combined'!X$297/1000000</f>
        <v>1118.967803514324</v>
      </c>
      <c r="P24" s="183">
        <f>'[3]OP DATA Combined'!$Y$363/1000000</f>
        <v>1161.7925643366011</v>
      </c>
      <c r="Q24" s="183">
        <f>'[2]OP DATA Combined'!$Z$368/1000000</f>
        <v>1281.521787956362</v>
      </c>
      <c r="R24" s="183">
        <f>'[4]OP DATA Combined'!$AA$369/1000000</f>
        <v>1197.3814497931103</v>
      </c>
      <c r="S24" s="183"/>
    </row>
    <row r="25" spans="3:19" s="185" customFormat="1" ht="13" outlineLevel="2" x14ac:dyDescent="0.3">
      <c r="D25" s="190" t="s">
        <v>134</v>
      </c>
      <c r="F25" s="184">
        <f>F24/E24-1</f>
        <v>-0.21600103178849994</v>
      </c>
      <c r="G25" s="184"/>
      <c r="H25" s="184"/>
      <c r="I25" s="184"/>
      <c r="J25" s="184"/>
      <c r="K25" s="184">
        <f t="shared" ref="K25:R25" si="11">K24/G24-1</f>
        <v>-0.33922369136859465</v>
      </c>
      <c r="L25" s="184">
        <f t="shared" si="11"/>
        <v>-0.25785692783675118</v>
      </c>
      <c r="M25" s="184">
        <f t="shared" si="11"/>
        <v>-0.2247968215426559</v>
      </c>
      <c r="N25" s="184">
        <f t="shared" si="11"/>
        <v>2.7691675027176954E-2</v>
      </c>
      <c r="O25" s="184">
        <f t="shared" si="11"/>
        <v>9.8418062300029696E-3</v>
      </c>
      <c r="P25" s="184">
        <f t="shared" si="11"/>
        <v>1.0078289913763472E-2</v>
      </c>
      <c r="Q25" s="184">
        <f t="shared" si="11"/>
        <v>-7.4495871968892069E-2</v>
      </c>
      <c r="R25" s="184">
        <f t="shared" si="11"/>
        <v>-1.1432660927105154E-2</v>
      </c>
      <c r="S25" s="184"/>
    </row>
    <row r="26" spans="3:19" outlineLevel="1" x14ac:dyDescent="0.3"/>
    <row r="27" spans="3:19" s="197" customFormat="1" outlineLevel="1" x14ac:dyDescent="0.3">
      <c r="C27" s="197" t="s">
        <v>136</v>
      </c>
      <c r="E27" s="198"/>
      <c r="F27" s="198"/>
      <c r="G27" s="198"/>
      <c r="H27" s="198"/>
      <c r="I27" s="198"/>
      <c r="J27" s="198"/>
      <c r="K27" s="198"/>
      <c r="L27" s="198"/>
      <c r="M27" s="198"/>
      <c r="N27" s="198"/>
    </row>
    <row r="28" spans="3:19" outlineLevel="2" x14ac:dyDescent="0.3">
      <c r="C28" s="182" t="s">
        <v>145</v>
      </c>
      <c r="G28" s="203"/>
      <c r="H28" s="203"/>
      <c r="I28" s="203"/>
      <c r="J28" s="203"/>
      <c r="N28" s="203"/>
    </row>
    <row r="29" spans="3:19" outlineLevel="2" x14ac:dyDescent="0.3">
      <c r="D29" s="182" t="s">
        <v>137</v>
      </c>
      <c r="E29" s="192">
        <v>500.38848499999995</v>
      </c>
      <c r="F29" s="192">
        <v>683.62620600000002</v>
      </c>
      <c r="G29" s="204">
        <f>'[5]OP DATA Combined'!$L$398</f>
        <v>113.38139699999999</v>
      </c>
      <c r="H29" s="204">
        <f>'[1]OP DATA Combined'!O$398-'[1]OP DATA Combined'!O$399</f>
        <v>115.922712</v>
      </c>
      <c r="I29" s="204">
        <f>'[1]OP DATA Combined'!Q$398-'[1]OP DATA Combined'!Q$399</f>
        <v>148.58670500000002</v>
      </c>
      <c r="J29" s="204">
        <f>'[1]OP DATA Combined'!S$398-'[1]OP DATA Combined'!S$399</f>
        <v>121.25866799999999</v>
      </c>
      <c r="K29" s="183">
        <f>'[1]OP DATA Combined'!T$398-'[1]OP DATA Combined'!T$399</f>
        <v>160.69519799999998</v>
      </c>
      <c r="L29" s="183">
        <f>'[3]OP DATA Combined'!$U$465-'[3]OP DATA Combined'!$U$466</f>
        <v>155.44129699999999</v>
      </c>
      <c r="M29" s="183">
        <f>'[2]OP DATA Combined'!$V$470-'[2]OP DATA Combined'!$V$471</f>
        <v>203.08102399999999</v>
      </c>
      <c r="N29" s="204">
        <f>'[4]OP DATA Combined'!$W$471-'[4]OP DATA Combined'!$W$472</f>
        <v>163.00810800000002</v>
      </c>
      <c r="O29" s="183">
        <f>'[1]OP DATA Combined'!X$398-'[1]OP DATA Combined'!X$399</f>
        <v>198.25416999999999</v>
      </c>
      <c r="P29" s="183">
        <f>'[3]OP DATA Combined'!$Y$465-'[3]OP DATA Combined'!$Y$466</f>
        <v>191.16848100000001</v>
      </c>
      <c r="Q29" s="183">
        <f>'[2]OP DATA Combined'!$Z$470-'[2]OP DATA Combined'!$Z$471</f>
        <v>235.418083</v>
      </c>
      <c r="R29" s="183">
        <f>'[4]OP DATA Combined'!$AA$471-'[4]OP DATA Combined'!$AA$472</f>
        <v>180.386492</v>
      </c>
      <c r="S29" s="183"/>
    </row>
    <row r="30" spans="3:19" ht="13" outlineLevel="2" x14ac:dyDescent="0.3">
      <c r="D30" s="189" t="s">
        <v>134</v>
      </c>
      <c r="E30" s="184"/>
      <c r="F30" s="184">
        <f>F29/E29-1</f>
        <v>0.36619092263883757</v>
      </c>
      <c r="G30" s="203"/>
      <c r="H30" s="203"/>
      <c r="I30" s="203"/>
      <c r="J30" s="203"/>
      <c r="K30" s="184">
        <f t="shared" ref="K30:R30" si="12">K29/G29-1</f>
        <v>0.41729774241536277</v>
      </c>
      <c r="L30" s="184">
        <f t="shared" si="12"/>
        <v>0.3409045933984014</v>
      </c>
      <c r="M30" s="184">
        <f t="shared" si="12"/>
        <v>0.36675097546580604</v>
      </c>
      <c r="N30" s="205">
        <f t="shared" si="12"/>
        <v>0.34430066475742627</v>
      </c>
      <c r="O30" s="184">
        <f t="shared" si="12"/>
        <v>0.23372802963284567</v>
      </c>
      <c r="P30" s="184">
        <f t="shared" si="12"/>
        <v>0.22984357882706052</v>
      </c>
      <c r="Q30" s="184">
        <f t="shared" si="12"/>
        <v>0.15923230227556862</v>
      </c>
      <c r="R30" s="184">
        <f t="shared" si="12"/>
        <v>0.10661054970345396</v>
      </c>
      <c r="S30" s="184"/>
    </row>
    <row r="31" spans="3:19" s="184" customFormat="1" ht="13" outlineLevel="2" x14ac:dyDescent="0.3">
      <c r="D31" s="182" t="s">
        <v>146</v>
      </c>
      <c r="E31" s="182">
        <f t="shared" ref="E31:R31" si="13">E33/E29</f>
        <v>137.29173324601985</v>
      </c>
      <c r="F31" s="182">
        <f t="shared" si="13"/>
        <v>148.02204513616906</v>
      </c>
      <c r="G31" s="203">
        <f t="shared" si="13"/>
        <v>93.424184423305363</v>
      </c>
      <c r="H31" s="203">
        <f t="shared" si="13"/>
        <v>88.28285379054968</v>
      </c>
      <c r="I31" s="203">
        <f t="shared" si="13"/>
        <v>110.52757100037985</v>
      </c>
      <c r="J31" s="203">
        <f t="shared" si="13"/>
        <v>94.764691818155214</v>
      </c>
      <c r="K31" s="182">
        <f t="shared" si="13"/>
        <v>154.68882249362551</v>
      </c>
      <c r="L31" s="182">
        <f t="shared" si="13"/>
        <v>141.96157474805426</v>
      </c>
      <c r="M31" s="182">
        <f t="shared" si="13"/>
        <v>155.68847423676573</v>
      </c>
      <c r="N31" s="203">
        <f t="shared" si="13"/>
        <v>141.96927664445428</v>
      </c>
      <c r="O31" s="182">
        <f t="shared" si="13"/>
        <v>150.60131967968189</v>
      </c>
      <c r="P31" s="182">
        <f t="shared" si="13"/>
        <v>141.42798565201616</v>
      </c>
      <c r="Q31" s="182">
        <f t="shared" si="13"/>
        <v>149.46370267798451</v>
      </c>
      <c r="R31" s="182">
        <f t="shared" si="13"/>
        <v>145.74343206379115</v>
      </c>
      <c r="S31" s="182"/>
    </row>
    <row r="32" spans="3:19" s="184" customFormat="1" ht="13" outlineLevel="2" x14ac:dyDescent="0.3">
      <c r="D32" s="189" t="s">
        <v>134</v>
      </c>
      <c r="F32" s="184">
        <f>F31/E31-1</f>
        <v>7.8157013801559483E-2</v>
      </c>
      <c r="G32" s="205"/>
      <c r="H32" s="205"/>
      <c r="I32" s="205"/>
      <c r="J32" s="205"/>
      <c r="K32" s="184">
        <f t="shared" ref="K32:R32" si="14">K31/G31-1</f>
        <v>0.65576850842743051</v>
      </c>
      <c r="L32" s="184">
        <f t="shared" si="14"/>
        <v>0.6080311029008747</v>
      </c>
      <c r="M32" s="184">
        <f t="shared" si="14"/>
        <v>0.40859400806184976</v>
      </c>
      <c r="N32" s="205">
        <f t="shared" si="14"/>
        <v>0.49812418444709716</v>
      </c>
      <c r="O32" s="184">
        <f t="shared" si="14"/>
        <v>-2.6424034704330746E-2</v>
      </c>
      <c r="P32" s="184">
        <f t="shared" si="14"/>
        <v>-3.7586867924301881E-3</v>
      </c>
      <c r="Q32" s="184">
        <f t="shared" si="14"/>
        <v>-3.9982224691307522E-2</v>
      </c>
      <c r="R32" s="184">
        <f t="shared" si="14"/>
        <v>2.6584311116755188E-2</v>
      </c>
    </row>
    <row r="33" spans="3:19" outlineLevel="2" x14ac:dyDescent="0.3">
      <c r="D33" s="182" t="s">
        <v>62</v>
      </c>
      <c r="E33" s="192">
        <v>68699.202401999995</v>
      </c>
      <c r="F33" s="192">
        <v>101191.7491208</v>
      </c>
      <c r="G33" s="204">
        <f>'[1]OP DATA Combined'!L$413/1000000</f>
        <v>10592.564543500001</v>
      </c>
      <c r="H33" s="204">
        <f>'[1]OP DATA Combined'!O$413/1000000</f>
        <v>10233.9878345</v>
      </c>
      <c r="I33" s="204">
        <f>'[1]OP DATA Combined'!Q$413/1000000</f>
        <v>16422.927586599999</v>
      </c>
      <c r="J33" s="204">
        <f>'[1]OP DATA Combined'!S$413/1000000</f>
        <v>11491.040303299998</v>
      </c>
      <c r="K33" s="183">
        <f>'[1]OP DATA Combined'!T$413/1000000</f>
        <v>24857.750959000001</v>
      </c>
      <c r="L33" s="183">
        <f>'[3]OP DATA Combined'!$U$480/1000000</f>
        <v>22066.691303</v>
      </c>
      <c r="M33" s="183">
        <f>'[2]OP DATA Combined'!$V$485/1000000</f>
        <v>31617.374773</v>
      </c>
      <c r="N33" s="204">
        <f>'[4]OP DATA Combined'!$W$486/1000000</f>
        <v>23142.143179941082</v>
      </c>
      <c r="O33" s="183">
        <f>'[1]OP DATA Combined'!X$413/1000000</f>
        <v>29857.339634</v>
      </c>
      <c r="P33" s="183">
        <f>'[3]OP DATA Combined'!$Y$480/1000000</f>
        <v>27036.573187985727</v>
      </c>
      <c r="Q33" s="183">
        <f>'[2]OP DATA Combined'!$Z$485/1000000</f>
        <v>35186.458362533078</v>
      </c>
      <c r="R33" s="183">
        <f>'[4]OP DATA Combined'!$AA$486/1000000</f>
        <v>26290.146442027606</v>
      </c>
      <c r="S33" s="183"/>
    </row>
    <row r="34" spans="3:19" ht="13" outlineLevel="2" x14ac:dyDescent="0.3">
      <c r="D34" s="190" t="s">
        <v>134</v>
      </c>
      <c r="E34" s="185"/>
      <c r="F34" s="184">
        <f>F33/E33-1</f>
        <v>0.47296832543508649</v>
      </c>
      <c r="G34" s="203"/>
      <c r="H34" s="203"/>
      <c r="I34" s="203"/>
      <c r="J34" s="203"/>
      <c r="K34" s="184">
        <f t="shared" ref="K34:R34" si="15">K33/G33-1</f>
        <v>1.3467169689566498</v>
      </c>
      <c r="L34" s="184">
        <f t="shared" si="15"/>
        <v>1.1562162922072798</v>
      </c>
      <c r="M34" s="184">
        <f t="shared" si="15"/>
        <v>0.92519723455382241</v>
      </c>
      <c r="N34" s="205">
        <f t="shared" si="15"/>
        <v>1.0139293370414095</v>
      </c>
      <c r="O34" s="184">
        <f t="shared" si="15"/>
        <v>0.20112795736212208</v>
      </c>
      <c r="P34" s="184">
        <f t="shared" si="15"/>
        <v>0.22522098201056839</v>
      </c>
      <c r="Q34" s="184">
        <f t="shared" si="15"/>
        <v>0.11288361589656515</v>
      </c>
      <c r="R34" s="184">
        <f t="shared" si="15"/>
        <v>0.13602902884185419</v>
      </c>
      <c r="S34" s="184"/>
    </row>
    <row r="35" spans="3:19" outlineLevel="2" x14ac:dyDescent="0.3">
      <c r="D35" s="186" t="s">
        <v>135</v>
      </c>
      <c r="E35" s="186">
        <f t="shared" ref="E35:R35" si="16">E36/E33</f>
        <v>2.7294209695287258E-2</v>
      </c>
      <c r="F35" s="186">
        <f t="shared" si="16"/>
        <v>2.5211943608517404E-2</v>
      </c>
      <c r="G35" s="206">
        <f t="shared" si="16"/>
        <v>4.8591395491268827E-2</v>
      </c>
      <c r="H35" s="206">
        <f t="shared" si="16"/>
        <v>3.6914830280180555E-2</v>
      </c>
      <c r="I35" s="206">
        <f t="shared" si="16"/>
        <v>3.9239285541623314E-2</v>
      </c>
      <c r="J35" s="206">
        <f t="shared" si="16"/>
        <v>3.7074972217933364E-2</v>
      </c>
      <c r="K35" s="186">
        <f t="shared" si="16"/>
        <v>3.0018082149738379E-2</v>
      </c>
      <c r="L35" s="186">
        <f t="shared" si="16"/>
        <v>2.1524530124977386E-2</v>
      </c>
      <c r="M35" s="186">
        <f t="shared" si="16"/>
        <v>2.4436023876965671E-2</v>
      </c>
      <c r="N35" s="206">
        <f t="shared" si="16"/>
        <v>2.4034255367087566E-2</v>
      </c>
      <c r="O35" s="186">
        <f t="shared" si="16"/>
        <v>2.9312786821621018E-2</v>
      </c>
      <c r="P35" s="186">
        <f t="shared" si="16"/>
        <v>2.202427042889394E-2</v>
      </c>
      <c r="Q35" s="186">
        <f t="shared" si="16"/>
        <v>2.4170031936513021E-2</v>
      </c>
      <c r="R35" s="186">
        <f t="shared" si="16"/>
        <v>2.5805080526682511E-2</v>
      </c>
      <c r="S35" s="186"/>
    </row>
    <row r="36" spans="3:19" outlineLevel="2" x14ac:dyDescent="0.3">
      <c r="D36" s="182" t="s">
        <v>12</v>
      </c>
      <c r="E36" s="192">
        <v>1875.09043625917</v>
      </c>
      <c r="F36" s="192">
        <v>2551.2406724808502</v>
      </c>
      <c r="G36" s="204">
        <f>'[1]OP DATA Combined'!L$427/1000000</f>
        <v>514.707493</v>
      </c>
      <c r="H36" s="204">
        <f>'[1]OP DATA Combined'!O$427/1000000</f>
        <v>377.78592400000002</v>
      </c>
      <c r="I36" s="204">
        <f>'[1]OP DATA Combined'!Q$427/1000000</f>
        <v>644.423945</v>
      </c>
      <c r="J36" s="204">
        <f>'[1]OP DATA Combined'!S$427/1000000</f>
        <v>426.03</v>
      </c>
      <c r="K36" s="183">
        <f>('[5]OP DATA Combined'!$T$415+'[5]OP DATA Combined'!$T$419+'[5]OP DATA Combined'!$T$424)/1000000</f>
        <v>746.18201034499998</v>
      </c>
      <c r="L36" s="183">
        <f>('[3]OP DATA Combined'!$U$482+'[3]OP DATA Combined'!$U$487+'[3]OP DATA Combined'!$U$492)/1000000</f>
        <v>474.97516170999995</v>
      </c>
      <c r="M36" s="183">
        <f>'[2]OP DATA Combined'!$V$502/1000000</f>
        <v>772.60292488000005</v>
      </c>
      <c r="N36" s="204">
        <f>'[4]OP DATA Combined'!$W$503/1000000</f>
        <v>556.20417892840783</v>
      </c>
      <c r="O36" s="183">
        <f>('[5]OP DATA Combined'!$X$415+'[5]OP DATA Combined'!$X$419+'[5]OP DATA Combined'!$X$424)/1000000</f>
        <v>875.20183175217812</v>
      </c>
      <c r="P36" s="183">
        <f>('[3]OP DATA Combined'!$Y$482+'[3]OP DATA Combined'!$Y$487+'[3]OP DATA Combined'!$Y$492)/1000000</f>
        <v>595.46079936278079</v>
      </c>
      <c r="Q36" s="183">
        <f>'[2]OP DATA Combined'!$Z$502/1000000</f>
        <v>850.45782235521017</v>
      </c>
      <c r="R36" s="183">
        <f>'[4]OP DATA Combined'!$AA$503/1000000</f>
        <v>678.41934599479805</v>
      </c>
      <c r="S36" s="183"/>
    </row>
    <row r="37" spans="3:19" ht="13" outlineLevel="2" x14ac:dyDescent="0.3">
      <c r="D37" s="190" t="s">
        <v>134</v>
      </c>
      <c r="E37" s="185"/>
      <c r="F37" s="184">
        <f>F36/E36-1</f>
        <v>0.36059606680657419</v>
      </c>
      <c r="G37" s="203"/>
      <c r="H37" s="203"/>
      <c r="I37" s="203"/>
      <c r="J37" s="203"/>
      <c r="K37" s="184">
        <f t="shared" ref="K37:R37" si="17">K36/G36-1</f>
        <v>0.44972051212201802</v>
      </c>
      <c r="L37" s="184">
        <f t="shared" si="17"/>
        <v>0.25726008179701254</v>
      </c>
      <c r="M37" s="184">
        <f t="shared" si="17"/>
        <v>0.19890474411220094</v>
      </c>
      <c r="N37" s="205">
        <f t="shared" si="17"/>
        <v>0.3055516722493905</v>
      </c>
      <c r="O37" s="184">
        <f t="shared" si="17"/>
        <v>0.17290663620733149</v>
      </c>
      <c r="P37" s="184">
        <f t="shared" si="17"/>
        <v>0.25366723855413809</v>
      </c>
      <c r="Q37" s="184">
        <f t="shared" si="17"/>
        <v>0.10076961265361817</v>
      </c>
      <c r="R37" s="184">
        <f t="shared" si="17"/>
        <v>0.21973076020725335</v>
      </c>
      <c r="S37" s="184"/>
    </row>
    <row r="38" spans="3:19" outlineLevel="1" x14ac:dyDescent="0.3">
      <c r="G38" s="203"/>
      <c r="H38" s="203"/>
      <c r="I38" s="203"/>
      <c r="J38" s="203"/>
      <c r="N38" s="203"/>
    </row>
    <row r="39" spans="3:19" s="196" customFormat="1" x14ac:dyDescent="0.3">
      <c r="C39" s="196" t="s">
        <v>153</v>
      </c>
    </row>
    <row r="40" spans="3:19" outlineLevel="2" x14ac:dyDescent="0.3">
      <c r="C40" s="182" t="s">
        <v>131</v>
      </c>
    </row>
    <row r="41" spans="3:19" outlineLevel="2" x14ac:dyDescent="0.3">
      <c r="D41" s="182" t="s">
        <v>62</v>
      </c>
      <c r="E41" s="183">
        <f>Tongchengelong!BK5/1000</f>
        <v>80013.399999999994</v>
      </c>
      <c r="F41" s="182">
        <f>E41*(1+F42)</f>
        <v>110818.55899999999</v>
      </c>
      <c r="K41" s="182">
        <f>K44/K43</f>
        <v>23543.846153846152</v>
      </c>
      <c r="L41" s="182">
        <f>L53+L65</f>
        <v>24517.943040107744</v>
      </c>
      <c r="M41" s="182">
        <f>M44/M43</f>
        <v>31170.833333333339</v>
      </c>
      <c r="N41" s="182">
        <f>N44/N43</f>
        <v>29797.638888888891</v>
      </c>
      <c r="O41" s="201">
        <v>30607</v>
      </c>
      <c r="P41" s="201">
        <v>34865</v>
      </c>
      <c r="Q41" s="201">
        <v>39390</v>
      </c>
      <c r="R41" s="201">
        <f>Tongchengelong!AC5/1000</f>
        <v>34410</v>
      </c>
      <c r="S41" s="201"/>
    </row>
    <row r="42" spans="3:19" s="185" customFormat="1" ht="13" outlineLevel="2" x14ac:dyDescent="0.3">
      <c r="D42" s="190" t="s">
        <v>134</v>
      </c>
      <c r="F42" s="202">
        <v>0.38500000000000001</v>
      </c>
      <c r="O42" s="184">
        <f>O41/K41-1</f>
        <v>0.30000000000000004</v>
      </c>
      <c r="P42" s="184">
        <f>P41/L41-1</f>
        <v>0.42201978130734674</v>
      </c>
      <c r="Q42" s="184">
        <f>Q41/M41-1</f>
        <v>0.26368132602593208</v>
      </c>
      <c r="R42" s="184">
        <f>R41/N41-1</f>
        <v>0.15478948276103144</v>
      </c>
      <c r="S42" s="184"/>
    </row>
    <row r="43" spans="3:19" outlineLevel="2" x14ac:dyDescent="0.3">
      <c r="D43" s="186" t="s">
        <v>135</v>
      </c>
      <c r="E43" s="186">
        <f>E44/E41</f>
        <v>3.1619703699630311E-2</v>
      </c>
      <c r="F43" s="186">
        <f>F44/F41</f>
        <v>2.9169491366513801E-2</v>
      </c>
      <c r="G43" s="186"/>
      <c r="H43" s="186"/>
      <c r="I43" s="186"/>
      <c r="J43" s="186"/>
      <c r="K43" s="216">
        <f>O43</f>
        <v>4.1132682066194012E-2</v>
      </c>
      <c r="L43" s="186">
        <f>L44/L41</f>
        <v>3.3831834858376229E-2</v>
      </c>
      <c r="M43" s="195">
        <v>3.5999999999999997E-2</v>
      </c>
      <c r="N43" s="186">
        <v>3.5999999999999997E-2</v>
      </c>
      <c r="O43" s="186">
        <f>O44/O41</f>
        <v>4.1132682066194012E-2</v>
      </c>
      <c r="P43" s="186">
        <f>P44/P41</f>
        <v>2.6877728380897747E-2</v>
      </c>
      <c r="Q43" s="186">
        <f>Q44/Q41</f>
        <v>2.8931733942625035E-2</v>
      </c>
      <c r="R43" s="186">
        <f>R44/R41</f>
        <v>3.4350392327811688E-2</v>
      </c>
      <c r="S43" s="186"/>
    </row>
    <row r="44" spans="3:19" outlineLevel="2" x14ac:dyDescent="0.3">
      <c r="D44" s="182" t="s">
        <v>12</v>
      </c>
      <c r="E44" s="183">
        <f>Tongchengelong!BK15/1000</f>
        <v>2530</v>
      </c>
      <c r="F44" s="183">
        <f>Tongchengelong!BL15/1000</f>
        <v>3232.5210000000002</v>
      </c>
      <c r="K44" s="182">
        <f>O44/(1+O45)</f>
        <v>968.42153846153849</v>
      </c>
      <c r="L44" s="183">
        <f>Tongchengelong!W15/1000</f>
        <v>829.48699999999997</v>
      </c>
      <c r="M44" s="183">
        <f>Tongchengelong!X15/1000</f>
        <v>1122.1500000000001</v>
      </c>
      <c r="N44" s="183">
        <f>Tongchengelong!Y15/1000</f>
        <v>1072.7149999999999</v>
      </c>
      <c r="O44" s="183">
        <f>Tongchengelong!Z15/1000</f>
        <v>1258.9480000000001</v>
      </c>
      <c r="P44" s="183">
        <f>Tongchengelong!AA15/1000</f>
        <v>937.09199999999998</v>
      </c>
      <c r="Q44" s="183">
        <f>Tongchengelong!AB15/1000</f>
        <v>1139.6210000000001</v>
      </c>
      <c r="R44" s="183">
        <f>Tongchengelong!AC15/1000</f>
        <v>1181.9970000000001</v>
      </c>
      <c r="S44" s="183"/>
    </row>
    <row r="45" spans="3:19" s="185" customFormat="1" ht="13" outlineLevel="2" x14ac:dyDescent="0.3">
      <c r="D45" s="190" t="s">
        <v>134</v>
      </c>
      <c r="F45" s="184">
        <f>F44/E44-1</f>
        <v>0.27767628458498028</v>
      </c>
      <c r="O45" s="199">
        <f>Tongchengelong!Z87</f>
        <v>0.3</v>
      </c>
      <c r="P45" s="184">
        <f>P44/L44-1</f>
        <v>0.12972475759113777</v>
      </c>
      <c r="Q45" s="184">
        <f>Q44/M44-1</f>
        <v>1.5569219801274237E-2</v>
      </c>
      <c r="R45" s="184">
        <f>R44/N44-1</f>
        <v>0.10187421635756011</v>
      </c>
      <c r="S45" s="184"/>
    </row>
    <row r="46" spans="3:19" outlineLevel="2" x14ac:dyDescent="0.3"/>
    <row r="47" spans="3:19" s="197" customFormat="1" outlineLevel="1" x14ac:dyDescent="0.3">
      <c r="C47" s="197" t="s">
        <v>149</v>
      </c>
      <c r="E47" s="198"/>
    </row>
    <row r="48" spans="3:19" outlineLevel="2" x14ac:dyDescent="0.3">
      <c r="C48" s="182" t="s">
        <v>131</v>
      </c>
      <c r="O48" s="194"/>
      <c r="P48" s="194"/>
      <c r="Q48" s="194"/>
      <c r="R48" s="194"/>
    </row>
    <row r="49" spans="3:19" outlineLevel="2" x14ac:dyDescent="0.3">
      <c r="D49" s="182" t="s">
        <v>137</v>
      </c>
      <c r="E49" s="201">
        <v>48.5</v>
      </c>
      <c r="F49" s="182">
        <f>F53/F51</f>
        <v>66.986026432744922</v>
      </c>
      <c r="K49" s="182">
        <f>K53/K51</f>
        <v>13.926871215949376</v>
      </c>
      <c r="L49" s="192">
        <f>(AVERAGE(K77,F77)+0.025)*L17</f>
        <v>15.839995848023161</v>
      </c>
      <c r="M49" s="192">
        <f>(AVERAGE(L77,F77)+0.01)*M17</f>
        <v>18.746104231835812</v>
      </c>
      <c r="N49" s="192">
        <f>(AVERAGE(M77,G77)+0.01)*N17</f>
        <v>18.475454759186128</v>
      </c>
      <c r="O49" s="182">
        <f>O53/O51</f>
        <v>16.68141952545448</v>
      </c>
      <c r="P49" s="182">
        <f>L49*(1+P50)</f>
        <v>20.433594643949878</v>
      </c>
      <c r="Q49" s="182">
        <f>M49*(1+Q50)</f>
        <v>22.682786120521332</v>
      </c>
      <c r="R49" s="182">
        <v>17</v>
      </c>
    </row>
    <row r="50" spans="3:19" ht="13" outlineLevel="2" x14ac:dyDescent="0.3">
      <c r="D50" s="189" t="s">
        <v>134</v>
      </c>
      <c r="F50" s="184">
        <f>F49/E49-1</f>
        <v>0.38115518418030758</v>
      </c>
      <c r="O50" s="184">
        <f>O49/K49-1</f>
        <v>0.19778658585932285</v>
      </c>
      <c r="P50" s="202">
        <v>0.28999999999999998</v>
      </c>
      <c r="Q50" s="202">
        <v>0.21</v>
      </c>
      <c r="R50" s="202">
        <v>0.27</v>
      </c>
      <c r="S50" s="202"/>
    </row>
    <row r="51" spans="3:19" outlineLevel="2" x14ac:dyDescent="0.3">
      <c r="D51" s="182" t="s">
        <v>147</v>
      </c>
      <c r="E51" s="182">
        <f>E53/E49</f>
        <v>814.48453608247428</v>
      </c>
      <c r="F51" s="192">
        <f>E51*F19/E19</f>
        <v>827.17668819528842</v>
      </c>
      <c r="K51" s="192">
        <f>F51*K19/F19</f>
        <v>845.26688689715149</v>
      </c>
      <c r="L51" s="192">
        <f>L19*(K51/K19+0.001)</f>
        <v>811.50061780739429</v>
      </c>
      <c r="M51" s="192">
        <f>L51*M19/L19</f>
        <v>899.17737030321462</v>
      </c>
      <c r="N51" s="192">
        <f>M51*N19/M19</f>
        <v>751.02502502652612</v>
      </c>
      <c r="O51" s="192">
        <f>K51*O19/K19</f>
        <v>825.65815091355398</v>
      </c>
      <c r="P51" s="192">
        <f>L51*P19/L19</f>
        <v>795.727296429116</v>
      </c>
      <c r="Q51" s="192">
        <f>M51*Q19/M19</f>
        <v>874.86485911989996</v>
      </c>
      <c r="R51" s="192">
        <v>500</v>
      </c>
      <c r="S51" s="192"/>
    </row>
    <row r="52" spans="3:19" ht="13" outlineLevel="2" x14ac:dyDescent="0.3">
      <c r="D52" s="189" t="s">
        <v>134</v>
      </c>
      <c r="F52" s="184">
        <f>F51/E51-1</f>
        <v>1.558304860379689E-2</v>
      </c>
      <c r="O52" s="184">
        <f>O51/K51-1</f>
        <v>-2.3198277712709436E-2</v>
      </c>
      <c r="P52" s="184">
        <f>P51/L51-1</f>
        <v>-1.9437226580179878E-2</v>
      </c>
      <c r="Q52" s="184">
        <f>Q51/M51-1</f>
        <v>-2.7038615501540186E-2</v>
      </c>
      <c r="R52" s="184">
        <f>R51/N51-1</f>
        <v>-0.33424322314380928</v>
      </c>
      <c r="S52" s="184"/>
    </row>
    <row r="53" spans="3:19" outlineLevel="2" x14ac:dyDescent="0.3">
      <c r="D53" s="182" t="s">
        <v>62</v>
      </c>
      <c r="E53" s="201">
        <v>39502.5</v>
      </c>
      <c r="F53" s="192">
        <f>F41*0.5</f>
        <v>55409.279499999997</v>
      </c>
      <c r="K53" s="192">
        <f>K41*F53/F41</f>
        <v>11771.923076923076</v>
      </c>
      <c r="L53" s="182">
        <f>L49*L51</f>
        <v>12854.166416737356</v>
      </c>
      <c r="M53" s="182">
        <f>M49*M51</f>
        <v>16856.072706612089</v>
      </c>
      <c r="N53" s="182">
        <f>N49*N51</f>
        <v>13875.528872894212</v>
      </c>
      <c r="O53" s="192">
        <f>O41*0.45</f>
        <v>13773.15</v>
      </c>
      <c r="P53" s="182">
        <f>P49*P51</f>
        <v>16259.569022358701</v>
      </c>
      <c r="Q53" s="182">
        <f>Q49*Q51</f>
        <v>19844.372483776719</v>
      </c>
      <c r="R53" s="182">
        <f>R49*R51</f>
        <v>8500</v>
      </c>
    </row>
    <row r="54" spans="3:19" ht="13" outlineLevel="2" x14ac:dyDescent="0.3">
      <c r="D54" s="190" t="s">
        <v>134</v>
      </c>
      <c r="F54" s="184">
        <f>F53/E53-1</f>
        <v>0.40267779254477554</v>
      </c>
      <c r="O54" s="184">
        <f>O53/K53-1</f>
        <v>0.16999999999999993</v>
      </c>
      <c r="P54" s="184">
        <f>P53/L53-1</f>
        <v>0.26492597771156778</v>
      </c>
      <c r="Q54" s="184">
        <f>Q53/M53-1</f>
        <v>0.17728327524313636</v>
      </c>
      <c r="R54" s="184">
        <f>R53/N53-1</f>
        <v>-0.38741073743108168</v>
      </c>
      <c r="S54" s="184"/>
    </row>
    <row r="55" spans="3:19" outlineLevel="2" x14ac:dyDescent="0.3">
      <c r="D55" s="186" t="s">
        <v>135</v>
      </c>
      <c r="E55" s="195">
        <v>3.5000000000000003E-2</v>
      </c>
      <c r="F55" s="195">
        <f>E55+0.0014</f>
        <v>3.6400000000000002E-2</v>
      </c>
      <c r="K55" s="216">
        <f>O55</f>
        <v>4.1000000000000002E-2</v>
      </c>
      <c r="L55" s="216">
        <f>P55</f>
        <v>3.3000000000000002E-2</v>
      </c>
      <c r="M55" s="195">
        <v>3.1E-2</v>
      </c>
      <c r="N55" s="186">
        <v>3.5000000000000003E-2</v>
      </c>
      <c r="O55" s="195">
        <v>4.1000000000000002E-2</v>
      </c>
      <c r="P55" s="195">
        <v>3.3000000000000002E-2</v>
      </c>
      <c r="Q55" s="195">
        <v>3.2000000000000001E-2</v>
      </c>
      <c r="R55" s="195">
        <v>3.5000000000000003E-2</v>
      </c>
      <c r="S55" s="195"/>
    </row>
    <row r="56" spans="3:19" outlineLevel="2" x14ac:dyDescent="0.3">
      <c r="D56" s="182" t="s">
        <v>12</v>
      </c>
      <c r="E56" s="182">
        <f>E53*E55</f>
        <v>1382.5875000000001</v>
      </c>
      <c r="F56" s="182">
        <f>F53*F55</f>
        <v>2016.8977738000001</v>
      </c>
      <c r="K56" s="182">
        <f t="shared" ref="K56:R56" si="18">K53*K55</f>
        <v>482.64884615384614</v>
      </c>
      <c r="L56" s="182">
        <f t="shared" si="18"/>
        <v>424.18749175233279</v>
      </c>
      <c r="M56" s="182">
        <f t="shared" si="18"/>
        <v>522.53825390497479</v>
      </c>
      <c r="N56" s="182">
        <f t="shared" si="18"/>
        <v>485.64351055129748</v>
      </c>
      <c r="O56" s="182">
        <f t="shared" si="18"/>
        <v>564.69915000000003</v>
      </c>
      <c r="P56" s="182">
        <f t="shared" si="18"/>
        <v>536.56577773783715</v>
      </c>
      <c r="Q56" s="182">
        <f t="shared" si="18"/>
        <v>635.01991948085504</v>
      </c>
      <c r="R56" s="182">
        <f t="shared" si="18"/>
        <v>297.5</v>
      </c>
    </row>
    <row r="57" spans="3:19" ht="13" outlineLevel="2" x14ac:dyDescent="0.3">
      <c r="D57" s="190" t="s">
        <v>134</v>
      </c>
      <c r="F57" s="184">
        <f>F56/E56-1</f>
        <v>0.45878490424656659</v>
      </c>
      <c r="O57" s="184">
        <f>O56/K56-1</f>
        <v>0.17000000000000015</v>
      </c>
      <c r="P57" s="184">
        <f>P56/L56-1</f>
        <v>0.26492597771156778</v>
      </c>
      <c r="Q57" s="184">
        <f>Q56/M56-1</f>
        <v>0.2152601550896891</v>
      </c>
      <c r="R57" s="184">
        <f>R56/N56-1</f>
        <v>-0.38741073743108179</v>
      </c>
      <c r="S57" s="184"/>
    </row>
    <row r="58" spans="3:19" outlineLevel="1" x14ac:dyDescent="0.3"/>
    <row r="59" spans="3:19" s="197" customFormat="1" outlineLevel="1" x14ac:dyDescent="0.3">
      <c r="C59" s="197" t="s">
        <v>136</v>
      </c>
      <c r="E59" s="198"/>
      <c r="F59" s="198"/>
      <c r="G59" s="198"/>
      <c r="H59" s="198"/>
      <c r="I59" s="198"/>
      <c r="J59" s="198"/>
      <c r="K59" s="198"/>
      <c r="L59" s="198"/>
      <c r="M59" s="198"/>
      <c r="N59" s="198"/>
    </row>
    <row r="60" spans="3:19" outlineLevel="2" x14ac:dyDescent="0.3">
      <c r="C60" s="182" t="s">
        <v>131</v>
      </c>
    </row>
    <row r="61" spans="3:19" outlineLevel="2" x14ac:dyDescent="0.3">
      <c r="D61" s="182" t="s">
        <v>137</v>
      </c>
      <c r="E61" s="182">
        <f>E65/E63</f>
        <v>327.85740296869642</v>
      </c>
      <c r="F61" s="182">
        <f>F65/F63</f>
        <v>415.92362850057356</v>
      </c>
      <c r="K61" s="182">
        <f>K65/K63</f>
        <v>84.556300313511869</v>
      </c>
      <c r="L61" s="192">
        <f>(AVERAGE(K83,F83)+0.02)*L29</f>
        <v>91.290561032061973</v>
      </c>
      <c r="M61" s="192">
        <f>AVERAGE(L83,F83)*M29</f>
        <v>121.412725304565</v>
      </c>
      <c r="N61" s="192">
        <f>AVERAGE(M83,G83)*N29</f>
        <v>97.454987419311351</v>
      </c>
      <c r="O61" s="182">
        <f>O65/O63</f>
        <v>124.19730330093003</v>
      </c>
      <c r="P61" s="182">
        <f>P65/P63</f>
        <v>139.95116728200139</v>
      </c>
      <c r="Q61" s="182">
        <f>Q65/Q63</f>
        <v>145.30192627238887</v>
      </c>
      <c r="R61" s="182">
        <f>R65/R63</f>
        <v>197.53129510692554</v>
      </c>
    </row>
    <row r="62" spans="3:19" ht="13" outlineLevel="2" x14ac:dyDescent="0.3">
      <c r="D62" s="189" t="s">
        <v>134</v>
      </c>
      <c r="E62" s="191"/>
      <c r="F62" s="184">
        <f>F61/E61-1</f>
        <v>0.26861136803516272</v>
      </c>
      <c r="O62" s="184">
        <f>O61/K61-1</f>
        <v>0.46881193761363793</v>
      </c>
      <c r="P62" s="184">
        <f>P61/L61-1</f>
        <v>0.53302998360202247</v>
      </c>
      <c r="Q62" s="184">
        <f>Q61/M61-1</f>
        <v>0.1967602729277147</v>
      </c>
      <c r="R62" s="184">
        <f>R61/N61-1</f>
        <v>1.0268977539038029</v>
      </c>
      <c r="S62" s="184"/>
    </row>
    <row r="63" spans="3:19" outlineLevel="2" x14ac:dyDescent="0.3">
      <c r="D63" s="182" t="s">
        <v>147</v>
      </c>
      <c r="E63" s="192">
        <f>E31*0.9</f>
        <v>123.56255992141786</v>
      </c>
      <c r="F63" s="192">
        <f>F31*0.9</f>
        <v>133.21984062255214</v>
      </c>
      <c r="K63" s="192">
        <f>K31*0.9</f>
        <v>139.21994024426297</v>
      </c>
      <c r="L63" s="192">
        <f>L31*0.9</f>
        <v>127.76541727324884</v>
      </c>
      <c r="M63" s="192">
        <f>M31*0.9</f>
        <v>140.11962681308916</v>
      </c>
      <c r="N63" s="192">
        <f>N31*0.9</f>
        <v>127.77234898000886</v>
      </c>
      <c r="O63" s="192">
        <f>O31*0.9</f>
        <v>135.54118771171372</v>
      </c>
      <c r="P63" s="192">
        <f>P31*0.94</f>
        <v>132.94230651289519</v>
      </c>
      <c r="Q63" s="192">
        <f>Q31*0.9</f>
        <v>134.51733241018607</v>
      </c>
      <c r="R63" s="192">
        <f>R31*0.9</f>
        <v>131.16908885741205</v>
      </c>
      <c r="S63" s="192"/>
    </row>
    <row r="64" spans="3:19" ht="13" outlineLevel="2" x14ac:dyDescent="0.3">
      <c r="D64" s="189" t="s">
        <v>134</v>
      </c>
      <c r="E64" s="191"/>
      <c r="F64" s="184">
        <f>F63/E63-1</f>
        <v>7.8157013801559483E-2</v>
      </c>
      <c r="O64" s="184">
        <f>O63/K63-1</f>
        <v>-2.6424034704330746E-2</v>
      </c>
      <c r="P64" s="184">
        <f>P63/L63-1</f>
        <v>4.0518704905683878E-2</v>
      </c>
      <c r="Q64" s="184">
        <f>Q63/M63-1</f>
        <v>-3.9982224691307522E-2</v>
      </c>
      <c r="R64" s="184">
        <f>R63/N63-1</f>
        <v>2.658431111675541E-2</v>
      </c>
      <c r="S64" s="192"/>
    </row>
    <row r="65" spans="3:19" outlineLevel="2" x14ac:dyDescent="0.3">
      <c r="D65" s="182" t="s">
        <v>62</v>
      </c>
      <c r="E65" s="182">
        <f>E41-E53</f>
        <v>40510.899999999994</v>
      </c>
      <c r="F65" s="191">
        <f>F41-F53</f>
        <v>55409.279499999997</v>
      </c>
      <c r="K65" s="182">
        <f>K41-K53</f>
        <v>11771.923076923076</v>
      </c>
      <c r="L65" s="182">
        <f>L61*L63</f>
        <v>11663.776623370388</v>
      </c>
      <c r="M65" s="182">
        <f>M61*M63</f>
        <v>17012.305760035753</v>
      </c>
      <c r="N65" s="182">
        <f>N61*N63</f>
        <v>12452.052662382623</v>
      </c>
      <c r="O65" s="182">
        <f>O41-O53</f>
        <v>16833.849999999999</v>
      </c>
      <c r="P65" s="182">
        <f>P41-P53</f>
        <v>18605.430977641299</v>
      </c>
      <c r="Q65" s="182">
        <f>Q41-Q53</f>
        <v>19545.627516223281</v>
      </c>
      <c r="R65" s="182">
        <f>R41-R53</f>
        <v>25910</v>
      </c>
    </row>
    <row r="66" spans="3:19" ht="13" outlineLevel="2" x14ac:dyDescent="0.3">
      <c r="D66" s="190" t="s">
        <v>134</v>
      </c>
      <c r="F66" s="184">
        <f>F65/E65-1</f>
        <v>0.36776224423550219</v>
      </c>
      <c r="O66" s="184">
        <f>O65/K65-1</f>
        <v>0.42999999999999994</v>
      </c>
      <c r="P66" s="184">
        <f>P65/L65-1</f>
        <v>0.59514637311915841</v>
      </c>
      <c r="Q66" s="184">
        <f>Q65/M65-1</f>
        <v>0.14891113479388829</v>
      </c>
      <c r="R66" s="184">
        <f>R65/N65-1</f>
        <v>1.0807814343954343</v>
      </c>
    </row>
    <row r="67" spans="3:19" outlineLevel="2" x14ac:dyDescent="0.3">
      <c r="D67" s="186" t="s">
        <v>135</v>
      </c>
      <c r="E67" s="186">
        <f>E68/E65</f>
        <v>2.8323549958159409E-2</v>
      </c>
      <c r="F67" s="186">
        <f>F68/F65</f>
        <v>2.19389827330276E-2</v>
      </c>
      <c r="K67" s="186">
        <f>K68/K65</f>
        <v>4.1265364132388023E-2</v>
      </c>
      <c r="L67" s="186">
        <f>L68/L65</f>
        <v>3.4748565694886484E-2</v>
      </c>
      <c r="M67" s="186">
        <f>M68/M65</f>
        <v>3.5245765891628623E-2</v>
      </c>
      <c r="N67" s="186">
        <v>0.03</v>
      </c>
      <c r="O67" s="186">
        <f>O68/O65</f>
        <v>4.1241240120352747E-2</v>
      </c>
      <c r="P67" s="186">
        <f>P68/P65</f>
        <v>2.1527382125331423E-2</v>
      </c>
      <c r="Q67" s="195">
        <v>2.6499999999999999E-2</v>
      </c>
      <c r="R67" s="195">
        <v>3.5000000000000003E-2</v>
      </c>
      <c r="S67" s="195"/>
    </row>
    <row r="68" spans="3:19" outlineLevel="2" x14ac:dyDescent="0.3">
      <c r="D68" s="182" t="s">
        <v>12</v>
      </c>
      <c r="E68" s="182">
        <f>E44-E56</f>
        <v>1147.4124999999999</v>
      </c>
      <c r="F68" s="182">
        <f>F44-F56</f>
        <v>1215.6232262000001</v>
      </c>
      <c r="K68" s="182">
        <f t="shared" ref="K68:P68" si="19">K44-K56</f>
        <v>485.77269230769235</v>
      </c>
      <c r="L68" s="182">
        <f t="shared" si="19"/>
        <v>405.29950824766718</v>
      </c>
      <c r="M68" s="182">
        <f t="shared" si="19"/>
        <v>599.6117460950253</v>
      </c>
      <c r="N68" s="182">
        <f t="shared" si="19"/>
        <v>587.07148944870244</v>
      </c>
      <c r="O68" s="182">
        <f t="shared" si="19"/>
        <v>694.24885000000006</v>
      </c>
      <c r="P68" s="182">
        <f t="shared" si="19"/>
        <v>400.52622226216283</v>
      </c>
      <c r="Q68" s="182">
        <f>Q65*Q67</f>
        <v>517.959129179917</v>
      </c>
      <c r="R68" s="182">
        <f>R65*R67</f>
        <v>906.85000000000014</v>
      </c>
    </row>
    <row r="69" spans="3:19" ht="13" outlineLevel="2" x14ac:dyDescent="0.3">
      <c r="D69" s="190" t="s">
        <v>134</v>
      </c>
      <c r="F69" s="184">
        <f>F68/E68-1</f>
        <v>5.9447431677796869E-2</v>
      </c>
      <c r="O69" s="184">
        <f>O68/K68-1</f>
        <v>0.42916401229128209</v>
      </c>
      <c r="P69" s="184">
        <f>P68/L68-1</f>
        <v>-1.1777181783767521E-2</v>
      </c>
      <c r="Q69" s="184">
        <f>Q68/M68-1</f>
        <v>-0.13617581284367997</v>
      </c>
      <c r="R69" s="184">
        <f>R68/N68-1</f>
        <v>0.54470114168138206</v>
      </c>
      <c r="S69" s="184"/>
    </row>
    <row r="70" spans="3:19" outlineLevel="1" x14ac:dyDescent="0.3"/>
    <row r="71" spans="3:19" s="196" customFormat="1" x14ac:dyDescent="0.3">
      <c r="C71" s="196" t="s">
        <v>169</v>
      </c>
    </row>
    <row r="72" spans="3:19" x14ac:dyDescent="0.3">
      <c r="D72" s="182" t="s">
        <v>62</v>
      </c>
      <c r="E72" s="194">
        <f>E41/E9</f>
        <v>0.34055551595615935</v>
      </c>
      <c r="F72" s="194">
        <f>F41/F9</f>
        <v>0.36612556569655802</v>
      </c>
      <c r="K72" s="194">
        <f t="shared" ref="K72:R72" si="20">K41/K9</f>
        <v>0.31343342727447338</v>
      </c>
      <c r="L72" s="194">
        <f t="shared" si="20"/>
        <v>0.36049169777598439</v>
      </c>
      <c r="M72" s="194">
        <f t="shared" si="20"/>
        <v>0.34537957225703775</v>
      </c>
      <c r="N72" s="194">
        <f t="shared" si="20"/>
        <v>0.42694964574309713</v>
      </c>
      <c r="O72" s="194">
        <f t="shared" si="20"/>
        <v>0.37953145397331001</v>
      </c>
      <c r="P72" s="194">
        <f t="shared" si="20"/>
        <v>0.46076840629841298</v>
      </c>
      <c r="Q72" s="194">
        <f t="shared" si="20"/>
        <v>0.40613099588319052</v>
      </c>
      <c r="R72" s="194">
        <f t="shared" si="20"/>
        <v>0.4398926369381076</v>
      </c>
      <c r="S72" s="194"/>
    </row>
    <row r="73" spans="3:19" x14ac:dyDescent="0.3">
      <c r="D73" s="182" t="s">
        <v>151</v>
      </c>
      <c r="E73" s="194">
        <f>E43/E11</f>
        <v>0.9209585311661006</v>
      </c>
      <c r="F73" s="194">
        <f>F43/F11</f>
        <v>1.1922363756994179</v>
      </c>
      <c r="K73" s="194">
        <f t="shared" ref="K73:M74" si="21">K43/K11</f>
        <v>1.6662959321158419</v>
      </c>
      <c r="L73" s="194">
        <f t="shared" si="21"/>
        <v>1.4158394343388849</v>
      </c>
      <c r="M73" s="194">
        <f t="shared" si="21"/>
        <v>1.5060809191748439</v>
      </c>
      <c r="N73" s="194">
        <f>N43/N11</f>
        <v>1.4215583394675895</v>
      </c>
      <c r="O73" s="194">
        <f t="shared" ref="O73:Q74" si="22">O43/O11</f>
        <v>1.663404679605897</v>
      </c>
      <c r="P73" s="194">
        <f t="shared" si="22"/>
        <v>1.1573511673074091</v>
      </c>
      <c r="Q73" s="194">
        <f t="shared" si="22"/>
        <v>1.3161677966631533</v>
      </c>
      <c r="R73" s="194">
        <f>R43/R11</f>
        <v>1.4324615246758385</v>
      </c>
      <c r="S73" s="194"/>
    </row>
    <row r="74" spans="3:19" x14ac:dyDescent="0.3">
      <c r="D74" s="182" t="s">
        <v>12</v>
      </c>
      <c r="E74" s="194">
        <f>E44/E12</f>
        <v>0.31363750775549809</v>
      </c>
      <c r="F74" s="194">
        <f>F44/F12</f>
        <v>0.43650821749696345</v>
      </c>
      <c r="K74" s="194">
        <f t="shared" si="21"/>
        <v>0.52227284485658154</v>
      </c>
      <c r="L74" s="194">
        <f t="shared" si="21"/>
        <v>0.51039836146301398</v>
      </c>
      <c r="M74" s="194">
        <f t="shared" si="21"/>
        <v>0.52016958364909383</v>
      </c>
      <c r="N74" s="194">
        <f>N44/N12</f>
        <v>0.60693382943883278</v>
      </c>
      <c r="O74" s="194">
        <f t="shared" si="22"/>
        <v>0.63131439659683386</v>
      </c>
      <c r="P74" s="194">
        <f t="shared" si="22"/>
        <v>0.53327085288784282</v>
      </c>
      <c r="Q74" s="194">
        <f t="shared" si="22"/>
        <v>0.53453653800819101</v>
      </c>
      <c r="R74" s="194">
        <f>R44/R12</f>
        <v>0.63012927740203672</v>
      </c>
      <c r="S74" s="194"/>
    </row>
    <row r="76" spans="3:19" s="197" customFormat="1" x14ac:dyDescent="0.3">
      <c r="C76" s="197" t="s">
        <v>149</v>
      </c>
      <c r="E76" s="198"/>
      <c r="F76" s="198"/>
      <c r="G76" s="198"/>
      <c r="H76" s="198"/>
      <c r="I76" s="198"/>
      <c r="J76" s="198"/>
      <c r="K76" s="198"/>
      <c r="L76" s="198"/>
      <c r="M76" s="198"/>
      <c r="N76" s="198"/>
    </row>
    <row r="77" spans="3:19" x14ac:dyDescent="0.3">
      <c r="D77" s="182" t="s">
        <v>137</v>
      </c>
      <c r="E77" s="194">
        <f>E49/E17</f>
        <v>0.23883195906469465</v>
      </c>
      <c r="F77" s="194">
        <f>F49/F17</f>
        <v>0.27641740828144812</v>
      </c>
      <c r="K77" s="194">
        <f t="shared" ref="K77:R77" si="23">K49/K17</f>
        <v>0.23543513667264332</v>
      </c>
      <c r="L77" s="194">
        <f t="shared" si="23"/>
        <v>0.28092627247704571</v>
      </c>
      <c r="M77" s="194">
        <f t="shared" si="23"/>
        <v>0.28867184037924692</v>
      </c>
      <c r="N77" s="194">
        <f t="shared" si="23"/>
        <v>0.29867184037924693</v>
      </c>
      <c r="O77" s="194">
        <f t="shared" si="23"/>
        <v>0.27259183039012325</v>
      </c>
      <c r="P77" s="194">
        <f t="shared" si="23"/>
        <v>0.3357334458833805</v>
      </c>
      <c r="Q77" s="194">
        <f t="shared" si="23"/>
        <v>0.32242562389649887</v>
      </c>
      <c r="R77" s="194">
        <f t="shared" si="23"/>
        <v>0.24694944799535154</v>
      </c>
      <c r="S77" s="194"/>
    </row>
    <row r="78" spans="3:19" x14ac:dyDescent="0.3">
      <c r="D78" s="182" t="s">
        <v>146</v>
      </c>
      <c r="E78" s="194">
        <f>E51/E19</f>
        <v>0.99487681944039441</v>
      </c>
      <c r="F78" s="194">
        <f>F51/F19</f>
        <v>0.99487681944039452</v>
      </c>
      <c r="K78" s="194">
        <f t="shared" ref="K78:R78" si="24">K51/K19</f>
        <v>0.99487681944039441</v>
      </c>
      <c r="L78" s="194">
        <f t="shared" si="24"/>
        <v>0.99587681944039441</v>
      </c>
      <c r="M78" s="194">
        <f t="shared" si="24"/>
        <v>0.99587681944039441</v>
      </c>
      <c r="N78" s="194">
        <f t="shared" si="24"/>
        <v>0.99587681944039441</v>
      </c>
      <c r="O78" s="194">
        <f t="shared" si="24"/>
        <v>0.9948768194403943</v>
      </c>
      <c r="P78" s="194">
        <f t="shared" si="24"/>
        <v>0.9958768194403943</v>
      </c>
      <c r="Q78" s="194">
        <f t="shared" si="24"/>
        <v>0.9958768194403943</v>
      </c>
      <c r="R78" s="194">
        <f t="shared" si="24"/>
        <v>0.66312997347480107</v>
      </c>
      <c r="S78" s="194"/>
    </row>
    <row r="79" spans="3:19" x14ac:dyDescent="0.3">
      <c r="D79" s="182" t="s">
        <v>135</v>
      </c>
      <c r="E79" s="194">
        <f>E55/E23</f>
        <v>0.93979193312886866</v>
      </c>
      <c r="F79" s="194">
        <f>F55/F23</f>
        <v>1.5108958649527406</v>
      </c>
      <c r="K79" s="194">
        <f t="shared" ref="K79:M80" si="25">K55/K23</f>
        <v>1.8596295459384689</v>
      </c>
      <c r="L79" s="194">
        <f t="shared" si="25"/>
        <v>1.3182152206745266</v>
      </c>
      <c r="M79" s="194">
        <f t="shared" si="25"/>
        <v>1.3126846626086794</v>
      </c>
      <c r="N79" s="194">
        <f>N55/N23</f>
        <v>1.3480047433435738</v>
      </c>
      <c r="O79" s="194">
        <f t="shared" ref="O79:Q80" si="26">O55/O23</f>
        <v>1.8608758324215671</v>
      </c>
      <c r="P79" s="194">
        <f t="shared" si="26"/>
        <v>1.3813195092003068</v>
      </c>
      <c r="Q79" s="194">
        <f t="shared" si="26"/>
        <v>1.5432140967387931</v>
      </c>
      <c r="R79" s="194">
        <f>R55/R23</f>
        <v>1.5180392302105705</v>
      </c>
      <c r="S79" s="194"/>
    </row>
    <row r="80" spans="3:19" x14ac:dyDescent="0.3">
      <c r="D80" s="182" t="s">
        <v>150</v>
      </c>
      <c r="E80" s="194">
        <f>E56/E24</f>
        <v>0.22330243859395907</v>
      </c>
      <c r="F80" s="194">
        <f>F56/F24</f>
        <v>0.41549828470493028</v>
      </c>
      <c r="K80" s="194">
        <f t="shared" si="25"/>
        <v>0.43557909445120829</v>
      </c>
      <c r="L80" s="194">
        <f t="shared" si="25"/>
        <v>0.36879438673001208</v>
      </c>
      <c r="M80" s="194">
        <f t="shared" si="25"/>
        <v>0.37737267956593584</v>
      </c>
      <c r="N80" s="194">
        <f>N56/N24</f>
        <v>0.40095101944887163</v>
      </c>
      <c r="O80" s="194">
        <f t="shared" si="26"/>
        <v>0.50466076702694984</v>
      </c>
      <c r="P80" s="194">
        <f t="shared" si="26"/>
        <v>0.46184301243503251</v>
      </c>
      <c r="Q80" s="194">
        <f t="shared" si="26"/>
        <v>0.49552018970627015</v>
      </c>
      <c r="R80" s="194">
        <f>R56/R24</f>
        <v>0.24845883494470669</v>
      </c>
      <c r="S80" s="194"/>
    </row>
    <row r="82" spans="3:19" s="197" customFormat="1" x14ac:dyDescent="0.3">
      <c r="C82" s="197" t="s">
        <v>136</v>
      </c>
      <c r="E82" s="198"/>
      <c r="F82" s="198"/>
      <c r="G82" s="198"/>
      <c r="H82" s="198"/>
      <c r="I82" s="198"/>
      <c r="J82" s="198"/>
      <c r="K82" s="198"/>
      <c r="L82" s="198"/>
      <c r="M82" s="198"/>
      <c r="N82" s="198"/>
    </row>
    <row r="83" spans="3:19" x14ac:dyDescent="0.3">
      <c r="D83" s="182" t="s">
        <v>137</v>
      </c>
      <c r="E83" s="194">
        <f>E61/E29</f>
        <v>0.65520573074077926</v>
      </c>
      <c r="F83" s="194">
        <f>F61/F29</f>
        <v>0.60840796454279511</v>
      </c>
      <c r="K83" s="194">
        <f t="shared" ref="K83:R83" si="27">K61/K29</f>
        <v>0.52619058544308139</v>
      </c>
      <c r="L83" s="194">
        <f t="shared" si="27"/>
        <v>0.58729927499293821</v>
      </c>
      <c r="M83" s="194">
        <f t="shared" si="27"/>
        <v>0.59785361976786666</v>
      </c>
      <c r="N83" s="194">
        <f t="shared" si="27"/>
        <v>0.59785361976786666</v>
      </c>
      <c r="O83" s="194">
        <f t="shared" si="27"/>
        <v>0.62645493560579346</v>
      </c>
      <c r="P83" s="194">
        <f t="shared" si="27"/>
        <v>0.73208285461033396</v>
      </c>
      <c r="Q83" s="194">
        <f t="shared" si="27"/>
        <v>0.61720800892083072</v>
      </c>
      <c r="R83" s="194">
        <f t="shared" si="27"/>
        <v>1.0950448280069969</v>
      </c>
      <c r="S83" s="194"/>
    </row>
    <row r="84" spans="3:19" x14ac:dyDescent="0.3">
      <c r="D84" s="182" t="s">
        <v>146</v>
      </c>
      <c r="E84" s="194">
        <f>E63/E31</f>
        <v>0.9</v>
      </c>
      <c r="F84" s="194">
        <f>F63/F31</f>
        <v>0.89999999999999991</v>
      </c>
      <c r="K84" s="221">
        <f t="shared" ref="K84:R84" si="28">K63/K31</f>
        <v>0.90000000000000013</v>
      </c>
      <c r="L84" s="221">
        <f t="shared" si="28"/>
        <v>0.9</v>
      </c>
      <c r="M84" s="221">
        <f t="shared" si="28"/>
        <v>0.9</v>
      </c>
      <c r="N84" s="221">
        <f t="shared" si="28"/>
        <v>0.9</v>
      </c>
      <c r="O84" s="194">
        <f t="shared" si="28"/>
        <v>0.90000000000000013</v>
      </c>
      <c r="P84" s="194">
        <f t="shared" si="28"/>
        <v>0.94</v>
      </c>
      <c r="Q84" s="194">
        <f t="shared" si="28"/>
        <v>0.9</v>
      </c>
      <c r="R84" s="194">
        <f t="shared" si="28"/>
        <v>0.90000000000000013</v>
      </c>
      <c r="S84" s="194"/>
    </row>
    <row r="85" spans="3:19" x14ac:dyDescent="0.3">
      <c r="D85" s="182" t="s">
        <v>135</v>
      </c>
      <c r="E85" s="194">
        <f>E67/E35</f>
        <v>1.0377127703774431</v>
      </c>
      <c r="F85" s="194">
        <f>F67/F35</f>
        <v>0.87018212771251424</v>
      </c>
      <c r="K85" s="194">
        <f t="shared" ref="K85:M86" si="29">K67/K35</f>
        <v>1.3746835632784644</v>
      </c>
      <c r="L85" s="194">
        <f t="shared" si="29"/>
        <v>1.6143704644480823</v>
      </c>
      <c r="M85" s="194">
        <f t="shared" si="29"/>
        <v>1.4423691051003034</v>
      </c>
      <c r="N85" s="194">
        <f>N67/N35</f>
        <v>1.2482184091745112</v>
      </c>
      <c r="O85" s="194">
        <f t="shared" ref="O85:Q86" si="30">O67/O35</f>
        <v>1.4069368556227939</v>
      </c>
      <c r="P85" s="194">
        <f t="shared" si="30"/>
        <v>0.97743905728152336</v>
      </c>
      <c r="Q85" s="194">
        <f t="shared" si="30"/>
        <v>1.0963990477797905</v>
      </c>
      <c r="R85" s="194">
        <f>R67/R35</f>
        <v>1.3563220608364281</v>
      </c>
      <c r="S85" s="194"/>
    </row>
    <row r="86" spans="3:19" x14ac:dyDescent="0.3">
      <c r="D86" s="182" t="s">
        <v>150</v>
      </c>
      <c r="E86" s="194">
        <f>E68/E36</f>
        <v>0.61192381861277201</v>
      </c>
      <c r="F86" s="194">
        <f>F68/F36</f>
        <v>0.47648316339278046</v>
      </c>
      <c r="K86" s="194">
        <f t="shared" si="29"/>
        <v>0.65101099406442886</v>
      </c>
      <c r="L86" s="194">
        <f t="shared" si="29"/>
        <v>0.85330674300633469</v>
      </c>
      <c r="M86" s="194">
        <f t="shared" si="29"/>
        <v>0.77609303147299946</v>
      </c>
      <c r="N86" s="194">
        <f>N68/N36</f>
        <v>1.0554963657047023</v>
      </c>
      <c r="O86" s="194">
        <f t="shared" si="30"/>
        <v>0.79324428356153553</v>
      </c>
      <c r="P86" s="194">
        <f t="shared" si="30"/>
        <v>0.67263239274655373</v>
      </c>
      <c r="Q86" s="194">
        <f t="shared" si="30"/>
        <v>0.60903564593657333</v>
      </c>
      <c r="R86" s="194">
        <f>R68/R36</f>
        <v>1.3367101120476503</v>
      </c>
      <c r="S86" s="194"/>
    </row>
    <row r="88" spans="3:19" ht="13" x14ac:dyDescent="0.3">
      <c r="F88" s="200"/>
    </row>
  </sheetData>
  <phoneticPr fontId="2" type="noConversion"/>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abSelected="1" topLeftCell="L20" zoomScale="145" zoomScaleNormal="145" workbookViewId="0">
      <selection activeCell="Z30" sqref="Z30"/>
    </sheetView>
  </sheetViews>
  <sheetFormatPr defaultRowHeight="14" x14ac:dyDescent="0.3"/>
  <sheetData/>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F123"/>
  <sheetViews>
    <sheetView showGridLines="0" zoomScale="70" zoomScaleNormal="70" zoomScaleSheetLayoutView="50" workbookViewId="0">
      <pane ySplit="8" topLeftCell="A9" activePane="bottomLeft" state="frozen"/>
      <selection activeCell="A8" sqref="A8"/>
      <selection pane="bottomLeft" activeCell="AR105" sqref="AR105"/>
    </sheetView>
  </sheetViews>
  <sheetFormatPr defaultColWidth="9" defaultRowHeight="15.5" outlineLevelRow="1" outlineLevelCol="1" x14ac:dyDescent="0.35"/>
  <cols>
    <col min="1" max="1" width="2.4140625" style="566" customWidth="1"/>
    <col min="2" max="2" width="1.83203125" style="566" customWidth="1"/>
    <col min="3" max="3" width="9" style="566"/>
    <col min="4" max="4" width="29.83203125" style="566" customWidth="1"/>
    <col min="5" max="5" width="9.25" style="576" hidden="1" customWidth="1"/>
    <col min="6" max="7" width="9.25" style="575" hidden="1" customWidth="1"/>
    <col min="8" max="8" width="9.25" style="938" hidden="1" customWidth="1"/>
    <col min="9" max="9" width="7.08203125" style="566" hidden="1" customWidth="1" outlineLevel="1"/>
    <col min="10" max="10" width="9.25" style="566" hidden="1" customWidth="1" outlineLevel="1"/>
    <col min="11" max="11" width="7.33203125" style="597" hidden="1" customWidth="1" outlineLevel="1"/>
    <col min="12" max="12" width="9.75" style="597" hidden="1" customWidth="1" outlineLevel="1"/>
    <col min="13" max="13" width="7.33203125" style="902" hidden="1" customWidth="1" outlineLevel="1"/>
    <col min="14" max="16" width="7.33203125" style="605" hidden="1" customWidth="1" outlineLevel="1"/>
    <col min="17" max="17" width="7.33203125" style="902" hidden="1" customWidth="1" outlineLevel="1"/>
    <col min="18" max="19" width="7.33203125" style="605" hidden="1" customWidth="1" outlineLevel="1"/>
    <col min="20" max="20" width="7.33203125" style="939" hidden="1" customWidth="1" outlineLevel="1"/>
    <col min="21" max="21" width="10.4140625" style="902" hidden="1" customWidth="1" collapsed="1"/>
    <col min="22" max="23" width="8.4140625" style="605" hidden="1" customWidth="1"/>
    <col min="24" max="24" width="8.4140625" style="939" hidden="1" customWidth="1"/>
    <col min="25" max="27" width="8.4140625" style="605" bestFit="1" customWidth="1"/>
    <col min="28" max="28" width="8.4140625" style="939" bestFit="1" customWidth="1"/>
    <col min="29" max="32" width="8.4140625" style="605" bestFit="1" customWidth="1"/>
    <col min="33" max="33" width="8.4140625" style="605" customWidth="1"/>
    <col min="34" max="34" width="31.25" style="605" customWidth="1"/>
    <col min="35" max="35" width="8.83203125" style="566" bestFit="1" customWidth="1"/>
    <col min="36" max="39" width="8.83203125" style="595" bestFit="1" customWidth="1"/>
    <col min="40" max="41" width="8.83203125" style="575" bestFit="1" customWidth="1"/>
    <col min="42" max="42" width="9.4140625" style="576" customWidth="1"/>
    <col min="43" max="52" width="9" style="566" customWidth="1"/>
    <col min="53" max="53" width="9" style="566"/>
    <col min="54" max="58" width="9.08203125" style="566" bestFit="1" customWidth="1"/>
    <col min="59" max="16384" width="9" style="566"/>
  </cols>
  <sheetData>
    <row r="1" spans="1:42" s="553" customFormat="1" ht="18" hidden="1" customHeight="1" outlineLevel="1" x14ac:dyDescent="0.3">
      <c r="C1" s="553" t="s">
        <v>138</v>
      </c>
      <c r="E1" s="554" t="s">
        <v>130</v>
      </c>
      <c r="F1" s="555" t="s">
        <v>172</v>
      </c>
      <c r="G1" s="555" t="s">
        <v>174</v>
      </c>
      <c r="H1" s="556" t="s">
        <v>176</v>
      </c>
      <c r="I1" s="557" t="s">
        <v>186</v>
      </c>
      <c r="J1" s="557" t="s">
        <v>238</v>
      </c>
      <c r="K1" s="557" t="s">
        <v>256</v>
      </c>
      <c r="L1" s="557" t="s">
        <v>257</v>
      </c>
      <c r="M1" s="558" t="s">
        <v>260</v>
      </c>
      <c r="N1" s="559" t="s">
        <v>263</v>
      </c>
      <c r="O1" s="559" t="s">
        <v>267</v>
      </c>
      <c r="P1" s="559" t="s">
        <v>275</v>
      </c>
      <c r="Q1" s="558" t="s">
        <v>285</v>
      </c>
      <c r="R1" s="559" t="s">
        <v>299</v>
      </c>
      <c r="S1" s="559" t="s">
        <v>315</v>
      </c>
      <c r="T1" s="560" t="s">
        <v>326</v>
      </c>
      <c r="U1" s="558" t="s">
        <v>332</v>
      </c>
      <c r="V1" s="559" t="s">
        <v>333</v>
      </c>
      <c r="W1" s="559" t="s">
        <v>340</v>
      </c>
      <c r="X1" s="561" t="s">
        <v>344</v>
      </c>
      <c r="Y1" s="559" t="s">
        <v>347</v>
      </c>
      <c r="Z1" s="559" t="s">
        <v>366</v>
      </c>
      <c r="AA1" s="559" t="s">
        <v>369</v>
      </c>
      <c r="AB1" s="561" t="s">
        <v>378</v>
      </c>
      <c r="AC1" s="559" t="s">
        <v>435</v>
      </c>
      <c r="AD1" s="559" t="s">
        <v>448</v>
      </c>
      <c r="AE1" s="559" t="s">
        <v>463</v>
      </c>
      <c r="AF1" s="559" t="s">
        <v>482</v>
      </c>
      <c r="AG1" s="559" t="s">
        <v>487</v>
      </c>
      <c r="AH1" s="559"/>
      <c r="AI1" s="562">
        <v>2019</v>
      </c>
      <c r="AJ1" s="563">
        <v>2020</v>
      </c>
      <c r="AK1" s="563">
        <v>2021</v>
      </c>
      <c r="AL1" s="563">
        <v>2022</v>
      </c>
      <c r="AM1" s="563">
        <v>2023</v>
      </c>
      <c r="AN1" s="564">
        <v>2024</v>
      </c>
      <c r="AO1" s="564"/>
      <c r="AP1" s="565"/>
    </row>
    <row r="2" spans="1:42" ht="17" hidden="1" customHeight="1" outlineLevel="1" x14ac:dyDescent="0.35">
      <c r="C2" s="567" t="s">
        <v>42</v>
      </c>
      <c r="D2" s="567"/>
      <c r="E2" s="568">
        <f t="shared" ref="E2:AA2" si="0">E102+E25</f>
        <v>1161.5514166473231</v>
      </c>
      <c r="F2" s="569">
        <f t="shared" si="0"/>
        <v>854.44390967737115</v>
      </c>
      <c r="G2" s="569">
        <f t="shared" si="0"/>
        <v>1035.7696638235057</v>
      </c>
      <c r="H2" s="570">
        <f t="shared" si="0"/>
        <v>1096.8187499999999</v>
      </c>
      <c r="I2" s="571">
        <f t="shared" si="0"/>
        <v>635.53120853825988</v>
      </c>
      <c r="J2" s="571">
        <f t="shared" si="0"/>
        <v>668.19573601111642</v>
      </c>
      <c r="K2" s="571">
        <f t="shared" si="0"/>
        <v>930.36047839221601</v>
      </c>
      <c r="L2" s="571">
        <f t="shared" si="0"/>
        <v>914.99245909236436</v>
      </c>
      <c r="M2" s="568">
        <f t="shared" si="0"/>
        <v>942.62148584245961</v>
      </c>
      <c r="N2" s="569">
        <f t="shared" si="0"/>
        <v>1116.8212419801471</v>
      </c>
      <c r="O2" s="569">
        <f t="shared" si="0"/>
        <v>1010.6036794944825</v>
      </c>
      <c r="P2" s="569">
        <f t="shared" si="0"/>
        <v>928.05118090824476</v>
      </c>
      <c r="Q2" s="568">
        <f t="shared" si="0"/>
        <v>847.02241505294478</v>
      </c>
      <c r="R2" s="569">
        <f t="shared" si="0"/>
        <v>519.74949412288811</v>
      </c>
      <c r="S2" s="569">
        <f t="shared" si="0"/>
        <v>912.7551228354522</v>
      </c>
      <c r="T2" s="570">
        <f t="shared" si="0"/>
        <v>596.14493416751407</v>
      </c>
      <c r="U2" s="568">
        <f>U102+U25</f>
        <v>1236.747518829</v>
      </c>
      <c r="V2" s="569">
        <f t="shared" si="0"/>
        <v>1321.0130449484682</v>
      </c>
      <c r="W2" s="569">
        <f t="shared" si="0"/>
        <v>1508.4599241181668</v>
      </c>
      <c r="X2" s="570">
        <f t="shared" si="0"/>
        <v>1234.5086368799998</v>
      </c>
      <c r="Y2" s="569">
        <f t="shared" si="0"/>
        <v>1545.766875</v>
      </c>
      <c r="Z2" s="569">
        <f>Z102+Z25</f>
        <v>1479.3259599999999</v>
      </c>
      <c r="AA2" s="569">
        <f t="shared" si="0"/>
        <v>1818.1348639999999</v>
      </c>
      <c r="AB2" s="570">
        <f t="shared" ref="AB2:AG2" si="1">AB102+AB25</f>
        <v>1427.6481200000001</v>
      </c>
      <c r="AC2" s="569">
        <f t="shared" si="1"/>
        <v>1687.3145394000001</v>
      </c>
      <c r="AD2" s="569">
        <f t="shared" si="1"/>
        <v>1596.2306639999997</v>
      </c>
      <c r="AE2" s="569">
        <f t="shared" si="1"/>
        <v>1868.315904</v>
      </c>
      <c r="AF2" s="569">
        <f t="shared" si="1"/>
        <v>1505.6224777000002</v>
      </c>
      <c r="AG2" s="569">
        <f t="shared" si="1"/>
        <v>1647.07058901</v>
      </c>
      <c r="AH2" s="572"/>
      <c r="AI2" s="573">
        <f>AI102+AI37</f>
        <v>3858.2408447845723</v>
      </c>
      <c r="AJ2" s="574">
        <f>AJ102+AJ37</f>
        <v>3149.0798820339569</v>
      </c>
      <c r="AK2" s="574">
        <f>AK102+AK37</f>
        <v>3998.0975882253342</v>
      </c>
      <c r="AL2" s="574">
        <f>AL102+AL37</f>
        <v>2875.6719661787993</v>
      </c>
      <c r="AM2" s="574"/>
      <c r="AN2" s="569"/>
      <c r="AO2" s="569"/>
    </row>
    <row r="3" spans="1:42" ht="18" hidden="1" customHeight="1" outlineLevel="1" x14ac:dyDescent="0.35">
      <c r="C3" s="577" t="s">
        <v>490</v>
      </c>
      <c r="E3" s="578">
        <f t="shared" ref="E3:S3" si="2">E14-E2</f>
        <v>97.396583352676998</v>
      </c>
      <c r="F3" s="579">
        <f t="shared" si="2"/>
        <v>82.648090322628832</v>
      </c>
      <c r="G3" s="579">
        <f t="shared" si="2"/>
        <v>103.85133617649444</v>
      </c>
      <c r="H3" s="580">
        <f t="shared" si="2"/>
        <v>85.178250000000162</v>
      </c>
      <c r="I3" s="581">
        <f t="shared" si="2"/>
        <v>51.236791461740154</v>
      </c>
      <c r="J3" s="581">
        <f t="shared" si="2"/>
        <v>57.626263988883579</v>
      </c>
      <c r="K3" s="581">
        <f t="shared" si="2"/>
        <v>124.75752160778393</v>
      </c>
      <c r="L3" s="581">
        <f t="shared" si="2"/>
        <v>88.428540907635693</v>
      </c>
      <c r="M3" s="578">
        <f t="shared" si="2"/>
        <v>80.804514157540439</v>
      </c>
      <c r="N3" s="579">
        <f t="shared" si="2"/>
        <v>117.92875801985292</v>
      </c>
      <c r="O3" s="579">
        <f t="shared" si="2"/>
        <v>114.12032050551738</v>
      </c>
      <c r="P3" s="579">
        <f t="shared" si="2"/>
        <v>146.78581909175523</v>
      </c>
      <c r="Q3" s="578">
        <f t="shared" si="2"/>
        <v>170.19658494705527</v>
      </c>
      <c r="R3" s="579">
        <f t="shared" si="2"/>
        <v>99.771505877111849</v>
      </c>
      <c r="S3" s="579">
        <f t="shared" si="2"/>
        <v>73.89087716454776</v>
      </c>
      <c r="T3" s="580">
        <f>T14-T2-5%*T14</f>
        <v>121.62566583248594</v>
      </c>
      <c r="U3" s="578">
        <f t="shared" ref="U3:AA3" si="3">U14-U2</f>
        <v>145.94648117099996</v>
      </c>
      <c r="V3" s="579">
        <f t="shared" si="3"/>
        <v>173.56895505153193</v>
      </c>
      <c r="W3" s="579">
        <f t="shared" si="3"/>
        <v>171.48807588183331</v>
      </c>
      <c r="X3" s="580">
        <f t="shared" si="3"/>
        <v>238.31436312000028</v>
      </c>
      <c r="Y3" s="579">
        <f t="shared" si="3"/>
        <v>190.73712499999988</v>
      </c>
      <c r="Z3" s="579">
        <f>Z14-Z2</f>
        <v>263.41004000000021</v>
      </c>
      <c r="AA3" s="579">
        <f t="shared" si="3"/>
        <v>208.6161360000001</v>
      </c>
      <c r="AB3" s="580">
        <f t="shared" ref="AB3:AG3" si="4">AB14-AB2</f>
        <v>295.3918799999999</v>
      </c>
      <c r="AC3" s="579">
        <f t="shared" si="4"/>
        <v>312.89646059999995</v>
      </c>
      <c r="AD3" s="579">
        <f t="shared" si="4"/>
        <v>284.77933600000028</v>
      </c>
      <c r="AE3" s="579">
        <f t="shared" si="4"/>
        <v>340.40009599999985</v>
      </c>
      <c r="AF3" s="579">
        <f t="shared" si="4"/>
        <v>329.88852229999975</v>
      </c>
      <c r="AG3" s="579">
        <f t="shared" si="4"/>
        <v>476.94741098999998</v>
      </c>
      <c r="AH3" s="582"/>
      <c r="AI3" s="583">
        <f>AI14-AI2</f>
        <v>659.41715521542801</v>
      </c>
      <c r="AJ3" s="584"/>
      <c r="AK3" s="584"/>
      <c r="AL3" s="584"/>
      <c r="AM3" s="584"/>
      <c r="AN3" s="585"/>
      <c r="AO3" s="585"/>
    </row>
    <row r="4" spans="1:42" ht="20" hidden="1" customHeight="1" outlineLevel="1" x14ac:dyDescent="0.35">
      <c r="C4" s="586" t="s">
        <v>272</v>
      </c>
      <c r="D4" s="587"/>
      <c r="E4" s="588">
        <f t="shared" ref="E4:T4" si="5">E3/E14</f>
        <v>7.7363468032577196E-2</v>
      </c>
      <c r="F4" s="588">
        <f t="shared" si="5"/>
        <v>8.8196346060609665E-2</v>
      </c>
      <c r="G4" s="588">
        <f t="shared" si="5"/>
        <v>9.1127959362362079E-2</v>
      </c>
      <c r="H4" s="589">
        <f t="shared" si="5"/>
        <v>7.2063000159899013E-2</v>
      </c>
      <c r="I4" s="588">
        <f t="shared" si="5"/>
        <v>7.4605676824983327E-2</v>
      </c>
      <c r="J4" s="588">
        <f t="shared" si="5"/>
        <v>7.9394485133935835E-2</v>
      </c>
      <c r="K4" s="588">
        <f t="shared" si="5"/>
        <v>0.1182403499966676</v>
      </c>
      <c r="L4" s="588">
        <f t="shared" si="5"/>
        <v>8.8127058241391887E-2</v>
      </c>
      <c r="M4" s="590">
        <f t="shared" si="5"/>
        <v>7.8954916288564519E-2</v>
      </c>
      <c r="N4" s="590">
        <f t="shared" si="5"/>
        <v>9.5508206535616869E-2</v>
      </c>
      <c r="O4" s="590">
        <f t="shared" si="5"/>
        <v>0.10146517768405172</v>
      </c>
      <c r="P4" s="590">
        <f t="shared" si="5"/>
        <v>0.13656565515678679</v>
      </c>
      <c r="Q4" s="591">
        <f t="shared" si="5"/>
        <v>0.1673155780093129</v>
      </c>
      <c r="R4" s="590">
        <f t="shared" si="5"/>
        <v>0.16104620485360763</v>
      </c>
      <c r="S4" s="590">
        <f t="shared" si="5"/>
        <v>7.4890971193870712E-2</v>
      </c>
      <c r="T4" s="592">
        <f t="shared" si="5"/>
        <v>0.16097675572231801</v>
      </c>
      <c r="U4" s="591">
        <f t="shared" ref="U4:AA4" si="6">U3/U14</f>
        <v>0.10555226331422568</v>
      </c>
      <c r="V4" s="590">
        <f t="shared" si="6"/>
        <v>0.11613210586741438</v>
      </c>
      <c r="W4" s="590">
        <f t="shared" si="6"/>
        <v>0.10207939524427738</v>
      </c>
      <c r="X4" s="592">
        <f t="shared" si="6"/>
        <v>0.16180787719909334</v>
      </c>
      <c r="Y4" s="590">
        <f t="shared" si="6"/>
        <v>0.1098397268304593</v>
      </c>
      <c r="Z4" s="590">
        <f>Z3/Z14</f>
        <v>0.15114741418092023</v>
      </c>
      <c r="AA4" s="590">
        <f t="shared" si="6"/>
        <v>0.10293131025962247</v>
      </c>
      <c r="AB4" s="592">
        <f t="shared" ref="AB4:AG4" si="7">AB3/AB14</f>
        <v>0.1714364611384529</v>
      </c>
      <c r="AC4" s="590">
        <f t="shared" si="7"/>
        <v>0.15643172675282754</v>
      </c>
      <c r="AD4" s="590">
        <f t="shared" si="7"/>
        <v>0.1513970345718525</v>
      </c>
      <c r="AE4" s="590">
        <f t="shared" si="7"/>
        <v>0.15411673388520744</v>
      </c>
      <c r="AF4" s="590">
        <f t="shared" si="7"/>
        <v>0.17972571251275518</v>
      </c>
      <c r="AG4" s="590">
        <f t="shared" si="7"/>
        <v>0.22454960880275024</v>
      </c>
      <c r="AH4" s="593"/>
      <c r="AI4" s="594"/>
      <c r="AP4" s="596"/>
    </row>
    <row r="5" spans="1:42" s="597" customFormat="1" ht="19.5" hidden="1" customHeight="1" outlineLevel="1" x14ac:dyDescent="0.35">
      <c r="C5" s="598" t="s">
        <v>305</v>
      </c>
      <c r="D5" s="599"/>
      <c r="E5" s="600">
        <f t="shared" ref="E5:Q5" si="8">E6*E11</f>
        <v>0</v>
      </c>
      <c r="F5" s="600">
        <f t="shared" si="8"/>
        <v>337.65813462848098</v>
      </c>
      <c r="G5" s="600">
        <f t="shared" si="8"/>
        <v>381.21813169801464</v>
      </c>
      <c r="H5" s="601">
        <f t="shared" si="8"/>
        <v>344.1</v>
      </c>
      <c r="I5" s="600">
        <f t="shared" si="8"/>
        <v>147.21593897110489</v>
      </c>
      <c r="J5" s="600">
        <f t="shared" si="8"/>
        <v>348.47235254817025</v>
      </c>
      <c r="K5" s="600">
        <f t="shared" si="8"/>
        <v>304.03937202360004</v>
      </c>
      <c r="L5" s="600">
        <f t="shared" si="8"/>
        <v>546.59047735505624</v>
      </c>
      <c r="M5" s="600">
        <f t="shared" si="8"/>
        <v>2125.4148497011493</v>
      </c>
      <c r="N5" s="600">
        <f t="shared" si="8"/>
        <v>2697.6358501935924</v>
      </c>
      <c r="O5" s="600">
        <f t="shared" si="8"/>
        <v>2858.4013562068963</v>
      </c>
      <c r="P5" s="600">
        <f t="shared" si="8"/>
        <v>2425.643441997503</v>
      </c>
      <c r="Q5" s="602">
        <f t="shared" si="8"/>
        <v>3023.7301742184554</v>
      </c>
      <c r="R5" s="600">
        <f t="shared" ref="R5:Y5" si="9">R6*R11</f>
        <v>2148.8721354285713</v>
      </c>
      <c r="S5" s="600">
        <f t="shared" si="9"/>
        <v>2722.3847905614148</v>
      </c>
      <c r="T5" s="601">
        <f t="shared" si="9"/>
        <v>2214.9856674025973</v>
      </c>
      <c r="U5" s="602">
        <f t="shared" si="9"/>
        <v>4743.45282675</v>
      </c>
      <c r="V5" s="600">
        <f t="shared" si="9"/>
        <v>4298.7733320809248</v>
      </c>
      <c r="W5" s="600">
        <f t="shared" si="9"/>
        <v>5189.0606264814814</v>
      </c>
      <c r="X5" s="601">
        <f t="shared" si="9"/>
        <v>4278.3853199999994</v>
      </c>
      <c r="Y5" s="600">
        <f t="shared" si="9"/>
        <v>4942.5</v>
      </c>
      <c r="Z5" s="600">
        <f t="shared" ref="Z5:AA5" si="10">Z6*Z11</f>
        <v>4435.76</v>
      </c>
      <c r="AA5" s="600">
        <f t="shared" si="10"/>
        <v>5270.72</v>
      </c>
      <c r="AB5" s="601">
        <f t="shared" ref="AB5:AC5" si="11">AB6*AB11</f>
        <v>4272.07</v>
      </c>
      <c r="AC5" s="600">
        <f t="shared" si="11"/>
        <v>5657.3832000000002</v>
      </c>
      <c r="AD5" s="600">
        <f t="shared" ref="AD5:AE5" si="12">AD6*AD11</f>
        <v>4845.0709999999999</v>
      </c>
      <c r="AE5" s="600">
        <f t="shared" si="12"/>
        <v>5633.6280000000006</v>
      </c>
      <c r="AF5" s="600">
        <f t="shared" ref="AF5:AG5" si="13">AF6*AF11</f>
        <v>3886.982</v>
      </c>
      <c r="AG5" s="600">
        <f t="shared" si="13"/>
        <v>2407.29405</v>
      </c>
      <c r="AH5" s="593"/>
      <c r="AI5" s="603"/>
      <c r="AJ5" s="604"/>
      <c r="AK5" s="604"/>
      <c r="AL5" s="604"/>
      <c r="AM5" s="604"/>
      <c r="AN5" s="605"/>
      <c r="AO5" s="605"/>
      <c r="AP5" s="606"/>
    </row>
    <row r="6" spans="1:42" ht="20.5" hidden="1" customHeight="1" outlineLevel="1" x14ac:dyDescent="0.35">
      <c r="C6" s="586" t="s">
        <v>306</v>
      </c>
      <c r="D6" s="587"/>
      <c r="E6" s="588">
        <f>E96</f>
        <v>0</v>
      </c>
      <c r="F6" s="588">
        <f t="shared" ref="F6:T6" si="14">F96</f>
        <v>0.01</v>
      </c>
      <c r="G6" s="588">
        <f t="shared" si="14"/>
        <v>0.01</v>
      </c>
      <c r="H6" s="589">
        <f t="shared" si="14"/>
        <v>0.01</v>
      </c>
      <c r="I6" s="588">
        <f t="shared" si="14"/>
        <v>0.01</v>
      </c>
      <c r="J6" s="588">
        <f t="shared" si="14"/>
        <v>0.02</v>
      </c>
      <c r="K6" s="588">
        <f t="shared" si="14"/>
        <v>0.01</v>
      </c>
      <c r="L6" s="588">
        <f t="shared" si="14"/>
        <v>0.02</v>
      </c>
      <c r="M6" s="588">
        <f t="shared" si="14"/>
        <v>0.08</v>
      </c>
      <c r="N6" s="588">
        <f t="shared" si="14"/>
        <v>0.08</v>
      </c>
      <c r="O6" s="588">
        <f t="shared" si="14"/>
        <v>0.09</v>
      </c>
      <c r="P6" s="588">
        <f t="shared" si="14"/>
        <v>0.1</v>
      </c>
      <c r="Q6" s="607">
        <f t="shared" si="14"/>
        <v>0.12</v>
      </c>
      <c r="R6" s="588">
        <f t="shared" si="14"/>
        <v>0.12</v>
      </c>
      <c r="S6" s="588">
        <f t="shared" si="14"/>
        <v>0.09</v>
      </c>
      <c r="T6" s="589">
        <f t="shared" si="14"/>
        <v>0.12</v>
      </c>
      <c r="U6" s="607">
        <f t="shared" ref="U6:AA6" si="15">U96</f>
        <v>0.11</v>
      </c>
      <c r="V6" s="588">
        <f t="shared" si="15"/>
        <v>0.1</v>
      </c>
      <c r="W6" s="588">
        <f t="shared" si="15"/>
        <v>0.1</v>
      </c>
      <c r="X6" s="589">
        <f t="shared" si="15"/>
        <v>0.11</v>
      </c>
      <c r="Y6" s="588">
        <f t="shared" si="15"/>
        <v>0.1</v>
      </c>
      <c r="Z6" s="588">
        <f>Z96</f>
        <v>0.1</v>
      </c>
      <c r="AA6" s="588">
        <f t="shared" si="15"/>
        <v>0.1</v>
      </c>
      <c r="AB6" s="589">
        <f t="shared" ref="AB6:AC6" si="16">AB96</f>
        <v>0.11</v>
      </c>
      <c r="AC6" s="588">
        <f t="shared" si="16"/>
        <v>0.12</v>
      </c>
      <c r="AD6" s="588">
        <f>AD96</f>
        <v>0.11</v>
      </c>
      <c r="AE6" s="588">
        <f>AE96</f>
        <v>0.11</v>
      </c>
      <c r="AF6" s="588">
        <f>AF96</f>
        <v>0.1</v>
      </c>
      <c r="AG6" s="588">
        <f>AG96</f>
        <v>0.05</v>
      </c>
      <c r="AH6" s="582"/>
      <c r="AI6" s="594"/>
      <c r="AP6" s="596"/>
    </row>
    <row r="7" spans="1:42" s="597" customFormat="1" ht="14.5" hidden="1" customHeight="1" outlineLevel="1" thickBot="1" x14ac:dyDescent="0.4">
      <c r="C7" s="608"/>
      <c r="D7" s="599"/>
      <c r="E7" s="609"/>
      <c r="F7" s="609"/>
      <c r="G7" s="609"/>
      <c r="H7" s="610"/>
      <c r="I7" s="609"/>
      <c r="J7" s="609"/>
      <c r="K7" s="609"/>
      <c r="L7" s="609"/>
      <c r="M7" s="611">
        <f t="shared" ref="M7:Y7" si="17">M3/M5</f>
        <v>3.8018231673172989E-2</v>
      </c>
      <c r="N7" s="611">
        <f t="shared" si="17"/>
        <v>4.371559564327035E-2</v>
      </c>
      <c r="O7" s="611">
        <f t="shared" si="17"/>
        <v>3.9924526434228697E-2</v>
      </c>
      <c r="P7" s="611">
        <f t="shared" si="17"/>
        <v>6.0514178032232954E-2</v>
      </c>
      <c r="Q7" s="612">
        <f t="shared" si="17"/>
        <v>5.6286961845412029E-2</v>
      </c>
      <c r="R7" s="611">
        <f t="shared" si="17"/>
        <v>4.6429708046455458E-2</v>
      </c>
      <c r="S7" s="611">
        <f t="shared" si="17"/>
        <v>2.7141966639223643E-2</v>
      </c>
      <c r="T7" s="613">
        <f t="shared" si="17"/>
        <v>5.4910362456254747E-2</v>
      </c>
      <c r="U7" s="612">
        <f t="shared" si="17"/>
        <v>3.0767984103890818E-2</v>
      </c>
      <c r="V7" s="611">
        <f t="shared" si="17"/>
        <v>4.0376391505972171E-2</v>
      </c>
      <c r="W7" s="611">
        <f t="shared" si="17"/>
        <v>3.3048000057404089E-2</v>
      </c>
      <c r="X7" s="613">
        <f t="shared" si="17"/>
        <v>5.5701940170269727E-2</v>
      </c>
      <c r="Y7" s="611">
        <f t="shared" si="17"/>
        <v>3.8591224076884145E-2</v>
      </c>
      <c r="Z7" s="611">
        <f t="shared" ref="Z7:AA7" si="18">Z3/Z5</f>
        <v>5.9383293956390831E-2</v>
      </c>
      <c r="AA7" s="611">
        <f t="shared" si="18"/>
        <v>3.9580197012931834E-2</v>
      </c>
      <c r="AB7" s="613">
        <f t="shared" ref="AB7:AC7" si="19">AB3/AB5</f>
        <v>6.9144906333463624E-2</v>
      </c>
      <c r="AC7" s="611">
        <f t="shared" si="19"/>
        <v>5.5307630672781709E-2</v>
      </c>
      <c r="AD7" s="611">
        <f>AD3/AD5</f>
        <v>5.8777123389935938E-2</v>
      </c>
      <c r="AE7" s="611">
        <f>AE3/AE5</f>
        <v>6.0422891962337556E-2</v>
      </c>
      <c r="AF7" s="611">
        <f>AF3/AF5</f>
        <v>8.4870092606551761E-2</v>
      </c>
      <c r="AG7" s="611">
        <f>AG3/AG5</f>
        <v>0.19812594601394873</v>
      </c>
      <c r="AH7" s="582"/>
      <c r="AI7" s="603"/>
      <c r="AJ7" s="604"/>
      <c r="AK7" s="604"/>
      <c r="AL7" s="604"/>
      <c r="AM7" s="604"/>
      <c r="AN7" s="605"/>
      <c r="AO7" s="605"/>
      <c r="AP7" s="606"/>
    </row>
    <row r="8" spans="1:42" s="624" customFormat="1" ht="19" customHeight="1" collapsed="1" x14ac:dyDescent="0.3">
      <c r="A8" s="614"/>
      <c r="B8" s="614"/>
      <c r="C8" s="615" t="s">
        <v>424</v>
      </c>
      <c r="D8" s="614"/>
      <c r="E8" s="616" t="s">
        <v>130</v>
      </c>
      <c r="F8" s="617" t="s">
        <v>172</v>
      </c>
      <c r="G8" s="617" t="s">
        <v>174</v>
      </c>
      <c r="H8" s="618" t="s">
        <v>176</v>
      </c>
      <c r="I8" s="617" t="s">
        <v>186</v>
      </c>
      <c r="J8" s="617" t="s">
        <v>202</v>
      </c>
      <c r="K8" s="617" t="s">
        <v>256</v>
      </c>
      <c r="L8" s="617" t="s">
        <v>257</v>
      </c>
      <c r="M8" s="616" t="s">
        <v>260</v>
      </c>
      <c r="N8" s="619" t="s">
        <v>263</v>
      </c>
      <c r="O8" s="619" t="s">
        <v>267</v>
      </c>
      <c r="P8" s="619" t="s">
        <v>275</v>
      </c>
      <c r="Q8" s="620" t="s">
        <v>285</v>
      </c>
      <c r="R8" s="619" t="s">
        <v>299</v>
      </c>
      <c r="S8" s="619" t="s">
        <v>315</v>
      </c>
      <c r="T8" s="621" t="s">
        <v>325</v>
      </c>
      <c r="U8" s="620" t="s">
        <v>332</v>
      </c>
      <c r="V8" s="619" t="s">
        <v>333</v>
      </c>
      <c r="W8" s="619" t="s">
        <v>349</v>
      </c>
      <c r="X8" s="621" t="s">
        <v>345</v>
      </c>
      <c r="Y8" s="619" t="s">
        <v>347</v>
      </c>
      <c r="Z8" s="619" t="s">
        <v>367</v>
      </c>
      <c r="AA8" s="619" t="s">
        <v>369</v>
      </c>
      <c r="AB8" s="621" t="s">
        <v>378</v>
      </c>
      <c r="AC8" s="619" t="s">
        <v>435</v>
      </c>
      <c r="AD8" s="619" t="s">
        <v>448</v>
      </c>
      <c r="AE8" s="619" t="s">
        <v>464</v>
      </c>
      <c r="AF8" s="619" t="s">
        <v>482</v>
      </c>
      <c r="AG8" s="619" t="s">
        <v>487</v>
      </c>
      <c r="AH8" s="622"/>
      <c r="AI8" s="562">
        <v>2019</v>
      </c>
      <c r="AJ8" s="563">
        <v>2020</v>
      </c>
      <c r="AK8" s="563">
        <v>2021</v>
      </c>
      <c r="AL8" s="563">
        <v>2022</v>
      </c>
      <c r="AM8" s="563">
        <v>2023</v>
      </c>
      <c r="AN8" s="564">
        <v>2024</v>
      </c>
      <c r="AO8" s="564">
        <v>2025</v>
      </c>
      <c r="AP8" s="623"/>
    </row>
    <row r="9" spans="1:42" s="625" customFormat="1" x14ac:dyDescent="0.3">
      <c r="C9" s="625" t="s">
        <v>239</v>
      </c>
      <c r="E9" s="626"/>
      <c r="F9" s="627"/>
      <c r="G9" s="627"/>
      <c r="H9" s="628"/>
      <c r="M9" s="629"/>
      <c r="N9" s="629"/>
      <c r="O9" s="629"/>
      <c r="P9" s="630"/>
      <c r="Q9" s="631"/>
      <c r="R9" s="632"/>
      <c r="S9" s="632"/>
      <c r="T9" s="633"/>
      <c r="U9" s="631"/>
      <c r="V9" s="632"/>
      <c r="W9" s="632"/>
      <c r="X9" s="633"/>
      <c r="Y9" s="632"/>
      <c r="Z9" s="632"/>
      <c r="AA9" s="632"/>
      <c r="AB9" s="633"/>
      <c r="AC9" s="632"/>
      <c r="AD9" s="632"/>
      <c r="AE9" s="632"/>
      <c r="AF9" s="632"/>
      <c r="AG9" s="632"/>
      <c r="AH9" s="989"/>
      <c r="AI9" s="635"/>
      <c r="AJ9" s="636"/>
      <c r="AK9" s="636"/>
      <c r="AL9" s="636"/>
      <c r="AM9" s="636"/>
      <c r="AN9" s="627"/>
      <c r="AO9" s="627"/>
      <c r="AP9" s="626"/>
    </row>
    <row r="10" spans="1:42" s="625" customFormat="1" x14ac:dyDescent="0.3">
      <c r="E10" s="626">
        <v>30575.377245508982</v>
      </c>
      <c r="F10" s="627">
        <v>35201.647058823532</v>
      </c>
      <c r="G10" s="627">
        <v>37987.366666666669</v>
      </c>
      <c r="H10" s="628">
        <v>34072.5</v>
      </c>
      <c r="I10" s="625">
        <v>15971.348837209303</v>
      </c>
      <c r="M10" s="626"/>
      <c r="N10" s="627"/>
      <c r="O10" s="627"/>
      <c r="P10" s="627"/>
      <c r="Q10" s="626"/>
      <c r="R10" s="627"/>
      <c r="S10" s="627"/>
      <c r="T10" s="628"/>
      <c r="U10" s="626"/>
      <c r="V10" s="627"/>
      <c r="W10" s="627"/>
      <c r="X10" s="628"/>
      <c r="Y10" s="627"/>
      <c r="Z10" s="627"/>
      <c r="AA10" s="627"/>
      <c r="AB10" s="628"/>
      <c r="AC10" s="627"/>
      <c r="AD10" s="627"/>
      <c r="AE10" s="627"/>
      <c r="AF10" s="627"/>
      <c r="AG10" s="627"/>
      <c r="AH10" s="622"/>
      <c r="AI10" s="635"/>
      <c r="AJ10" s="636"/>
      <c r="AK10" s="636"/>
      <c r="AL10" s="636"/>
      <c r="AM10" s="636"/>
      <c r="AN10" s="627"/>
      <c r="AO10" s="627"/>
      <c r="AP10" s="626"/>
    </row>
    <row r="11" spans="1:42" s="625" customFormat="1" x14ac:dyDescent="0.3">
      <c r="D11" s="625" t="s">
        <v>240</v>
      </c>
      <c r="E11" s="637">
        <f>Tongchengelong!Z5/1000</f>
        <v>30154.501989805893</v>
      </c>
      <c r="F11" s="638">
        <f>Tongchengelong!AA5/1000</f>
        <v>33765.813462848098</v>
      </c>
      <c r="G11" s="638">
        <f>Tongchengelong!AB5/1000</f>
        <v>38121.813169801462</v>
      </c>
      <c r="H11" s="639">
        <f>Tongchengelong!AC5/1000</f>
        <v>34410</v>
      </c>
      <c r="I11" s="638">
        <f>Tongchengelong!AD5/1000</f>
        <v>14721.59389711049</v>
      </c>
      <c r="J11" s="638">
        <f>Tongchengelong!AE5/1000</f>
        <v>17423.617627408512</v>
      </c>
      <c r="K11" s="638">
        <f>Tongchengelong!AF5/1000</f>
        <v>30403.937202360001</v>
      </c>
      <c r="L11" s="638">
        <f>Tongchengelong!AG5/1000</f>
        <v>27329.523867752814</v>
      </c>
      <c r="M11" s="637">
        <f>Tongchengelong!AH5/1000</f>
        <v>26567.685621264365</v>
      </c>
      <c r="N11" s="638">
        <f>Tongchengelong!AI5/1000</f>
        <v>33720.448127419906</v>
      </c>
      <c r="O11" s="638">
        <f>Tongchengelong!AJ5/1000</f>
        <v>31760.015068965513</v>
      </c>
      <c r="P11" s="638">
        <f>Tongchengelong!AK5/1000</f>
        <v>24256.43441997503</v>
      </c>
      <c r="Q11" s="637">
        <f>Tongchengelong!AL5/1000</f>
        <v>25197.751451820463</v>
      </c>
      <c r="R11" s="638">
        <f>Tongchengelong!AM5/1000</f>
        <v>17907.267795238095</v>
      </c>
      <c r="S11" s="638">
        <f>Tongchengelong!AN5/1000</f>
        <v>30248.719895126833</v>
      </c>
      <c r="T11" s="639">
        <f>Tongchengelong!AO5/1000</f>
        <v>18458.213895021647</v>
      </c>
      <c r="U11" s="637">
        <f>Tongchengelong!AP5/1000</f>
        <v>43122.298425000001</v>
      </c>
      <c r="V11" s="638">
        <f>Tongchengelong!AQ5/1000</f>
        <v>42987.733320809246</v>
      </c>
      <c r="W11" s="638">
        <f>Tongchengelong!AR5/1000</f>
        <v>51890.606264814807</v>
      </c>
      <c r="X11" s="639">
        <f>Tongchengelong!AS5/1000</f>
        <v>38894.411999999997</v>
      </c>
      <c r="Y11" s="638">
        <f>Tongchengelong!AT5/1000</f>
        <v>49425</v>
      </c>
      <c r="Z11" s="638">
        <f>Tongchengelong!AU5/1000</f>
        <v>44357.599999999999</v>
      </c>
      <c r="AA11" s="638">
        <f>Tongchengelong!AV5/1000</f>
        <v>52707.199999999997</v>
      </c>
      <c r="AB11" s="639">
        <f>Tongchengelong!AW5/1000</f>
        <v>38837</v>
      </c>
      <c r="AC11" s="638">
        <f>Tongchengelong!AX5/1000</f>
        <v>47144.86</v>
      </c>
      <c r="AD11" s="638">
        <f>Tongchengelong!AY5/1000</f>
        <v>44046.1</v>
      </c>
      <c r="AE11" s="638">
        <f>Tongchengelong!AZ5/1000</f>
        <v>51214.8</v>
      </c>
      <c r="AF11" s="638">
        <f>Tongchengelong!BA5/1000</f>
        <v>38869.82</v>
      </c>
      <c r="AG11" s="638">
        <f>Tongchengelong!BB5/1000</f>
        <v>48145.881000000001</v>
      </c>
      <c r="AH11" s="640" t="s">
        <v>425</v>
      </c>
      <c r="AI11" s="641">
        <f>SUM(E11:H11)</f>
        <v>136452.12862245546</v>
      </c>
      <c r="AJ11" s="642">
        <f>SUM(I11:L11)</f>
        <v>89878.672594631818</v>
      </c>
      <c r="AK11" s="642">
        <f>SUM(M11:P11)</f>
        <v>116304.58323762481</v>
      </c>
      <c r="AL11" s="642">
        <f>SUM(Q11:T11)</f>
        <v>91811.953037207044</v>
      </c>
      <c r="AM11" s="642">
        <f>SUM(U11:X11)</f>
        <v>176895.05001062405</v>
      </c>
      <c r="AN11" s="622">
        <f>SUM(Y11:AB11)</f>
        <v>185326.8</v>
      </c>
      <c r="AO11" s="622"/>
      <c r="AP11" s="626"/>
    </row>
    <row r="12" spans="1:42" s="643" customFormat="1" x14ac:dyDescent="0.3">
      <c r="A12" s="643">
        <v>1000</v>
      </c>
      <c r="D12" s="644" t="s">
        <v>134</v>
      </c>
      <c r="E12" s="645"/>
      <c r="F12" s="646"/>
      <c r="G12" s="646"/>
      <c r="H12" s="647"/>
      <c r="I12" s="648"/>
      <c r="J12" s="649">
        <f>J11/F11-1</f>
        <v>-0.4839864395217548</v>
      </c>
      <c r="K12" s="649">
        <f>K11/G11-1</f>
        <v>-0.20245301379198943</v>
      </c>
      <c r="L12" s="649">
        <f>L11/H11-1</f>
        <v>-0.2057679782693167</v>
      </c>
      <c r="M12" s="650">
        <f>M11/E11-1</f>
        <v>-0.11894795575646033</v>
      </c>
      <c r="N12" s="649">
        <f>N11/F11-1</f>
        <v>-1.343528580411868E-3</v>
      </c>
      <c r="O12" s="649">
        <f>O11/G11-1</f>
        <v>-0.16688078482781887</v>
      </c>
      <c r="P12" s="649">
        <f>P11/H11-1</f>
        <v>-0.29507601220647983</v>
      </c>
      <c r="Q12" s="650">
        <f>Q11/E11-1</f>
        <v>-0.16437845797158657</v>
      </c>
      <c r="R12" s="649">
        <f>R11/F11-1</f>
        <v>-0.46966277548914581</v>
      </c>
      <c r="S12" s="649">
        <f>S11/G11-1</f>
        <v>-0.20652462776642988</v>
      </c>
      <c r="T12" s="647">
        <f>T11/H11-1</f>
        <v>-0.46357995074043457</v>
      </c>
      <c r="U12" s="650">
        <f>U11/E11-1</f>
        <v>0.43004512028015029</v>
      </c>
      <c r="V12" s="649">
        <f>V11/F11-1</f>
        <v>0.27311410305893724</v>
      </c>
      <c r="W12" s="649">
        <f>W11/G11-1</f>
        <v>0.36117886192046122</v>
      </c>
      <c r="X12" s="647">
        <f>X11/H11-1</f>
        <v>0.13032292938099377</v>
      </c>
      <c r="Y12" s="649">
        <f t="shared" ref="Y12:AE12" si="20">Y11/U11-1</f>
        <v>0.14615875788629173</v>
      </c>
      <c r="Z12" s="649">
        <f t="shared" si="20"/>
        <v>3.1866455227301582E-2</v>
      </c>
      <c r="AA12" s="649">
        <f t="shared" si="20"/>
        <v>1.5736831653456518E-2</v>
      </c>
      <c r="AB12" s="647">
        <f t="shared" si="20"/>
        <v>-1.4760989316408013E-3</v>
      </c>
      <c r="AC12" s="649">
        <f t="shared" si="20"/>
        <v>-4.613333333333336E-2</v>
      </c>
      <c r="AD12" s="649">
        <f t="shared" si="20"/>
        <v>-7.0224719101124045E-3</v>
      </c>
      <c r="AE12" s="649">
        <f t="shared" si="20"/>
        <v>-2.8314917127071682E-2</v>
      </c>
      <c r="AF12" s="649">
        <f>AF11/AB11-1</f>
        <v>8.4507042253512132E-4</v>
      </c>
      <c r="AG12" s="649">
        <f>AG11/AC11-1</f>
        <v>2.1232876712328874E-2</v>
      </c>
      <c r="AH12" s="651" t="s">
        <v>488</v>
      </c>
      <c r="AI12" s="652"/>
      <c r="AJ12" s="653"/>
      <c r="AK12" s="653"/>
      <c r="AL12" s="653"/>
      <c r="AM12" s="653"/>
      <c r="AN12" s="649">
        <f>AN11/AM11-1</f>
        <v>4.7665268128585403E-2</v>
      </c>
      <c r="AO12" s="649"/>
      <c r="AP12" s="626"/>
    </row>
    <row r="13" spans="1:42" s="625" customFormat="1" x14ac:dyDescent="0.3">
      <c r="D13" s="655" t="s">
        <v>135</v>
      </c>
      <c r="E13" s="656">
        <f t="shared" ref="E13:K13" si="21">E14/E11</f>
        <v>4.1749918483999608E-2</v>
      </c>
      <c r="F13" s="629">
        <f t="shared" si="21"/>
        <v>2.7752685450065196E-2</v>
      </c>
      <c r="G13" s="629">
        <f t="shared" si="21"/>
        <v>2.9894197186369958E-2</v>
      </c>
      <c r="H13" s="657">
        <f t="shared" si="21"/>
        <v>3.4350392327811688E-2</v>
      </c>
      <c r="I13" s="655">
        <f t="shared" si="21"/>
        <v>4.6650383429935313E-2</v>
      </c>
      <c r="J13" s="629">
        <f t="shared" si="21"/>
        <v>4.1657365050196786E-2</v>
      </c>
      <c r="K13" s="629">
        <f t="shared" si="21"/>
        <v>3.4703334406245914E-2</v>
      </c>
      <c r="L13" s="629">
        <v>3.5000000000000003E-2</v>
      </c>
      <c r="M13" s="656">
        <f t="shared" ref="M13:R13" si="22">M14/M11</f>
        <v>3.8521458533853838E-2</v>
      </c>
      <c r="N13" s="629">
        <f t="shared" si="22"/>
        <v>3.6617247651461619E-2</v>
      </c>
      <c r="O13" s="629">
        <f t="shared" si="22"/>
        <v>3.5413207379080582E-2</v>
      </c>
      <c r="P13" s="629">
        <f t="shared" si="22"/>
        <v>4.4311417803223299E-2</v>
      </c>
      <c r="Q13" s="656">
        <f t="shared" si="22"/>
        <v>4.036943542144944E-2</v>
      </c>
      <c r="R13" s="629">
        <f t="shared" si="22"/>
        <v>3.4596064965574658E-2</v>
      </c>
      <c r="S13" s="629">
        <f t="shared" ref="S13:Z13" si="23">S14/S11</f>
        <v>3.2617776997530129E-2</v>
      </c>
      <c r="T13" s="657">
        <f t="shared" si="23"/>
        <v>4.0932887889211123E-2</v>
      </c>
      <c r="U13" s="656">
        <f t="shared" si="23"/>
        <v>3.206447825142799E-2</v>
      </c>
      <c r="V13" s="629">
        <f t="shared" si="23"/>
        <v>3.4767639150597218E-2</v>
      </c>
      <c r="W13" s="629">
        <f t="shared" si="23"/>
        <v>3.2374800005740417E-2</v>
      </c>
      <c r="X13" s="657">
        <f>X14/X11</f>
        <v>3.7867213418729666E-2</v>
      </c>
      <c r="Y13" s="629">
        <f t="shared" si="23"/>
        <v>3.5134122407688415E-2</v>
      </c>
      <c r="Z13" s="629">
        <f t="shared" si="23"/>
        <v>3.9288329395639081E-2</v>
      </c>
      <c r="AA13" s="629">
        <f t="shared" ref="AA13" si="24">AA14/AA11</f>
        <v>3.8453019701293181E-2</v>
      </c>
      <c r="AB13" s="657">
        <f t="shared" ref="AB13:AG13" si="25">AB14/AB11</f>
        <v>4.4365939696680998E-2</v>
      </c>
      <c r="AC13" s="629">
        <f t="shared" si="25"/>
        <v>4.2426915680733805E-2</v>
      </c>
      <c r="AD13" s="629">
        <f t="shared" si="25"/>
        <v>4.2705483572892951E-2</v>
      </c>
      <c r="AE13" s="629">
        <f t="shared" si="25"/>
        <v>4.3126518115857132E-2</v>
      </c>
      <c r="AF13" s="629">
        <f t="shared" si="25"/>
        <v>4.722200926065518E-2</v>
      </c>
      <c r="AG13" s="629">
        <f t="shared" si="25"/>
        <v>4.4116297300697438E-2</v>
      </c>
      <c r="AH13" s="629"/>
      <c r="AI13" s="658">
        <f>AI14/AI11</f>
        <v>3.3108006783094952E-2</v>
      </c>
      <c r="AJ13" s="658">
        <f t="shared" ref="AJ13:AN13" si="26">AJ14/AJ11</f>
        <v>3.862016315767574E-2</v>
      </c>
      <c r="AK13" s="658">
        <f t="shared" si="26"/>
        <v>3.8328128401374215E-2</v>
      </c>
      <c r="AL13" s="658">
        <f t="shared" si="26"/>
        <v>3.6802767920977329E-2</v>
      </c>
      <c r="AM13" s="658">
        <f t="shared" si="26"/>
        <v>3.4088274373069487E-2</v>
      </c>
      <c r="AN13" s="658">
        <f t="shared" si="26"/>
        <v>3.9006938014361663E-2</v>
      </c>
      <c r="AO13" s="658"/>
      <c r="AP13" s="626"/>
    </row>
    <row r="14" spans="1:42" s="625" customFormat="1" x14ac:dyDescent="0.3">
      <c r="D14" s="625" t="s">
        <v>241</v>
      </c>
      <c r="E14" s="659">
        <f>Tongchengelong!Z15/1000</f>
        <v>1258.9480000000001</v>
      </c>
      <c r="F14" s="660">
        <f>Tongchengelong!AA15/1000</f>
        <v>937.09199999999998</v>
      </c>
      <c r="G14" s="660">
        <f>Tongchengelong!AB15/1000</f>
        <v>1139.6210000000001</v>
      </c>
      <c r="H14" s="661">
        <f>Tongchengelong!AC15/1000</f>
        <v>1181.9970000000001</v>
      </c>
      <c r="I14" s="660">
        <f>Tongchengelong!AD15/1000</f>
        <v>686.76800000000003</v>
      </c>
      <c r="J14" s="660">
        <f>Tongchengelong!AE15/1000</f>
        <v>725.822</v>
      </c>
      <c r="K14" s="660">
        <f>Tongchengelong!AF15/1000</f>
        <v>1055.1179999999999</v>
      </c>
      <c r="L14" s="660">
        <f>Tongchengelong!AG15/1000</f>
        <v>1003.421</v>
      </c>
      <c r="M14" s="659">
        <f>Tongchengelong!AH15/1000</f>
        <v>1023.426</v>
      </c>
      <c r="N14" s="660">
        <f>Tongchengelong!AI15/1000</f>
        <v>1234.75</v>
      </c>
      <c r="O14" s="660">
        <f>Tongchengelong!AJ15/1000</f>
        <v>1124.7239999999999</v>
      </c>
      <c r="P14" s="660">
        <f>Tongchengelong!AK15/1000</f>
        <v>1074.837</v>
      </c>
      <c r="Q14" s="659">
        <f>Tongchengelong!AL15/1000</f>
        <v>1017.2190000000001</v>
      </c>
      <c r="R14" s="660">
        <f>Tongchengelong!AM15/1000</f>
        <v>619.52099999999996</v>
      </c>
      <c r="S14" s="660">
        <f>Tongchengelong!AN15/1000</f>
        <v>986.64599999999996</v>
      </c>
      <c r="T14" s="661">
        <f>Tongchengelong!AO15/1000</f>
        <v>755.548</v>
      </c>
      <c r="U14" s="659">
        <f>Tongchengelong!AP15/1000</f>
        <v>1382.694</v>
      </c>
      <c r="V14" s="660">
        <f>Tongchengelong!AQ15/1000</f>
        <v>1494.5820000000001</v>
      </c>
      <c r="W14" s="660">
        <f>Tongchengelong!AR15/1000</f>
        <v>1679.9480000000001</v>
      </c>
      <c r="X14" s="661">
        <f>Tongchengelong!AS15/1000</f>
        <v>1472.8230000000001</v>
      </c>
      <c r="Y14" s="660">
        <f>Tongchengelong!AT15/1000</f>
        <v>1736.5039999999999</v>
      </c>
      <c r="Z14" s="660">
        <f>Tongchengelong!AU15/1000</f>
        <v>1742.7360000000001</v>
      </c>
      <c r="AA14" s="660">
        <f>Tongchengelong!AV15/1000</f>
        <v>2026.751</v>
      </c>
      <c r="AB14" s="661">
        <f>Tongchengelong!AW15/1000</f>
        <v>1723.04</v>
      </c>
      <c r="AC14" s="660">
        <v>2000.211</v>
      </c>
      <c r="AD14" s="660">
        <f>Tongchengelong!AY15/1000</f>
        <v>1881.01</v>
      </c>
      <c r="AE14" s="660">
        <f>Tongchengelong!AZ15/1000</f>
        <v>2208.7159999999999</v>
      </c>
      <c r="AF14" s="660">
        <f>Tongchengelong!BA15/1000</f>
        <v>1835.511</v>
      </c>
      <c r="AG14" s="660">
        <f>Tongchengelong!BB15/1000</f>
        <v>2124.018</v>
      </c>
      <c r="AH14" s="662" t="s">
        <v>334</v>
      </c>
      <c r="AI14" s="663">
        <f>+SUM(E14:H14)</f>
        <v>4517.6580000000004</v>
      </c>
      <c r="AJ14" s="664">
        <f>SUM(I14:L14)</f>
        <v>3471.1289999999999</v>
      </c>
      <c r="AK14" s="664">
        <f>SUM(M14:P14)</f>
        <v>4457.7369999999992</v>
      </c>
      <c r="AL14" s="664">
        <f>SUM(Q14:T14)</f>
        <v>3378.9340000000002</v>
      </c>
      <c r="AM14" s="664">
        <f>SUM(U14:X14)</f>
        <v>6030.0470000000005</v>
      </c>
      <c r="AN14" s="665">
        <f>SUM(Y14:AB14)</f>
        <v>7229.0309999999999</v>
      </c>
      <c r="AO14" s="665"/>
      <c r="AP14" s="626"/>
    </row>
    <row r="15" spans="1:42" s="643" customFormat="1" ht="16" thickBot="1" x14ac:dyDescent="0.35">
      <c r="D15" s="644" t="s">
        <v>341</v>
      </c>
      <c r="E15" s="645"/>
      <c r="F15" s="666">
        <f t="shared" ref="F15:AD15" si="27">F25+F102</f>
        <v>854.44390967737115</v>
      </c>
      <c r="G15" s="666">
        <f t="shared" si="27"/>
        <v>1035.7696638235057</v>
      </c>
      <c r="H15" s="667">
        <f t="shared" si="27"/>
        <v>1096.8187499999999</v>
      </c>
      <c r="I15" s="666">
        <f t="shared" si="27"/>
        <v>635.53120853825988</v>
      </c>
      <c r="J15" s="666">
        <f t="shared" si="27"/>
        <v>668.19573601111642</v>
      </c>
      <c r="K15" s="666">
        <f t="shared" si="27"/>
        <v>930.36047839221601</v>
      </c>
      <c r="L15" s="666">
        <f t="shared" si="27"/>
        <v>914.99245909236436</v>
      </c>
      <c r="M15" s="668">
        <f t="shared" si="27"/>
        <v>942.62148584245961</v>
      </c>
      <c r="N15" s="669">
        <f t="shared" si="27"/>
        <v>1116.8212419801471</v>
      </c>
      <c r="O15" s="669">
        <f t="shared" si="27"/>
        <v>1010.6036794944825</v>
      </c>
      <c r="P15" s="669">
        <f t="shared" si="27"/>
        <v>928.05118090824476</v>
      </c>
      <c r="Q15" s="668">
        <f t="shared" si="27"/>
        <v>847.02241505294478</v>
      </c>
      <c r="R15" s="669">
        <f t="shared" si="27"/>
        <v>519.74949412288811</v>
      </c>
      <c r="S15" s="669">
        <f t="shared" si="27"/>
        <v>912.7551228354522</v>
      </c>
      <c r="T15" s="667">
        <f t="shared" si="27"/>
        <v>596.14493416751407</v>
      </c>
      <c r="U15" s="668">
        <f t="shared" si="27"/>
        <v>1236.747518829</v>
      </c>
      <c r="V15" s="669">
        <f t="shared" si="27"/>
        <v>1321.0130449484682</v>
      </c>
      <c r="W15" s="669">
        <f t="shared" si="27"/>
        <v>1508.4599241181668</v>
      </c>
      <c r="X15" s="667">
        <f t="shared" si="27"/>
        <v>1234.5086368799998</v>
      </c>
      <c r="Y15" s="669">
        <f t="shared" si="27"/>
        <v>1545.766875</v>
      </c>
      <c r="Z15" s="669">
        <f t="shared" si="27"/>
        <v>1479.3259599999999</v>
      </c>
      <c r="AA15" s="669">
        <f t="shared" si="27"/>
        <v>1818.1348639999999</v>
      </c>
      <c r="AB15" s="667">
        <f t="shared" si="27"/>
        <v>1427.6481200000001</v>
      </c>
      <c r="AC15" s="669">
        <f t="shared" si="27"/>
        <v>1687.3145394000001</v>
      </c>
      <c r="AD15" s="669">
        <f t="shared" si="27"/>
        <v>1596.2306639999997</v>
      </c>
      <c r="AE15" s="669">
        <f t="shared" ref="AE15:AF15" si="28">AE25+AE102</f>
        <v>1868.315904</v>
      </c>
      <c r="AF15" s="669">
        <f t="shared" si="28"/>
        <v>1505.6224777000002</v>
      </c>
      <c r="AG15" s="669">
        <f t="shared" ref="AG15" si="29">AG25+AG102</f>
        <v>1647.07058901</v>
      </c>
      <c r="AH15" s="669"/>
      <c r="AI15" s="652"/>
      <c r="AJ15" s="653"/>
      <c r="AK15" s="653"/>
      <c r="AL15" s="653"/>
      <c r="AM15" s="653"/>
      <c r="AN15" s="649"/>
      <c r="AO15" s="649"/>
      <c r="AP15" s="670"/>
    </row>
    <row r="16" spans="1:42" s="671" customFormat="1" x14ac:dyDescent="0.3">
      <c r="C16" s="615" t="s">
        <v>132</v>
      </c>
      <c r="D16" s="672"/>
      <c r="E16" s="616" t="s">
        <v>130</v>
      </c>
      <c r="F16" s="617" t="s">
        <v>172</v>
      </c>
      <c r="G16" s="617" t="s">
        <v>174</v>
      </c>
      <c r="H16" s="618" t="s">
        <v>176</v>
      </c>
      <c r="I16" s="617" t="s">
        <v>186</v>
      </c>
      <c r="J16" s="617" t="s">
        <v>202</v>
      </c>
      <c r="K16" s="617" t="s">
        <v>256</v>
      </c>
      <c r="L16" s="617" t="s">
        <v>257</v>
      </c>
      <c r="M16" s="616" t="s">
        <v>260</v>
      </c>
      <c r="N16" s="619" t="s">
        <v>263</v>
      </c>
      <c r="O16" s="619" t="s">
        <v>267</v>
      </c>
      <c r="P16" s="619" t="s">
        <v>275</v>
      </c>
      <c r="Q16" s="620" t="s">
        <v>298</v>
      </c>
      <c r="R16" s="619" t="s">
        <v>299</v>
      </c>
      <c r="S16" s="619" t="s">
        <v>315</v>
      </c>
      <c r="T16" s="621" t="s">
        <v>325</v>
      </c>
      <c r="U16" s="620" t="s">
        <v>332</v>
      </c>
      <c r="V16" s="619" t="s">
        <v>333</v>
      </c>
      <c r="W16" s="619" t="s">
        <v>349</v>
      </c>
      <c r="X16" s="621" t="s">
        <v>345</v>
      </c>
      <c r="Y16" s="619" t="s">
        <v>347</v>
      </c>
      <c r="Z16" s="619" t="s">
        <v>367</v>
      </c>
      <c r="AA16" s="619" t="s">
        <v>369</v>
      </c>
      <c r="AB16" s="621" t="s">
        <v>378</v>
      </c>
      <c r="AC16" s="619" t="s">
        <v>435</v>
      </c>
      <c r="AD16" s="619" t="s">
        <v>448</v>
      </c>
      <c r="AE16" s="619" t="s">
        <v>463</v>
      </c>
      <c r="AF16" s="619" t="s">
        <v>482</v>
      </c>
      <c r="AG16" s="619" t="s">
        <v>487</v>
      </c>
      <c r="AH16" s="673"/>
      <c r="AI16" s="562">
        <v>2019</v>
      </c>
      <c r="AJ16" s="563">
        <v>2020</v>
      </c>
      <c r="AK16" s="563">
        <v>2021</v>
      </c>
      <c r="AL16" s="563">
        <v>2022</v>
      </c>
      <c r="AM16" s="563">
        <v>2023</v>
      </c>
      <c r="AN16" s="564">
        <v>2024</v>
      </c>
      <c r="AO16" s="564"/>
      <c r="AP16" s="674"/>
    </row>
    <row r="17" spans="1:58" s="625" customFormat="1" x14ac:dyDescent="0.3">
      <c r="C17" s="675" t="s">
        <v>426</v>
      </c>
      <c r="D17" s="676"/>
      <c r="E17" s="677"/>
      <c r="F17" s="676"/>
      <c r="G17" s="676"/>
      <c r="H17" s="678"/>
      <c r="I17" s="679"/>
      <c r="J17" s="679"/>
      <c r="K17" s="679"/>
      <c r="L17" s="679"/>
      <c r="M17" s="680"/>
      <c r="N17" s="679"/>
      <c r="O17" s="679"/>
      <c r="P17" s="679"/>
      <c r="Q17" s="680"/>
      <c r="R17" s="679"/>
      <c r="S17" s="679"/>
      <c r="T17" s="678"/>
      <c r="U17" s="680"/>
      <c r="V17" s="679"/>
      <c r="W17" s="679"/>
      <c r="X17" s="678"/>
      <c r="Y17" s="679"/>
      <c r="Z17" s="679"/>
      <c r="AA17" s="679"/>
      <c r="AB17" s="678"/>
      <c r="AC17" s="679"/>
      <c r="AD17" s="679"/>
      <c r="AE17" s="679"/>
      <c r="AF17" s="679"/>
      <c r="AG17" s="679"/>
      <c r="AH17" s="635"/>
      <c r="AI17" s="677"/>
      <c r="AJ17" s="676"/>
      <c r="AK17" s="676"/>
      <c r="AL17" s="678"/>
      <c r="AM17" s="677"/>
      <c r="AN17" s="676"/>
      <c r="AO17" s="676"/>
      <c r="AP17" s="626"/>
    </row>
    <row r="18" spans="1:58" s="625" customFormat="1" x14ac:dyDescent="0.3">
      <c r="C18" s="635"/>
      <c r="D18" s="627" t="s">
        <v>242</v>
      </c>
      <c r="E18" s="626">
        <f t="shared" ref="E18:AA18" si="30">E11*E20</f>
        <v>12966.435855616533</v>
      </c>
      <c r="F18" s="627">
        <f t="shared" si="30"/>
        <v>15194.616058281645</v>
      </c>
      <c r="G18" s="627">
        <f t="shared" si="30"/>
        <v>17345.424992259665</v>
      </c>
      <c r="H18" s="628">
        <f t="shared" si="30"/>
        <v>16344.75</v>
      </c>
      <c r="I18" s="627">
        <f t="shared" si="30"/>
        <v>6771.9331926708255</v>
      </c>
      <c r="J18" s="627">
        <f t="shared" si="30"/>
        <v>7840.6279323338304</v>
      </c>
      <c r="K18" s="627">
        <f t="shared" si="30"/>
        <v>13681.771741062001</v>
      </c>
      <c r="L18" s="627">
        <f t="shared" si="30"/>
        <v>12571.580979166296</v>
      </c>
      <c r="M18" s="626">
        <f t="shared" si="30"/>
        <v>12752.489098206896</v>
      </c>
      <c r="N18" s="627">
        <f t="shared" si="30"/>
        <v>15848.610619887355</v>
      </c>
      <c r="O18" s="627">
        <f t="shared" si="30"/>
        <v>14927.20708241379</v>
      </c>
      <c r="P18" s="627">
        <f t="shared" si="30"/>
        <v>11157.959833188514</v>
      </c>
      <c r="Q18" s="626">
        <f t="shared" si="30"/>
        <v>11842.943182355617</v>
      </c>
      <c r="R18" s="627">
        <f t="shared" si="30"/>
        <v>8416.4158637619039</v>
      </c>
      <c r="S18" s="627">
        <f t="shared" si="30"/>
        <v>14368.141950185245</v>
      </c>
      <c r="T18" s="628">
        <f t="shared" si="30"/>
        <v>8546.1530333950232</v>
      </c>
      <c r="U18" s="626">
        <f t="shared" si="30"/>
        <v>20698.703244</v>
      </c>
      <c r="V18" s="627">
        <f t="shared" si="30"/>
        <v>21063.98932719653</v>
      </c>
      <c r="W18" s="627">
        <f t="shared" si="30"/>
        <v>23869.678881814812</v>
      </c>
      <c r="X18" s="628">
        <f t="shared" si="30"/>
        <v>18280.373639999998</v>
      </c>
      <c r="Y18" s="627">
        <f t="shared" si="30"/>
        <v>23476.875</v>
      </c>
      <c r="Z18" s="627">
        <f t="shared" si="30"/>
        <v>21735.223999999998</v>
      </c>
      <c r="AA18" s="627">
        <f t="shared" si="30"/>
        <v>25826.527999999998</v>
      </c>
      <c r="AB18" s="628">
        <f t="shared" ref="AB18:AC18" si="31">AB11*AB20</f>
        <v>19418.5</v>
      </c>
      <c r="AC18" s="627">
        <f t="shared" si="31"/>
        <v>22629.532800000001</v>
      </c>
      <c r="AD18" s="627">
        <f>AD11*AD20</f>
        <v>23344.433000000001</v>
      </c>
      <c r="AE18" s="627">
        <f>AE11*AE20</f>
        <v>25607.4</v>
      </c>
      <c r="AF18" s="627">
        <f>AF11*AF20</f>
        <v>20445.525320000001</v>
      </c>
      <c r="AG18" s="627">
        <f>AG11*AG20</f>
        <v>27443.152169999998</v>
      </c>
      <c r="AH18" s="627"/>
      <c r="AI18" s="635">
        <f>SUM(E18:H18)</f>
        <v>61851.226906157841</v>
      </c>
      <c r="AJ18" s="636">
        <f>SUM(I18:L18)</f>
        <v>40865.913845232957</v>
      </c>
      <c r="AK18" s="636">
        <f>SUM(M18:P18)</f>
        <v>54686.266633696556</v>
      </c>
      <c r="AL18" s="636">
        <f>SUM(Q18:T18)</f>
        <v>43173.654029697784</v>
      </c>
      <c r="AM18" s="636">
        <f>SUM(U18:X18)</f>
        <v>83912.745093011355</v>
      </c>
      <c r="AN18" s="627">
        <f>SUM(Y18:AB18)</f>
        <v>90457.127000000008</v>
      </c>
      <c r="AO18" s="627"/>
      <c r="AP18" s="626"/>
    </row>
    <row r="19" spans="1:58" s="625" customFormat="1" x14ac:dyDescent="0.3">
      <c r="C19" s="635"/>
      <c r="D19" s="646" t="s">
        <v>134</v>
      </c>
      <c r="E19" s="626"/>
      <c r="F19" s="627"/>
      <c r="G19" s="627"/>
      <c r="H19" s="628"/>
      <c r="I19" s="681">
        <f>+I18/E18-1</f>
        <v>-0.47773364492159198</v>
      </c>
      <c r="J19" s="681">
        <f>+J18/F18-1</f>
        <v>-0.4839864395217548</v>
      </c>
      <c r="K19" s="681">
        <f>+K18/G18-1</f>
        <v>-0.21121726638768179</v>
      </c>
      <c r="L19" s="681">
        <f>+L18/H18-1</f>
        <v>-0.2308489894818645</v>
      </c>
      <c r="M19" s="682">
        <f>M18/E18-1</f>
        <v>-1.6500043635118478E-2</v>
      </c>
      <c r="N19" s="681">
        <f>N18/F18-1</f>
        <v>4.3041203482680812E-2</v>
      </c>
      <c r="O19" s="681">
        <f>O18/G18-1</f>
        <v>-0.13941531619576897</v>
      </c>
      <c r="P19" s="681">
        <f>P18/H18-1</f>
        <v>-0.31733676971574887</v>
      </c>
      <c r="Q19" s="682">
        <f>Q18/E18-1</f>
        <v>-8.664622150382717E-2</v>
      </c>
      <c r="R19" s="681">
        <f>R18/F18-1</f>
        <v>-0.44609223217755234</v>
      </c>
      <c r="S19" s="681">
        <f>S18/G18-1</f>
        <v>-0.17164658942649269</v>
      </c>
      <c r="T19" s="683">
        <f>T18/H18-1</f>
        <v>-0.47713161514278146</v>
      </c>
      <c r="U19" s="682">
        <f>U18/E18-1</f>
        <v>0.59632943659179571</v>
      </c>
      <c r="V19" s="681">
        <f>V18/F18-1</f>
        <v>0.38627980110862059</v>
      </c>
      <c r="W19" s="681">
        <f>W18/G18-1</f>
        <v>0.37613687139211494</v>
      </c>
      <c r="X19" s="683">
        <f>X18/H18-1</f>
        <v>0.11842479328224642</v>
      </c>
      <c r="Y19" s="681">
        <f t="shared" ref="Y19:AG19" si="32">Y18/U18-1</f>
        <v>0.13421960415830969</v>
      </c>
      <c r="Z19" s="681">
        <f t="shared" si="32"/>
        <v>3.1866455227301582E-2</v>
      </c>
      <c r="AA19" s="681">
        <f t="shared" si="32"/>
        <v>8.1980538065638431E-2</v>
      </c>
      <c r="AB19" s="683">
        <f t="shared" si="32"/>
        <v>6.2259469221658703E-2</v>
      </c>
      <c r="AC19" s="681">
        <f t="shared" si="32"/>
        <v>-3.6092631578947376E-2</v>
      </c>
      <c r="AD19" s="681">
        <f t="shared" si="32"/>
        <v>7.4036918138041807E-2</v>
      </c>
      <c r="AE19" s="681">
        <f t="shared" si="32"/>
        <v>-8.4846093133384981E-3</v>
      </c>
      <c r="AF19" s="681">
        <f t="shared" si="32"/>
        <v>5.288901408450708E-2</v>
      </c>
      <c r="AG19" s="681">
        <f t="shared" si="32"/>
        <v>0.21271404109589032</v>
      </c>
      <c r="AH19" s="646"/>
      <c r="AI19" s="684"/>
      <c r="AJ19" s="685"/>
      <c r="AK19" s="685"/>
      <c r="AL19" s="685"/>
      <c r="AM19" s="685"/>
      <c r="AN19" s="686"/>
      <c r="AO19" s="686"/>
      <c r="AP19" s="626"/>
    </row>
    <row r="20" spans="1:58" s="625" customFormat="1" x14ac:dyDescent="0.35">
      <c r="C20" s="635"/>
      <c r="D20" s="646" t="s">
        <v>243</v>
      </c>
      <c r="E20" s="941">
        <v>0.43</v>
      </c>
      <c r="F20" s="869">
        <v>0.45</v>
      </c>
      <c r="G20" s="869">
        <v>0.45500000000000002</v>
      </c>
      <c r="H20" s="872">
        <v>0.47499999999999998</v>
      </c>
      <c r="I20" s="870">
        <v>0.46</v>
      </c>
      <c r="J20" s="869">
        <v>0.45</v>
      </c>
      <c r="K20" s="869">
        <v>0.45</v>
      </c>
      <c r="L20" s="869">
        <v>0.46</v>
      </c>
      <c r="M20" s="941">
        <v>0.48</v>
      </c>
      <c r="N20" s="869">
        <v>0.47</v>
      </c>
      <c r="O20" s="869">
        <v>0.47</v>
      </c>
      <c r="P20" s="869">
        <v>0.46</v>
      </c>
      <c r="Q20" s="941">
        <v>0.47</v>
      </c>
      <c r="R20" s="869">
        <v>0.47</v>
      </c>
      <c r="S20" s="869">
        <v>0.47499999999999998</v>
      </c>
      <c r="T20" s="872">
        <v>0.46300000000000002</v>
      </c>
      <c r="U20" s="941">
        <v>0.48</v>
      </c>
      <c r="V20" s="869">
        <v>0.49</v>
      </c>
      <c r="W20" s="869">
        <v>0.46</v>
      </c>
      <c r="X20" s="872">
        <v>0.47</v>
      </c>
      <c r="Y20" s="869">
        <v>0.47499999999999998</v>
      </c>
      <c r="Z20" s="869">
        <v>0.49</v>
      </c>
      <c r="AA20" s="869">
        <v>0.49</v>
      </c>
      <c r="AB20" s="872">
        <v>0.5</v>
      </c>
      <c r="AC20" s="869">
        <v>0.48</v>
      </c>
      <c r="AD20" s="869">
        <v>0.53</v>
      </c>
      <c r="AE20" s="869">
        <v>0.5</v>
      </c>
      <c r="AF20" s="869">
        <v>0.52600000000000002</v>
      </c>
      <c r="AG20" s="869">
        <v>0.56999999999999995</v>
      </c>
      <c r="AH20" s="640" t="s">
        <v>425</v>
      </c>
      <c r="AI20" s="869">
        <f>AI18/AI11</f>
        <v>0.45328151001067779</v>
      </c>
      <c r="AJ20" s="869">
        <f t="shared" ref="AJ20:AN20" si="33">AJ18/AJ11</f>
        <v>0.45467865362837762</v>
      </c>
      <c r="AK20" s="869">
        <f t="shared" si="33"/>
        <v>0.47019872400011675</v>
      </c>
      <c r="AL20" s="869">
        <f t="shared" si="33"/>
        <v>0.47024001343486882</v>
      </c>
      <c r="AM20" s="869">
        <f t="shared" si="33"/>
        <v>0.474364574294033</v>
      </c>
      <c r="AN20" s="869">
        <f t="shared" si="33"/>
        <v>0.4880952296160081</v>
      </c>
      <c r="AO20" s="869"/>
      <c r="AP20" s="626"/>
    </row>
    <row r="21" spans="1:58" s="625" customFormat="1" ht="16.5" x14ac:dyDescent="0.3">
      <c r="C21" s="635"/>
      <c r="D21" s="627" t="s">
        <v>244</v>
      </c>
      <c r="E21" s="626">
        <f t="shared" ref="E21:L21" si="34">E18/E23</f>
        <v>18.134875322540605</v>
      </c>
      <c r="F21" s="627">
        <f t="shared" si="34"/>
        <v>22.021182693161805</v>
      </c>
      <c r="G21" s="627">
        <f t="shared" si="34"/>
        <v>23.127233323012884</v>
      </c>
      <c r="H21" s="628">
        <f t="shared" si="34"/>
        <v>24.036397058823528</v>
      </c>
      <c r="I21" s="627">
        <f t="shared" si="34"/>
        <v>9.9587252833394491</v>
      </c>
      <c r="J21" s="627">
        <f t="shared" si="34"/>
        <v>12.646174084409404</v>
      </c>
      <c r="K21" s="627">
        <f t="shared" si="34"/>
        <v>26.31109950204231</v>
      </c>
      <c r="L21" s="627">
        <f t="shared" si="34"/>
        <v>21.675139619252235</v>
      </c>
      <c r="M21" s="627">
        <f>M18/M23</f>
        <v>21.254148497011492</v>
      </c>
      <c r="N21" s="627">
        <f>N18/N23</f>
        <v>26.414351033145593</v>
      </c>
      <c r="O21" s="627">
        <f>O18/O23</f>
        <v>22.651300580294066</v>
      </c>
      <c r="P21" s="627">
        <f>P18/P23</f>
        <v>18.596599721980855</v>
      </c>
      <c r="Q21" s="687">
        <f>M21*(1-14%)</f>
        <v>18.278567707429882</v>
      </c>
      <c r="R21" s="688">
        <f>N21*(1-55%)</f>
        <v>11.886457964915516</v>
      </c>
      <c r="S21" s="688">
        <f>O21*(1+-16%)</f>
        <v>19.027092487447014</v>
      </c>
      <c r="T21" s="689">
        <f>P21*(1-35%)</f>
        <v>12.087789819287556</v>
      </c>
      <c r="U21" s="687">
        <f>E21*(1+U22)</f>
        <v>24.482081685429819</v>
      </c>
      <c r="V21" s="688">
        <f>F21*(1+V22)</f>
        <v>30.389232116563289</v>
      </c>
      <c r="W21" s="688">
        <f>G21*(1+W22)</f>
        <v>30.527947986377008</v>
      </c>
      <c r="X21" s="689">
        <f>H21*(1+X22)</f>
        <v>28.122584558823526</v>
      </c>
      <c r="Y21" s="688">
        <f>U21*(1+Y22)</f>
        <v>33.540451909038858</v>
      </c>
      <c r="Z21" s="688">
        <f>V21*(1+Z22)</f>
        <v>35.251509255213413</v>
      </c>
      <c r="AA21" s="688">
        <f>W21*(1+AA22)</f>
        <v>37.091456803448068</v>
      </c>
      <c r="AB21" s="689">
        <f t="shared" ref="AB21:AG21" si="35">AB32+AB45</f>
        <v>30.895471396323529</v>
      </c>
      <c r="AC21" s="688">
        <f t="shared" si="35"/>
        <v>35.626668017781078</v>
      </c>
      <c r="AD21" s="688">
        <f t="shared" si="35"/>
        <v>36.8180863265151</v>
      </c>
      <c r="AE21" s="688">
        <f t="shared" si="35"/>
        <v>38.210098049183252</v>
      </c>
      <c r="AF21" s="688">
        <f t="shared" si="35"/>
        <v>31.590858544709558</v>
      </c>
      <c r="AG21" s="688">
        <f t="shared" si="35"/>
        <v>36.451347233139764</v>
      </c>
      <c r="AH21" s="640" t="s">
        <v>433</v>
      </c>
      <c r="AI21" s="635">
        <f>SUM(E21:H21)</f>
        <v>87.319688397538826</v>
      </c>
      <c r="AJ21" s="636">
        <f>SUM(I21:L21)</f>
        <v>70.591138489043402</v>
      </c>
      <c r="AK21" s="636">
        <f>SUM(M21:P21)</f>
        <v>88.916399832432006</v>
      </c>
      <c r="AL21" s="636">
        <f>SUM(Q21:T21)</f>
        <v>61.279907979079972</v>
      </c>
      <c r="AM21" s="636">
        <f>SUM(U21:X21)</f>
        <v>113.52184634719364</v>
      </c>
      <c r="AN21" s="627">
        <f>SUM(Y21:AB21)</f>
        <v>136.77888936402388</v>
      </c>
      <c r="AO21" s="627"/>
      <c r="AP21" s="626"/>
      <c r="BB21" s="692"/>
      <c r="BC21" s="692"/>
      <c r="BD21" s="692"/>
    </row>
    <row r="22" spans="1:58" s="625" customFormat="1" x14ac:dyDescent="0.3">
      <c r="C22" s="635"/>
      <c r="D22" s="693" t="s">
        <v>348</v>
      </c>
      <c r="E22" s="626"/>
      <c r="F22" s="693"/>
      <c r="G22" s="694"/>
      <c r="H22" s="695"/>
      <c r="I22" s="696">
        <f>I21/E21-1</f>
        <v>-0.45085228841020331</v>
      </c>
      <c r="J22" s="696">
        <f>J21/F21-1</f>
        <v>-0.42572684398388849</v>
      </c>
      <c r="K22" s="697">
        <f>K21/G21-1</f>
        <v>0.13766740424853596</v>
      </c>
      <c r="L22" s="697">
        <f>L21/H21-1</f>
        <v>-9.8236746289082411E-2</v>
      </c>
      <c r="M22" s="698">
        <f>M21/E21-1</f>
        <v>0.17200411466815058</v>
      </c>
      <c r="N22" s="697">
        <f>N21/F21-1</f>
        <v>0.19949738400508288</v>
      </c>
      <c r="O22" s="699">
        <f>O21/G21-1</f>
        <v>-2.0578887931451684E-2</v>
      </c>
      <c r="P22" s="697">
        <f>P21/H21-1</f>
        <v>-0.22631500567784868</v>
      </c>
      <c r="Q22" s="698">
        <f>Q21/E21-1</f>
        <v>7.9235386146094822E-3</v>
      </c>
      <c r="R22" s="697">
        <f>R21/F21-1</f>
        <v>-0.46022617719771264</v>
      </c>
      <c r="S22" s="697">
        <f>S21/G21-1</f>
        <v>-0.17728626586241958</v>
      </c>
      <c r="T22" s="700">
        <f>T21/H21-1</f>
        <v>-0.4971047536906017</v>
      </c>
      <c r="U22" s="698">
        <v>0.35</v>
      </c>
      <c r="V22" s="697">
        <v>0.38</v>
      </c>
      <c r="W22" s="697">
        <v>0.32</v>
      </c>
      <c r="X22" s="701">
        <v>0.17</v>
      </c>
      <c r="Y22" s="697">
        <v>0.37</v>
      </c>
      <c r="Z22" s="697">
        <v>0.16</v>
      </c>
      <c r="AA22" s="697">
        <v>0.215</v>
      </c>
      <c r="AB22" s="701">
        <f t="shared" ref="AB22:AG22" si="36">AB21/X21-1</f>
        <v>9.8600000000000021E-2</v>
      </c>
      <c r="AC22" s="697">
        <f t="shared" si="36"/>
        <v>6.2200000000000033E-2</v>
      </c>
      <c r="AD22" s="697">
        <f t="shared" si="36"/>
        <v>4.4440000000000035E-2</v>
      </c>
      <c r="AE22" s="697">
        <f t="shared" si="36"/>
        <v>3.0158999999999825E-2</v>
      </c>
      <c r="AF22" s="697">
        <f t="shared" si="36"/>
        <v>2.2507737119970894E-2</v>
      </c>
      <c r="AG22" s="697">
        <f t="shared" si="36"/>
        <v>2.3147806439465235E-2</v>
      </c>
      <c r="AH22" s="940"/>
      <c r="AI22" s="702"/>
      <c r="AJ22" s="860"/>
      <c r="AK22" s="860"/>
      <c r="AL22" s="860"/>
      <c r="AM22" s="860"/>
      <c r="AN22" s="861">
        <f>AN21/AM21-1</f>
        <v>0.20486843515301212</v>
      </c>
      <c r="AO22" s="861"/>
      <c r="AP22" s="626"/>
      <c r="BB22" s="703"/>
      <c r="BC22" s="703"/>
      <c r="BD22" s="703"/>
      <c r="BF22" s="704"/>
    </row>
    <row r="23" spans="1:58" s="625" customFormat="1" x14ac:dyDescent="0.3">
      <c r="A23" s="705"/>
      <c r="C23" s="635"/>
      <c r="D23" s="627" t="s">
        <v>146</v>
      </c>
      <c r="E23" s="706">
        <v>715</v>
      </c>
      <c r="F23" s="707">
        <v>690</v>
      </c>
      <c r="G23" s="707">
        <v>750</v>
      </c>
      <c r="H23" s="708">
        <v>680</v>
      </c>
      <c r="I23" s="707">
        <v>680</v>
      </c>
      <c r="J23" s="707">
        <v>620</v>
      </c>
      <c r="K23" s="707">
        <v>520</v>
      </c>
      <c r="L23" s="707">
        <v>580</v>
      </c>
      <c r="M23" s="706">
        <v>600</v>
      </c>
      <c r="N23" s="707">
        <v>600</v>
      </c>
      <c r="O23" s="707">
        <v>659</v>
      </c>
      <c r="P23" s="707">
        <v>600</v>
      </c>
      <c r="Q23" s="706">
        <v>706</v>
      </c>
      <c r="R23" s="707">
        <f t="shared" ref="R23:AA23" si="37">R18/R21</f>
        <v>708.06760841657706</v>
      </c>
      <c r="S23" s="707">
        <f t="shared" si="37"/>
        <v>755.14122610506683</v>
      </c>
      <c r="T23" s="709">
        <f t="shared" si="37"/>
        <v>707.00708410387688</v>
      </c>
      <c r="U23" s="706">
        <f t="shared" si="37"/>
        <v>845.46336826898812</v>
      </c>
      <c r="V23" s="707">
        <f t="shared" si="37"/>
        <v>693.13990055431032</v>
      </c>
      <c r="W23" s="707">
        <f t="shared" si="37"/>
        <v>781.89594965461072</v>
      </c>
      <c r="X23" s="709">
        <f t="shared" si="37"/>
        <v>650.02466618113476</v>
      </c>
      <c r="Y23" s="707">
        <f t="shared" si="37"/>
        <v>699.95702692584143</v>
      </c>
      <c r="Z23" s="707">
        <f t="shared" si="37"/>
        <v>616.57570013929364</v>
      </c>
      <c r="AA23" s="707">
        <f t="shared" si="37"/>
        <v>696.29316898653417</v>
      </c>
      <c r="AB23" s="709">
        <f t="shared" ref="AB23:AC23" si="38">AB18/AB21</f>
        <v>628.52253493405976</v>
      </c>
      <c r="AC23" s="707">
        <f t="shared" si="38"/>
        <v>635.18521543203883</v>
      </c>
      <c r="AD23" s="707">
        <f t="shared" ref="AD23:AG23" si="39">AD18/AD21</f>
        <v>634.04797286240694</v>
      </c>
      <c r="AE23" s="707">
        <f t="shared" si="39"/>
        <v>670.17362706158679</v>
      </c>
      <c r="AF23" s="707">
        <f t="shared" si="39"/>
        <v>647.19752048093551</v>
      </c>
      <c r="AG23" s="707">
        <f t="shared" si="39"/>
        <v>752.87072366559994</v>
      </c>
      <c r="AH23" s="632"/>
      <c r="AI23" s="710"/>
      <c r="AJ23" s="711"/>
      <c r="AK23" s="711"/>
      <c r="AL23" s="711"/>
      <c r="AM23" s="711"/>
      <c r="AN23" s="712"/>
      <c r="AO23" s="712"/>
      <c r="AP23" s="626"/>
      <c r="BB23" s="703"/>
      <c r="BC23" s="703"/>
      <c r="BD23" s="703"/>
    </row>
    <row r="24" spans="1:58" s="625" customFormat="1" x14ac:dyDescent="0.3">
      <c r="C24" s="635"/>
      <c r="D24" s="629" t="s">
        <v>135</v>
      </c>
      <c r="E24" s="713">
        <v>0.04</v>
      </c>
      <c r="F24" s="714">
        <v>3.5000000000000003E-2</v>
      </c>
      <c r="G24" s="714">
        <v>3.2000000000000001E-2</v>
      </c>
      <c r="H24" s="715">
        <v>3.4799999999999998E-2</v>
      </c>
      <c r="I24" s="714">
        <v>4.2000000000000003E-2</v>
      </c>
      <c r="J24" s="716">
        <v>4.3999999999999997E-2</v>
      </c>
      <c r="K24" s="716">
        <v>3.7999999999999999E-2</v>
      </c>
      <c r="L24" s="716">
        <v>0.04</v>
      </c>
      <c r="M24" s="717">
        <v>0.04</v>
      </c>
      <c r="N24" s="716">
        <v>3.5999999999999997E-2</v>
      </c>
      <c r="O24" s="716">
        <v>3.4000000000000002E-2</v>
      </c>
      <c r="P24" s="716">
        <v>4.2999999999999997E-2</v>
      </c>
      <c r="Q24" s="717">
        <v>3.7499999999999999E-2</v>
      </c>
      <c r="R24" s="716">
        <v>3.3599999999999998E-2</v>
      </c>
      <c r="S24" s="716">
        <v>3.4000000000000002E-2</v>
      </c>
      <c r="T24" s="718">
        <v>3.7999999999999999E-2</v>
      </c>
      <c r="U24" s="717">
        <v>3.0499999999999999E-2</v>
      </c>
      <c r="V24" s="716">
        <v>3.4500000000000003E-2</v>
      </c>
      <c r="W24" s="716">
        <v>3.2000000000000001E-2</v>
      </c>
      <c r="X24" s="718">
        <v>3.5999999999999997E-2</v>
      </c>
      <c r="Y24" s="716">
        <v>3.3000000000000002E-2</v>
      </c>
      <c r="Z24" s="716">
        <v>3.5000000000000003E-2</v>
      </c>
      <c r="AA24" s="716">
        <v>3.5499999999999997E-2</v>
      </c>
      <c r="AB24" s="718">
        <v>3.7999999999999999E-2</v>
      </c>
      <c r="AC24" s="716">
        <v>3.7999999999999999E-2</v>
      </c>
      <c r="AD24" s="716">
        <v>3.7999999999999999E-2</v>
      </c>
      <c r="AE24" s="716">
        <v>3.7999999999999999E-2</v>
      </c>
      <c r="AF24" s="716">
        <v>4.1000000000000002E-2</v>
      </c>
      <c r="AG24" s="716">
        <v>3.3000000000000002E-2</v>
      </c>
      <c r="AH24" s="629"/>
      <c r="AI24" s="719"/>
      <c r="AJ24" s="720"/>
      <c r="AK24" s="720"/>
      <c r="AL24" s="720"/>
      <c r="AM24" s="720"/>
      <c r="AN24" s="721"/>
      <c r="AO24" s="721"/>
      <c r="AP24" s="626"/>
      <c r="AQ24" s="722"/>
    </row>
    <row r="25" spans="1:58" s="625" customFormat="1" ht="12.65" customHeight="1" x14ac:dyDescent="0.3">
      <c r="C25" s="658"/>
      <c r="D25" s="627" t="s">
        <v>241</v>
      </c>
      <c r="E25" s="626">
        <f t="shared" ref="E25:J25" si="40">E18*E24</f>
        <v>518.6574342246613</v>
      </c>
      <c r="F25" s="627">
        <f t="shared" si="40"/>
        <v>531.81156203985756</v>
      </c>
      <c r="G25" s="627">
        <f t="shared" si="40"/>
        <v>555.05359975230931</v>
      </c>
      <c r="H25" s="628">
        <f t="shared" si="40"/>
        <v>568.79729999999995</v>
      </c>
      <c r="I25" s="627">
        <f t="shared" si="40"/>
        <v>284.42119409217469</v>
      </c>
      <c r="J25" s="627">
        <f t="shared" si="40"/>
        <v>344.98762902268851</v>
      </c>
      <c r="K25" s="627">
        <f>K18*K24</f>
        <v>519.90732616035598</v>
      </c>
      <c r="L25" s="627">
        <f>L24*L18</f>
        <v>502.86323916665185</v>
      </c>
      <c r="M25" s="626">
        <f t="shared" ref="M25:T25" si="41">M18*M24</f>
        <v>510.09956392827581</v>
      </c>
      <c r="N25" s="627">
        <f t="shared" si="41"/>
        <v>570.5499823159447</v>
      </c>
      <c r="O25" s="627">
        <f t="shared" si="41"/>
        <v>507.52504080206887</v>
      </c>
      <c r="P25" s="627">
        <f t="shared" si="41"/>
        <v>479.79227282710605</v>
      </c>
      <c r="Q25" s="626">
        <f t="shared" si="41"/>
        <v>444.1103693383356</v>
      </c>
      <c r="R25" s="627">
        <f t="shared" si="41"/>
        <v>282.79157302239997</v>
      </c>
      <c r="S25" s="627">
        <f t="shared" si="41"/>
        <v>488.51682630629836</v>
      </c>
      <c r="T25" s="628">
        <f t="shared" si="41"/>
        <v>324.75381526901089</v>
      </c>
      <c r="U25" s="626">
        <f t="shared" ref="U25:AA25" si="42">U18*U24</f>
        <v>631.31044894199999</v>
      </c>
      <c r="V25" s="627">
        <f t="shared" si="42"/>
        <v>726.70763178828031</v>
      </c>
      <c r="W25" s="627">
        <f t="shared" si="42"/>
        <v>763.82972421807403</v>
      </c>
      <c r="X25" s="628">
        <f t="shared" si="42"/>
        <v>658.09345103999988</v>
      </c>
      <c r="Y25" s="627">
        <f t="shared" si="42"/>
        <v>774.73687500000005</v>
      </c>
      <c r="Z25" s="627">
        <f>Z18*Z24</f>
        <v>760.73284000000001</v>
      </c>
      <c r="AA25" s="627">
        <f t="shared" si="42"/>
        <v>916.84174399999984</v>
      </c>
      <c r="AB25" s="628">
        <f t="shared" ref="AB25:AC25" si="43">AB18*AB24</f>
        <v>737.90300000000002</v>
      </c>
      <c r="AC25" s="627">
        <f t="shared" si="43"/>
        <v>859.92224640000006</v>
      </c>
      <c r="AD25" s="627">
        <f>AD18*AD24</f>
        <v>887.08845399999996</v>
      </c>
      <c r="AE25" s="627">
        <f>AE18*AE24</f>
        <v>973.08120000000008</v>
      </c>
      <c r="AF25" s="627">
        <f>AF18*AF24</f>
        <v>838.26653812000006</v>
      </c>
      <c r="AG25" s="627">
        <f>AG18*AG24</f>
        <v>905.62402161</v>
      </c>
      <c r="AH25" s="627"/>
      <c r="AI25" s="635">
        <f>SUM(E25:H25)</f>
        <v>2174.3198960168284</v>
      </c>
      <c r="AJ25" s="636">
        <f>SUM(I25:L25)</f>
        <v>1652.1793884418712</v>
      </c>
      <c r="AK25" s="636">
        <f>SUM(M25:P25)</f>
        <v>2067.9668598733956</v>
      </c>
      <c r="AL25" s="636">
        <f>SUM(Q25:T25)</f>
        <v>1540.1725839360447</v>
      </c>
      <c r="AM25" s="636">
        <f>SUM(U25:X25)</f>
        <v>2779.9412559883544</v>
      </c>
      <c r="AN25" s="627">
        <f>SUM(Y25:AB25)</f>
        <v>3190.2144589999998</v>
      </c>
      <c r="AO25" s="627"/>
      <c r="AP25" s="626"/>
      <c r="AQ25" s="722"/>
    </row>
    <row r="26" spans="1:58" s="625" customFormat="1" x14ac:dyDescent="0.3">
      <c r="C26" s="635"/>
      <c r="D26" s="646" t="s">
        <v>134</v>
      </c>
      <c r="E26" s="626"/>
      <c r="F26" s="627"/>
      <c r="G26" s="627"/>
      <c r="H26" s="628"/>
      <c r="I26" s="681">
        <f>+I25/E25-1</f>
        <v>-0.45162032716767153</v>
      </c>
      <c r="J26" s="681">
        <f>+J25/F25-1</f>
        <v>-0.35129723825592041</v>
      </c>
      <c r="K26" s="681">
        <f>+K25/G25-1</f>
        <v>-6.3320503835372355E-2</v>
      </c>
      <c r="L26" s="681">
        <f>L25/H25-1</f>
        <v>-0.11591837871478661</v>
      </c>
      <c r="M26" s="682">
        <f>M25/E25-1</f>
        <v>-1.6500043635118478E-2</v>
      </c>
      <c r="N26" s="681">
        <f>N25/F25-1</f>
        <v>7.2842380725043121E-2</v>
      </c>
      <c r="O26" s="681">
        <f>O25/G25-1</f>
        <v>-8.562877345800457E-2</v>
      </c>
      <c r="P26" s="681">
        <f>P25/H25-1</f>
        <v>-0.15647934189014945</v>
      </c>
      <c r="Q26" s="682">
        <f>Q25/E25-1</f>
        <v>-0.14373083265983799</v>
      </c>
      <c r="R26" s="681">
        <f>R25/F25-1</f>
        <v>-0.46824854289045026</v>
      </c>
      <c r="S26" s="681">
        <f>S25/G25-1</f>
        <v>-0.11987450126564847</v>
      </c>
      <c r="T26" s="683">
        <f>T25/H25-1</f>
        <v>-0.42905176366165787</v>
      </c>
      <c r="U26" s="682">
        <f>U25/E25-1</f>
        <v>0.21720119540124427</v>
      </c>
      <c r="V26" s="681">
        <f>V25/F25-1</f>
        <v>0.36647580394992607</v>
      </c>
      <c r="W26" s="681">
        <f>W25/G25-1</f>
        <v>0.37613687139211471</v>
      </c>
      <c r="X26" s="683">
        <f>X25/H25-1</f>
        <v>0.15699116546439296</v>
      </c>
      <c r="Y26" s="681">
        <f t="shared" ref="Y26:AG26" si="44">Y25/U25-1</f>
        <v>0.22718842417128604</v>
      </c>
      <c r="Z26" s="681">
        <f t="shared" si="44"/>
        <v>4.6821041534943708E-2</v>
      </c>
      <c r="AA26" s="681">
        <f t="shared" si="44"/>
        <v>0.20032215941656739</v>
      </c>
      <c r="AB26" s="683">
        <f t="shared" si="44"/>
        <v>0.12127388417841778</v>
      </c>
      <c r="AC26" s="681">
        <f t="shared" si="44"/>
        <v>0.10995393939393949</v>
      </c>
      <c r="AD26" s="681">
        <f t="shared" si="44"/>
        <v>0.16609722540701677</v>
      </c>
      <c r="AE26" s="681">
        <f t="shared" si="44"/>
        <v>6.1340418199806956E-2</v>
      </c>
      <c r="AF26" s="681">
        <f t="shared" si="44"/>
        <v>0.13601183098591552</v>
      </c>
      <c r="AG26" s="681">
        <f t="shared" si="44"/>
        <v>5.314640410958904E-2</v>
      </c>
      <c r="AH26" s="693"/>
      <c r="AI26" s="635"/>
      <c r="AJ26" s="723"/>
      <c r="AK26" s="723"/>
      <c r="AL26" s="723"/>
      <c r="AM26" s="723"/>
      <c r="AN26" s="632"/>
      <c r="AO26" s="632"/>
      <c r="AP26" s="626"/>
    </row>
    <row r="27" spans="1:58" s="625" customFormat="1" x14ac:dyDescent="0.3">
      <c r="C27" s="635"/>
      <c r="D27" s="724" t="s">
        <v>248</v>
      </c>
      <c r="E27" s="725">
        <f t="shared" ref="E27:M27" si="45">E25/E21</f>
        <v>28.6</v>
      </c>
      <c r="F27" s="725">
        <f t="shared" si="45"/>
        <v>24.15</v>
      </c>
      <c r="G27" s="725">
        <f t="shared" si="45"/>
        <v>24.000000000000004</v>
      </c>
      <c r="H27" s="726">
        <f t="shared" si="45"/>
        <v>23.663999999999998</v>
      </c>
      <c r="I27" s="725">
        <f t="shared" si="45"/>
        <v>28.560000000000002</v>
      </c>
      <c r="J27" s="725">
        <f t="shared" si="45"/>
        <v>27.279999999999998</v>
      </c>
      <c r="K27" s="725">
        <f t="shared" si="45"/>
        <v>19.759999999999998</v>
      </c>
      <c r="L27" s="725">
        <f t="shared" si="45"/>
        <v>23.2</v>
      </c>
      <c r="M27" s="727">
        <f t="shared" si="45"/>
        <v>24</v>
      </c>
      <c r="N27" s="725">
        <f t="shared" ref="N27:T27" si="46">N25/N21</f>
        <v>21.599999999999998</v>
      </c>
      <c r="O27" s="725">
        <f t="shared" si="46"/>
        <v>22.406000000000002</v>
      </c>
      <c r="P27" s="725">
        <f t="shared" si="46"/>
        <v>25.8</v>
      </c>
      <c r="Q27" s="727">
        <f t="shared" si="46"/>
        <v>24.296781697934318</v>
      </c>
      <c r="R27" s="725">
        <f t="shared" si="46"/>
        <v>23.791071642796989</v>
      </c>
      <c r="S27" s="725">
        <f t="shared" si="46"/>
        <v>25.674801687572277</v>
      </c>
      <c r="T27" s="726">
        <f t="shared" si="46"/>
        <v>26.866269195947321</v>
      </c>
      <c r="U27" s="725">
        <f t="shared" ref="U27:AA27" si="47">U25/U21</f>
        <v>25.786632732204136</v>
      </c>
      <c r="V27" s="725">
        <f t="shared" si="47"/>
        <v>23.913326569123704</v>
      </c>
      <c r="W27" s="725">
        <f t="shared" si="47"/>
        <v>25.020670388947543</v>
      </c>
      <c r="X27" s="726">
        <f t="shared" si="47"/>
        <v>23.40088798252085</v>
      </c>
      <c r="Y27" s="725">
        <f t="shared" si="47"/>
        <v>23.098581888552769</v>
      </c>
      <c r="Z27" s="725">
        <f t="shared" si="47"/>
        <v>21.580149504875276</v>
      </c>
      <c r="AA27" s="725">
        <f t="shared" si="47"/>
        <v>24.718407499021961</v>
      </c>
      <c r="AB27" s="726">
        <f t="shared" ref="AB27:AC27" si="48">AB25/AB21</f>
        <v>23.883856327494271</v>
      </c>
      <c r="AC27" s="725">
        <f t="shared" si="48"/>
        <v>24.137038186417474</v>
      </c>
      <c r="AD27" s="725">
        <f t="shared" ref="AD27:AF27" si="49">AD25/AD21</f>
        <v>24.093822968771459</v>
      </c>
      <c r="AE27" s="725">
        <f t="shared" si="49"/>
        <v>25.466597828340298</v>
      </c>
      <c r="AF27" s="725">
        <f t="shared" si="49"/>
        <v>26.535098339718356</v>
      </c>
      <c r="AG27" s="725">
        <f t="shared" ref="AG27" si="50">AG25/AG21</f>
        <v>24.8447338809648</v>
      </c>
      <c r="AH27" s="724"/>
      <c r="AI27" s="728">
        <f>AI25/AI21</f>
        <v>24.900683178321021</v>
      </c>
      <c r="AJ27" s="728">
        <f t="shared" ref="AJ27:AN27" si="51">AJ25/AJ21</f>
        <v>23.404912058449227</v>
      </c>
      <c r="AK27" s="728">
        <f t="shared" si="51"/>
        <v>23.257429043130362</v>
      </c>
      <c r="AL27" s="728">
        <f t="shared" si="51"/>
        <v>25.133402361861187</v>
      </c>
      <c r="AM27" s="728">
        <f t="shared" si="51"/>
        <v>24.488161049514826</v>
      </c>
      <c r="AN27" s="728">
        <f t="shared" si="51"/>
        <v>23.323880416293996</v>
      </c>
      <c r="AO27" s="728"/>
      <c r="AP27" s="626"/>
    </row>
    <row r="28" spans="1:58" s="625" customFormat="1" x14ac:dyDescent="0.3">
      <c r="C28" s="730" t="s">
        <v>427</v>
      </c>
      <c r="D28" s="676"/>
      <c r="E28" s="676"/>
      <c r="F28" s="676"/>
      <c r="G28" s="676"/>
      <c r="H28" s="678"/>
      <c r="I28" s="679"/>
      <c r="J28" s="679"/>
      <c r="K28" s="679"/>
      <c r="L28" s="679"/>
      <c r="M28" s="680"/>
      <c r="N28" s="679"/>
      <c r="O28" s="679"/>
      <c r="P28" s="679"/>
      <c r="Q28" s="680"/>
      <c r="R28" s="679"/>
      <c r="S28" s="679"/>
      <c r="T28" s="678"/>
      <c r="U28" s="676"/>
      <c r="V28" s="676"/>
      <c r="W28" s="676"/>
      <c r="X28" s="678"/>
      <c r="Y28" s="676"/>
      <c r="Z28" s="676"/>
      <c r="AA28" s="676"/>
      <c r="AB28" s="774"/>
      <c r="AC28" s="676"/>
      <c r="AD28" s="676"/>
      <c r="AE28" s="676"/>
      <c r="AF28" s="676"/>
      <c r="AG28" s="676"/>
      <c r="AH28" s="635"/>
      <c r="AI28" s="635"/>
      <c r="AJ28" s="636"/>
      <c r="AK28" s="636"/>
      <c r="AL28" s="636"/>
      <c r="AM28" s="636"/>
      <c r="AN28" s="627"/>
      <c r="AO28" s="627"/>
      <c r="AP28" s="626"/>
    </row>
    <row r="29" spans="1:58" s="625" customFormat="1" x14ac:dyDescent="0.3">
      <c r="C29" s="635"/>
      <c r="D29" s="627" t="s">
        <v>242</v>
      </c>
      <c r="E29" s="627">
        <f>E18-E42</f>
        <v>11604.960090776798</v>
      </c>
      <c r="F29" s="627">
        <f t="shared" ref="F29:T29" si="52">F18-F42</f>
        <v>13568.792140045509</v>
      </c>
      <c r="G29" s="627">
        <f t="shared" si="52"/>
        <v>15437.428243111102</v>
      </c>
      <c r="H29" s="628">
        <f t="shared" si="52"/>
        <v>14465.10375</v>
      </c>
      <c r="I29" s="627">
        <f t="shared" si="52"/>
        <v>6771.9331926708255</v>
      </c>
      <c r="J29" s="627">
        <f t="shared" si="52"/>
        <v>7840.6279323338304</v>
      </c>
      <c r="K29" s="627">
        <f t="shared" si="52"/>
        <v>13681.771741062001</v>
      </c>
      <c r="L29" s="627">
        <f t="shared" si="52"/>
        <v>12571.580979166296</v>
      </c>
      <c r="M29" s="627">
        <f t="shared" si="52"/>
        <v>12752.489098206896</v>
      </c>
      <c r="N29" s="627">
        <f t="shared" si="52"/>
        <v>15848.610619887355</v>
      </c>
      <c r="O29" s="627">
        <f t="shared" si="52"/>
        <v>14927.20708241379</v>
      </c>
      <c r="P29" s="627">
        <f t="shared" si="52"/>
        <v>11157.959833188514</v>
      </c>
      <c r="Q29" s="627">
        <f t="shared" si="52"/>
        <v>11842.943182355617</v>
      </c>
      <c r="R29" s="627">
        <f t="shared" si="52"/>
        <v>8416.4158637619039</v>
      </c>
      <c r="S29" s="627">
        <f t="shared" si="52"/>
        <v>14368.141950185245</v>
      </c>
      <c r="T29" s="627">
        <f t="shared" si="52"/>
        <v>8546.1530333950232</v>
      </c>
      <c r="U29" s="627">
        <f t="shared" ref="U29:AA29" si="53">U18-U42</f>
        <v>18939.313468259999</v>
      </c>
      <c r="V29" s="627">
        <f t="shared" si="53"/>
        <v>18641.630554568928</v>
      </c>
      <c r="W29" s="627">
        <f t="shared" si="53"/>
        <v>21124.66581040611</v>
      </c>
      <c r="X29" s="628">
        <f t="shared" si="53"/>
        <v>15538.317593999998</v>
      </c>
      <c r="Y29" s="627">
        <f t="shared" si="53"/>
        <v>19603.190624999999</v>
      </c>
      <c r="Z29" s="627">
        <f t="shared" si="53"/>
        <v>17931.559799999999</v>
      </c>
      <c r="AA29" s="627">
        <f t="shared" si="53"/>
        <v>21436.018239999998</v>
      </c>
      <c r="AB29" s="628">
        <f t="shared" ref="AB29" si="54">AB18-AB42</f>
        <v>15728.985000000001</v>
      </c>
      <c r="AC29" s="627">
        <f>AC18-AC42</f>
        <v>18103.626240000001</v>
      </c>
      <c r="AD29" s="627">
        <f>AD18-AD42</f>
        <v>18442.102070000001</v>
      </c>
      <c r="AE29" s="627">
        <f>AE18-AE42</f>
        <v>20101.809000000001</v>
      </c>
      <c r="AF29" s="627">
        <f>AF18-AF42</f>
        <v>15947.509749600002</v>
      </c>
      <c r="AG29" s="627">
        <f>AG18-AG42</f>
        <v>22091.737496849997</v>
      </c>
      <c r="AH29" s="681"/>
      <c r="AI29" s="635">
        <f>SUM(E29:H29)</f>
        <v>55076.284223933406</v>
      </c>
      <c r="AJ29" s="636">
        <f>SUM(I29:L29)</f>
        <v>40865.913845232957</v>
      </c>
      <c r="AK29" s="636">
        <f>SUM(M29:P29)</f>
        <v>54686.266633696556</v>
      </c>
      <c r="AL29" s="636">
        <f>SUM(Q29:T29)</f>
        <v>43173.654029697784</v>
      </c>
      <c r="AM29" s="636">
        <f>SUM(U29:X29)</f>
        <v>74243.92742723503</v>
      </c>
      <c r="AN29" s="627">
        <f>SUM(Y29:AB29)</f>
        <v>74699.753664999997</v>
      </c>
      <c r="AO29" s="627"/>
      <c r="AP29" s="626"/>
      <c r="BC29" s="625">
        <f>U11</f>
        <v>43122.298425000001</v>
      </c>
    </row>
    <row r="30" spans="1:58" s="625" customFormat="1" x14ac:dyDescent="0.3">
      <c r="C30" s="635"/>
      <c r="D30" s="731" t="s">
        <v>350</v>
      </c>
      <c r="E30" s="732"/>
      <c r="F30" s="732"/>
      <c r="G30" s="732"/>
      <c r="H30" s="733"/>
      <c r="I30" s="734"/>
      <c r="J30" s="734"/>
      <c r="K30" s="734"/>
      <c r="L30" s="735"/>
      <c r="M30" s="734"/>
      <c r="N30" s="734"/>
      <c r="O30" s="734"/>
      <c r="P30" s="734"/>
      <c r="Q30" s="736"/>
      <c r="R30" s="734"/>
      <c r="S30" s="734"/>
      <c r="T30" s="735"/>
      <c r="U30" s="732">
        <f>1-U43</f>
        <v>0.91500000000000004</v>
      </c>
      <c r="V30" s="732">
        <f t="shared" ref="V30:AA30" si="55">1-V43</f>
        <v>0.88500000000000001</v>
      </c>
      <c r="W30" s="732">
        <f t="shared" si="55"/>
        <v>0.88500000000000001</v>
      </c>
      <c r="X30" s="733">
        <f t="shared" si="55"/>
        <v>0.85</v>
      </c>
      <c r="Y30" s="732">
        <f t="shared" si="55"/>
        <v>0.83499999999999996</v>
      </c>
      <c r="Z30" s="732">
        <f t="shared" si="55"/>
        <v>0.82499999999999996</v>
      </c>
      <c r="AA30" s="732">
        <f t="shared" si="55"/>
        <v>0.83</v>
      </c>
      <c r="AB30" s="733">
        <f t="shared" ref="AB30:AC30" si="56">1-AB43</f>
        <v>0.81</v>
      </c>
      <c r="AC30" s="732">
        <f t="shared" si="56"/>
        <v>0.8</v>
      </c>
      <c r="AD30" s="732">
        <f>1-AD43</f>
        <v>0.79</v>
      </c>
      <c r="AE30" s="732">
        <f>1-AE43</f>
        <v>0.78500000000000003</v>
      </c>
      <c r="AF30" s="732">
        <f>1-AF43</f>
        <v>0.78</v>
      </c>
      <c r="AG30" s="732">
        <f>1-AG43</f>
        <v>0.80499999999999994</v>
      </c>
      <c r="AH30" s="737"/>
      <c r="AI30" s="635"/>
      <c r="AJ30" s="636"/>
      <c r="AK30" s="636"/>
      <c r="AL30" s="636"/>
      <c r="AM30" s="636"/>
      <c r="AN30" s="627"/>
      <c r="AO30" s="627"/>
      <c r="AP30" s="626"/>
    </row>
    <row r="31" spans="1:58" s="625" customFormat="1" x14ac:dyDescent="0.3">
      <c r="C31" s="635"/>
      <c r="D31" s="646" t="s">
        <v>134</v>
      </c>
      <c r="E31" s="627"/>
      <c r="F31" s="627"/>
      <c r="G31" s="627"/>
      <c r="H31" s="628"/>
      <c r="I31" s="696">
        <f>I29/E29-1</f>
        <v>-0.41646217309675082</v>
      </c>
      <c r="J31" s="681">
        <f>J29/F29-1</f>
        <v>-0.42215726710162915</v>
      </c>
      <c r="K31" s="681">
        <f>K29/G29-1</f>
        <v>-0.11372726560413693</v>
      </c>
      <c r="L31" s="681">
        <f>L29/H29-1</f>
        <v>-0.1309028129738582</v>
      </c>
      <c r="M31" s="682">
        <f>M29/E29-1</f>
        <v>9.8882632809923487E-2</v>
      </c>
      <c r="N31" s="681">
        <f>N29/F29-1</f>
        <v>0.16801926481823171</v>
      </c>
      <c r="O31" s="681">
        <f>O29/G29-1</f>
        <v>-3.3050917073897734E-2</v>
      </c>
      <c r="P31" s="681">
        <f>P29/H29-1</f>
        <v>-0.22862911832288013</v>
      </c>
      <c r="Q31" s="682">
        <f>Q29/E29-1</f>
        <v>2.0507015079522795E-2</v>
      </c>
      <c r="R31" s="681">
        <f>R29/F29-1</f>
        <v>-0.37972254443174958</v>
      </c>
      <c r="S31" s="681">
        <f>S29/G29-1</f>
        <v>-6.9265830816283902E-2</v>
      </c>
      <c r="T31" s="681">
        <f>T29/H29-1</f>
        <v>-0.40918826569805811</v>
      </c>
      <c r="U31" s="632">
        <f>U29/E29-1</f>
        <v>0.63200160277261785</v>
      </c>
      <c r="V31" s="632">
        <f>V29/F29-1</f>
        <v>0.37386072114348168</v>
      </c>
      <c r="W31" s="632">
        <f>W29/G29-1</f>
        <v>0.36840576537305791</v>
      </c>
      <c r="X31" s="633">
        <f>X29/H29-1</f>
        <v>7.4193304282383687E-2</v>
      </c>
      <c r="Y31" s="632">
        <f t="shared" ref="Y31:AG31" si="57">Y29/U29-1</f>
        <v>3.5052862811135066E-2</v>
      </c>
      <c r="Z31" s="632">
        <f t="shared" si="57"/>
        <v>-3.8090592584718697E-2</v>
      </c>
      <c r="AA31" s="632">
        <f t="shared" si="57"/>
        <v>1.4738809711276613E-2</v>
      </c>
      <c r="AB31" s="633">
        <f t="shared" si="57"/>
        <v>1.2270788317110259E-2</v>
      </c>
      <c r="AC31" s="632">
        <f t="shared" si="57"/>
        <v>-7.6495934446895619E-2</v>
      </c>
      <c r="AD31" s="632">
        <f t="shared" si="57"/>
        <v>2.8471715550367316E-2</v>
      </c>
      <c r="AE31" s="632">
        <f t="shared" si="57"/>
        <v>-6.2241467844542986E-2</v>
      </c>
      <c r="AF31" s="632">
        <f t="shared" si="57"/>
        <v>1.3893124673969748E-2</v>
      </c>
      <c r="AG31" s="632">
        <f t="shared" si="57"/>
        <v>0.22029350385273938</v>
      </c>
      <c r="AH31" s="646"/>
      <c r="AI31" s="684"/>
      <c r="AJ31" s="685">
        <f>AJ29/AI29-1</f>
        <v>-0.25801251080996734</v>
      </c>
      <c r="AK31" s="685">
        <f>AK29/AI29-1</f>
        <v>-7.0814071016680469E-3</v>
      </c>
      <c r="AL31" s="685">
        <f>AL29/AI29-1</f>
        <v>-0.21611171417884678</v>
      </c>
      <c r="AM31" s="685">
        <f>AM29/AI29-1</f>
        <v>0.34801990499882574</v>
      </c>
      <c r="AN31" s="686">
        <f>AN29/AM29-1</f>
        <v>6.1395760375380082E-3</v>
      </c>
      <c r="AO31" s="686"/>
      <c r="AP31" s="626"/>
      <c r="BC31" s="625">
        <f>U14</f>
        <v>1382.694</v>
      </c>
    </row>
    <row r="32" spans="1:58" s="625" customFormat="1" ht="16.5" x14ac:dyDescent="0.3">
      <c r="C32" s="635"/>
      <c r="D32" s="627" t="s">
        <v>244</v>
      </c>
      <c r="E32" s="738">
        <f t="shared" ref="E32:AA32" si="58">E21-E45</f>
        <v>17.028647927865627</v>
      </c>
      <c r="F32" s="738">
        <f t="shared" si="58"/>
        <v>20.898102375810552</v>
      </c>
      <c r="G32" s="738">
        <f t="shared" si="58"/>
        <v>21.392690823786918</v>
      </c>
      <c r="H32" s="739">
        <f t="shared" si="58"/>
        <v>22.353849264705882</v>
      </c>
      <c r="I32" s="738">
        <f t="shared" si="58"/>
        <v>9.9587252833394491</v>
      </c>
      <c r="J32" s="738">
        <f t="shared" si="58"/>
        <v>12.646174084409404</v>
      </c>
      <c r="K32" s="738">
        <f t="shared" si="58"/>
        <v>26.31109950204231</v>
      </c>
      <c r="L32" s="739">
        <f t="shared" si="58"/>
        <v>21.675139619252235</v>
      </c>
      <c r="M32" s="738">
        <f t="shared" si="58"/>
        <v>21.254148497011492</v>
      </c>
      <c r="N32" s="738">
        <f t="shared" si="58"/>
        <v>26.414351033145593</v>
      </c>
      <c r="O32" s="738">
        <f t="shared" si="58"/>
        <v>22.651300580294066</v>
      </c>
      <c r="P32" s="739">
        <f t="shared" si="58"/>
        <v>18.596599721980855</v>
      </c>
      <c r="Q32" s="738">
        <f t="shared" si="58"/>
        <v>18.278567707429882</v>
      </c>
      <c r="R32" s="738">
        <f t="shared" si="58"/>
        <v>11.886457964915516</v>
      </c>
      <c r="S32" s="738">
        <f t="shared" si="58"/>
        <v>19.027092487447014</v>
      </c>
      <c r="T32" s="739">
        <f t="shared" si="58"/>
        <v>12.087789819287556</v>
      </c>
      <c r="U32" s="738">
        <f t="shared" si="58"/>
        <v>23.625208826439774</v>
      </c>
      <c r="V32" s="738">
        <f t="shared" si="58"/>
        <v>29.082495135551067</v>
      </c>
      <c r="W32" s="738">
        <f t="shared" si="58"/>
        <v>28.65047918521482</v>
      </c>
      <c r="X32" s="740">
        <f t="shared" si="58"/>
        <v>26.294616562499996</v>
      </c>
      <c r="Y32" s="738">
        <f t="shared" si="58"/>
        <v>30.454730333407284</v>
      </c>
      <c r="Z32" s="738">
        <f t="shared" si="58"/>
        <v>31.937867385223353</v>
      </c>
      <c r="AA32" s="738">
        <f t="shared" si="58"/>
        <v>33.156053236602226</v>
      </c>
      <c r="AB32" s="739">
        <f t="shared" ref="AB32:AG32" si="59">X32*(1+AB34)</f>
        <v>28.135239721874999</v>
      </c>
      <c r="AC32" s="738">
        <f t="shared" si="59"/>
        <v>31.368372243409503</v>
      </c>
      <c r="AD32" s="738">
        <f t="shared" si="59"/>
        <v>32.576624732927819</v>
      </c>
      <c r="AE32" s="738">
        <f t="shared" si="59"/>
        <v>33.487613768968245</v>
      </c>
      <c r="AF32" s="738">
        <f t="shared" si="59"/>
        <v>28.41659211909375</v>
      </c>
      <c r="AG32" s="738">
        <f t="shared" si="59"/>
        <v>31.682055965843599</v>
      </c>
      <c r="AH32" s="627"/>
      <c r="AI32" s="635">
        <f>SUM(E32:H32)</f>
        <v>81.67329039216898</v>
      </c>
      <c r="AJ32" s="636">
        <f>SUM(I32:L32)</f>
        <v>70.591138489043402</v>
      </c>
      <c r="AK32" s="636">
        <f>SUM(M32:P32)</f>
        <v>88.916399832432006</v>
      </c>
      <c r="AL32" s="636">
        <f>SUM(Q32:T32)</f>
        <v>61.279907979079972</v>
      </c>
      <c r="AM32" s="636">
        <f>SUM(U32:X32)</f>
        <v>107.65279970970566</v>
      </c>
      <c r="AN32" s="627">
        <f>SUM(Y32:AB32)</f>
        <v>123.68389067710785</v>
      </c>
      <c r="AO32" s="627"/>
      <c r="AP32" s="626"/>
      <c r="BB32" s="692" t="s">
        <v>335</v>
      </c>
      <c r="BC32" s="692" t="s">
        <v>336</v>
      </c>
      <c r="BD32" s="692" t="s">
        <v>337</v>
      </c>
    </row>
    <row r="33" spans="1:58" s="625" customFormat="1" ht="16.5" x14ac:dyDescent="0.3">
      <c r="C33" s="635"/>
      <c r="D33" s="731" t="s">
        <v>350</v>
      </c>
      <c r="E33" s="732"/>
      <c r="F33" s="732"/>
      <c r="G33" s="732"/>
      <c r="H33" s="733"/>
      <c r="I33" s="734"/>
      <c r="J33" s="734"/>
      <c r="K33" s="734"/>
      <c r="L33" s="735"/>
      <c r="M33" s="734"/>
      <c r="N33" s="734"/>
      <c r="O33" s="734"/>
      <c r="P33" s="734"/>
      <c r="Q33" s="736"/>
      <c r="R33" s="734"/>
      <c r="S33" s="734"/>
      <c r="T33" s="735"/>
      <c r="U33" s="732">
        <f>1-U46</f>
        <v>0.96499999999999997</v>
      </c>
      <c r="V33" s="732">
        <f t="shared" ref="V33:AA33" si="60">1-V46</f>
        <v>0.95699999999999996</v>
      </c>
      <c r="W33" s="732">
        <f t="shared" si="60"/>
        <v>0.9385</v>
      </c>
      <c r="X33" s="733">
        <f t="shared" si="60"/>
        <v>0.93500000000000005</v>
      </c>
      <c r="Y33" s="732">
        <f t="shared" si="60"/>
        <v>0.90800000000000003</v>
      </c>
      <c r="Z33" s="732">
        <f t="shared" si="60"/>
        <v>0.90600000000000003</v>
      </c>
      <c r="AA33" s="732">
        <f t="shared" si="60"/>
        <v>0.89390000000000003</v>
      </c>
      <c r="AB33" s="733">
        <f t="shared" ref="AB33" si="61">1-AB46</f>
        <v>0.91065902057163661</v>
      </c>
      <c r="AC33" s="732">
        <f t="shared" ref="AC33:AG33" si="62">1-AC46</f>
        <v>0.88047448691395225</v>
      </c>
      <c r="AD33" s="732">
        <f t="shared" si="62"/>
        <v>0.88479950978514799</v>
      </c>
      <c r="AE33" s="732">
        <f t="shared" si="62"/>
        <v>0.8764074283678539</v>
      </c>
      <c r="AF33" s="732">
        <f t="shared" si="62"/>
        <v>0.89951946316611286</v>
      </c>
      <c r="AG33" s="732">
        <f t="shared" si="62"/>
        <v>0.86916008243009035</v>
      </c>
      <c r="AH33" s="737"/>
      <c r="AI33" s="684"/>
      <c r="AJ33" s="690"/>
      <c r="AK33" s="690"/>
      <c r="AL33" s="690"/>
      <c r="AM33" s="690"/>
      <c r="AN33" s="691"/>
      <c r="AO33" s="691"/>
      <c r="AP33" s="626"/>
      <c r="BB33" s="692"/>
      <c r="BC33" s="692"/>
      <c r="BD33" s="692"/>
    </row>
    <row r="34" spans="1:58" s="625" customFormat="1" x14ac:dyDescent="0.3">
      <c r="C34" s="635"/>
      <c r="D34" s="693" t="s">
        <v>348</v>
      </c>
      <c r="E34" s="697"/>
      <c r="F34" s="697"/>
      <c r="G34" s="697"/>
      <c r="H34" s="700"/>
      <c r="I34" s="697">
        <f>I32/E32-1</f>
        <v>-0.41517815592140928</v>
      </c>
      <c r="J34" s="697">
        <f>J32/F32-1</f>
        <v>-0.39486495677965061</v>
      </c>
      <c r="K34" s="697">
        <f>K32/G32-1</f>
        <v>0.2299107072957145</v>
      </c>
      <c r="L34" s="697">
        <f>L32/H32-1</f>
        <v>-3.0362092783959627E-2</v>
      </c>
      <c r="M34" s="697">
        <f>M32/E32-1</f>
        <v>0.24814069719717846</v>
      </c>
      <c r="N34" s="697">
        <f>N32/F32-1</f>
        <v>0.26395930875140472</v>
      </c>
      <c r="O34" s="697">
        <f>O32/G32-1</f>
        <v>5.883363466870084E-2</v>
      </c>
      <c r="P34" s="697">
        <f>P32/H32-1</f>
        <v>-0.16808065126650407</v>
      </c>
      <c r="Q34" s="700">
        <f>Q32/E32-1</f>
        <v>7.3400999589573468E-2</v>
      </c>
      <c r="R34" s="700">
        <f>R32/F32-1</f>
        <v>-0.43121831106186792</v>
      </c>
      <c r="S34" s="700">
        <f>S32/G32-1</f>
        <v>-0.11057974687829142</v>
      </c>
      <c r="T34" s="700">
        <f>T32/H32-1</f>
        <v>-0.45925242332322758</v>
      </c>
      <c r="U34" s="697">
        <f>U32/E32-1</f>
        <v>0.38738019169329085</v>
      </c>
      <c r="V34" s="697">
        <f>V32/F32-1</f>
        <v>0.39163329820864057</v>
      </c>
      <c r="W34" s="697">
        <f>W32/G32-1</f>
        <v>0.33926486486486485</v>
      </c>
      <c r="X34" s="700">
        <f>X32/H32-1</f>
        <v>0.17629032258064492</v>
      </c>
      <c r="Y34" s="697">
        <f>Y32/U32-1</f>
        <v>0.28907772020725431</v>
      </c>
      <c r="Z34" s="697">
        <f>Z32/V32-1</f>
        <v>9.8181818181818148E-2</v>
      </c>
      <c r="AA34" s="697">
        <f>AA32/W32-1</f>
        <v>0.15725998934469909</v>
      </c>
      <c r="AB34" s="700">
        <v>7.0000000000000007E-2</v>
      </c>
      <c r="AC34" s="697">
        <v>0.03</v>
      </c>
      <c r="AD34" s="697">
        <v>0.02</v>
      </c>
      <c r="AE34" s="697">
        <v>0.01</v>
      </c>
      <c r="AF34" s="697">
        <v>0.01</v>
      </c>
      <c r="AG34" s="697">
        <v>0.01</v>
      </c>
      <c r="AH34" s="693"/>
      <c r="AI34" s="702"/>
      <c r="AJ34" s="685">
        <f>AJ32/AI32-1</f>
        <v>-0.13568881393063303</v>
      </c>
      <c r="AK34" s="685">
        <f>AK32/AI32-1</f>
        <v>8.8683943128578857E-2</v>
      </c>
      <c r="AL34" s="685">
        <f>AL32/AI32-1</f>
        <v>-0.24969463474737597</v>
      </c>
      <c r="AM34" s="685">
        <f>AM32/AI32-1</f>
        <v>0.31809064129523135</v>
      </c>
      <c r="AN34" s="686">
        <f>AN32/AM32-1</f>
        <v>0.14891476125684888</v>
      </c>
      <c r="AO34" s="686"/>
      <c r="AP34" s="626"/>
      <c r="BB34" s="703">
        <f>U18</f>
        <v>20698.703244</v>
      </c>
      <c r="BC34" s="703">
        <f>U94</f>
        <v>16817.696385750001</v>
      </c>
      <c r="BD34" s="703">
        <f>U5</f>
        <v>4743.45282675</v>
      </c>
      <c r="BE34" s="625">
        <f>BC29-BD34-BC34-BB34</f>
        <v>862.44596850000016</v>
      </c>
      <c r="BF34" s="704">
        <f>BE34/BC29</f>
        <v>2.0000000000000004E-2</v>
      </c>
    </row>
    <row r="35" spans="1:58" s="625" customFormat="1" x14ac:dyDescent="0.3">
      <c r="A35" s="705"/>
      <c r="C35" s="635"/>
      <c r="D35" s="627" t="s">
        <v>146</v>
      </c>
      <c r="E35" s="964">
        <f>E29/E32</f>
        <v>681.49627263045807</v>
      </c>
      <c r="F35" s="964">
        <f t="shared" ref="F35:AA35" si="63">F29/F32</f>
        <v>649.28345626975761</v>
      </c>
      <c r="G35" s="964">
        <f t="shared" si="63"/>
        <v>721.62162162162167</v>
      </c>
      <c r="H35" s="965">
        <f t="shared" si="63"/>
        <v>647.09677419354841</v>
      </c>
      <c r="I35" s="964">
        <f t="shared" si="63"/>
        <v>680</v>
      </c>
      <c r="J35" s="964">
        <f t="shared" si="63"/>
        <v>620</v>
      </c>
      <c r="K35" s="964">
        <f t="shared" si="63"/>
        <v>520</v>
      </c>
      <c r="L35" s="965">
        <f t="shared" si="63"/>
        <v>580</v>
      </c>
      <c r="M35" s="964">
        <f t="shared" si="63"/>
        <v>600</v>
      </c>
      <c r="N35" s="964">
        <f t="shared" si="63"/>
        <v>600</v>
      </c>
      <c r="O35" s="964">
        <f t="shared" si="63"/>
        <v>659</v>
      </c>
      <c r="P35" s="965">
        <f t="shared" si="63"/>
        <v>600</v>
      </c>
      <c r="Q35" s="964">
        <f t="shared" si="63"/>
        <v>647.91417861158186</v>
      </c>
      <c r="R35" s="964">
        <f t="shared" si="63"/>
        <v>708.06760841657706</v>
      </c>
      <c r="S35" s="964">
        <f t="shared" si="63"/>
        <v>755.14122610506683</v>
      </c>
      <c r="T35" s="965">
        <f t="shared" si="63"/>
        <v>707.00708410387688</v>
      </c>
      <c r="U35" s="964">
        <f t="shared" si="63"/>
        <v>801.65697613069858</v>
      </c>
      <c r="V35" s="964">
        <f t="shared" si="63"/>
        <v>640.99144408627433</v>
      </c>
      <c r="W35" s="964">
        <f t="shared" si="63"/>
        <v>737.32329828911088</v>
      </c>
      <c r="X35" s="965">
        <f t="shared" si="63"/>
        <v>590.93151471012254</v>
      </c>
      <c r="Y35" s="964">
        <f t="shared" si="63"/>
        <v>643.68294876990922</v>
      </c>
      <c r="Z35" s="964">
        <f t="shared" si="63"/>
        <v>561.45138257717133</v>
      </c>
      <c r="AA35" s="964">
        <f t="shared" si="63"/>
        <v>646.51899570290118</v>
      </c>
      <c r="AB35" s="965">
        <f t="shared" ref="AB35" si="64">AB29/AB32</f>
        <v>559.04926190377535</v>
      </c>
      <c r="AC35" s="964">
        <f>AC29/AC32</f>
        <v>577.12992244293378</v>
      </c>
      <c r="AD35" s="964">
        <f>AD29/AD32</f>
        <v>566.11457513457754</v>
      </c>
      <c r="AE35" s="964">
        <f>AE29/AE32</f>
        <v>600.27594497126029</v>
      </c>
      <c r="AF35" s="964">
        <f>AF29/AF32</f>
        <v>561.2041613844508</v>
      </c>
      <c r="AG35" s="964">
        <f>AG29/AG32</f>
        <v>697.29494577836374</v>
      </c>
      <c r="AH35" s="629"/>
      <c r="AI35" s="710">
        <f t="shared" ref="AI35:AN35" si="65">+AI29/AI32</f>
        <v>674.34878599202671</v>
      </c>
      <c r="AJ35" s="711">
        <f t="shared" si="65"/>
        <v>578.90996972057394</v>
      </c>
      <c r="AK35" s="711">
        <f t="shared" si="65"/>
        <v>615.03014895740182</v>
      </c>
      <c r="AL35" s="711">
        <f t="shared" si="65"/>
        <v>704.53196575354866</v>
      </c>
      <c r="AM35" s="711">
        <f t="shared" si="65"/>
        <v>689.66090642732638</v>
      </c>
      <c r="AN35" s="711">
        <f t="shared" si="65"/>
        <v>603.95701700565814</v>
      </c>
      <c r="AO35" s="711"/>
      <c r="AP35" s="626"/>
      <c r="BB35" s="703">
        <f>U25</f>
        <v>631.31044894199999</v>
      </c>
      <c r="BC35" s="703">
        <f>U102</f>
        <v>605.43706988700001</v>
      </c>
      <c r="BD35" s="703">
        <f>U3</f>
        <v>145.94648117099996</v>
      </c>
      <c r="BE35" s="625">
        <f>BC31-BB35-BC35-BD35</f>
        <v>0</v>
      </c>
    </row>
    <row r="36" spans="1:58" s="625" customFormat="1" x14ac:dyDescent="0.3">
      <c r="A36" s="625" t="s">
        <v>245</v>
      </c>
      <c r="C36" s="635"/>
      <c r="D36" s="629" t="s">
        <v>135</v>
      </c>
      <c r="E36" s="716">
        <f t="shared" ref="E36:AA36" si="66">E37/E29</f>
        <v>3.9413407821229048E-2</v>
      </c>
      <c r="F36" s="716">
        <f t="shared" si="66"/>
        <v>3.4041433370660693E-2</v>
      </c>
      <c r="G36" s="716">
        <f t="shared" si="66"/>
        <v>3.0393258426966295E-2</v>
      </c>
      <c r="H36" s="718">
        <f t="shared" si="66"/>
        <v>3.4254237288135592E-2</v>
      </c>
      <c r="I36" s="716">
        <f t="shared" si="66"/>
        <v>4.2000000000000003E-2</v>
      </c>
      <c r="J36" s="716">
        <f t="shared" si="66"/>
        <v>4.3999999999999997E-2</v>
      </c>
      <c r="K36" s="716">
        <f t="shared" si="66"/>
        <v>3.7999999999999999E-2</v>
      </c>
      <c r="L36" s="718">
        <f t="shared" si="66"/>
        <v>0.04</v>
      </c>
      <c r="M36" s="716">
        <f t="shared" si="66"/>
        <v>0.04</v>
      </c>
      <c r="N36" s="716">
        <f t="shared" si="66"/>
        <v>3.5999999999999997E-2</v>
      </c>
      <c r="O36" s="716">
        <f t="shared" si="66"/>
        <v>3.4000000000000002E-2</v>
      </c>
      <c r="P36" s="718">
        <f t="shared" si="66"/>
        <v>4.2999999999999997E-2</v>
      </c>
      <c r="Q36" s="716">
        <f t="shared" si="66"/>
        <v>3.7499999999999999E-2</v>
      </c>
      <c r="R36" s="716">
        <f t="shared" si="66"/>
        <v>3.3599999999999998E-2</v>
      </c>
      <c r="S36" s="716">
        <f t="shared" si="66"/>
        <v>3.4000000000000002E-2</v>
      </c>
      <c r="T36" s="718">
        <f t="shared" si="66"/>
        <v>3.7999999999999999E-2</v>
      </c>
      <c r="U36" s="716">
        <f t="shared" si="66"/>
        <v>3.0546448087431698E-2</v>
      </c>
      <c r="V36" s="716">
        <f t="shared" si="66"/>
        <v>3.5084745762711866E-2</v>
      </c>
      <c r="W36" s="716">
        <f t="shared" si="66"/>
        <v>3.2259887005649718E-2</v>
      </c>
      <c r="X36" s="718">
        <f t="shared" si="66"/>
        <v>3.8823529411764701E-2</v>
      </c>
      <c r="Y36" s="716">
        <f t="shared" si="66"/>
        <v>3.596407185628743E-2</v>
      </c>
      <c r="Z36" s="716">
        <f t="shared" si="66"/>
        <v>3.8181818181818185E-2</v>
      </c>
      <c r="AA36" s="716">
        <f t="shared" si="66"/>
        <v>3.8469879518072285E-2</v>
      </c>
      <c r="AB36" s="718">
        <f t="shared" ref="AB36:AC36" si="67">AB37/AB29</f>
        <v>4.0932098765432093E-2</v>
      </c>
      <c r="AC36" s="716">
        <f t="shared" si="67"/>
        <v>4.2249999999999996E-2</v>
      </c>
      <c r="AD36" s="716">
        <f t="shared" ref="AD36:AG36" si="68">AD37/AD29</f>
        <v>4.2253164556962021E-2</v>
      </c>
      <c r="AE36" s="716">
        <f t="shared" si="68"/>
        <v>4.1834394904458602E-2</v>
      </c>
      <c r="AF36" s="716">
        <f t="shared" si="68"/>
        <v>4.4384615384615383E-2</v>
      </c>
      <c r="AG36" s="716">
        <f t="shared" si="68"/>
        <v>3.3726708074534172E-2</v>
      </c>
      <c r="AI36" s="719">
        <f t="shared" ref="AI36:AN36" si="69">+AI37/AI29</f>
        <v>3.4206683097813599E-2</v>
      </c>
      <c r="AJ36" s="720">
        <f t="shared" si="69"/>
        <v>4.0429277923381107E-2</v>
      </c>
      <c r="AK36" s="720">
        <f t="shared" si="69"/>
        <v>3.7815103995399765E-2</v>
      </c>
      <c r="AL36" s="720">
        <f t="shared" si="69"/>
        <v>3.5673899245975541E-2</v>
      </c>
      <c r="AM36" s="720">
        <f t="shared" si="69"/>
        <v>3.3905766757048483E-2</v>
      </c>
      <c r="AN36" s="720">
        <f t="shared" si="69"/>
        <v>3.826159228861227E-2</v>
      </c>
      <c r="AO36" s="720"/>
      <c r="AP36" s="626"/>
      <c r="AQ36" s="722"/>
    </row>
    <row r="37" spans="1:58" s="625" customFormat="1" ht="12.65" customHeight="1" x14ac:dyDescent="0.3">
      <c r="C37" s="635"/>
      <c r="D37" s="627" t="s">
        <v>241</v>
      </c>
      <c r="E37" s="627">
        <f t="shared" ref="E37:AA37" si="70">E25-E51</f>
        <v>457.39102480687319</v>
      </c>
      <c r="F37" s="627">
        <f t="shared" si="70"/>
        <v>461.90113355570372</v>
      </c>
      <c r="G37" s="627">
        <f t="shared" si="70"/>
        <v>469.19374604062398</v>
      </c>
      <c r="H37" s="628">
        <f t="shared" si="70"/>
        <v>495.49109624999994</v>
      </c>
      <c r="I37" s="627">
        <f t="shared" si="70"/>
        <v>284.42119409217469</v>
      </c>
      <c r="J37" s="627">
        <f t="shared" si="70"/>
        <v>344.98762902268851</v>
      </c>
      <c r="K37" s="627">
        <f t="shared" si="70"/>
        <v>519.90732616035598</v>
      </c>
      <c r="L37" s="628">
        <f t="shared" si="70"/>
        <v>502.86323916665185</v>
      </c>
      <c r="M37" s="627">
        <f t="shared" si="70"/>
        <v>510.09956392827581</v>
      </c>
      <c r="N37" s="627">
        <f t="shared" si="70"/>
        <v>570.5499823159447</v>
      </c>
      <c r="O37" s="627">
        <f t="shared" si="70"/>
        <v>507.52504080206887</v>
      </c>
      <c r="P37" s="628">
        <f t="shared" si="70"/>
        <v>479.79227282710605</v>
      </c>
      <c r="Q37" s="627">
        <f t="shared" si="70"/>
        <v>444.1103693383356</v>
      </c>
      <c r="R37" s="627">
        <f t="shared" si="70"/>
        <v>282.79157302239997</v>
      </c>
      <c r="S37" s="627">
        <f t="shared" si="70"/>
        <v>488.51682630629836</v>
      </c>
      <c r="T37" s="628">
        <f t="shared" si="70"/>
        <v>324.75381526901089</v>
      </c>
      <c r="U37" s="627">
        <f t="shared" si="70"/>
        <v>578.52875566980003</v>
      </c>
      <c r="V37" s="627">
        <f t="shared" si="70"/>
        <v>654.03686860945231</v>
      </c>
      <c r="W37" s="627">
        <f t="shared" si="70"/>
        <v>681.47933207581298</v>
      </c>
      <c r="X37" s="628">
        <f t="shared" si="70"/>
        <v>603.2523301199999</v>
      </c>
      <c r="Y37" s="627">
        <f t="shared" si="70"/>
        <v>705.01055625000004</v>
      </c>
      <c r="Z37" s="627">
        <f>Z25-Z51</f>
        <v>684.65955600000007</v>
      </c>
      <c r="AA37" s="627">
        <f t="shared" si="70"/>
        <v>824.64103903999978</v>
      </c>
      <c r="AB37" s="628">
        <f t="shared" ref="AB37:AC37" si="71">AB25-AB51</f>
        <v>643.82036749999997</v>
      </c>
      <c r="AC37" s="627">
        <f t="shared" si="71"/>
        <v>764.87820864000003</v>
      </c>
      <c r="AD37" s="627">
        <f>AD25-AD51</f>
        <v>779.23717353999996</v>
      </c>
      <c r="AE37" s="627">
        <f>AE25-AE51</f>
        <v>840.94701600000008</v>
      </c>
      <c r="AF37" s="627">
        <f>AF25-AF51</f>
        <v>707.82408657840006</v>
      </c>
      <c r="AG37" s="627">
        <f>AG25-AG51</f>
        <v>745.08158141550007</v>
      </c>
      <c r="AH37" s="632">
        <f>AG37/AG14</f>
        <v>0.35078873221201518</v>
      </c>
      <c r="AI37" s="635">
        <f>SUM(E37:H37)</f>
        <v>1883.9770006532008</v>
      </c>
      <c r="AJ37" s="636">
        <f>SUM(I37:L37)</f>
        <v>1652.1793884418712</v>
      </c>
      <c r="AK37" s="636">
        <f>SUM(M37:P37)</f>
        <v>2067.9668598733956</v>
      </c>
      <c r="AL37" s="636">
        <f>SUM(Q37:T37)</f>
        <v>1540.1725839360447</v>
      </c>
      <c r="AM37" s="636">
        <f>SUM(U37:X37)</f>
        <v>2517.2972864750654</v>
      </c>
      <c r="AN37" s="627">
        <f>SUM(Y37:AB37)</f>
        <v>2858.13151879</v>
      </c>
      <c r="AO37" s="627"/>
      <c r="AP37" s="626"/>
      <c r="AQ37" s="722"/>
    </row>
    <row r="38" spans="1:58" s="625" customFormat="1" x14ac:dyDescent="0.3">
      <c r="C38" s="635"/>
      <c r="D38" s="646" t="s">
        <v>134</v>
      </c>
      <c r="E38" s="627"/>
      <c r="F38" s="627"/>
      <c r="G38" s="627"/>
      <c r="H38" s="628"/>
      <c r="I38" s="741">
        <f>+I37/E37-1</f>
        <v>-0.37816621082088908</v>
      </c>
      <c r="J38" s="741">
        <f>+J37/F37-1</f>
        <v>-0.25311369910053672</v>
      </c>
      <c r="K38" s="741">
        <f>+K37/G37-1</f>
        <v>0.10808664980658356</v>
      </c>
      <c r="L38" s="741">
        <f>L37/H37-1</f>
        <v>1.4878456893466119E-2</v>
      </c>
      <c r="M38" s="742">
        <f>M37/E37-1</f>
        <v>0.11523737078937657</v>
      </c>
      <c r="N38" s="741">
        <f>N37/F37-1</f>
        <v>0.23522100481517505</v>
      </c>
      <c r="O38" s="741">
        <f>O37/G37-1</f>
        <v>8.169609054875604E-2</v>
      </c>
      <c r="P38" s="741">
        <f>P37/H37-1</f>
        <v>-3.1683361298934565E-2</v>
      </c>
      <c r="Q38" s="742">
        <f>Q37/E37-1</f>
        <v>-2.9035671336456903E-2</v>
      </c>
      <c r="R38" s="741">
        <f>R37/F37-1</f>
        <v>-0.38776601207821837</v>
      </c>
      <c r="S38" s="741">
        <f>S37/G37-1</f>
        <v>4.1183584454685729E-2</v>
      </c>
      <c r="T38" s="743">
        <f>T37/H37-1</f>
        <v>-0.34458193552451566</v>
      </c>
      <c r="U38" s="742">
        <f>U37/E37-1</f>
        <v>0.26484501070845345</v>
      </c>
      <c r="V38" s="741">
        <f>V37/F37-1</f>
        <v>0.41596722998857438</v>
      </c>
      <c r="W38" s="741">
        <f>W37/G37-1</f>
        <v>0.45244760363197334</v>
      </c>
      <c r="X38" s="743">
        <f>X37/H37-1</f>
        <v>0.21748369382530552</v>
      </c>
      <c r="Y38" s="741">
        <f t="shared" ref="Y38:AC38" si="72">Y37/U37-1</f>
        <v>0.21862664446776514</v>
      </c>
      <c r="Z38" s="741">
        <f t="shared" si="72"/>
        <v>4.6821041534943708E-2</v>
      </c>
      <c r="AA38" s="741">
        <f t="shared" si="72"/>
        <v>0.21007490649512528</v>
      </c>
      <c r="AB38" s="743">
        <f t="shared" si="72"/>
        <v>6.7248869758911978E-2</v>
      </c>
      <c r="AC38" s="741">
        <f t="shared" si="72"/>
        <v>8.4917384370015947E-2</v>
      </c>
      <c r="AD38" s="741">
        <f>AD37/Z37-1</f>
        <v>0.13813816912532784</v>
      </c>
      <c r="AE38" s="741">
        <f>AE37/AA37-1</f>
        <v>1.9773424057311972E-2</v>
      </c>
      <c r="AF38" s="741">
        <f>AF37/AB37-1</f>
        <v>9.9412386294846611E-2</v>
      </c>
      <c r="AG38" s="741">
        <f>AG37/AC37-1</f>
        <v>-2.5882064622679724E-2</v>
      </c>
      <c r="AH38" s="646"/>
      <c r="AI38" s="635"/>
      <c r="AJ38" s="723">
        <f>AJ37/AI37-1</f>
        <v>-0.1230363280076997</v>
      </c>
      <c r="AK38" s="723"/>
      <c r="AL38" s="723"/>
      <c r="AM38" s="723"/>
      <c r="AN38" s="632"/>
      <c r="AO38" s="632"/>
      <c r="AP38" s="626"/>
    </row>
    <row r="39" spans="1:58" s="625" customFormat="1" x14ac:dyDescent="0.3">
      <c r="C39" s="635"/>
      <c r="D39" s="724" t="s">
        <v>248</v>
      </c>
      <c r="E39" s="725">
        <f t="shared" ref="E39:X39" si="73">E37/E32</f>
        <v>26.860090521831737</v>
      </c>
      <c r="F39" s="725">
        <f t="shared" si="73"/>
        <v>22.10253951527924</v>
      </c>
      <c r="G39" s="725">
        <f t="shared" si="73"/>
        <v>21.932432432432435</v>
      </c>
      <c r="H39" s="726">
        <f t="shared" si="73"/>
        <v>22.165806451612902</v>
      </c>
      <c r="I39" s="725">
        <f t="shared" si="73"/>
        <v>28.560000000000002</v>
      </c>
      <c r="J39" s="725">
        <f t="shared" si="73"/>
        <v>27.279999999999998</v>
      </c>
      <c r="K39" s="725">
        <f t="shared" si="73"/>
        <v>19.759999999999998</v>
      </c>
      <c r="L39" s="726">
        <f t="shared" si="73"/>
        <v>23.2</v>
      </c>
      <c r="M39" s="725">
        <f t="shared" si="73"/>
        <v>24</v>
      </c>
      <c r="N39" s="725">
        <f t="shared" si="73"/>
        <v>21.599999999999998</v>
      </c>
      <c r="O39" s="725">
        <f t="shared" si="73"/>
        <v>22.406000000000002</v>
      </c>
      <c r="P39" s="725">
        <f t="shared" si="73"/>
        <v>25.8</v>
      </c>
      <c r="Q39" s="725">
        <f t="shared" si="73"/>
        <v>24.296781697934318</v>
      </c>
      <c r="R39" s="725">
        <f t="shared" si="73"/>
        <v>23.791071642796989</v>
      </c>
      <c r="S39" s="725">
        <f t="shared" si="73"/>
        <v>25.674801687572277</v>
      </c>
      <c r="T39" s="726">
        <f t="shared" si="73"/>
        <v>26.866269195947321</v>
      </c>
      <c r="U39" s="725">
        <f t="shared" si="73"/>
        <v>24.487773205303856</v>
      </c>
      <c r="V39" s="725">
        <f t="shared" si="73"/>
        <v>22.489021851840477</v>
      </c>
      <c r="W39" s="725">
        <f t="shared" si="73"/>
        <v>23.785966289439681</v>
      </c>
      <c r="X39" s="726">
        <f t="shared" si="73"/>
        <v>22.942047041687108</v>
      </c>
      <c r="Y39" s="725">
        <f t="shared" ref="Y39:AF39" si="74">Y37/Y32</f>
        <v>23.149459822227993</v>
      </c>
      <c r="Z39" s="725">
        <f t="shared" si="74"/>
        <v>21.437234607491998</v>
      </c>
      <c r="AA39" s="725">
        <f t="shared" si="74"/>
        <v>24.8715078708357</v>
      </c>
      <c r="AB39" s="726">
        <f t="shared" si="74"/>
        <v>22.883059602987249</v>
      </c>
      <c r="AC39" s="725">
        <f t="shared" si="74"/>
        <v>24.383739223213947</v>
      </c>
      <c r="AD39" s="725">
        <f t="shared" si="74"/>
        <v>23.920132301255943</v>
      </c>
      <c r="AE39" s="725">
        <f t="shared" si="74"/>
        <v>25.112180933574763</v>
      </c>
      <c r="AF39" s="725">
        <f t="shared" si="74"/>
        <v>24.908830855294468</v>
      </c>
      <c r="AG39" s="725">
        <f t="shared" ref="AG39" si="75">AG37/AG32</f>
        <v>23.517463078115004</v>
      </c>
      <c r="AH39" s="724"/>
      <c r="AI39" s="728">
        <f t="shared" ref="AI39:AN39" si="76">AI37/AI32</f>
        <v>23.067235219824582</v>
      </c>
      <c r="AJ39" s="729">
        <f t="shared" si="76"/>
        <v>23.404912058449227</v>
      </c>
      <c r="AK39" s="729">
        <f t="shared" si="76"/>
        <v>23.257429043130362</v>
      </c>
      <c r="AL39" s="729">
        <f t="shared" si="76"/>
        <v>25.133402361861187</v>
      </c>
      <c r="AM39" s="729">
        <f t="shared" si="76"/>
        <v>23.383481834779566</v>
      </c>
      <c r="AN39" s="729">
        <f t="shared" si="76"/>
        <v>23.108357144516962</v>
      </c>
      <c r="AO39" s="729"/>
      <c r="AP39" s="626"/>
    </row>
    <row r="40" spans="1:58" s="625" customFormat="1" x14ac:dyDescent="0.3">
      <c r="C40" s="635"/>
      <c r="D40" s="744" t="s">
        <v>389</v>
      </c>
      <c r="E40" s="725"/>
      <c r="F40" s="725"/>
      <c r="G40" s="725"/>
      <c r="H40" s="726"/>
      <c r="I40" s="725"/>
      <c r="J40" s="725"/>
      <c r="K40" s="725"/>
      <c r="L40" s="726"/>
      <c r="M40" s="725"/>
      <c r="N40" s="725"/>
      <c r="O40" s="725"/>
      <c r="P40" s="725"/>
      <c r="Q40" s="725"/>
      <c r="R40" s="725"/>
      <c r="S40" s="725"/>
      <c r="T40" s="726"/>
      <c r="U40" s="745">
        <f t="shared" ref="U40:AB40" si="77">U39/Q39-1</f>
        <v>7.8607738977123365E-3</v>
      </c>
      <c r="V40" s="745">
        <f t="shared" si="77"/>
        <v>-5.4728505319377785E-2</v>
      </c>
      <c r="W40" s="745">
        <f t="shared" si="77"/>
        <v>-7.356767234727557E-2</v>
      </c>
      <c r="X40" s="746">
        <f t="shared" si="77"/>
        <v>-0.14606502025417689</v>
      </c>
      <c r="Y40" s="745">
        <f t="shared" si="77"/>
        <v>-5.4652310434907037E-2</v>
      </c>
      <c r="Z40" s="745">
        <f t="shared" si="77"/>
        <v>-4.6768919132087583E-2</v>
      </c>
      <c r="AA40" s="745">
        <f t="shared" si="77"/>
        <v>4.5637901281226023E-2</v>
      </c>
      <c r="AB40" s="746">
        <f t="shared" si="77"/>
        <v>-2.5711497580261922E-3</v>
      </c>
      <c r="AC40" s="745">
        <f>AC39/Y39-1</f>
        <v>5.3317848902928011E-2</v>
      </c>
      <c r="AD40" s="745">
        <f>AD39/Z39-1</f>
        <v>0.11582173443659616</v>
      </c>
      <c r="AE40" s="745">
        <f>AE39/AA39-1</f>
        <v>9.6766574824873608E-3</v>
      </c>
      <c r="AF40" s="745">
        <f>AF39/AB39-1</f>
        <v>8.8527115143412383E-2</v>
      </c>
      <c r="AG40" s="745">
        <f>AG39/AC39-1</f>
        <v>-3.5526796656118576E-2</v>
      </c>
      <c r="AH40" s="724"/>
      <c r="AI40" s="728"/>
      <c r="AJ40" s="729"/>
      <c r="AK40" s="729"/>
      <c r="AL40" s="729"/>
      <c r="AM40" s="729"/>
      <c r="AN40" s="725"/>
      <c r="AO40" s="725"/>
      <c r="AP40" s="626"/>
    </row>
    <row r="41" spans="1:58" s="625" customFormat="1" x14ac:dyDescent="0.3">
      <c r="C41" s="747" t="s">
        <v>428</v>
      </c>
      <c r="D41" s="748"/>
      <c r="E41" s="749"/>
      <c r="F41" s="748"/>
      <c r="G41" s="748"/>
      <c r="H41" s="750"/>
      <c r="I41" s="751"/>
      <c r="J41" s="751"/>
      <c r="K41" s="751"/>
      <c r="L41" s="750"/>
      <c r="M41" s="751"/>
      <c r="N41" s="751"/>
      <c r="O41" s="751"/>
      <c r="P41" s="751"/>
      <c r="Q41" s="752"/>
      <c r="R41" s="751"/>
      <c r="S41" s="751"/>
      <c r="T41" s="750"/>
      <c r="U41" s="751"/>
      <c r="V41" s="751"/>
      <c r="W41" s="751"/>
      <c r="X41" s="750"/>
      <c r="Y41" s="751"/>
      <c r="Z41" s="751"/>
      <c r="AA41" s="751"/>
      <c r="AB41" s="750"/>
      <c r="AC41" s="751"/>
      <c r="AD41" s="751"/>
      <c r="AE41" s="751"/>
      <c r="AF41" s="751"/>
      <c r="AG41" s="751"/>
      <c r="AH41" s="641"/>
      <c r="AI41" s="635"/>
      <c r="AJ41" s="636"/>
      <c r="AK41" s="636"/>
      <c r="AL41" s="636"/>
      <c r="AM41" s="636"/>
      <c r="AN41" s="627"/>
      <c r="AO41" s="627"/>
      <c r="AP41" s="626"/>
    </row>
    <row r="42" spans="1:58" s="625" customFormat="1" x14ac:dyDescent="0.3">
      <c r="C42" s="635"/>
      <c r="D42" s="627" t="s">
        <v>242</v>
      </c>
      <c r="E42" s="753">
        <f>E18*E43</f>
        <v>1361.475764839736</v>
      </c>
      <c r="F42" s="753">
        <f>F18*F43</f>
        <v>1625.823918236136</v>
      </c>
      <c r="G42" s="753">
        <f>G18*G43</f>
        <v>1907.9967491485631</v>
      </c>
      <c r="H42" s="754">
        <f>H18*H43</f>
        <v>1879.64625</v>
      </c>
      <c r="I42" s="753"/>
      <c r="J42" s="753"/>
      <c r="K42" s="753"/>
      <c r="L42" s="754"/>
      <c r="M42" s="753"/>
      <c r="N42" s="753"/>
      <c r="O42" s="753"/>
      <c r="P42" s="754"/>
      <c r="Q42" s="753"/>
      <c r="R42" s="753"/>
      <c r="S42" s="753"/>
      <c r="T42" s="754"/>
      <c r="U42" s="753">
        <f t="shared" ref="U42:AB42" si="78">U18*U43</f>
        <v>1759.3897757400002</v>
      </c>
      <c r="V42" s="753">
        <f t="shared" si="78"/>
        <v>2422.358772627601</v>
      </c>
      <c r="W42" s="753">
        <f t="shared" si="78"/>
        <v>2745.0130714087036</v>
      </c>
      <c r="X42" s="754">
        <f t="shared" si="78"/>
        <v>2742.0560459999997</v>
      </c>
      <c r="Y42" s="753">
        <f t="shared" si="78"/>
        <v>3873.6843750000003</v>
      </c>
      <c r="Z42" s="753">
        <f t="shared" si="78"/>
        <v>3803.6641999999993</v>
      </c>
      <c r="AA42" s="753">
        <f t="shared" si="78"/>
        <v>4390.5097599999999</v>
      </c>
      <c r="AB42" s="754">
        <f t="shared" si="78"/>
        <v>3689.5149999999999</v>
      </c>
      <c r="AC42" s="753">
        <f>AC18*AC43</f>
        <v>4525.9065600000004</v>
      </c>
      <c r="AD42" s="753">
        <f>AD18*AD43</f>
        <v>4902.3309300000001</v>
      </c>
      <c r="AE42" s="753">
        <f>AE18*AE43</f>
        <v>5505.5910000000003</v>
      </c>
      <c r="AF42" s="753">
        <f>AF18*AF43</f>
        <v>4498.0155703999999</v>
      </c>
      <c r="AG42" s="753">
        <f>AG18*AG43</f>
        <v>5351.4146731499995</v>
      </c>
      <c r="AH42" s="622"/>
      <c r="AI42" s="635">
        <f>SUM(E42:H42)</f>
        <v>6774.942682224435</v>
      </c>
      <c r="AJ42" s="636"/>
      <c r="AK42" s="636"/>
      <c r="AL42" s="636"/>
      <c r="AM42" s="636">
        <f>SUM(U42:X42)</f>
        <v>9668.8176657763033</v>
      </c>
      <c r="AN42" s="627">
        <f>SUM(Y42:AB42)</f>
        <v>15757.373335</v>
      </c>
      <c r="AO42" s="627"/>
      <c r="AP42" s="626"/>
    </row>
    <row r="43" spans="1:58" s="625" customFormat="1" x14ac:dyDescent="0.3">
      <c r="C43" s="635"/>
      <c r="D43" s="731" t="s">
        <v>350</v>
      </c>
      <c r="E43" s="732">
        <v>0.105</v>
      </c>
      <c r="F43" s="732">
        <v>0.107</v>
      </c>
      <c r="G43" s="732">
        <v>0.11</v>
      </c>
      <c r="H43" s="733">
        <v>0.115</v>
      </c>
      <c r="I43" s="734"/>
      <c r="J43" s="734"/>
      <c r="K43" s="734"/>
      <c r="L43" s="735"/>
      <c r="M43" s="734"/>
      <c r="N43" s="734"/>
      <c r="O43" s="734"/>
      <c r="P43" s="734"/>
      <c r="Q43" s="736"/>
      <c r="R43" s="734"/>
      <c r="S43" s="734"/>
      <c r="T43" s="735"/>
      <c r="U43" s="732">
        <v>8.5000000000000006E-2</v>
      </c>
      <c r="V43" s="732">
        <v>0.115</v>
      </c>
      <c r="W43" s="732">
        <v>0.115</v>
      </c>
      <c r="X43" s="733">
        <v>0.15</v>
      </c>
      <c r="Y43" s="732">
        <v>0.16500000000000001</v>
      </c>
      <c r="Z43" s="732">
        <v>0.17499999999999999</v>
      </c>
      <c r="AA43" s="732">
        <v>0.17</v>
      </c>
      <c r="AB43" s="733">
        <v>0.19</v>
      </c>
      <c r="AC43" s="732">
        <v>0.2</v>
      </c>
      <c r="AD43" s="732">
        <v>0.21</v>
      </c>
      <c r="AE43" s="732">
        <v>0.215</v>
      </c>
      <c r="AF43" s="732">
        <v>0.22</v>
      </c>
      <c r="AG43" s="732">
        <v>0.19500000000000001</v>
      </c>
      <c r="AH43" s="737" t="s">
        <v>425</v>
      </c>
      <c r="AI43" s="635"/>
      <c r="AJ43" s="636"/>
      <c r="AK43" s="636"/>
      <c r="AL43" s="636"/>
      <c r="AM43" s="636"/>
      <c r="AN43" s="627"/>
      <c r="AO43" s="627"/>
      <c r="AP43" s="626"/>
    </row>
    <row r="44" spans="1:58" s="625" customFormat="1" x14ac:dyDescent="0.3">
      <c r="C44" s="635"/>
      <c r="D44" s="646" t="s">
        <v>134</v>
      </c>
      <c r="E44" s="627"/>
      <c r="F44" s="627"/>
      <c r="G44" s="627"/>
      <c r="H44" s="628"/>
      <c r="I44" s="681"/>
      <c r="J44" s="681"/>
      <c r="K44" s="681"/>
      <c r="L44" s="683"/>
      <c r="M44" s="681"/>
      <c r="N44" s="681"/>
      <c r="O44" s="681"/>
      <c r="P44" s="681"/>
      <c r="Q44" s="682"/>
      <c r="R44" s="681"/>
      <c r="S44" s="681"/>
      <c r="T44" s="683"/>
      <c r="U44" s="632">
        <f>U42/E42-1</f>
        <v>0.29226668676478718</v>
      </c>
      <c r="V44" s="632">
        <f>V42/F42-1</f>
        <v>0.48992688904197523</v>
      </c>
      <c r="W44" s="632">
        <f>W42/G42-1</f>
        <v>0.43868854736448371</v>
      </c>
      <c r="X44" s="633">
        <f>X42/H42-1</f>
        <v>0.45881494775945186</v>
      </c>
      <c r="Y44" s="632">
        <f t="shared" ref="Y44:AG44" si="79">Y42/U42-1</f>
        <v>1.2017204080720125</v>
      </c>
      <c r="Z44" s="632">
        <f t="shared" si="79"/>
        <v>0.57023156230241545</v>
      </c>
      <c r="AA44" s="632">
        <f t="shared" si="79"/>
        <v>0.59944949105355261</v>
      </c>
      <c r="AB44" s="633">
        <f t="shared" si="79"/>
        <v>0.34552866101410107</v>
      </c>
      <c r="AC44" s="632">
        <f t="shared" si="79"/>
        <v>0.16837256778309406</v>
      </c>
      <c r="AD44" s="632">
        <f t="shared" si="79"/>
        <v>0.28884430176565035</v>
      </c>
      <c r="AE44" s="632">
        <f t="shared" si="79"/>
        <v>0.25397534704489533</v>
      </c>
      <c r="AF44" s="632">
        <f t="shared" si="79"/>
        <v>0.21913464788732395</v>
      </c>
      <c r="AG44" s="632">
        <f t="shared" si="79"/>
        <v>0.18239619006849295</v>
      </c>
      <c r="AH44" s="755"/>
      <c r="AI44" s="684"/>
      <c r="AJ44" s="685"/>
      <c r="AK44" s="685"/>
      <c r="AL44" s="685"/>
      <c r="AM44" s="685"/>
      <c r="AN44" s="686"/>
      <c r="AO44" s="686"/>
      <c r="AP44" s="626"/>
    </row>
    <row r="45" spans="1:58" s="625" customFormat="1" ht="16.5" x14ac:dyDescent="0.3">
      <c r="C45" s="635"/>
      <c r="D45" s="627" t="s">
        <v>244</v>
      </c>
      <c r="E45" s="756">
        <f>E46*E21</f>
        <v>1.1062273946749768</v>
      </c>
      <c r="F45" s="756">
        <f>F46*F21</f>
        <v>1.123080317351252</v>
      </c>
      <c r="G45" s="756">
        <f>G46*G21</f>
        <v>1.7345424992259664</v>
      </c>
      <c r="H45" s="757">
        <f>H46*H21</f>
        <v>1.6825477941176472</v>
      </c>
      <c r="I45" s="756"/>
      <c r="J45" s="756"/>
      <c r="K45" s="756"/>
      <c r="L45" s="757"/>
      <c r="M45" s="756"/>
      <c r="N45" s="756"/>
      <c r="O45" s="756"/>
      <c r="P45" s="757"/>
      <c r="Q45" s="756"/>
      <c r="R45" s="756"/>
      <c r="S45" s="756"/>
      <c r="T45" s="757"/>
      <c r="U45" s="756">
        <f>U46*U21</f>
        <v>0.85687285899004373</v>
      </c>
      <c r="V45" s="756">
        <f>V46*V21</f>
        <v>1.3067369810122214</v>
      </c>
      <c r="W45" s="756">
        <f t="shared" ref="W45:AA45" si="80">W46*W21</f>
        <v>1.8774688011621861</v>
      </c>
      <c r="X45" s="757">
        <f t="shared" si="80"/>
        <v>1.8279679963235294</v>
      </c>
      <c r="Y45" s="756">
        <f>Y46*Y21</f>
        <v>3.0857215756315748</v>
      </c>
      <c r="Z45" s="756">
        <f>Z46*Z21</f>
        <v>3.3136418699900609</v>
      </c>
      <c r="AA45" s="756">
        <f t="shared" si="80"/>
        <v>3.93540356684584</v>
      </c>
      <c r="AB45" s="757">
        <f t="shared" ref="AB45:AG45" si="81">X45*(1+AB47)</f>
        <v>2.7602316744485291</v>
      </c>
      <c r="AC45" s="756">
        <f t="shared" si="81"/>
        <v>4.2582957743715726</v>
      </c>
      <c r="AD45" s="756">
        <f t="shared" si="81"/>
        <v>4.2414615935872781</v>
      </c>
      <c r="AE45" s="756">
        <f t="shared" si="81"/>
        <v>4.7224842802150082</v>
      </c>
      <c r="AF45" s="756">
        <f t="shared" si="81"/>
        <v>3.1742664256158082</v>
      </c>
      <c r="AG45" s="756">
        <f t="shared" si="81"/>
        <v>4.769291267296162</v>
      </c>
      <c r="AH45" s="758"/>
      <c r="AI45" s="635">
        <f>SUM(E45:H45)</f>
        <v>5.6463980053698428</v>
      </c>
      <c r="AJ45" s="636"/>
      <c r="AK45" s="636"/>
      <c r="AL45" s="636"/>
      <c r="AM45" s="636">
        <f>SUM(U45:X45)</f>
        <v>5.8690466374879806</v>
      </c>
      <c r="AN45" s="627">
        <f>SUM(Y45:AB45)</f>
        <v>13.094998686916004</v>
      </c>
      <c r="AO45" s="627">
        <f>SUM(AC45:AF45)</f>
        <v>16.396508073789665</v>
      </c>
      <c r="AP45" s="626"/>
      <c r="BB45" s="692"/>
      <c r="BC45" s="692"/>
      <c r="BD45" s="692"/>
    </row>
    <row r="46" spans="1:58" s="625" customFormat="1" ht="16.5" x14ac:dyDescent="0.3">
      <c r="C46" s="635"/>
      <c r="D46" s="731" t="s">
        <v>350</v>
      </c>
      <c r="E46" s="732">
        <v>6.0999999999999999E-2</v>
      </c>
      <c r="F46" s="732">
        <v>5.0999999999999997E-2</v>
      </c>
      <c r="G46" s="732">
        <v>7.4999999999999997E-2</v>
      </c>
      <c r="H46" s="733">
        <v>7.0000000000000007E-2</v>
      </c>
      <c r="I46" s="734"/>
      <c r="J46" s="734"/>
      <c r="K46" s="734"/>
      <c r="L46" s="735"/>
      <c r="M46" s="734"/>
      <c r="N46" s="734"/>
      <c r="O46" s="734"/>
      <c r="P46" s="734"/>
      <c r="Q46" s="736"/>
      <c r="R46" s="734"/>
      <c r="S46" s="734"/>
      <c r="T46" s="735"/>
      <c r="U46" s="732">
        <v>3.5000000000000003E-2</v>
      </c>
      <c r="V46" s="732">
        <v>4.2999999999999997E-2</v>
      </c>
      <c r="W46" s="732">
        <v>6.1499999999999999E-2</v>
      </c>
      <c r="X46" s="733">
        <v>6.5000000000000002E-2</v>
      </c>
      <c r="Y46" s="732">
        <v>9.1999999999999998E-2</v>
      </c>
      <c r="Z46" s="732">
        <v>9.4E-2</v>
      </c>
      <c r="AA46" s="732">
        <v>0.1061</v>
      </c>
      <c r="AB46" s="733">
        <f t="shared" ref="AB46:AG46" si="82">AB45/AB21</f>
        <v>8.934097942836336E-2</v>
      </c>
      <c r="AC46" s="732">
        <f t="shared" si="82"/>
        <v>0.11952551308604779</v>
      </c>
      <c r="AD46" s="732">
        <f t="shared" si="82"/>
        <v>0.11520049021485197</v>
      </c>
      <c r="AE46" s="732">
        <f t="shared" si="82"/>
        <v>0.12359257163214613</v>
      </c>
      <c r="AF46" s="732">
        <f t="shared" si="82"/>
        <v>0.10048053683388718</v>
      </c>
      <c r="AG46" s="732">
        <f t="shared" si="82"/>
        <v>0.13083991756990968</v>
      </c>
      <c r="AH46" s="737"/>
      <c r="AI46" s="942">
        <f>AI45/AI21</f>
        <v>6.4663515284933054E-2</v>
      </c>
      <c r="AJ46" s="942"/>
      <c r="AK46" s="942"/>
      <c r="AL46" s="942"/>
      <c r="AM46" s="942">
        <f t="shared" ref="AM46:AO46" si="83">AM45/AM21</f>
        <v>5.169971090443834E-2</v>
      </c>
      <c r="AN46" s="942">
        <f t="shared" si="83"/>
        <v>9.5738448731404163E-2</v>
      </c>
      <c r="AO46" s="942" t="e">
        <f t="shared" si="83"/>
        <v>#DIV/0!</v>
      </c>
      <c r="AP46" s="626"/>
      <c r="BB46" s="692"/>
      <c r="BC46" s="692"/>
      <c r="BD46" s="692"/>
    </row>
    <row r="47" spans="1:58" s="625" customFormat="1" x14ac:dyDescent="0.3">
      <c r="C47" s="635"/>
      <c r="D47" s="693" t="s">
        <v>348</v>
      </c>
      <c r="E47" s="627"/>
      <c r="F47" s="693"/>
      <c r="G47" s="694"/>
      <c r="H47" s="695"/>
      <c r="I47" s="696"/>
      <c r="J47" s="696"/>
      <c r="K47" s="759"/>
      <c r="L47" s="695"/>
      <c r="M47" s="759"/>
      <c r="N47" s="759"/>
      <c r="O47" s="759"/>
      <c r="P47" s="759"/>
      <c r="Q47" s="760"/>
      <c r="R47" s="759"/>
      <c r="S47" s="759"/>
      <c r="T47" s="695"/>
      <c r="U47" s="632">
        <f>U45/E45-1</f>
        <v>-0.22540983606557352</v>
      </c>
      <c r="V47" s="761">
        <f>V45/F45-1</f>
        <v>0.1635294117647057</v>
      </c>
      <c r="W47" s="761">
        <f>W45/G45-1</f>
        <v>8.2400000000000029E-2</v>
      </c>
      <c r="X47" s="762">
        <f>X45/H45-1</f>
        <v>8.6428571428571299E-2</v>
      </c>
      <c r="Y47" s="632">
        <f>Y45/U45-1</f>
        <v>2.6011428571428574</v>
      </c>
      <c r="Z47" s="761">
        <f>Z45/V45-1</f>
        <v>1.5358139534883724</v>
      </c>
      <c r="AA47" s="761">
        <f>AA45/W45-1</f>
        <v>1.0961219512195122</v>
      </c>
      <c r="AB47" s="971">
        <v>0.51</v>
      </c>
      <c r="AC47" s="632">
        <v>0.38</v>
      </c>
      <c r="AD47" s="761">
        <v>0.28000000000000003</v>
      </c>
      <c r="AE47" s="761">
        <v>0.2</v>
      </c>
      <c r="AF47" s="761">
        <v>0.15</v>
      </c>
      <c r="AG47" s="761">
        <v>0.12</v>
      </c>
      <c r="AH47" s="763"/>
      <c r="AI47" s="702"/>
      <c r="AJ47" s="685"/>
      <c r="AK47" s="685"/>
      <c r="AL47" s="685"/>
      <c r="AM47" s="685"/>
      <c r="AN47" s="686">
        <f>AN45/AM45-1</f>
        <v>1.2311969039865756</v>
      </c>
      <c r="AO47" s="686">
        <f>AO45/AN45-1</f>
        <v>0.25211987154854754</v>
      </c>
      <c r="AP47" s="626" t="s">
        <v>483</v>
      </c>
      <c r="BB47" s="703"/>
      <c r="BC47" s="703"/>
      <c r="BD47" s="703"/>
      <c r="BF47" s="704"/>
    </row>
    <row r="48" spans="1:58" s="625" customFormat="1" x14ac:dyDescent="0.3">
      <c r="A48" s="705"/>
      <c r="C48" s="635"/>
      <c r="D48" s="627" t="s">
        <v>146</v>
      </c>
      <c r="E48" s="707">
        <f>E42/E45</f>
        <v>1230.7377049180329</v>
      </c>
      <c r="F48" s="707">
        <f>F42/F45</f>
        <v>1447.6470588235295</v>
      </c>
      <c r="G48" s="707">
        <f>G42/G45</f>
        <v>1100</v>
      </c>
      <c r="H48" s="709">
        <f>H42/H45</f>
        <v>1117.1428571428571</v>
      </c>
      <c r="I48" s="707"/>
      <c r="J48" s="707"/>
      <c r="K48" s="707"/>
      <c r="L48" s="709"/>
      <c r="M48" s="707"/>
      <c r="N48" s="707"/>
      <c r="O48" s="707"/>
      <c r="P48" s="709"/>
      <c r="Q48" s="707"/>
      <c r="R48" s="707"/>
      <c r="S48" s="707"/>
      <c r="T48" s="709"/>
      <c r="U48" s="707">
        <f t="shared" ref="U48:Y48" si="84">U42/U45</f>
        <v>2053.2681800818282</v>
      </c>
      <c r="V48" s="707">
        <f t="shared" si="84"/>
        <v>1853.7462456685043</v>
      </c>
      <c r="W48" s="707">
        <f t="shared" si="84"/>
        <v>1462.0818570777274</v>
      </c>
      <c r="X48" s="709">
        <f t="shared" si="84"/>
        <v>1500.0569219564647</v>
      </c>
      <c r="Y48" s="707">
        <f t="shared" si="84"/>
        <v>1255.3577113343895</v>
      </c>
      <c r="Z48" s="707">
        <f t="shared" ref="Z48:AG48" si="85">Z42/Z45</f>
        <v>1147.8802928125144</v>
      </c>
      <c r="AA48" s="707">
        <f t="shared" si="85"/>
        <v>1115.6440973394044</v>
      </c>
      <c r="AB48" s="709">
        <f t="shared" si="85"/>
        <v>1336.6685971159047</v>
      </c>
      <c r="AC48" s="707">
        <f t="shared" si="85"/>
        <v>1062.8445744043979</v>
      </c>
      <c r="AD48" s="707">
        <f t="shared" si="85"/>
        <v>1155.8116988285121</v>
      </c>
      <c r="AE48" s="707">
        <f t="shared" si="85"/>
        <v>1165.8251617831406</v>
      </c>
      <c r="AF48" s="707">
        <f t="shared" si="85"/>
        <v>1417.0252169451669</v>
      </c>
      <c r="AG48" s="707">
        <f t="shared" si="85"/>
        <v>1122.0565851881508</v>
      </c>
      <c r="AH48" s="634"/>
      <c r="AI48" s="710">
        <f>AI42/AI45</f>
        <v>1199.8698419384043</v>
      </c>
      <c r="AJ48" s="710"/>
      <c r="AK48" s="710"/>
      <c r="AL48" s="710"/>
      <c r="AM48" s="710">
        <f t="shared" ref="AM48:AN48" si="86">AM42/AM45</f>
        <v>1647.4255978846111</v>
      </c>
      <c r="AN48" s="710">
        <f t="shared" si="86"/>
        <v>1203.3123264643116</v>
      </c>
      <c r="AO48" s="710"/>
      <c r="AP48" s="626"/>
      <c r="BB48" s="703"/>
      <c r="BC48" s="703"/>
      <c r="BD48" s="703"/>
    </row>
    <row r="49" spans="1:56" s="625" customFormat="1" x14ac:dyDescent="0.3">
      <c r="A49" s="705"/>
      <c r="C49" s="635"/>
      <c r="D49" s="654" t="s">
        <v>449</v>
      </c>
      <c r="E49" s="707"/>
      <c r="F49" s="707"/>
      <c r="G49" s="707"/>
      <c r="H49" s="709"/>
      <c r="I49" s="707"/>
      <c r="J49" s="707"/>
      <c r="K49" s="707"/>
      <c r="L49" s="709"/>
      <c r="M49" s="707"/>
      <c r="N49" s="707"/>
      <c r="O49" s="707"/>
      <c r="P49" s="707"/>
      <c r="Q49" s="707"/>
      <c r="R49" s="707"/>
      <c r="S49" s="707"/>
      <c r="T49" s="709"/>
      <c r="U49" s="764">
        <f>U48/E48-1</f>
        <v>0.66832313000321686</v>
      </c>
      <c r="V49" s="764">
        <f>V48/F48-1</f>
        <v>0.2805236154556916</v>
      </c>
      <c r="W49" s="764">
        <f>W48/G48-1</f>
        <v>0.3291653246161157</v>
      </c>
      <c r="X49" s="765">
        <f>X48/H48-1</f>
        <v>0.34276195060041603</v>
      </c>
      <c r="Y49" s="764">
        <f t="shared" ref="Y49:AG49" si="87">Y48/U48-1</f>
        <v>-0.38860509137955856</v>
      </c>
      <c r="Z49" s="764">
        <f t="shared" si="87"/>
        <v>-0.38077808896731613</v>
      </c>
      <c r="AA49" s="764">
        <f t="shared" si="87"/>
        <v>-0.23694826528437363</v>
      </c>
      <c r="AB49" s="765">
        <f t="shared" si="87"/>
        <v>-0.10892141654695287</v>
      </c>
      <c r="AC49" s="764">
        <f t="shared" si="87"/>
        <v>-0.15335321175138095</v>
      </c>
      <c r="AD49" s="764">
        <f t="shared" si="87"/>
        <v>6.9096107544144303E-3</v>
      </c>
      <c r="AE49" s="764">
        <f t="shared" si="87"/>
        <v>4.4979455870746143E-2</v>
      </c>
      <c r="AF49" s="764">
        <f t="shared" si="87"/>
        <v>6.0117085119412161E-2</v>
      </c>
      <c r="AG49" s="764">
        <f t="shared" si="87"/>
        <v>5.571088398972579E-2</v>
      </c>
      <c r="AH49" s="622"/>
      <c r="AI49" s="710"/>
      <c r="AJ49" s="711"/>
      <c r="AK49" s="711"/>
      <c r="AL49" s="711"/>
      <c r="AM49" s="711"/>
      <c r="AN49" s="712"/>
      <c r="AO49" s="712"/>
      <c r="AP49" s="626"/>
      <c r="BB49" s="703"/>
      <c r="BC49" s="703"/>
      <c r="BD49" s="703"/>
    </row>
    <row r="50" spans="1:56" s="625" customFormat="1" x14ac:dyDescent="0.3">
      <c r="C50" s="635"/>
      <c r="D50" s="629" t="s">
        <v>135</v>
      </c>
      <c r="E50" s="714">
        <v>4.4999999999999998E-2</v>
      </c>
      <c r="F50" s="714">
        <v>4.2999999999999997E-2</v>
      </c>
      <c r="G50" s="714">
        <v>4.4999999999999998E-2</v>
      </c>
      <c r="H50" s="715">
        <v>3.9E-2</v>
      </c>
      <c r="I50" s="714"/>
      <c r="J50" s="716"/>
      <c r="K50" s="716"/>
      <c r="L50" s="718"/>
      <c r="M50" s="716"/>
      <c r="N50" s="716"/>
      <c r="O50" s="716"/>
      <c r="P50" s="716"/>
      <c r="Q50" s="717"/>
      <c r="R50" s="716"/>
      <c r="S50" s="716"/>
      <c r="T50" s="718"/>
      <c r="U50" s="714">
        <v>0.03</v>
      </c>
      <c r="V50" s="714">
        <v>0.03</v>
      </c>
      <c r="W50" s="714">
        <v>0.03</v>
      </c>
      <c r="X50" s="715">
        <v>0.02</v>
      </c>
      <c r="Y50" s="714">
        <v>1.7999999999999999E-2</v>
      </c>
      <c r="Z50" s="714">
        <v>0.02</v>
      </c>
      <c r="AA50" s="714">
        <v>2.1000000000000001E-2</v>
      </c>
      <c r="AB50" s="715">
        <v>2.5499999999999998E-2</v>
      </c>
      <c r="AC50" s="714">
        <v>2.1000000000000001E-2</v>
      </c>
      <c r="AD50" s="714">
        <v>2.1999999999999999E-2</v>
      </c>
      <c r="AE50" s="714">
        <v>2.4E-2</v>
      </c>
      <c r="AF50" s="714">
        <v>2.9000000000000001E-2</v>
      </c>
      <c r="AG50" s="714">
        <v>0.03</v>
      </c>
      <c r="AH50" s="1005">
        <f>AG51/AG14</f>
        <v>7.5584312465572318E-2</v>
      </c>
      <c r="AI50" s="719">
        <f>AI51/AI42</f>
        <v>4.2855402470843969E-2</v>
      </c>
      <c r="AJ50" s="719"/>
      <c r="AK50" s="719"/>
      <c r="AL50" s="719"/>
      <c r="AM50" s="719">
        <f t="shared" ref="AM50:AN50" si="88">AM51/AM42</f>
        <v>2.7164021351125726E-2</v>
      </c>
      <c r="AN50" s="719">
        <f t="shared" si="88"/>
        <v>2.107476501000222E-2</v>
      </c>
      <c r="AO50" s="719"/>
      <c r="AP50" s="626"/>
      <c r="AQ50" s="722"/>
    </row>
    <row r="51" spans="1:56" s="625" customFormat="1" ht="12.65" customHeight="1" x14ac:dyDescent="0.3">
      <c r="C51" s="635"/>
      <c r="D51" s="627" t="s">
        <v>241</v>
      </c>
      <c r="E51" s="688">
        <f>E50*E42</f>
        <v>61.266409417788118</v>
      </c>
      <c r="F51" s="688">
        <f>F50*F42</f>
        <v>69.91042848415384</v>
      </c>
      <c r="G51" s="688">
        <f>G50*G42</f>
        <v>85.859853711685332</v>
      </c>
      <c r="H51" s="689">
        <f>H50*H42</f>
        <v>73.306203749999995</v>
      </c>
      <c r="I51" s="627"/>
      <c r="J51" s="627"/>
      <c r="K51" s="627"/>
      <c r="L51" s="628"/>
      <c r="M51" s="627"/>
      <c r="N51" s="627"/>
      <c r="O51" s="627"/>
      <c r="P51" s="627"/>
      <c r="Q51" s="626"/>
      <c r="R51" s="627"/>
      <c r="S51" s="627"/>
      <c r="T51" s="628"/>
      <c r="U51" s="627">
        <f t="shared" ref="U51:AA51" si="89">U50*U42</f>
        <v>52.781693272200002</v>
      </c>
      <c r="V51" s="627">
        <f t="shared" si="89"/>
        <v>72.670763178828025</v>
      </c>
      <c r="W51" s="627">
        <f t="shared" si="89"/>
        <v>82.3503921422611</v>
      </c>
      <c r="X51" s="628">
        <f t="shared" si="89"/>
        <v>54.841120919999994</v>
      </c>
      <c r="Y51" s="627">
        <f t="shared" si="89"/>
        <v>69.726318750000004</v>
      </c>
      <c r="Z51" s="627">
        <f>Z50*Z42</f>
        <v>76.073283999999987</v>
      </c>
      <c r="AA51" s="627">
        <f t="shared" si="89"/>
        <v>92.20070496000001</v>
      </c>
      <c r="AB51" s="628">
        <f t="shared" ref="AB51:AG51" si="90">AB50*AB42</f>
        <v>94.082632499999988</v>
      </c>
      <c r="AC51" s="627">
        <f t="shared" si="90"/>
        <v>95.044037760000009</v>
      </c>
      <c r="AD51" s="627">
        <f t="shared" si="90"/>
        <v>107.85128046</v>
      </c>
      <c r="AE51" s="627">
        <f t="shared" si="90"/>
        <v>132.134184</v>
      </c>
      <c r="AF51" s="627">
        <f t="shared" si="90"/>
        <v>130.44245154160001</v>
      </c>
      <c r="AG51" s="627">
        <f t="shared" si="90"/>
        <v>160.54244019449999</v>
      </c>
      <c r="AH51" s="766" t="s">
        <v>491</v>
      </c>
      <c r="AI51" s="635">
        <f>SUM(E51:H51)</f>
        <v>290.34289536362729</v>
      </c>
      <c r="AJ51" s="636"/>
      <c r="AK51" s="636"/>
      <c r="AL51" s="636"/>
      <c r="AM51" s="636">
        <f>SUM(U51:X51)</f>
        <v>262.64396951328911</v>
      </c>
      <c r="AN51" s="627">
        <f>SUM(Y51:AB51)</f>
        <v>332.08294021</v>
      </c>
      <c r="AO51" s="627">
        <f>SUM(AC51:AF51)</f>
        <v>465.47195376160005</v>
      </c>
      <c r="AP51" s="631"/>
      <c r="AQ51" s="722"/>
    </row>
    <row r="52" spans="1:56" s="625" customFormat="1" ht="12.65" customHeight="1" x14ac:dyDescent="0.3">
      <c r="C52" s="635"/>
      <c r="D52" s="693" t="s">
        <v>348</v>
      </c>
      <c r="E52" s="627"/>
      <c r="F52" s="627"/>
      <c r="G52" s="627"/>
      <c r="H52" s="628"/>
      <c r="I52" s="627"/>
      <c r="J52" s="627"/>
      <c r="K52" s="627"/>
      <c r="L52" s="628"/>
      <c r="M52" s="627"/>
      <c r="N52" s="627"/>
      <c r="O52" s="627"/>
      <c r="P52" s="627"/>
      <c r="Q52" s="626"/>
      <c r="R52" s="627"/>
      <c r="S52" s="627"/>
      <c r="T52" s="628"/>
      <c r="U52" s="632">
        <f>U51/E51-1</f>
        <v>-0.13848887549014188</v>
      </c>
      <c r="V52" s="632">
        <f>V51/F51-1</f>
        <v>3.9483876075796731E-2</v>
      </c>
      <c r="W52" s="632">
        <f>W51/G51-1</f>
        <v>-4.0874301757010789E-2</v>
      </c>
      <c r="X52" s="633">
        <f>X51/H51-1</f>
        <v>-0.25188977037976823</v>
      </c>
      <c r="Y52" s="632">
        <f t="shared" ref="Y52:AG52" si="91">Y51/U51-1</f>
        <v>0.32103224484320769</v>
      </c>
      <c r="Z52" s="632">
        <f>Z51/V51-1</f>
        <v>4.6821041534943708E-2</v>
      </c>
      <c r="AA52" s="632">
        <f t="shared" si="91"/>
        <v>0.11961464373748698</v>
      </c>
      <c r="AB52" s="633">
        <f t="shared" si="91"/>
        <v>0.71554904279297871</v>
      </c>
      <c r="AC52" s="632">
        <f t="shared" si="91"/>
        <v>0.36310132908027648</v>
      </c>
      <c r="AD52" s="632">
        <f t="shared" si="91"/>
        <v>0.41772873194221538</v>
      </c>
      <c r="AE52" s="632">
        <f t="shared" si="91"/>
        <v>0.4331146823370231</v>
      </c>
      <c r="AF52" s="632">
        <f t="shared" si="91"/>
        <v>0.38646685446009421</v>
      </c>
      <c r="AG52" s="632">
        <f t="shared" si="91"/>
        <v>0.68913741438356135</v>
      </c>
      <c r="AH52" s="629"/>
      <c r="AI52" s="684"/>
      <c r="AJ52" s="690"/>
      <c r="AK52" s="690"/>
      <c r="AL52" s="690"/>
      <c r="AM52" s="690"/>
      <c r="AN52" s="691"/>
      <c r="AO52" s="691"/>
      <c r="AP52" s="626"/>
      <c r="AQ52" s="722"/>
    </row>
    <row r="53" spans="1:56" s="625" customFormat="1" x14ac:dyDescent="0.3">
      <c r="C53" s="767"/>
      <c r="D53" s="768" t="s">
        <v>248</v>
      </c>
      <c r="E53" s="769">
        <f>E51/E45</f>
        <v>55.383196721311485</v>
      </c>
      <c r="F53" s="769">
        <f>F51/F45</f>
        <v>62.248823529411759</v>
      </c>
      <c r="G53" s="769">
        <f>G51/G45</f>
        <v>49.5</v>
      </c>
      <c r="H53" s="770">
        <f>H51/H45</f>
        <v>43.568571428571424</v>
      </c>
      <c r="I53" s="769"/>
      <c r="J53" s="769"/>
      <c r="K53" s="769"/>
      <c r="L53" s="770"/>
      <c r="M53" s="769"/>
      <c r="N53" s="769"/>
      <c r="O53" s="769"/>
      <c r="P53" s="769"/>
      <c r="Q53" s="771"/>
      <c r="R53" s="769"/>
      <c r="S53" s="769"/>
      <c r="T53" s="770"/>
      <c r="U53" s="769">
        <f t="shared" ref="U53:AA53" si="92">U51/U45</f>
        <v>61.598045402454844</v>
      </c>
      <c r="V53" s="769">
        <f t="shared" si="92"/>
        <v>55.612387370055124</v>
      </c>
      <c r="W53" s="769">
        <f t="shared" si="92"/>
        <v>43.862455712331816</v>
      </c>
      <c r="X53" s="770">
        <f t="shared" si="92"/>
        <v>30.001138439129296</v>
      </c>
      <c r="Y53" s="985">
        <f t="shared" si="92"/>
        <v>22.596438804019012</v>
      </c>
      <c r="Z53" s="985">
        <f t="shared" si="92"/>
        <v>22.957605856250289</v>
      </c>
      <c r="AA53" s="985">
        <f t="shared" si="92"/>
        <v>23.428526044127498</v>
      </c>
      <c r="AB53" s="986">
        <f t="shared" ref="AB53" si="93">AB51/AB45</f>
        <v>34.085049226455567</v>
      </c>
      <c r="AC53" s="985">
        <f>AC51/AC45</f>
        <v>22.319736062492357</v>
      </c>
      <c r="AD53" s="985">
        <f>AD51/AD45</f>
        <v>25.427857374227266</v>
      </c>
      <c r="AE53" s="985">
        <f>AE51/AE45</f>
        <v>27.979803882795373</v>
      </c>
      <c r="AF53" s="985">
        <f>AF51/AF45</f>
        <v>41.093731291409838</v>
      </c>
      <c r="AG53" s="985">
        <f>AG51/AG45</f>
        <v>33.661697555644523</v>
      </c>
      <c r="AH53" s="772"/>
      <c r="AI53" s="728">
        <f>AI51/AI45</f>
        <v>51.420904988898251</v>
      </c>
      <c r="AJ53" s="728"/>
      <c r="AK53" s="728"/>
      <c r="AL53" s="728"/>
      <c r="AM53" s="728">
        <f t="shared" ref="AM53:AN53" si="94">AM51/AM45</f>
        <v>44.750704115328645</v>
      </c>
      <c r="AN53" s="728">
        <f t="shared" si="94"/>
        <v>25.35952451387444</v>
      </c>
      <c r="AO53" s="728">
        <f>K39/J39-1</f>
        <v>-0.2756598240469208</v>
      </c>
      <c r="AP53" s="626"/>
    </row>
    <row r="54" spans="1:56" s="625" customFormat="1" x14ac:dyDescent="0.3">
      <c r="C54" s="635"/>
      <c r="D54" s="744" t="s">
        <v>389</v>
      </c>
      <c r="E54" s="725"/>
      <c r="F54" s="725"/>
      <c r="G54" s="725"/>
      <c r="H54" s="726"/>
      <c r="I54" s="725"/>
      <c r="J54" s="725"/>
      <c r="K54" s="725"/>
      <c r="L54" s="726"/>
      <c r="M54" s="725"/>
      <c r="N54" s="725"/>
      <c r="O54" s="725"/>
      <c r="P54" s="725"/>
      <c r="Q54" s="725"/>
      <c r="R54" s="725"/>
      <c r="S54" s="725"/>
      <c r="T54" s="726"/>
      <c r="U54" s="745"/>
      <c r="V54" s="745"/>
      <c r="W54" s="745"/>
      <c r="X54" s="746"/>
      <c r="Y54" s="745">
        <f t="shared" ref="Y54" si="95">Y53/U53-1</f>
        <v>-0.63316305482773516</v>
      </c>
      <c r="Z54" s="745">
        <f t="shared" ref="Z54" si="96">Z53/V53-1</f>
        <v>-0.58718539264487735</v>
      </c>
      <c r="AA54" s="745">
        <f t="shared" ref="AA54:AG54" si="97">AA53/W53-1</f>
        <v>-0.46586378569906128</v>
      </c>
      <c r="AB54" s="746">
        <f t="shared" si="97"/>
        <v>0.13612519390263489</v>
      </c>
      <c r="AC54" s="745">
        <f t="shared" si="97"/>
        <v>-1.2245413709944475E-2</v>
      </c>
      <c r="AD54" s="745">
        <f t="shared" si="97"/>
        <v>0.10760057182985583</v>
      </c>
      <c r="AE54" s="745">
        <f t="shared" si="97"/>
        <v>0.19426223528085251</v>
      </c>
      <c r="AF54" s="745">
        <f t="shared" si="97"/>
        <v>0.20562335170442969</v>
      </c>
      <c r="AG54" s="745">
        <f t="shared" si="97"/>
        <v>0.50815840569960824</v>
      </c>
      <c r="AH54" s="724"/>
      <c r="AI54" s="728"/>
      <c r="AJ54" s="729"/>
      <c r="AK54" s="729"/>
      <c r="AL54" s="729"/>
      <c r="AM54" s="729"/>
      <c r="AN54" s="725"/>
      <c r="AO54" s="725"/>
      <c r="AP54" s="626"/>
    </row>
    <row r="55" spans="1:56" s="625" customFormat="1" outlineLevel="1" x14ac:dyDescent="0.35">
      <c r="C55" s="773" t="s">
        <v>246</v>
      </c>
      <c r="D55" s="676"/>
      <c r="E55" s="677"/>
      <c r="F55" s="676"/>
      <c r="G55" s="676"/>
      <c r="H55" s="774"/>
      <c r="I55" s="676"/>
      <c r="J55" s="679"/>
      <c r="K55" s="775"/>
      <c r="L55" s="775"/>
      <c r="M55" s="680"/>
      <c r="N55" s="679"/>
      <c r="O55" s="679"/>
      <c r="P55" s="679"/>
      <c r="Q55" s="680"/>
      <c r="R55" s="679"/>
      <c r="S55" s="679"/>
      <c r="T55" s="678"/>
      <c r="U55" s="680"/>
      <c r="V55" s="679"/>
      <c r="W55" s="679"/>
      <c r="X55" s="678"/>
      <c r="Y55" s="679"/>
      <c r="Z55" s="679"/>
      <c r="AA55" s="679"/>
      <c r="AB55" s="678"/>
      <c r="AC55" s="679"/>
      <c r="AD55" s="679"/>
      <c r="AE55" s="679"/>
      <c r="AF55" s="679"/>
      <c r="AG55" s="679"/>
      <c r="AH55" s="632"/>
      <c r="AI55" s="635"/>
      <c r="AJ55" s="636"/>
      <c r="AK55" s="636"/>
      <c r="AL55" s="636"/>
      <c r="AM55" s="636"/>
      <c r="AN55" s="627"/>
      <c r="AO55" s="627"/>
      <c r="AP55" s="626"/>
    </row>
    <row r="56" spans="1:56" s="625" customFormat="1" outlineLevel="1" x14ac:dyDescent="0.35">
      <c r="C56" s="594"/>
      <c r="D56" s="627" t="s">
        <v>355</v>
      </c>
      <c r="E56" s="626">
        <v>50786.832751649999</v>
      </c>
      <c r="F56" s="627">
        <v>48630.50711413</v>
      </c>
      <c r="G56" s="627">
        <v>61801.952764130008</v>
      </c>
      <c r="H56" s="628">
        <v>51699.843027380004</v>
      </c>
      <c r="I56" s="627">
        <v>16248.724109935658</v>
      </c>
      <c r="J56" s="627">
        <v>20455.03334297434</v>
      </c>
      <c r="K56" s="627">
        <v>44241.095110899994</v>
      </c>
      <c r="L56" s="627">
        <v>37969.413007469993</v>
      </c>
      <c r="M56" s="626">
        <v>33559.039885370003</v>
      </c>
      <c r="N56" s="627">
        <v>51702.990875940013</v>
      </c>
      <c r="O56" s="776">
        <v>43811.58528444</v>
      </c>
      <c r="P56" s="776">
        <v>29840.288530419995</v>
      </c>
      <c r="Q56" s="777">
        <v>26168.167450680001</v>
      </c>
      <c r="R56" s="776">
        <v>20903.894064550001</v>
      </c>
      <c r="S56" s="776">
        <v>40178.060737320004</v>
      </c>
      <c r="T56" s="778">
        <v>21858.83454471</v>
      </c>
      <c r="U56" s="777">
        <v>58753.417997159995</v>
      </c>
      <c r="V56" s="776">
        <v>65551.88447235999</v>
      </c>
      <c r="W56" s="776">
        <f>[6]机票!$V$54</f>
        <v>86039.070665770007</v>
      </c>
      <c r="X56" s="778">
        <v>57224.751120779998</v>
      </c>
      <c r="Y56" s="776">
        <f>[7]机票!$X$54</f>
        <v>72594.773803769989</v>
      </c>
      <c r="Z56" s="776">
        <f>[8]机票!$Y$54</f>
        <v>63094.62642801</v>
      </c>
      <c r="AA56" s="776">
        <v>80171.89876936996</v>
      </c>
      <c r="AB56" s="778">
        <v>56145.346512039992</v>
      </c>
      <c r="AC56" s="776">
        <v>63421.733452029999</v>
      </c>
      <c r="AD56" s="776">
        <f>[9]机票!$AC$62</f>
        <v>63002.920706950004</v>
      </c>
      <c r="AE56" s="776">
        <v>75432.462151961605</v>
      </c>
      <c r="AF56" s="776">
        <f>[10]机票!$AE$62</f>
        <v>51727.907731429987</v>
      </c>
      <c r="AG56" s="776">
        <f>[11]机票!$AF$62</f>
        <v>64288.372389045791</v>
      </c>
      <c r="AH56" s="779"/>
      <c r="AI56" s="635">
        <f>+SUM(E56:H56)</f>
        <v>212919.13565729</v>
      </c>
      <c r="AJ56" s="636">
        <f>SUM(I56:L56)</f>
        <v>118914.26557127998</v>
      </c>
      <c r="AK56" s="636">
        <f>SUM(M56:P56)</f>
        <v>158913.90457617</v>
      </c>
      <c r="AL56" s="636">
        <f>SUM(Q56:T56)</f>
        <v>109108.95679726001</v>
      </c>
      <c r="AM56" s="636">
        <f>SUM(U56:X56)</f>
        <v>267569.12425607</v>
      </c>
      <c r="AN56" s="627">
        <f>SUM(Y56:AB56)</f>
        <v>272006.64551318996</v>
      </c>
      <c r="AO56" s="627"/>
      <c r="AP56" s="626"/>
    </row>
    <row r="57" spans="1:56" s="625" customFormat="1" outlineLevel="1" x14ac:dyDescent="0.3">
      <c r="C57" s="635"/>
      <c r="D57" s="646" t="s">
        <v>134</v>
      </c>
      <c r="E57" s="626"/>
      <c r="F57" s="627"/>
      <c r="G57" s="627"/>
      <c r="H57" s="628"/>
      <c r="I57" s="681">
        <f>+I56/E56-1</f>
        <v>-0.68006029851491856</v>
      </c>
      <c r="J57" s="681">
        <f>+J56/F56-1</f>
        <v>-0.57937857207680732</v>
      </c>
      <c r="K57" s="681">
        <f>+K56/G56-1</f>
        <v>-0.28414729418424423</v>
      </c>
      <c r="L57" s="681">
        <f>+L56/H56-1</f>
        <v>-0.26557972357166415</v>
      </c>
      <c r="M57" s="780">
        <f>M56/E56-1</f>
        <v>-0.33921770531595685</v>
      </c>
      <c r="N57" s="781">
        <f>N56/F56-1</f>
        <v>6.3180171134124885E-2</v>
      </c>
      <c r="O57" s="781">
        <f>O56/G56-1</f>
        <v>-0.29109707177621191</v>
      </c>
      <c r="P57" s="781">
        <f>P56/H56-1</f>
        <v>-0.42281665121078393</v>
      </c>
      <c r="Q57" s="780">
        <f>Q56/E56-1</f>
        <v>-0.48474504053750367</v>
      </c>
      <c r="R57" s="781">
        <f>R56/F56-1</f>
        <v>-0.57014854861597364</v>
      </c>
      <c r="S57" s="781">
        <f>S56/G56-1</f>
        <v>-0.34989010961091438</v>
      </c>
      <c r="T57" s="782">
        <f>T56/H56-1</f>
        <v>-0.57719727440693269</v>
      </c>
      <c r="U57" s="780">
        <f>U56/E56-1</f>
        <v>0.15686320280035915</v>
      </c>
      <c r="V57" s="781">
        <f>V56/F56-1</f>
        <v>0.34795806917080951</v>
      </c>
      <c r="W57" s="781">
        <f>W56/G56-1</f>
        <v>0.39217398185041286</v>
      </c>
      <c r="X57" s="782">
        <f>X56/H56-1</f>
        <v>0.10686508449308119</v>
      </c>
      <c r="Y57" s="781">
        <f t="shared" ref="Y57:AG57" si="98">Y56/U56-1</f>
        <v>0.23558383968876595</v>
      </c>
      <c r="Z57" s="781">
        <f t="shared" si="98"/>
        <v>-3.7485696469734542E-2</v>
      </c>
      <c r="AA57" s="781">
        <f t="shared" si="98"/>
        <v>-6.8191948739100616E-2</v>
      </c>
      <c r="AB57" s="782">
        <f t="shared" si="98"/>
        <v>-1.8862547894036075E-2</v>
      </c>
      <c r="AC57" s="781">
        <f t="shared" si="98"/>
        <v>-0.12635951420601599</v>
      </c>
      <c r="AD57" s="781">
        <f t="shared" si="98"/>
        <v>-1.453463254349141E-3</v>
      </c>
      <c r="AE57" s="781">
        <f t="shared" si="98"/>
        <v>-5.9115933265373566E-2</v>
      </c>
      <c r="AF57" s="781">
        <f t="shared" si="98"/>
        <v>-7.8678627081991803E-2</v>
      </c>
      <c r="AG57" s="781">
        <f t="shared" si="98"/>
        <v>1.366469962022232E-2</v>
      </c>
      <c r="AH57" s="681"/>
      <c r="AI57" s="684"/>
      <c r="AJ57" s="685">
        <f>AJ56/AI56-1</f>
        <v>-0.44150503333490054</v>
      </c>
      <c r="AK57" s="685">
        <f>AK56/AI56-1</f>
        <v>-0.2536419796858731</v>
      </c>
      <c r="AL57" s="685">
        <f>AL56/AI56-1</f>
        <v>-0.48755683015321172</v>
      </c>
      <c r="AM57" s="685">
        <f>AM56/AI56-1</f>
        <v>0.25667015991809894</v>
      </c>
      <c r="AN57" s="686">
        <f>AN56/AM56-1</f>
        <v>1.6584578917532955E-2</v>
      </c>
      <c r="AO57" s="686"/>
      <c r="AP57" s="626"/>
    </row>
    <row r="58" spans="1:56" outlineLevel="1" x14ac:dyDescent="0.35">
      <c r="C58" s="594"/>
      <c r="D58" s="627" t="s">
        <v>356</v>
      </c>
      <c r="E58" s="783">
        <v>61.195596026561205</v>
      </c>
      <c r="F58" s="784">
        <v>60.862552982366566</v>
      </c>
      <c r="G58" s="784">
        <v>70.35044500239556</v>
      </c>
      <c r="H58" s="785">
        <v>68.8399450118945</v>
      </c>
      <c r="I58" s="784">
        <v>19.844603098040956</v>
      </c>
      <c r="J58" s="784">
        <v>36.435656000000002</v>
      </c>
      <c r="K58" s="784">
        <v>67.954651999999996</v>
      </c>
      <c r="L58" s="784">
        <v>62.295738</v>
      </c>
      <c r="M58" s="783">
        <f>'[12]OP DATA Combined'!$AJ$302</f>
        <v>50.494953999999993</v>
      </c>
      <c r="N58" s="784">
        <f>'[13]OP DATA Combined'!$AK$302</f>
        <v>67.682372999999998</v>
      </c>
      <c r="O58" s="784">
        <v>53.878776000000002</v>
      </c>
      <c r="P58" s="784">
        <f>'[14]OP DATA'!$N$243</f>
        <v>43.118696999999997</v>
      </c>
      <c r="Q58" s="783">
        <f>34901727/1000000</f>
        <v>34.901727000000001</v>
      </c>
      <c r="R58" s="784">
        <f>(14565516+9201968)/1000000</f>
        <v>23.767484</v>
      </c>
      <c r="S58" s="784">
        <v>44.401353999999998</v>
      </c>
      <c r="T58" s="785">
        <f>[15]机票!$S$17</f>
        <v>25.621592</v>
      </c>
      <c r="U58" s="783">
        <f>[16]机票!$T$17</f>
        <v>62.979381000000004</v>
      </c>
      <c r="V58" s="786">
        <v>73.177450999999991</v>
      </c>
      <c r="W58" s="786">
        <f>[6]机票!$V$17</f>
        <v>85.172815999999997</v>
      </c>
      <c r="X58" s="787">
        <f>[17]机票!$W$17</f>
        <v>72.212789000000001</v>
      </c>
      <c r="Y58" s="784">
        <f>[7]机票!$X$17</f>
        <v>80.208496999999994</v>
      </c>
      <c r="Z58" s="784">
        <f>[8]机票!$Y$17</f>
        <v>75.868561999999997</v>
      </c>
      <c r="AA58" s="784">
        <f>[18]机票!$Z$17</f>
        <v>90.492215999999999</v>
      </c>
      <c r="AB58" s="785">
        <f>[19]机票!$AA$17</f>
        <v>77.280211000000008</v>
      </c>
      <c r="AC58" s="784">
        <f>[20]机票!$AB$17</f>
        <v>77.920536999999996</v>
      </c>
      <c r="AD58" s="784">
        <f>[9]机票!$AC$17</f>
        <v>77.002369000000002</v>
      </c>
      <c r="AE58" s="784">
        <v>86.000309999999999</v>
      </c>
      <c r="AF58" s="784">
        <f>[10]机票!$AE$17</f>
        <v>70.655404000000004</v>
      </c>
      <c r="AG58" s="784">
        <f>[11]机票!$AF$17</f>
        <v>74.599907000000002</v>
      </c>
      <c r="AH58" s="788"/>
      <c r="AI58" s="635">
        <f>+SUM(E58:H58)</f>
        <v>261.2485390232178</v>
      </c>
      <c r="AJ58" s="636">
        <f>SUM(I58:L58)</f>
        <v>186.53064909804095</v>
      </c>
      <c r="AK58" s="636">
        <f>SUM(M58:P58)</f>
        <v>215.1748</v>
      </c>
      <c r="AL58" s="636">
        <f>SUM(Q58:T58)</f>
        <v>128.69215700000001</v>
      </c>
      <c r="AM58" s="636">
        <f>SUM(U58:X58)</f>
        <v>293.54243700000001</v>
      </c>
      <c r="AN58" s="627">
        <f>SUM(Y58:AB58)</f>
        <v>323.84948600000001</v>
      </c>
      <c r="AO58" s="627"/>
    </row>
    <row r="59" spans="1:56" s="625" customFormat="1" outlineLevel="1" x14ac:dyDescent="0.3">
      <c r="C59" s="635"/>
      <c r="D59" s="646" t="s">
        <v>348</v>
      </c>
      <c r="E59" s="626"/>
      <c r="F59" s="627"/>
      <c r="G59" s="627"/>
      <c r="H59" s="628"/>
      <c r="I59" s="681">
        <f>+I58/E58-1</f>
        <v>-0.6757184440294095</v>
      </c>
      <c r="J59" s="681">
        <f>+J58/F58-1</f>
        <v>-0.40134525722973957</v>
      </c>
      <c r="K59" s="681">
        <f>+K58/G58-1</f>
        <v>-3.4055122214422084E-2</v>
      </c>
      <c r="L59" s="681">
        <f>+L58/H58-1</f>
        <v>-9.5064094120989817E-2</v>
      </c>
      <c r="M59" s="780">
        <f>M58/E58-1</f>
        <v>-0.17485967490073517</v>
      </c>
      <c r="N59" s="781">
        <f>N58/F58-1</f>
        <v>0.11205280888577418</v>
      </c>
      <c r="O59" s="781">
        <f>O58/G58-1</f>
        <v>-0.23413738181520627</v>
      </c>
      <c r="P59" s="781">
        <f>P58/H58-1</f>
        <v>-0.37363841600178882</v>
      </c>
      <c r="Q59" s="780">
        <f>Q58/E58-1</f>
        <v>-0.42966930194043162</v>
      </c>
      <c r="R59" s="781">
        <f>R58/F58-1</f>
        <v>-0.60948920419283026</v>
      </c>
      <c r="S59" s="781">
        <f>S58/G58-1</f>
        <v>-0.36885468175093916</v>
      </c>
      <c r="T59" s="782">
        <f>T58/H58-1</f>
        <v>-0.62780923204437511</v>
      </c>
      <c r="U59" s="780">
        <f>U58/E58-1</f>
        <v>2.9148910857319965E-2</v>
      </c>
      <c r="V59" s="781">
        <f>V58/F58-1</f>
        <v>0.20233949143082053</v>
      </c>
      <c r="W59" s="781">
        <f>W58/G58-1</f>
        <v>0.21069335093899855</v>
      </c>
      <c r="X59" s="782">
        <f>X58/H58-1</f>
        <v>4.8995448609418846E-2</v>
      </c>
      <c r="Y59" s="781">
        <f t="shared" ref="Y59:AG59" si="99">Y58/U58-1</f>
        <v>0.27356756650243974</v>
      </c>
      <c r="Z59" s="781">
        <f t="shared" si="99"/>
        <v>3.6775139926642275E-2</v>
      </c>
      <c r="AA59" s="781">
        <f t="shared" si="99"/>
        <v>6.2454199001709565E-2</v>
      </c>
      <c r="AB59" s="782">
        <f t="shared" si="99"/>
        <v>7.0173470242230973E-2</v>
      </c>
      <c r="AC59" s="781">
        <f t="shared" si="99"/>
        <v>-2.8525157378276211E-2</v>
      </c>
      <c r="AD59" s="781">
        <f t="shared" si="99"/>
        <v>1.4944358639616739E-2</v>
      </c>
      <c r="AE59" s="781">
        <f t="shared" si="99"/>
        <v>-4.9638589909213882E-2</v>
      </c>
      <c r="AF59" s="781">
        <f t="shared" si="99"/>
        <v>-8.5724494204603041E-2</v>
      </c>
      <c r="AG59" s="781">
        <f t="shared" si="99"/>
        <v>-4.2615594397148349E-2</v>
      </c>
      <c r="AH59" s="681"/>
      <c r="AI59" s="684"/>
      <c r="AJ59" s="685">
        <f>AJ58/AI58-1</f>
        <v>-0.2860030919389619</v>
      </c>
      <c r="AK59" s="685">
        <f>AK58/AI58-1</f>
        <v>-0.17635979590731077</v>
      </c>
      <c r="AL59" s="685">
        <f>AL58/AI58-1</f>
        <v>-0.50739568733602436</v>
      </c>
      <c r="AM59" s="685">
        <f>AM58/AI58-1</f>
        <v>0.12361369788909005</v>
      </c>
      <c r="AN59" s="686">
        <f>AN58/AM58-1</f>
        <v>0.10324588604543061</v>
      </c>
      <c r="AO59" s="686"/>
      <c r="AP59" s="626"/>
    </row>
    <row r="60" spans="1:56" outlineLevel="1" x14ac:dyDescent="0.35">
      <c r="C60" s="594"/>
      <c r="D60" s="575" t="s">
        <v>146</v>
      </c>
      <c r="E60" s="783">
        <v>829.90992932971949</v>
      </c>
      <c r="F60" s="784">
        <v>799.02180761296688</v>
      </c>
      <c r="G60" s="784">
        <v>878.48701972148149</v>
      </c>
      <c r="H60" s="785">
        <v>753.38080337596057</v>
      </c>
      <c r="I60" s="784">
        <v>818.79814426099267</v>
      </c>
      <c r="J60" s="784">
        <v>561.40153872389033</v>
      </c>
      <c r="K60" s="784">
        <v>651.03850595688436</v>
      </c>
      <c r="L60" s="784">
        <v>609.50257957406325</v>
      </c>
      <c r="M60" s="783">
        <f>'[12]OP DATA Combined'!$AJ$334</f>
        <v>664.60185081800466</v>
      </c>
      <c r="N60" s="784">
        <f>'[13]OP DATA Combined'!$AK$334</f>
        <v>763.90629619236313</v>
      </c>
      <c r="O60" s="789">
        <f>+O56/O58</f>
        <v>813.15108725632513</v>
      </c>
      <c r="P60" s="789">
        <f>+P56/P58</f>
        <v>692.04986714742324</v>
      </c>
      <c r="Q60" s="790">
        <f>+Q56/Q58</f>
        <v>749.76712329106238</v>
      </c>
      <c r="R60" s="789">
        <f>+R56/R58</f>
        <v>879.51648834811465</v>
      </c>
      <c r="S60" s="789">
        <f>+S56/S58</f>
        <v>904.88368299128911</v>
      </c>
      <c r="T60" s="791">
        <f>[15]机票!$S$66</f>
        <v>853.14115316136485</v>
      </c>
      <c r="U60" s="790">
        <f t="shared" ref="U60:Z60" si="100">+U56/U58</f>
        <v>932.89926106387088</v>
      </c>
      <c r="V60" s="789">
        <f t="shared" si="100"/>
        <v>895.79349344048615</v>
      </c>
      <c r="W60" s="789">
        <f t="shared" si="100"/>
        <v>1010.1705533109298</v>
      </c>
      <c r="X60" s="791">
        <v>795.11382016343771</v>
      </c>
      <c r="Y60" s="789">
        <f t="shared" si="100"/>
        <v>905.0758525467694</v>
      </c>
      <c r="Z60" s="954">
        <f t="shared" si="100"/>
        <v>831.63071455090983</v>
      </c>
      <c r="AA60" s="954">
        <v>889.17723329612443</v>
      </c>
      <c r="AB60" s="956">
        <v>726.51647537608289</v>
      </c>
      <c r="AC60" s="789">
        <v>813.92834153632703</v>
      </c>
      <c r="AD60" s="954">
        <f>[9]机票!$AC$74</f>
        <v>818.19457667529684</v>
      </c>
      <c r="AE60" s="954">
        <v>877.11849122359683</v>
      </c>
      <c r="AF60" s="954">
        <f>[10]机票!$AE$75</f>
        <v>732.11537692757349</v>
      </c>
      <c r="AG60" s="954">
        <f>[11]机票!$AF$75</f>
        <v>861.77550313897564</v>
      </c>
      <c r="AH60" s="632">
        <f>AG60/AC60-1</f>
        <v>5.8785471841826809E-2</v>
      </c>
      <c r="AI60" s="792">
        <f t="shared" ref="AI60:AN60" si="101">+AI56/AI58</f>
        <v>815.00603392223127</v>
      </c>
      <c r="AJ60" s="793">
        <f t="shared" si="101"/>
        <v>637.5052365189506</v>
      </c>
      <c r="AK60" s="793">
        <f t="shared" si="101"/>
        <v>738.53399457636294</v>
      </c>
      <c r="AL60" s="793">
        <f t="shared" si="101"/>
        <v>847.82910894297936</v>
      </c>
      <c r="AM60" s="793">
        <f t="shared" si="101"/>
        <v>911.51769056162061</v>
      </c>
      <c r="AN60" s="793">
        <f t="shared" si="101"/>
        <v>839.91686654457112</v>
      </c>
      <c r="AO60" s="793"/>
    </row>
    <row r="61" spans="1:56" outlineLevel="1" x14ac:dyDescent="0.35">
      <c r="C61" s="594"/>
      <c r="D61" s="575" t="s">
        <v>71</v>
      </c>
      <c r="E61" s="951">
        <v>2.2076504304117037E-2</v>
      </c>
      <c r="F61" s="952">
        <v>2.3921865209961382E-2</v>
      </c>
      <c r="G61" s="952">
        <v>2.0702206306781677E-2</v>
      </c>
      <c r="H61" s="953">
        <v>2.2867980797577247E-2</v>
      </c>
      <c r="I61" s="952">
        <v>2.3654553405810623E-2</v>
      </c>
      <c r="J61" s="952">
        <v>3.4390430937486227E-2</v>
      </c>
      <c r="K61" s="952">
        <v>3.0205156068120145E-2</v>
      </c>
      <c r="L61" s="952">
        <v>3.3595329158660155E-2</v>
      </c>
      <c r="M61" s="951">
        <v>3.0173707980231401E-2</v>
      </c>
      <c r="N61" s="952">
        <v>2.7587814444260009E-2</v>
      </c>
      <c r="O61" s="952">
        <v>2.5546472607077587E-2</v>
      </c>
      <c r="P61" s="952">
        <v>2.8538217531285801E-2</v>
      </c>
      <c r="Q61" s="951">
        <v>2.74393286905955E-2</v>
      </c>
      <c r="R61" s="952">
        <v>2.7038226701375401E-2</v>
      </c>
      <c r="S61" s="952">
        <v>2.8137735762297771E-2</v>
      </c>
      <c r="T61" s="953">
        <v>3.2130097346394097E-2</v>
      </c>
      <c r="U61" s="951">
        <v>2.8621411186471862E-2</v>
      </c>
      <c r="V61" s="952">
        <v>2.8080243826617939E-2</v>
      </c>
      <c r="W61" s="952">
        <f>[6]机票!$V$159</f>
        <v>2.1568785313729823E-2</v>
      </c>
      <c r="X61" s="953">
        <f>[17]机票!$W$159</f>
        <v>2.2395271028139378E-2</v>
      </c>
      <c r="Y61" s="952">
        <f t="shared" ref="Y61:AG61" si="102">Y62/Y56</f>
        <v>2.1244288193334283E-2</v>
      </c>
      <c r="Z61" s="952">
        <f t="shared" si="102"/>
        <v>2.2489456751634832E-2</v>
      </c>
      <c r="AA61" s="952">
        <f t="shared" si="102"/>
        <v>2.0151002900550854E-2</v>
      </c>
      <c r="AB61" s="953">
        <f t="shared" si="102"/>
        <v>2.5029348291084406E-2</v>
      </c>
      <c r="AC61" s="952">
        <f t="shared" si="102"/>
        <v>2.3097154043084937E-2</v>
      </c>
      <c r="AD61" s="952">
        <f t="shared" si="102"/>
        <v>2.2576001365251008E-2</v>
      </c>
      <c r="AE61" s="952">
        <f t="shared" si="102"/>
        <v>2.1190034208266331E-2</v>
      </c>
      <c r="AF61" s="952">
        <f t="shared" si="102"/>
        <v>2.5158164297789096E-2</v>
      </c>
      <c r="AG61" s="952">
        <f t="shared" si="102"/>
        <v>1.996549625317583E-2</v>
      </c>
      <c r="AH61" s="797"/>
      <c r="AI61" s="798">
        <f t="shared" ref="AI61:AN61" si="103">+AI62/AI56</f>
        <v>2.2265470752675633E-2</v>
      </c>
      <c r="AJ61" s="799">
        <f t="shared" si="103"/>
        <v>3.1112481049794184E-2</v>
      </c>
      <c r="AK61" s="799">
        <f t="shared" si="103"/>
        <v>2.774957489388323E-2</v>
      </c>
      <c r="AL61" s="799">
        <f t="shared" si="103"/>
        <v>2.8559408909272586E-2</v>
      </c>
      <c r="AM61" s="799">
        <f t="shared" si="103"/>
        <v>2.4880366280260694E-2</v>
      </c>
      <c r="AN61" s="799">
        <f t="shared" si="103"/>
        <v>2.1992160354987095E-2</v>
      </c>
      <c r="AO61" s="799"/>
    </row>
    <row r="62" spans="1:56" outlineLevel="1" x14ac:dyDescent="0.35">
      <c r="C62" s="594"/>
      <c r="D62" s="627" t="s">
        <v>241</v>
      </c>
      <c r="E62" s="706">
        <v>1121.1957318342734</v>
      </c>
      <c r="F62" s="707">
        <v>1163.332436276286</v>
      </c>
      <c r="G62" s="707">
        <v>1279.4367762849956</v>
      </c>
      <c r="H62" s="709">
        <v>1176.7798432668105</v>
      </c>
      <c r="I62" s="707">
        <v>384.35631223475571</v>
      </c>
      <c r="J62" s="707">
        <v>703.45741150553704</v>
      </c>
      <c r="K62" s="707">
        <v>1336.3091824492815</v>
      </c>
      <c r="L62" s="707">
        <v>1275.5949279470669</v>
      </c>
      <c r="M62" s="706">
        <v>1012.6006695980927</v>
      </c>
      <c r="N62" s="707">
        <v>1426.3725184987013</v>
      </c>
      <c r="O62" s="800">
        <v>1119.2314633415899</v>
      </c>
      <c r="P62" s="800">
        <v>851.58864527745857</v>
      </c>
      <c r="Q62" s="801">
        <v>718.03694790975101</v>
      </c>
      <c r="R62" s="800">
        <v>565.20422665883859</v>
      </c>
      <c r="S62" s="800">
        <v>1130.519656468261</v>
      </c>
      <c r="T62" s="802">
        <v>702.32648180025444</v>
      </c>
      <c r="U62" s="801">
        <v>1681.6057351073723</v>
      </c>
      <c r="V62" s="800">
        <v>1840.7128992781588</v>
      </c>
      <c r="W62" s="800">
        <f>[6]机票!$V$155</f>
        <v>1855.7582437828225</v>
      </c>
      <c r="X62" s="802">
        <v>1279.1409386112548</v>
      </c>
      <c r="Y62" s="800">
        <f>[7]机票!$X$155</f>
        <v>1542.2242960172036</v>
      </c>
      <c r="Z62" s="800">
        <f>[8]机票!$Y$155</f>
        <v>1418.9638723132871</v>
      </c>
      <c r="AA62" s="800">
        <v>1615.5441646442434</v>
      </c>
      <c r="AB62" s="802">
        <v>1405.28143277347</v>
      </c>
      <c r="AC62" s="800">
        <v>1464.8615472210099</v>
      </c>
      <c r="AD62" s="800">
        <f>[9]机票!$AC$167</f>
        <v>1422.3540238949042</v>
      </c>
      <c r="AE62" s="800">
        <v>1598.4164534138217</v>
      </c>
      <c r="AF62" s="800">
        <f>[10]机票!$AE$105</f>
        <v>1301.3792014881903</v>
      </c>
      <c r="AG62" s="800">
        <f>[11]机票!$AF$105</f>
        <v>1283.5492580562664</v>
      </c>
      <c r="AH62" s="788"/>
      <c r="AI62" s="635">
        <f>+SUM(E62:H62)</f>
        <v>4740.7447876623655</v>
      </c>
      <c r="AJ62" s="636">
        <f>SUM(I62:L62)</f>
        <v>3699.7178341366412</v>
      </c>
      <c r="AK62" s="636">
        <f>SUM(M62:P62)</f>
        <v>4409.7932967158422</v>
      </c>
      <c r="AL62" s="636">
        <f>SUM(Q62:T62)</f>
        <v>3116.0873128371049</v>
      </c>
      <c r="AM62" s="636">
        <f>SUM(U62:X62)</f>
        <v>6657.2178167796083</v>
      </c>
      <c r="AN62" s="627">
        <f>SUM(Y62:AB62)</f>
        <v>5982.0137657482046</v>
      </c>
      <c r="AO62" s="627" t="s">
        <v>269</v>
      </c>
    </row>
    <row r="63" spans="1:56" s="625" customFormat="1" outlineLevel="1" x14ac:dyDescent="0.3">
      <c r="C63" s="635"/>
      <c r="D63" s="646" t="s">
        <v>134</v>
      </c>
      <c r="E63" s="626"/>
      <c r="F63" s="627"/>
      <c r="G63" s="627"/>
      <c r="H63" s="628"/>
      <c r="I63" s="681">
        <f>+I62/E62-1</f>
        <v>-0.6571907104873207</v>
      </c>
      <c r="J63" s="681">
        <f>+J62/F62-1</f>
        <v>-0.39530834904145218</v>
      </c>
      <c r="K63" s="681">
        <f>+K62/G62-1</f>
        <v>4.445112663512929E-2</v>
      </c>
      <c r="L63" s="681">
        <f>+L62/H62-1</f>
        <v>8.3970748858120947E-2</v>
      </c>
      <c r="M63" s="780">
        <f>M62/E62-1</f>
        <v>-9.6856471312568582E-2</v>
      </c>
      <c r="N63" s="781">
        <f>N62/F62-1</f>
        <v>0.22610912755461454</v>
      </c>
      <c r="O63" s="781">
        <f>O62/G62-1</f>
        <v>-0.12521549787601216</v>
      </c>
      <c r="P63" s="781">
        <f>P62/H62-1</f>
        <v>-0.27633987771799517</v>
      </c>
      <c r="Q63" s="780">
        <f>Q62/E62-1</f>
        <v>-0.35957930669692761</v>
      </c>
      <c r="R63" s="781">
        <f>R62/F62-1</f>
        <v>-0.51415071991974859</v>
      </c>
      <c r="S63" s="781">
        <f>S62/G62-1</f>
        <v>-0.11639271480778757</v>
      </c>
      <c r="T63" s="782">
        <f>T62/H62-1</f>
        <v>-0.40317937478385546</v>
      </c>
      <c r="U63" s="780">
        <f>U62/E62-1</f>
        <v>0.49983244438174013</v>
      </c>
      <c r="V63" s="781">
        <f>V62/F62-1</f>
        <v>0.58227591862744044</v>
      </c>
      <c r="W63" s="781">
        <f>W62/G62-1</f>
        <v>0.45044935254342788</v>
      </c>
      <c r="X63" s="782">
        <f>X62/H62-1</f>
        <v>8.6984065821763101E-2</v>
      </c>
      <c r="Y63" s="781">
        <f t="shared" ref="Y63:AG63" si="104">Y62/U62-1</f>
        <v>-8.2885920391600587E-2</v>
      </c>
      <c r="Z63" s="781">
        <f t="shared" si="104"/>
        <v>-0.22912265521160957</v>
      </c>
      <c r="AA63" s="781">
        <f t="shared" si="104"/>
        <v>-0.12944254993523341</v>
      </c>
      <c r="AB63" s="782">
        <f t="shared" si="104"/>
        <v>9.8613444660104577E-2</v>
      </c>
      <c r="AC63" s="781">
        <f t="shared" si="104"/>
        <v>-5.0163098192644973E-2</v>
      </c>
      <c r="AD63" s="781">
        <f t="shared" si="104"/>
        <v>2.3891739936199308E-3</v>
      </c>
      <c r="AE63" s="781">
        <f t="shared" si="104"/>
        <v>-1.0601821729951499E-2</v>
      </c>
      <c r="AF63" s="781">
        <f t="shared" si="104"/>
        <v>-7.3936955873826427E-2</v>
      </c>
      <c r="AG63" s="781">
        <f t="shared" si="104"/>
        <v>-0.1237743522646978</v>
      </c>
      <c r="AH63" s="681"/>
      <c r="AI63" s="684"/>
      <c r="AJ63" s="685">
        <f>AJ62/AI62-1</f>
        <v>-0.21959143555564586</v>
      </c>
      <c r="AK63" s="685">
        <f>AK62/AI62-1</f>
        <v>-6.9810020528380701E-2</v>
      </c>
      <c r="AL63" s="685">
        <f>AL62/AI62-1</f>
        <v>-0.34270089355018196</v>
      </c>
      <c r="AM63" s="685">
        <f>AM62/AI62-1</f>
        <v>0.40425568448755178</v>
      </c>
      <c r="AN63" s="686">
        <f>AN62/AM62-1</f>
        <v>-0.10142435918643711</v>
      </c>
      <c r="AO63" s="686"/>
      <c r="AP63" s="626"/>
    </row>
    <row r="64" spans="1:56" ht="16" outlineLevel="1" x14ac:dyDescent="0.35">
      <c r="C64" s="594"/>
      <c r="D64" s="803" t="s">
        <v>248</v>
      </c>
      <c r="E64" s="804">
        <f t="shared" ref="E64:AN64" si="105">E62/E58</f>
        <v>18.321510118924767</v>
      </c>
      <c r="F64" s="805">
        <f t="shared" si="105"/>
        <v>19.114091987126027</v>
      </c>
      <c r="G64" s="805">
        <f t="shared" si="105"/>
        <v>18.186619519484609</v>
      </c>
      <c r="H64" s="806">
        <f t="shared" si="105"/>
        <v>17.094433225701746</v>
      </c>
      <c r="I64" s="805">
        <f t="shared" si="105"/>
        <v>19.368304336240367</v>
      </c>
      <c r="J64" s="805">
        <f t="shared" si="105"/>
        <v>19.306840845833459</v>
      </c>
      <c r="K64" s="805">
        <f t="shared" si="105"/>
        <v>19.664719678783456</v>
      </c>
      <c r="L64" s="805">
        <f t="shared" si="105"/>
        <v>20.476439783843109</v>
      </c>
      <c r="M64" s="804">
        <f t="shared" si="105"/>
        <v>20.053502169703787</v>
      </c>
      <c r="N64" s="805">
        <f t="shared" si="105"/>
        <v>21.074505152156846</v>
      </c>
      <c r="O64" s="805">
        <f t="shared" si="105"/>
        <v>20.773141976009068</v>
      </c>
      <c r="P64" s="805">
        <f t="shared" si="105"/>
        <v>19.749869651150604</v>
      </c>
      <c r="Q64" s="804">
        <f t="shared" si="105"/>
        <v>20.573106537385701</v>
      </c>
      <c r="R64" s="805">
        <f t="shared" si="105"/>
        <v>23.78056619955392</v>
      </c>
      <c r="S64" s="805">
        <f t="shared" si="105"/>
        <v>25.461377967623715</v>
      </c>
      <c r="T64" s="806">
        <f t="shared" ref="T64:AA64" si="106">T62/T58</f>
        <v>27.411508301289569</v>
      </c>
      <c r="U64" s="804">
        <f t="shared" si="106"/>
        <v>26.700893346464809</v>
      </c>
      <c r="V64" s="805">
        <f t="shared" si="106"/>
        <v>25.154099714106728</v>
      </c>
      <c r="W64" s="805">
        <f t="shared" si="106"/>
        <v>21.788151794615111</v>
      </c>
      <c r="X64" s="806">
        <f t="shared" si="106"/>
        <v>17.713495854747485</v>
      </c>
      <c r="Y64" s="987">
        <f t="shared" si="106"/>
        <v>19.227692248331294</v>
      </c>
      <c r="Z64" s="987">
        <f t="shared" si="106"/>
        <v>18.702922988223861</v>
      </c>
      <c r="AA64" s="987">
        <f t="shared" si="106"/>
        <v>17.852852278965557</v>
      </c>
      <c r="AB64" s="988">
        <f t="shared" ref="AB64" si="107">AB62/AB58</f>
        <v>18.184233901399026</v>
      </c>
      <c r="AC64" s="987">
        <f>AC62/AC58</f>
        <v>18.799428284497193</v>
      </c>
      <c r="AD64" s="987">
        <f>AD62/AD58</f>
        <v>18.47156188006247</v>
      </c>
      <c r="AE64" s="987">
        <f>AE62/AE58</f>
        <v>18.586170833730968</v>
      </c>
      <c r="AF64" s="987">
        <f>AF62/AF58</f>
        <v>18.418678937681683</v>
      </c>
      <c r="AG64" s="987">
        <f>AG62/AG58</f>
        <v>17.205775578999937</v>
      </c>
      <c r="AH64" s="805"/>
      <c r="AI64" s="807">
        <f t="shared" si="105"/>
        <v>18.146493011549602</v>
      </c>
      <c r="AJ64" s="808">
        <f t="shared" si="105"/>
        <v>19.834369590340408</v>
      </c>
      <c r="AK64" s="808">
        <f t="shared" si="105"/>
        <v>20.494004394175537</v>
      </c>
      <c r="AL64" s="808">
        <f t="shared" si="105"/>
        <v>24.213498207486762</v>
      </c>
      <c r="AM64" s="808">
        <f t="shared" si="105"/>
        <v>22.678894012110447</v>
      </c>
      <c r="AN64" s="808">
        <f t="shared" si="105"/>
        <v>18.471586413906504</v>
      </c>
      <c r="AO64" s="808"/>
    </row>
    <row r="65" spans="3:42" s="625" customFormat="1" x14ac:dyDescent="0.3">
      <c r="C65" s="635"/>
      <c r="D65" s="744" t="s">
        <v>389</v>
      </c>
      <c r="E65" s="725"/>
      <c r="F65" s="725"/>
      <c r="G65" s="725"/>
      <c r="H65" s="726"/>
      <c r="I65" s="725"/>
      <c r="J65" s="725"/>
      <c r="K65" s="725"/>
      <c r="L65" s="726"/>
      <c r="M65" s="725"/>
      <c r="N65" s="725"/>
      <c r="O65" s="725"/>
      <c r="P65" s="725"/>
      <c r="Q65" s="725"/>
      <c r="R65" s="725"/>
      <c r="S65" s="725"/>
      <c r="T65" s="726"/>
      <c r="U65" s="745">
        <f t="shared" ref="U65" si="108">U64/Q64-1</f>
        <v>0.29785423013017587</v>
      </c>
      <c r="V65" s="745">
        <f t="shared" ref="V65" si="109">V64/R64-1</f>
        <v>5.7758654820362132E-2</v>
      </c>
      <c r="W65" s="745">
        <f t="shared" ref="W65" si="110">W64/S64-1</f>
        <v>-0.14426658987896968</v>
      </c>
      <c r="X65" s="746">
        <f t="shared" ref="X65" si="111">X64/T64-1</f>
        <v>-0.35379346294803637</v>
      </c>
      <c r="Y65" s="745">
        <f t="shared" ref="Y65" si="112">Y64/U64-1</f>
        <v>-0.27988580760811754</v>
      </c>
      <c r="Z65" s="745">
        <f t="shared" ref="Z65" si="113">Z64/V64-1</f>
        <v>-0.25646621422371829</v>
      </c>
      <c r="AA65" s="745">
        <f t="shared" ref="AA65:AG65" si="114">AA64/W64-1</f>
        <v>-0.18061649068472863</v>
      </c>
      <c r="AB65" s="746">
        <f t="shared" si="114"/>
        <v>2.6575106941715054E-2</v>
      </c>
      <c r="AC65" s="745">
        <f t="shared" si="114"/>
        <v>-2.2273289914512162E-2</v>
      </c>
      <c r="AD65" s="745">
        <f t="shared" si="114"/>
        <v>-1.2370318174708017E-2</v>
      </c>
      <c r="AE65" s="745">
        <f t="shared" si="114"/>
        <v>4.10757084250013E-2</v>
      </c>
      <c r="AF65" s="745">
        <f t="shared" si="114"/>
        <v>1.289276400391115E-2</v>
      </c>
      <c r="AG65" s="745">
        <f t="shared" si="114"/>
        <v>-8.4771338860950896E-2</v>
      </c>
      <c r="AH65" s="724"/>
      <c r="AI65" s="728"/>
      <c r="AJ65" s="729"/>
      <c r="AK65" s="729"/>
      <c r="AL65" s="729"/>
      <c r="AM65" s="729"/>
      <c r="AN65" s="725"/>
      <c r="AO65" s="725"/>
      <c r="AP65" s="626"/>
    </row>
    <row r="66" spans="3:42" ht="16" outlineLevel="1" x14ac:dyDescent="0.35">
      <c r="C66" s="594"/>
      <c r="D66" s="803" t="s">
        <v>370</v>
      </c>
      <c r="E66" s="805">
        <f t="shared" ref="E66:Z66" si="115">E39-E64</f>
        <v>8.5385804029069696</v>
      </c>
      <c r="F66" s="805">
        <f t="shared" si="115"/>
        <v>2.9884475281532126</v>
      </c>
      <c r="G66" s="805">
        <f t="shared" si="115"/>
        <v>3.7458129129478266</v>
      </c>
      <c r="H66" s="806">
        <f t="shared" si="115"/>
        <v>5.0713732259111559</v>
      </c>
      <c r="I66" s="805">
        <f t="shared" si="115"/>
        <v>9.191695663759635</v>
      </c>
      <c r="J66" s="805">
        <f t="shared" si="115"/>
        <v>7.9731591541665381</v>
      </c>
      <c r="K66" s="805">
        <f t="shared" si="115"/>
        <v>9.5280321216542063E-2</v>
      </c>
      <c r="L66" s="805">
        <f t="shared" si="115"/>
        <v>2.7235602161568906</v>
      </c>
      <c r="M66" s="805">
        <f t="shared" si="115"/>
        <v>3.946497830296213</v>
      </c>
      <c r="N66" s="805">
        <f t="shared" si="115"/>
        <v>0.52549484784315226</v>
      </c>
      <c r="O66" s="805">
        <f t="shared" si="115"/>
        <v>1.6328580239909343</v>
      </c>
      <c r="P66" s="805">
        <f t="shared" si="115"/>
        <v>6.0501303488493967</v>
      </c>
      <c r="Q66" s="805">
        <f t="shared" si="115"/>
        <v>3.7236751605486162</v>
      </c>
      <c r="R66" s="805">
        <f t="shared" si="115"/>
        <v>1.0505443243069124E-2</v>
      </c>
      <c r="S66" s="805">
        <f t="shared" si="115"/>
        <v>0.2134237199485618</v>
      </c>
      <c r="T66" s="805">
        <f t="shared" si="115"/>
        <v>-0.5452391053422474</v>
      </c>
      <c r="U66" s="805">
        <f t="shared" si="115"/>
        <v>-2.2131201411609531</v>
      </c>
      <c r="V66" s="805">
        <f t="shared" si="115"/>
        <v>-2.6650778622662514</v>
      </c>
      <c r="W66" s="805">
        <f t="shared" si="115"/>
        <v>1.9978144948245706</v>
      </c>
      <c r="X66" s="806">
        <f t="shared" si="115"/>
        <v>5.2285511869396224</v>
      </c>
      <c r="Y66" s="987">
        <f t="shared" si="115"/>
        <v>3.9217675738966982</v>
      </c>
      <c r="Z66" s="987">
        <f t="shared" si="115"/>
        <v>2.7343116192681372</v>
      </c>
      <c r="AA66" s="987">
        <f t="shared" ref="AA66:AF66" si="116">AA39-AA64</f>
        <v>7.018655591870143</v>
      </c>
      <c r="AB66" s="988">
        <f t="shared" si="116"/>
        <v>4.6988257015882233</v>
      </c>
      <c r="AC66" s="987">
        <f t="shared" si="116"/>
        <v>5.5843109387167544</v>
      </c>
      <c r="AD66" s="987">
        <f t="shared" si="116"/>
        <v>5.4485704211934731</v>
      </c>
      <c r="AE66" s="987">
        <f t="shared" si="116"/>
        <v>6.5260100998437949</v>
      </c>
      <c r="AF66" s="987">
        <f t="shared" si="116"/>
        <v>6.4901519176127849</v>
      </c>
      <c r="AG66" s="987">
        <f t="shared" ref="AG66" si="117">AG39-AG64</f>
        <v>6.3116874991150667</v>
      </c>
      <c r="AH66" s="805"/>
      <c r="AI66" s="807"/>
      <c r="AJ66" s="808"/>
      <c r="AK66" s="808"/>
      <c r="AL66" s="808"/>
      <c r="AM66" s="808"/>
      <c r="AN66" s="805"/>
      <c r="AO66" s="805"/>
    </row>
    <row r="67" spans="3:42" ht="16" outlineLevel="1" x14ac:dyDescent="0.35">
      <c r="C67" s="594"/>
      <c r="D67" s="803" t="s">
        <v>371</v>
      </c>
      <c r="E67" s="805"/>
      <c r="F67" s="805"/>
      <c r="G67" s="805"/>
      <c r="H67" s="806"/>
      <c r="I67" s="805"/>
      <c r="J67" s="805"/>
      <c r="K67" s="805"/>
      <c r="L67" s="805"/>
      <c r="M67" s="805"/>
      <c r="N67" s="805"/>
      <c r="O67" s="805"/>
      <c r="P67" s="805"/>
      <c r="Q67" s="805"/>
      <c r="R67" s="805"/>
      <c r="S67" s="805"/>
      <c r="T67" s="805"/>
      <c r="U67" s="805">
        <f>U35-U60</f>
        <v>-131.2422849331723</v>
      </c>
      <c r="V67" s="809">
        <f t="shared" ref="V67:Z67" si="118">V35-V60</f>
        <v>-254.80204935421182</v>
      </c>
      <c r="W67" s="809">
        <f t="shared" si="118"/>
        <v>-272.84725502181891</v>
      </c>
      <c r="X67" s="810">
        <f t="shared" si="118"/>
        <v>-204.18230545331517</v>
      </c>
      <c r="Y67" s="809">
        <f t="shared" si="118"/>
        <v>-261.39290377686018</v>
      </c>
      <c r="Z67" s="809">
        <f t="shared" si="118"/>
        <v>-270.1793319737385</v>
      </c>
      <c r="AA67" s="809">
        <f t="shared" ref="AA67:AF67" si="119">AA35-AA60</f>
        <v>-242.65823759322325</v>
      </c>
      <c r="AB67" s="810">
        <f t="shared" si="119"/>
        <v>-167.46721347230755</v>
      </c>
      <c r="AC67" s="809">
        <f t="shared" si="119"/>
        <v>-236.79841909339325</v>
      </c>
      <c r="AD67" s="809">
        <f t="shared" si="119"/>
        <v>-252.08000154071931</v>
      </c>
      <c r="AE67" s="809">
        <f t="shared" si="119"/>
        <v>-276.84254625233655</v>
      </c>
      <c r="AF67" s="809">
        <f t="shared" si="119"/>
        <v>-170.91121554312269</v>
      </c>
      <c r="AG67" s="809">
        <f t="shared" ref="AG67" si="120">AG35-AG60</f>
        <v>-164.4805573606119</v>
      </c>
      <c r="AH67" s="805"/>
      <c r="AI67" s="807"/>
      <c r="AJ67" s="808"/>
      <c r="AK67" s="808"/>
      <c r="AL67" s="808"/>
      <c r="AM67" s="808"/>
      <c r="AN67" s="805"/>
      <c r="AO67" s="805"/>
    </row>
    <row r="68" spans="3:42" x14ac:dyDescent="0.35">
      <c r="C68" s="811" t="s">
        <v>270</v>
      </c>
      <c r="D68" s="812"/>
      <c r="E68" s="813"/>
      <c r="F68" s="814"/>
      <c r="G68" s="814"/>
      <c r="H68" s="815"/>
      <c r="I68" s="814"/>
      <c r="J68" s="814"/>
      <c r="K68" s="814"/>
      <c r="L68" s="814"/>
      <c r="M68" s="813"/>
      <c r="N68" s="814"/>
      <c r="O68" s="814"/>
      <c r="P68" s="814"/>
      <c r="Q68" s="813"/>
      <c r="R68" s="814"/>
      <c r="S68" s="814"/>
      <c r="T68" s="815"/>
      <c r="U68" s="813"/>
      <c r="V68" s="814"/>
      <c r="W68" s="814"/>
      <c r="X68" s="815"/>
      <c r="Y68" s="814"/>
      <c r="Z68" s="814"/>
      <c r="AA68" s="814"/>
      <c r="AB68" s="815"/>
      <c r="AC68" s="814"/>
      <c r="AD68" s="814"/>
      <c r="AE68" s="814"/>
      <c r="AF68" s="814"/>
      <c r="AG68" s="814"/>
      <c r="AH68" s="816"/>
      <c r="AI68" s="817"/>
      <c r="AJ68" s="818"/>
      <c r="AK68" s="818"/>
      <c r="AL68" s="818"/>
      <c r="AM68" s="818"/>
      <c r="AN68" s="812"/>
      <c r="AO68" s="812"/>
    </row>
    <row r="69" spans="3:42" x14ac:dyDescent="0.35">
      <c r="C69" s="817"/>
      <c r="D69" s="812" t="s">
        <v>62</v>
      </c>
      <c r="E69" s="819">
        <f t="shared" ref="E69:Y69" si="121">E29/E56</f>
        <v>0.2285033238344592</v>
      </c>
      <c r="F69" s="819">
        <f t="shared" si="121"/>
        <v>0.2790181091100114</v>
      </c>
      <c r="G69" s="819">
        <f t="shared" si="121"/>
        <v>0.24978868065914933</v>
      </c>
      <c r="H69" s="820">
        <f t="shared" si="121"/>
        <v>0.27979009031689606</v>
      </c>
      <c r="I69" s="819">
        <f t="shared" si="121"/>
        <v>0.41676707333162055</v>
      </c>
      <c r="J69" s="819">
        <f t="shared" si="121"/>
        <v>0.38331044495837202</v>
      </c>
      <c r="K69" s="819">
        <f t="shared" si="121"/>
        <v>0.3092548162916321</v>
      </c>
      <c r="L69" s="819">
        <f t="shared" si="121"/>
        <v>0.33109758575127296</v>
      </c>
      <c r="M69" s="819">
        <f t="shared" si="121"/>
        <v>0.38000160736917621</v>
      </c>
      <c r="N69" s="819">
        <f t="shared" si="121"/>
        <v>0.30653179538328229</v>
      </c>
      <c r="O69" s="819">
        <f t="shared" si="121"/>
        <v>0.34071369446006544</v>
      </c>
      <c r="P69" s="819">
        <f t="shared" si="121"/>
        <v>0.3739226523166419</v>
      </c>
      <c r="Q69" s="819">
        <f t="shared" si="121"/>
        <v>0.45257059764220781</v>
      </c>
      <c r="R69" s="819">
        <f t="shared" si="121"/>
        <v>0.40262430711581798</v>
      </c>
      <c r="S69" s="819">
        <f t="shared" si="121"/>
        <v>0.35761163397413998</v>
      </c>
      <c r="T69" s="819">
        <f t="shared" si="121"/>
        <v>0.39097020547526196</v>
      </c>
      <c r="U69" s="819">
        <f t="shared" si="121"/>
        <v>0.32235253903314154</v>
      </c>
      <c r="V69" s="819">
        <f t="shared" si="121"/>
        <v>0.28437978106379519</v>
      </c>
      <c r="W69" s="819">
        <f t="shared" si="121"/>
        <v>0.24552410488564702</v>
      </c>
      <c r="X69" s="820">
        <f t="shared" si="121"/>
        <v>0.27153141411142939</v>
      </c>
      <c r="Y69" s="819">
        <f t="shared" si="121"/>
        <v>0.27003583864024611</v>
      </c>
      <c r="Z69" s="819">
        <f t="shared" ref="Z69:AA69" si="122">Z29/Z56</f>
        <v>0.28420106140829021</v>
      </c>
      <c r="AA69" s="819">
        <f t="shared" si="122"/>
        <v>0.26737570855924053</v>
      </c>
      <c r="AB69" s="820">
        <f t="shared" ref="AB69" si="123">AB29/AB56</f>
        <v>0.28014761644808844</v>
      </c>
      <c r="AC69" s="819">
        <f>AC29/AC56</f>
        <v>0.28544830383251757</v>
      </c>
      <c r="AD69" s="819">
        <f>AD29/AD56</f>
        <v>0.29271820834753154</v>
      </c>
      <c r="AE69" s="819">
        <f>AE29/AE56</f>
        <v>0.26648750984031427</v>
      </c>
      <c r="AF69" s="819">
        <f>AF29/AF56</f>
        <v>0.30829605234371893</v>
      </c>
      <c r="AG69" s="819">
        <f>AG29/AG56</f>
        <v>0.34363504123514327</v>
      </c>
      <c r="AH69" s="821"/>
      <c r="AI69" s="822">
        <f t="shared" ref="AI69:AN69" si="124">+AI29/AI56</f>
        <v>0.25867230793470342</v>
      </c>
      <c r="AJ69" s="823">
        <f t="shared" si="124"/>
        <v>0.3436586321153956</v>
      </c>
      <c r="AK69" s="823">
        <f t="shared" si="124"/>
        <v>0.34412512095494163</v>
      </c>
      <c r="AL69" s="823">
        <f t="shared" si="124"/>
        <v>0.39569303288198959</v>
      </c>
      <c r="AM69" s="823">
        <f t="shared" si="124"/>
        <v>0.27747569019279605</v>
      </c>
      <c r="AN69" s="823">
        <f t="shared" si="124"/>
        <v>0.27462473765692502</v>
      </c>
      <c r="AO69" s="823"/>
    </row>
    <row r="70" spans="3:42" x14ac:dyDescent="0.35">
      <c r="C70" s="817"/>
      <c r="D70" s="812" t="s">
        <v>247</v>
      </c>
      <c r="E70" s="824">
        <f t="shared" ref="E70:Y70" si="125">E37/E62</f>
        <v>0.40794930967011678</v>
      </c>
      <c r="F70" s="824">
        <f t="shared" si="125"/>
        <v>0.39704999117380785</v>
      </c>
      <c r="G70" s="824">
        <f t="shared" si="125"/>
        <v>0.36671897723855224</v>
      </c>
      <c r="H70" s="825">
        <f t="shared" si="125"/>
        <v>0.42105674998178699</v>
      </c>
      <c r="I70" s="824">
        <f t="shared" si="125"/>
        <v>0.73999355555908497</v>
      </c>
      <c r="J70" s="824">
        <f t="shared" si="125"/>
        <v>0.49041722125629073</v>
      </c>
      <c r="K70" s="824">
        <f t="shared" si="125"/>
        <v>0.38906215192462662</v>
      </c>
      <c r="L70" s="824">
        <f t="shared" si="125"/>
        <v>0.39421859412372878</v>
      </c>
      <c r="M70" s="824">
        <f t="shared" si="125"/>
        <v>0.50375195202145917</v>
      </c>
      <c r="N70" s="824">
        <f t="shared" si="125"/>
        <v>0.40000068349358359</v>
      </c>
      <c r="O70" s="824">
        <f t="shared" si="125"/>
        <v>0.45345851812170868</v>
      </c>
      <c r="P70" s="824">
        <f t="shared" si="125"/>
        <v>0.56340849010590499</v>
      </c>
      <c r="Q70" s="824">
        <f t="shared" si="125"/>
        <v>0.6185062908408373</v>
      </c>
      <c r="R70" s="824">
        <f t="shared" si="125"/>
        <v>0.50033520572572621</v>
      </c>
      <c r="S70" s="824">
        <f t="shared" si="125"/>
        <v>0.43211705653347332</v>
      </c>
      <c r="T70" s="824">
        <f t="shared" si="125"/>
        <v>0.462397223633912</v>
      </c>
      <c r="U70" s="824">
        <f t="shared" si="125"/>
        <v>0.34403352913925472</v>
      </c>
      <c r="V70" s="824">
        <f t="shared" si="125"/>
        <v>0.35531715394939367</v>
      </c>
      <c r="W70" s="824">
        <f t="shared" si="125"/>
        <v>0.36722419763399189</v>
      </c>
      <c r="X70" s="825">
        <f t="shared" si="125"/>
        <v>0.47160739830197479</v>
      </c>
      <c r="Y70" s="824">
        <f t="shared" si="125"/>
        <v>0.4571387949669129</v>
      </c>
      <c r="Z70" s="824">
        <f t="shared" ref="Z70:AA70" si="126">Z37/Z62</f>
        <v>0.48250668629344562</v>
      </c>
      <c r="AA70" s="824">
        <f t="shared" si="126"/>
        <v>0.51044165618436854</v>
      </c>
      <c r="AB70" s="825">
        <f t="shared" ref="AB70" si="127">AB37/AB62</f>
        <v>0.45814336721816151</v>
      </c>
      <c r="AC70" s="824">
        <f t="shared" ref="AC70:AD70" si="128">AC37/AC62</f>
        <v>0.5221505131942682</v>
      </c>
      <c r="AD70" s="824">
        <f t="shared" si="128"/>
        <v>0.54785036668028342</v>
      </c>
      <c r="AE70" s="824">
        <f t="shared" ref="AE70:AF70" si="129">AE37/AE62</f>
        <v>0.52611258736979682</v>
      </c>
      <c r="AF70" s="824">
        <f t="shared" si="129"/>
        <v>0.54390302670349178</v>
      </c>
      <c r="AG70" s="824">
        <f t="shared" ref="AG70" si="130">AG37/AG62</f>
        <v>0.580485382028742</v>
      </c>
      <c r="AH70" s="593"/>
      <c r="AI70" s="826">
        <f t="shared" ref="AI70:AN70" si="131">AI37/AI62</f>
        <v>0.3974010593348517</v>
      </c>
      <c r="AJ70" s="827">
        <f t="shared" si="131"/>
        <v>0.44656902566933743</v>
      </c>
      <c r="AK70" s="827">
        <f t="shared" si="131"/>
        <v>0.46894870592086418</v>
      </c>
      <c r="AL70" s="827">
        <f t="shared" si="131"/>
        <v>0.49426489995678691</v>
      </c>
      <c r="AM70" s="827">
        <f t="shared" si="131"/>
        <v>0.37813052776043821</v>
      </c>
      <c r="AN70" s="827">
        <f t="shared" si="131"/>
        <v>0.47778751950640441</v>
      </c>
      <c r="AO70" s="827"/>
    </row>
    <row r="71" spans="3:42" x14ac:dyDescent="0.35">
      <c r="C71" s="828"/>
      <c r="D71" s="829" t="s">
        <v>137</v>
      </c>
      <c r="E71" s="830">
        <f t="shared" ref="E71:Y71" si="132">E32/E58</f>
        <v>0.27826590528629791</v>
      </c>
      <c r="F71" s="830">
        <f t="shared" si="132"/>
        <v>0.34336552365565842</v>
      </c>
      <c r="G71" s="830">
        <f t="shared" si="132"/>
        <v>0.30408749828175868</v>
      </c>
      <c r="H71" s="831">
        <f t="shared" si="132"/>
        <v>0.32472206741076676</v>
      </c>
      <c r="I71" s="830">
        <f t="shared" si="132"/>
        <v>0.5018354478615179</v>
      </c>
      <c r="J71" s="830">
        <f t="shared" si="132"/>
        <v>0.34708237679072951</v>
      </c>
      <c r="K71" s="830">
        <f t="shared" si="132"/>
        <v>0.38718614145860553</v>
      </c>
      <c r="L71" s="830">
        <f t="shared" si="132"/>
        <v>0.34793936656231977</v>
      </c>
      <c r="M71" s="830">
        <f t="shared" si="132"/>
        <v>0.42091628595228536</v>
      </c>
      <c r="N71" s="830">
        <f t="shared" si="132"/>
        <v>0.39026928079406425</v>
      </c>
      <c r="O71" s="830">
        <f t="shared" si="132"/>
        <v>0.42041230818409953</v>
      </c>
      <c r="P71" s="830">
        <f t="shared" si="132"/>
        <v>0.43128853643190695</v>
      </c>
      <c r="Q71" s="830">
        <f t="shared" si="132"/>
        <v>0.52371527940235973</v>
      </c>
      <c r="R71" s="830">
        <f t="shared" si="132"/>
        <v>0.50011427229384131</v>
      </c>
      <c r="S71" s="830">
        <f t="shared" si="132"/>
        <v>0.42852505100288191</v>
      </c>
      <c r="T71" s="830">
        <f t="shared" si="132"/>
        <v>0.47178137171521412</v>
      </c>
      <c r="U71" s="830">
        <f t="shared" si="132"/>
        <v>0.37512608811508918</v>
      </c>
      <c r="V71" s="830">
        <f t="shared" si="132"/>
        <v>0.39742427124922775</v>
      </c>
      <c r="W71" s="830">
        <f t="shared" si="132"/>
        <v>0.33638055580098258</v>
      </c>
      <c r="X71" s="831">
        <f t="shared" si="132"/>
        <v>0.36412686626049018</v>
      </c>
      <c r="Y71" s="830">
        <f t="shared" si="132"/>
        <v>0.37969456444754585</v>
      </c>
      <c r="Z71" s="832">
        <f t="shared" ref="Z71:AA71" si="133">Z32/Z58</f>
        <v>0.420963130752674</v>
      </c>
      <c r="AA71" s="832">
        <f t="shared" si="133"/>
        <v>0.36639674330223304</v>
      </c>
      <c r="AB71" s="930">
        <f t="shared" ref="AB71" si="134">AB32/AB58</f>
        <v>0.36406784295497063</v>
      </c>
      <c r="AC71" s="830">
        <f t="shared" ref="AC71:AD71" si="135">AC32/AC58</f>
        <v>0.40256873798764381</v>
      </c>
      <c r="AD71" s="832">
        <f t="shared" si="135"/>
        <v>0.42306003251572455</v>
      </c>
      <c r="AE71" s="832">
        <f t="shared" ref="AE71:AF71" si="136">AE32/AE58</f>
        <v>0.38938945416555182</v>
      </c>
      <c r="AF71" s="832">
        <f t="shared" si="136"/>
        <v>0.40218568588318804</v>
      </c>
      <c r="AG71" s="832">
        <f t="shared" ref="AG71" si="137">AG32/AG58</f>
        <v>0.42469296866340062</v>
      </c>
      <c r="AH71" s="593"/>
      <c r="AI71" s="833">
        <f t="shared" ref="AI71:AN71" si="138">AI32/AI58</f>
        <v>0.31262678328283577</v>
      </c>
      <c r="AJ71" s="834">
        <f t="shared" si="138"/>
        <v>0.37844257139715698</v>
      </c>
      <c r="AK71" s="834">
        <f t="shared" si="138"/>
        <v>0.4132286858518377</v>
      </c>
      <c r="AL71" s="834">
        <f t="shared" si="138"/>
        <v>0.4761743792908838</v>
      </c>
      <c r="AM71" s="834">
        <f t="shared" si="138"/>
        <v>0.36673675128514949</v>
      </c>
      <c r="AN71" s="834">
        <f t="shared" si="138"/>
        <v>0.38191782301333604</v>
      </c>
      <c r="AO71" s="834"/>
    </row>
    <row r="72" spans="3:42" ht="16" thickBot="1" x14ac:dyDescent="0.4">
      <c r="C72" s="835"/>
      <c r="D72" s="836" t="s">
        <v>146</v>
      </c>
      <c r="E72" s="837">
        <f t="shared" ref="E72:Y72" si="139">E35/E60</f>
        <v>0.82116895887831054</v>
      </c>
      <c r="F72" s="837">
        <f t="shared" si="139"/>
        <v>0.81259791670699921</v>
      </c>
      <c r="G72" s="837">
        <f t="shared" si="139"/>
        <v>0.82143686294921814</v>
      </c>
      <c r="H72" s="838">
        <f t="shared" si="139"/>
        <v>0.85892389518535006</v>
      </c>
      <c r="I72" s="837">
        <f t="shared" si="139"/>
        <v>0.83048551681041594</v>
      </c>
      <c r="J72" s="837">
        <f t="shared" si="139"/>
        <v>1.1043788754289996</v>
      </c>
      <c r="K72" s="837">
        <f t="shared" si="139"/>
        <v>0.7987238776847978</v>
      </c>
      <c r="L72" s="837">
        <f t="shared" si="139"/>
        <v>0.95159564444389977</v>
      </c>
      <c r="M72" s="837">
        <f t="shared" si="139"/>
        <v>0.90279616173429023</v>
      </c>
      <c r="N72" s="837">
        <f t="shared" si="139"/>
        <v>0.78543664712630012</v>
      </c>
      <c r="O72" s="837">
        <f t="shared" si="139"/>
        <v>0.81042749659666513</v>
      </c>
      <c r="P72" s="837">
        <f t="shared" si="139"/>
        <v>0.86698954581575782</v>
      </c>
      <c r="Q72" s="837">
        <f t="shared" si="139"/>
        <v>0.86415389323500547</v>
      </c>
      <c r="R72" s="837">
        <f t="shared" si="139"/>
        <v>0.80506462106975563</v>
      </c>
      <c r="S72" s="837">
        <f t="shared" si="139"/>
        <v>0.83451745268384536</v>
      </c>
      <c r="T72" s="837">
        <f t="shared" si="139"/>
        <v>0.82871056153371625</v>
      </c>
      <c r="U72" s="837">
        <f t="shared" si="139"/>
        <v>0.85931783804448014</v>
      </c>
      <c r="V72" s="837">
        <f t="shared" si="139"/>
        <v>0.71555715550512633</v>
      </c>
      <c r="W72" s="837">
        <f t="shared" si="139"/>
        <v>0.7298998133260407</v>
      </c>
      <c r="X72" s="838">
        <f t="shared" si="139"/>
        <v>0.74320367691339462</v>
      </c>
      <c r="Y72" s="837">
        <f t="shared" si="139"/>
        <v>0.71119226853601991</v>
      </c>
      <c r="Z72" s="837">
        <f t="shared" ref="Z72:AA72" si="140">Z35/Z60</f>
        <v>0.67512102758297177</v>
      </c>
      <c r="AA72" s="837">
        <f t="shared" si="140"/>
        <v>0.72709800869090591</v>
      </c>
      <c r="AB72" s="838">
        <f t="shared" ref="AB72" si="141">AB35/AB60</f>
        <v>0.76949288949625294</v>
      </c>
      <c r="AC72" s="837">
        <f t="shared" ref="AC72:AD72" si="142">AC35/AC60</f>
        <v>0.70906723969529628</v>
      </c>
      <c r="AD72" s="837">
        <f t="shared" si="142"/>
        <v>0.6919070246529414</v>
      </c>
      <c r="AE72" s="837">
        <f t="shared" ref="AE72:AF72" si="143">AE35/AE60</f>
        <v>0.6843726941999182</v>
      </c>
      <c r="AF72" s="837">
        <f t="shared" si="143"/>
        <v>0.76655152872163956</v>
      </c>
      <c r="AG72" s="837">
        <f t="shared" ref="AG72" si="144">AG35/AG60</f>
        <v>0.80913758077190701</v>
      </c>
      <c r="AH72" s="839"/>
      <c r="AI72" s="840">
        <f t="shared" ref="AI72:AN72" si="145">AI35/AI60</f>
        <v>0.8274156974601905</v>
      </c>
      <c r="AJ72" s="841">
        <f t="shared" si="145"/>
        <v>0.9080866109926693</v>
      </c>
      <c r="AK72" s="841">
        <f t="shared" si="145"/>
        <v>0.83277161711451719</v>
      </c>
      <c r="AL72" s="841">
        <f t="shared" si="145"/>
        <v>0.8309834591925197</v>
      </c>
      <c r="AM72" s="841">
        <f t="shared" si="145"/>
        <v>0.75660726453087279</v>
      </c>
      <c r="AN72" s="841">
        <f t="shared" si="145"/>
        <v>0.71906761378699913</v>
      </c>
      <c r="AO72" s="841"/>
    </row>
    <row r="73" spans="3:42" x14ac:dyDescent="0.35">
      <c r="C73" s="842" t="s">
        <v>351</v>
      </c>
      <c r="D73" s="748"/>
      <c r="E73" s="749"/>
      <c r="F73" s="748"/>
      <c r="G73" s="748"/>
      <c r="H73" s="843"/>
      <c r="I73" s="748"/>
      <c r="J73" s="751"/>
      <c r="K73" s="844"/>
      <c r="L73" s="844"/>
      <c r="M73" s="752"/>
      <c r="N73" s="751"/>
      <c r="O73" s="751"/>
      <c r="P73" s="751"/>
      <c r="Q73" s="752"/>
      <c r="R73" s="751"/>
      <c r="S73" s="751"/>
      <c r="T73" s="750"/>
      <c r="U73" s="752"/>
      <c r="V73" s="751"/>
      <c r="W73" s="751"/>
      <c r="X73" s="750"/>
      <c r="Y73" s="751"/>
      <c r="Z73" s="751"/>
      <c r="AA73" s="751"/>
      <c r="AB73" s="750"/>
      <c r="AC73" s="751"/>
      <c r="AD73" s="751"/>
      <c r="AE73" s="751"/>
      <c r="AF73" s="751"/>
      <c r="AG73" s="751"/>
      <c r="AH73" s="593"/>
      <c r="AI73" s="826"/>
      <c r="AJ73" s="827"/>
      <c r="AK73" s="827"/>
      <c r="AL73" s="827"/>
      <c r="AM73" s="827"/>
      <c r="AN73" s="824"/>
      <c r="AO73" s="824"/>
    </row>
    <row r="74" spans="3:42" ht="16.5" x14ac:dyDescent="0.4">
      <c r="C74" s="594"/>
      <c r="D74" s="627" t="s">
        <v>353</v>
      </c>
      <c r="E74" s="706">
        <v>17407.18816034</v>
      </c>
      <c r="F74" s="707">
        <v>19305.642522450002</v>
      </c>
      <c r="G74" s="707">
        <v>19380.719626356131</v>
      </c>
      <c r="H74" s="709">
        <v>18486.23211391189</v>
      </c>
      <c r="I74" s="707">
        <v>6810.3380273487182</v>
      </c>
      <c r="J74" s="707">
        <v>-838.19864908228999</v>
      </c>
      <c r="K74" s="707">
        <v>646.4727155929661</v>
      </c>
      <c r="L74" s="707">
        <v>880.72042345464797</v>
      </c>
      <c r="M74" s="706">
        <v>850.06299145557205</v>
      </c>
      <c r="N74" s="707">
        <v>1971.8064141853752</v>
      </c>
      <c r="O74" s="800">
        <v>2066.5069807511113</v>
      </c>
      <c r="P74" s="800">
        <v>1729.3273376376674</v>
      </c>
      <c r="Q74" s="801">
        <v>2010.1296713270003</v>
      </c>
      <c r="R74" s="800">
        <v>2916.2622975606596</v>
      </c>
      <c r="S74" s="800">
        <v>4587.3670372394799</v>
      </c>
      <c r="T74" s="802">
        <v>5662.1590709002803</v>
      </c>
      <c r="U74" s="801">
        <v>11337.61766078349</v>
      </c>
      <c r="V74" s="800">
        <v>17269.916523238102</v>
      </c>
      <c r="W74" s="800">
        <v>20071.770046260397</v>
      </c>
      <c r="X74" s="802">
        <v>17551.760969518</v>
      </c>
      <c r="Y74" s="800">
        <v>20866.269022976718</v>
      </c>
      <c r="Z74" s="800">
        <v>23166.573345633919</v>
      </c>
      <c r="AA74" s="800">
        <v>24510.721031687015</v>
      </c>
      <c r="AB74" s="802">
        <v>23617.519506561224</v>
      </c>
      <c r="AC74" s="800">
        <v>21526.291777894374</v>
      </c>
      <c r="AD74" s="800">
        <f>[9]机票!$AC$63</f>
        <v>25799.983724889891</v>
      </c>
      <c r="AE74" s="800">
        <v>28737.640576488902</v>
      </c>
      <c r="AF74" s="800">
        <f>[10]机票!$AE$63</f>
        <v>25733.453863017767</v>
      </c>
      <c r="AG74" s="800">
        <f>[11]机票!$AF$63</f>
        <v>28080.293298840617</v>
      </c>
      <c r="AH74" s="593" t="s">
        <v>444</v>
      </c>
      <c r="AI74" s="776">
        <f>+SUM(E74:H74)</f>
        <v>74579.782423058015</v>
      </c>
      <c r="AJ74" s="776">
        <f>SUM(I74:L74)</f>
        <v>7499.332517314042</v>
      </c>
      <c r="AK74" s="776">
        <f>SUM(M74:P74)</f>
        <v>6617.7037240297259</v>
      </c>
      <c r="AL74" s="776">
        <f>SUM(Q74:T74)</f>
        <v>15175.918077027422</v>
      </c>
      <c r="AM74" s="776">
        <f>SUM(U74:X74)</f>
        <v>66231.065199799981</v>
      </c>
      <c r="AN74" s="776">
        <f>SUM(Y74:AB74)</f>
        <v>92161.082906858879</v>
      </c>
      <c r="AO74" s="776"/>
    </row>
    <row r="75" spans="3:42" x14ac:dyDescent="0.35">
      <c r="C75" s="635"/>
      <c r="D75" s="646" t="s">
        <v>134</v>
      </c>
      <c r="E75" s="626"/>
      <c r="F75" s="627"/>
      <c r="G75" s="627"/>
      <c r="H75" s="628"/>
      <c r="I75" s="681"/>
      <c r="J75" s="681"/>
      <c r="K75" s="681"/>
      <c r="L75" s="681"/>
      <c r="M75" s="780">
        <f>M74/E74-1</f>
        <v>-0.95116597904121414</v>
      </c>
      <c r="N75" s="781">
        <f>N74/F74-1</f>
        <v>-0.89786372497613509</v>
      </c>
      <c r="O75" s="781">
        <f>O74/G74-1</f>
        <v>-0.89337305215742158</v>
      </c>
      <c r="P75" s="781">
        <f>P74/H74-1</f>
        <v>-0.90645322816561114</v>
      </c>
      <c r="Q75" s="780">
        <f>Q74/E74-1</f>
        <v>-0.88452301125193689</v>
      </c>
      <c r="R75" s="781">
        <f>R74/F74-1</f>
        <v>-0.84894248952504858</v>
      </c>
      <c r="S75" s="781">
        <f>S74/G74-1</f>
        <v>-0.76330254367845818</v>
      </c>
      <c r="T75" s="782">
        <f>T74/H74-1</f>
        <v>-0.69370940297567729</v>
      </c>
      <c r="U75" s="780">
        <f>U74/E74-1</f>
        <v>-0.348681845893137</v>
      </c>
      <c r="V75" s="781">
        <f>V74/F74-1</f>
        <v>-0.10544720264267871</v>
      </c>
      <c r="W75" s="781">
        <f>W74/G74-1</f>
        <v>3.5656592388060515E-2</v>
      </c>
      <c r="X75" s="782">
        <f>X74/H74-1</f>
        <v>-5.0549573251904012E-2</v>
      </c>
      <c r="Y75" s="781">
        <f t="shared" ref="Y75:AG75" si="146">Y74/U74-1</f>
        <v>0.84044564275196665</v>
      </c>
      <c r="Z75" s="781">
        <f t="shared" si="146"/>
        <v>0.34144095684894471</v>
      </c>
      <c r="AA75" s="781">
        <f t="shared" si="146"/>
        <v>0.22115393785380899</v>
      </c>
      <c r="AB75" s="782">
        <f t="shared" si="146"/>
        <v>0.34559259025789935</v>
      </c>
      <c r="AC75" s="781">
        <f t="shared" si="146"/>
        <v>3.1631086237356554E-2</v>
      </c>
      <c r="AD75" s="781">
        <f t="shared" si="146"/>
        <v>0.11367284837367975</v>
      </c>
      <c r="AE75" s="781">
        <f t="shared" si="146"/>
        <v>0.17245186460803841</v>
      </c>
      <c r="AF75" s="781">
        <f t="shared" si="146"/>
        <v>8.9591726847889852E-2</v>
      </c>
      <c r="AG75" s="781">
        <f t="shared" si="146"/>
        <v>0.30446495794861583</v>
      </c>
      <c r="AH75" s="593"/>
      <c r="AI75" s="781"/>
      <c r="AJ75" s="781"/>
      <c r="AK75" s="781"/>
      <c r="AL75" s="781"/>
      <c r="AM75" s="781"/>
      <c r="AN75" s="781"/>
      <c r="AO75" s="781"/>
    </row>
    <row r="76" spans="3:42" x14ac:dyDescent="0.35">
      <c r="C76" s="594"/>
      <c r="D76" s="627" t="s">
        <v>354</v>
      </c>
      <c r="E76" s="783">
        <v>13.055273</v>
      </c>
      <c r="F76" s="784">
        <v>13.999423</v>
      </c>
      <c r="G76" s="784">
        <v>13.865314999999999</v>
      </c>
      <c r="H76" s="785">
        <v>14.399249000000001</v>
      </c>
      <c r="I76" s="784">
        <v>2.6013099999999998</v>
      </c>
      <c r="J76" s="784">
        <v>-0.41335900000000003</v>
      </c>
      <c r="K76" s="784">
        <v>0.10458200000000001</v>
      </c>
      <c r="L76" s="784">
        <v>0.29505700000000001</v>
      </c>
      <c r="M76" s="783">
        <v>0.34541199999999994</v>
      </c>
      <c r="N76" s="784">
        <v>0.68202199999999991</v>
      </c>
      <c r="O76" s="784">
        <v>0.61408799999999997</v>
      </c>
      <c r="P76" s="784">
        <v>0.68606800000000001</v>
      </c>
      <c r="Q76" s="783">
        <v>0.70362199999999997</v>
      </c>
      <c r="R76" s="784">
        <v>1.0001280000000001</v>
      </c>
      <c r="S76" s="784">
        <v>1.483552</v>
      </c>
      <c r="T76" s="785">
        <v>2.2071070000000002</v>
      </c>
      <c r="U76" s="783">
        <v>5.4235509999999998</v>
      </c>
      <c r="V76" s="786">
        <v>9.1728430000000003</v>
      </c>
      <c r="W76" s="786">
        <v>10.694161999999999</v>
      </c>
      <c r="X76" s="787">
        <v>10.835566</v>
      </c>
      <c r="Y76" s="786">
        <v>13.30611</v>
      </c>
      <c r="Z76" s="786">
        <v>14.866630000000001</v>
      </c>
      <c r="AA76" s="786">
        <v>16.062875999999999</v>
      </c>
      <c r="AB76" s="787">
        <v>16.433859999999999</v>
      </c>
      <c r="AC76" s="786">
        <v>14.837997999999999</v>
      </c>
      <c r="AD76" s="786">
        <f>[9]机票!$AC$18</f>
        <v>17.648578000000001</v>
      </c>
      <c r="AE76" s="786">
        <v>19.159962999999998</v>
      </c>
      <c r="AF76" s="786">
        <f>[10]机票!$AE$18</f>
        <v>17.404578000000001</v>
      </c>
      <c r="AG76" s="786">
        <f>[11]机票!$AF$18</f>
        <v>18.657011000000001</v>
      </c>
      <c r="AH76" s="593"/>
      <c r="AI76" s="786">
        <f>+SUM(E76:H76)</f>
        <v>55.31926</v>
      </c>
      <c r="AJ76" s="786">
        <f>SUM(I76:L76)</f>
        <v>2.5875900000000001</v>
      </c>
      <c r="AK76" s="786">
        <f>SUM(M76:P76)</f>
        <v>2.3275899999999998</v>
      </c>
      <c r="AL76" s="786">
        <f>SUM(Q76:T76)</f>
        <v>5.3944089999999996</v>
      </c>
      <c r="AM76" s="786">
        <f>SUM(U76:X76)</f>
        <v>36.126121999999995</v>
      </c>
      <c r="AN76" s="786">
        <f>SUM(Y76:AB76)</f>
        <v>60.669476000000003</v>
      </c>
      <c r="AO76" s="786"/>
    </row>
    <row r="77" spans="3:42" x14ac:dyDescent="0.35">
      <c r="C77" s="635"/>
      <c r="D77" s="646" t="s">
        <v>302</v>
      </c>
      <c r="E77" s="626"/>
      <c r="F77" s="627"/>
      <c r="G77" s="627"/>
      <c r="H77" s="628"/>
      <c r="I77" s="681"/>
      <c r="J77" s="681"/>
      <c r="K77" s="681"/>
      <c r="L77" s="681"/>
      <c r="M77" s="780">
        <f>M76/E76-1</f>
        <v>-0.97354233802694135</v>
      </c>
      <c r="N77" s="781">
        <f>N76/F76-1</f>
        <v>-0.95128213498513481</v>
      </c>
      <c r="O77" s="781">
        <f>O76/G76-1</f>
        <v>-0.95571049052978596</v>
      </c>
      <c r="P77" s="781">
        <f>P76/H76-1</f>
        <v>-0.95235390401263287</v>
      </c>
      <c r="Q77" s="780">
        <f>Q76/E76-1</f>
        <v>-0.94610438249740159</v>
      </c>
      <c r="R77" s="781">
        <f>R76/F76-1</f>
        <v>-0.92855934133856799</v>
      </c>
      <c r="S77" s="781">
        <f>S76/G76-1</f>
        <v>-0.89300264725323586</v>
      </c>
      <c r="T77" s="782">
        <f>T76/H76-1</f>
        <v>-0.84672068661358657</v>
      </c>
      <c r="U77" s="780">
        <f>U76/E76-1</f>
        <v>-0.58457008137631439</v>
      </c>
      <c r="V77" s="781">
        <f>V76/F76-1</f>
        <v>-0.34476992373185666</v>
      </c>
      <c r="W77" s="781">
        <f>W76/G76-1</f>
        <v>-0.22871121211454626</v>
      </c>
      <c r="X77" s="782">
        <f>X76/H76-1</f>
        <v>-0.24749089344867925</v>
      </c>
      <c r="Y77" s="781">
        <f t="shared" ref="Y77:AG77" si="147">Y76/U76-1</f>
        <v>1.453394464254139</v>
      </c>
      <c r="Z77" s="781">
        <f t="shared" si="147"/>
        <v>0.62072216868859531</v>
      </c>
      <c r="AA77" s="781">
        <f t="shared" si="147"/>
        <v>0.5020228793990591</v>
      </c>
      <c r="AB77" s="782">
        <f t="shared" si="147"/>
        <v>0.51665912052955965</v>
      </c>
      <c r="AC77" s="781">
        <f t="shared" si="147"/>
        <v>0.11512665985776449</v>
      </c>
      <c r="AD77" s="781">
        <f t="shared" si="147"/>
        <v>0.18712700860921405</v>
      </c>
      <c r="AE77" s="781">
        <f t="shared" si="147"/>
        <v>0.19281024145364745</v>
      </c>
      <c r="AF77" s="781">
        <f t="shared" si="147"/>
        <v>5.9068167795028215E-2</v>
      </c>
      <c r="AG77" s="781">
        <f t="shared" si="147"/>
        <v>0.25738061158924563</v>
      </c>
      <c r="AH77" s="593"/>
      <c r="AI77" s="781"/>
      <c r="AJ77" s="781"/>
      <c r="AK77" s="781"/>
      <c r="AL77" s="781"/>
      <c r="AM77" s="781"/>
      <c r="AN77" s="781"/>
      <c r="AO77" s="781"/>
    </row>
    <row r="78" spans="3:42" x14ac:dyDescent="0.35">
      <c r="C78" s="594"/>
      <c r="D78" s="575" t="s">
        <v>146</v>
      </c>
      <c r="E78" s="783">
        <v>1333.3453969396121</v>
      </c>
      <c r="F78" s="784">
        <v>1379.0313016793623</v>
      </c>
      <c r="G78" s="784">
        <v>1397.7843003463054</v>
      </c>
      <c r="H78" s="785">
        <v>1283.8330744826962</v>
      </c>
      <c r="I78" s="784">
        <v>2618.0416895136368</v>
      </c>
      <c r="J78" s="784">
        <v>2027.7740392305234</v>
      </c>
      <c r="K78" s="784">
        <v>6181.4912278687161</v>
      </c>
      <c r="L78" s="784">
        <v>2984.9162143404424</v>
      </c>
      <c r="M78" s="783">
        <v>2461.0117525030173</v>
      </c>
      <c r="N78" s="784">
        <v>2891.1184891182033</v>
      </c>
      <c r="O78" s="789">
        <v>3365.1642447843165</v>
      </c>
      <c r="P78" s="789">
        <v>2520.6354729234818</v>
      </c>
      <c r="Q78" s="790">
        <v>2856.8317524565755</v>
      </c>
      <c r="R78" s="789">
        <v>2915.8890637604977</v>
      </c>
      <c r="S78" s="789">
        <v>3092.151159675886</v>
      </c>
      <c r="T78" s="791">
        <v>2565.4211920402045</v>
      </c>
      <c r="U78" s="955">
        <v>2090.4417900345161</v>
      </c>
      <c r="V78" s="954">
        <v>1882.7223493564757</v>
      </c>
      <c r="W78" s="954">
        <v>1876.8904049013283</v>
      </c>
      <c r="X78" s="956">
        <v>1619.8287167941203</v>
      </c>
      <c r="Y78" s="954">
        <v>1568.1719918876904</v>
      </c>
      <c r="Z78" s="954">
        <v>1558.2935302508986</v>
      </c>
      <c r="AA78" s="954">
        <v>1525.923566345592</v>
      </c>
      <c r="AB78" s="956">
        <v>1437.1255144294296</v>
      </c>
      <c r="AC78" s="954">
        <v>1450.7544601296197</v>
      </c>
      <c r="AD78" s="954">
        <f>[9]机票!$AC$75</f>
        <v>1461.8732299503049</v>
      </c>
      <c r="AE78" s="954">
        <v>1499.879753237984</v>
      </c>
      <c r="AF78" s="954">
        <f>[10]机票!$AE$76</f>
        <v>1478.5451197390576</v>
      </c>
      <c r="AG78" s="954">
        <f>[11]机票!$AF$76</f>
        <v>1505.0799562073805</v>
      </c>
      <c r="AH78" s="593"/>
      <c r="AI78" s="789">
        <f>AI74/AI76</f>
        <v>1348.1702832441724</v>
      </c>
      <c r="AJ78" s="789">
        <f t="shared" ref="AJ78:AN78" si="148">AJ74/AJ76</f>
        <v>2898.1919536379573</v>
      </c>
      <c r="AK78" s="789">
        <f t="shared" si="148"/>
        <v>2843.1569666606774</v>
      </c>
      <c r="AL78" s="789">
        <f t="shared" si="148"/>
        <v>2813.267973753459</v>
      </c>
      <c r="AM78" s="789">
        <f t="shared" si="148"/>
        <v>1833.3289468435053</v>
      </c>
      <c r="AN78" s="789">
        <f t="shared" si="148"/>
        <v>1519.0683846825852</v>
      </c>
      <c r="AO78" s="789"/>
    </row>
    <row r="79" spans="3:42" x14ac:dyDescent="0.35">
      <c r="C79" s="594"/>
      <c r="D79" s="575" t="s">
        <v>71</v>
      </c>
      <c r="E79" s="794">
        <v>3.4457988367591993E-2</v>
      </c>
      <c r="F79" s="795">
        <v>3.8588788882523435E-2</v>
      </c>
      <c r="G79" s="795">
        <v>3.780480124651938E-2</v>
      </c>
      <c r="H79" s="796">
        <v>3.7992168764202819E-2</v>
      </c>
      <c r="I79" s="795">
        <v>5.6526205344498301E-2</v>
      </c>
      <c r="J79" s="795">
        <v>-9.5705550560702471E-2</v>
      </c>
      <c r="K79" s="795">
        <v>8.8868385306461462E-2</v>
      </c>
      <c r="L79" s="795">
        <v>5.9336752301562219E-2</v>
      </c>
      <c r="M79" s="794">
        <v>7.7315431408665217E-2</v>
      </c>
      <c r="N79" s="795">
        <v>3.7022599811539547E-2</v>
      </c>
      <c r="O79" s="795">
        <v>2.8709945462389717E-2</v>
      </c>
      <c r="P79" s="795">
        <v>3.0897793629803442E-2</v>
      </c>
      <c r="Q79" s="794">
        <v>3.0088507663853622E-2</v>
      </c>
      <c r="R79" s="795">
        <v>3.9777001631717997E-2</v>
      </c>
      <c r="S79" s="795">
        <v>3.5758671832140668E-2</v>
      </c>
      <c r="T79" s="796">
        <v>3.9768846918903304E-2</v>
      </c>
      <c r="U79" s="794">
        <v>3.746521985330508E-2</v>
      </c>
      <c r="V79" s="795">
        <v>3.535312599663077E-2</v>
      </c>
      <c r="W79" s="795">
        <v>3.6241546739638295E-2</v>
      </c>
      <c r="X79" s="796">
        <v>4.0943272752953036E-2</v>
      </c>
      <c r="Y79" s="795">
        <v>3.9479226221467267E-2</v>
      </c>
      <c r="Z79" s="795">
        <v>3.8613419718501713E-2</v>
      </c>
      <c r="AA79" s="795">
        <v>3.901231878462056E-2</v>
      </c>
      <c r="AB79" s="796">
        <v>3.9291585167224273E-2</v>
      </c>
      <c r="AC79" s="795">
        <v>3.8418869567462578E-2</v>
      </c>
      <c r="AD79" s="795">
        <f>[9]机票!$AC$172</f>
        <v>3.6060866833616659E-2</v>
      </c>
      <c r="AE79" s="795">
        <v>3.5929500902667735E-2</v>
      </c>
      <c r="AF79" s="795">
        <f>[10]机票!$AE$81</f>
        <v>3.6219568300097808E-2</v>
      </c>
      <c r="AG79" s="795">
        <f>[11]机票!$AF$81</f>
        <v>3.4269621094072118E-2</v>
      </c>
      <c r="AH79" s="593"/>
      <c r="AI79" s="795">
        <f>AI80/AI74</f>
        <v>3.7273028482276808E-2</v>
      </c>
      <c r="AJ79" s="795">
        <f t="shared" ref="AJ79:AN79" si="149">AJ80/AJ74</f>
        <v>7.6659209823623842E-2</v>
      </c>
      <c r="AK79" s="795">
        <f t="shared" si="149"/>
        <v>3.8002016875684545E-2</v>
      </c>
      <c r="AL79" s="795">
        <f t="shared" si="149"/>
        <v>3.7276009207331914E-2</v>
      </c>
      <c r="AM79" s="795">
        <f t="shared" si="149"/>
        <v>3.7465355487400841E-2</v>
      </c>
      <c r="AN79" s="795">
        <f t="shared" si="149"/>
        <v>3.9089326028113637E-2</v>
      </c>
      <c r="AO79" s="795"/>
    </row>
    <row r="80" spans="3:42" x14ac:dyDescent="0.35">
      <c r="C80" s="594"/>
      <c r="D80" s="627" t="s">
        <v>241</v>
      </c>
      <c r="E80" s="706">
        <v>599.81668714148077</v>
      </c>
      <c r="F80" s="707">
        <v>744.98136354029032</v>
      </c>
      <c r="G80" s="707">
        <v>732.68425348891094</v>
      </c>
      <c r="H80" s="709">
        <v>702.33205028596637</v>
      </c>
      <c r="I80" s="707">
        <v>384.96256579935914</v>
      </c>
      <c r="J80" s="707">
        <v>80.220263189657615</v>
      </c>
      <c r="K80" s="707">
        <v>57.450986379430191</v>
      </c>
      <c r="L80" s="707">
        <v>52.259089613455437</v>
      </c>
      <c r="M80" s="706">
        <v>65.72298690892805</v>
      </c>
      <c r="N80" s="707">
        <v>73.001399778211947</v>
      </c>
      <c r="O80" s="800">
        <v>59.329302715012041</v>
      </c>
      <c r="P80" s="800">
        <v>53.432399196706065</v>
      </c>
      <c r="Q80" s="801">
        <v>60.481802021062009</v>
      </c>
      <c r="R80" s="800">
        <v>116.00017016858803</v>
      </c>
      <c r="S80" s="800">
        <v>164.03815245822597</v>
      </c>
      <c r="T80" s="802">
        <v>225.17753732111299</v>
      </c>
      <c r="U80" s="801">
        <v>424.7663382739679</v>
      </c>
      <c r="V80" s="800">
        <v>610.54553479733227</v>
      </c>
      <c r="W80" s="800">
        <v>727.43199227881814</v>
      </c>
      <c r="X80" s="802">
        <v>718.62653666961091</v>
      </c>
      <c r="Y80" s="800">
        <v>823.78415515609254</v>
      </c>
      <c r="Z80" s="800">
        <v>894.54062003441686</v>
      </c>
      <c r="AA80" s="800">
        <v>956.2200625290775</v>
      </c>
      <c r="AB80" s="802">
        <v>927.96977913063097</v>
      </c>
      <c r="AC80" s="800">
        <v>827.01579608606608</v>
      </c>
      <c r="AD80" s="800">
        <f>[9]机票!$AC$168</f>
        <v>930.36977741273154</v>
      </c>
      <c r="AE80" s="800">
        <v>1032.5290830334989</v>
      </c>
      <c r="AF80" s="800">
        <f>[10]机票!$AE$106</f>
        <v>932.05458978898787</v>
      </c>
      <c r="AG80" s="800">
        <f>[11]机票!$AF$106</f>
        <v>962.30101156168041</v>
      </c>
      <c r="AH80" s="593"/>
      <c r="AI80" s="800">
        <f>+SUM(E80:H80)</f>
        <v>2779.8143544566487</v>
      </c>
      <c r="AJ80" s="800">
        <f>SUM(I80:L80)</f>
        <v>574.89290498190235</v>
      </c>
      <c r="AK80" s="800">
        <f>SUM(M80:P80)</f>
        <v>251.48608859885809</v>
      </c>
      <c r="AL80" s="800">
        <f>SUM(Q80:T80)</f>
        <v>565.697661968989</v>
      </c>
      <c r="AM80" s="800">
        <f>SUM(U80:X80)</f>
        <v>2481.3704020197292</v>
      </c>
      <c r="AN80" s="800">
        <f>SUM(Y80:AB80)</f>
        <v>3602.5146168502179</v>
      </c>
      <c r="AO80" s="800"/>
    </row>
    <row r="81" spans="3:42" x14ac:dyDescent="0.35">
      <c r="C81" s="635"/>
      <c r="D81" s="646" t="s">
        <v>134</v>
      </c>
      <c r="E81" s="626"/>
      <c r="F81" s="627"/>
      <c r="G81" s="627"/>
      <c r="H81" s="628"/>
      <c r="I81" s="681"/>
      <c r="J81" s="681"/>
      <c r="K81" s="681"/>
      <c r="L81" s="681"/>
      <c r="M81" s="780">
        <f>M80/E80-1</f>
        <v>-0.89042821195565414</v>
      </c>
      <c r="N81" s="781">
        <f>N80/F80-1</f>
        <v>-0.90200909264186735</v>
      </c>
      <c r="O81" s="781">
        <f>O80/G80-1</f>
        <v>-0.91902473346124669</v>
      </c>
      <c r="P81" s="781">
        <f>P80/H80-1</f>
        <v>-0.92392145684516302</v>
      </c>
      <c r="Q81" s="780">
        <f>Q80/E80-1</f>
        <v>-0.89916618974157358</v>
      </c>
      <c r="R81" s="781">
        <f>R80/F80-1</f>
        <v>-0.84429117848353474</v>
      </c>
      <c r="S81" s="781">
        <f>S80/G80-1</f>
        <v>-0.77611344630772983</v>
      </c>
      <c r="T81" s="782">
        <f>T80/H80-1</f>
        <v>-0.67938592973305412</v>
      </c>
      <c r="U81" s="780">
        <f>U80/E80-1</f>
        <v>-0.29183974474225183</v>
      </c>
      <c r="V81" s="781">
        <f>V80/F80-1</f>
        <v>-0.18045529099425239</v>
      </c>
      <c r="W81" s="781">
        <f>W80/G80-1</f>
        <v>-7.1685192974769718E-3</v>
      </c>
      <c r="X81" s="782">
        <f>X80/H80-1</f>
        <v>2.3200545065556799E-2</v>
      </c>
      <c r="Y81" s="781">
        <f t="shared" ref="Y81:AG81" si="150">Y80/U80-1</f>
        <v>0.93938191642851909</v>
      </c>
      <c r="Z81" s="781">
        <f t="shared" si="150"/>
        <v>0.46514972111188313</v>
      </c>
      <c r="AA81" s="781">
        <f t="shared" si="150"/>
        <v>0.31451472120924673</v>
      </c>
      <c r="AB81" s="782">
        <f t="shared" si="150"/>
        <v>0.29131020325410795</v>
      </c>
      <c r="AC81" s="781">
        <f t="shared" si="150"/>
        <v>3.9229219325798148E-3</v>
      </c>
      <c r="AD81" s="781">
        <f t="shared" si="150"/>
        <v>4.0053136297976133E-2</v>
      </c>
      <c r="AE81" s="781">
        <f t="shared" si="150"/>
        <v>7.9802781278813573E-2</v>
      </c>
      <c r="AF81" s="781">
        <f t="shared" si="150"/>
        <v>4.4018789730240204E-3</v>
      </c>
      <c r="AG81" s="781">
        <f t="shared" si="150"/>
        <v>0.16358238393494418</v>
      </c>
      <c r="AH81" s="593"/>
      <c r="AI81" s="781"/>
      <c r="AJ81" s="781"/>
      <c r="AK81" s="781"/>
      <c r="AL81" s="781"/>
      <c r="AM81" s="781"/>
      <c r="AN81" s="781"/>
      <c r="AO81" s="781"/>
    </row>
    <row r="82" spans="3:42" ht="16" x14ac:dyDescent="0.35">
      <c r="C82" s="594"/>
      <c r="D82" s="803" t="s">
        <v>248</v>
      </c>
      <c r="E82" s="804">
        <f t="shared" ref="E82:AA82" si="151">E80/E76</f>
        <v>45.944400177727481</v>
      </c>
      <c r="F82" s="805">
        <f t="shared" si="151"/>
        <v>53.215147762896393</v>
      </c>
      <c r="G82" s="805">
        <f t="shared" si="151"/>
        <v>52.842957660097227</v>
      </c>
      <c r="H82" s="806">
        <f t="shared" si="151"/>
        <v>48.775602830811962</v>
      </c>
      <c r="I82" s="805">
        <f t="shared" si="151"/>
        <v>147.98796214190511</v>
      </c>
      <c r="J82" s="805">
        <f t="shared" si="151"/>
        <v>-194.06923083725675</v>
      </c>
      <c r="K82" s="805">
        <f t="shared" si="151"/>
        <v>549.33914420674864</v>
      </c>
      <c r="L82" s="805">
        <f t="shared" si="151"/>
        <v>177.11523405123563</v>
      </c>
      <c r="M82" s="804">
        <f t="shared" si="151"/>
        <v>190.27418534656601</v>
      </c>
      <c r="N82" s="805">
        <f t="shared" si="151"/>
        <v>107.03672283036612</v>
      </c>
      <c r="O82" s="805">
        <f t="shared" si="151"/>
        <v>96.61368193974161</v>
      </c>
      <c r="P82" s="805">
        <f t="shared" si="151"/>
        <v>77.88207465835174</v>
      </c>
      <c r="Q82" s="804">
        <f t="shared" si="151"/>
        <v>85.957804078130039</v>
      </c>
      <c r="R82" s="805">
        <f t="shared" si="151"/>
        <v>115.98532404710998</v>
      </c>
      <c r="S82" s="805">
        <f t="shared" si="151"/>
        <v>110.5712185742232</v>
      </c>
      <c r="T82" s="806">
        <f t="shared" si="151"/>
        <v>102.02384266875733</v>
      </c>
      <c r="U82" s="804">
        <f t="shared" si="151"/>
        <v>78.318861254179765</v>
      </c>
      <c r="V82" s="805">
        <f t="shared" si="151"/>
        <v>66.560120433472179</v>
      </c>
      <c r="W82" s="805">
        <f t="shared" si="151"/>
        <v>68.021411334410146</v>
      </c>
      <c r="X82" s="806">
        <f t="shared" si="151"/>
        <v>66.321088964767597</v>
      </c>
      <c r="Y82" s="805">
        <f t="shared" si="151"/>
        <v>61.910216821903056</v>
      </c>
      <c r="Z82" s="805">
        <f t="shared" si="151"/>
        <v>60.171042128203688</v>
      </c>
      <c r="AA82" s="805">
        <f t="shared" si="151"/>
        <v>59.529816611239326</v>
      </c>
      <c r="AB82" s="806">
        <f t="shared" ref="AB82:AC82" si="152">AB80/AB76</f>
        <v>56.466939546194929</v>
      </c>
      <c r="AC82" s="805">
        <f t="shared" si="152"/>
        <v>55.736346378134442</v>
      </c>
      <c r="AD82" s="805">
        <f>AD80/AD76</f>
        <v>52.71641587286701</v>
      </c>
      <c r="AE82" s="805">
        <f>AE80/AE76</f>
        <v>53.889930947857209</v>
      </c>
      <c r="AF82" s="805">
        <f>AF80/AF76</f>
        <v>53.55226594916509</v>
      </c>
      <c r="AG82" s="805">
        <f>AG80/AG76</f>
        <v>51.578519815509587</v>
      </c>
      <c r="AI82" s="728">
        <f t="shared" ref="AI82:AN82" si="153">AI80/AI76</f>
        <v>50.250389366319233</v>
      </c>
      <c r="AJ82" s="728">
        <f t="shared" si="153"/>
        <v>222.17310508307048</v>
      </c>
      <c r="AK82" s="728">
        <f t="shared" si="153"/>
        <v>108.04569902725915</v>
      </c>
      <c r="AL82" s="728">
        <f t="shared" si="153"/>
        <v>104.86740289232593</v>
      </c>
      <c r="AM82" s="728">
        <f t="shared" si="153"/>
        <v>68.686320718834139</v>
      </c>
      <c r="AN82" s="728">
        <f t="shared" si="153"/>
        <v>59.379359347857523</v>
      </c>
      <c r="AO82" s="728"/>
    </row>
    <row r="83" spans="3:42" s="625" customFormat="1" x14ac:dyDescent="0.3">
      <c r="C83" s="635"/>
      <c r="D83" s="744" t="s">
        <v>389</v>
      </c>
      <c r="E83" s="725"/>
      <c r="F83" s="725"/>
      <c r="G83" s="725"/>
      <c r="H83" s="726"/>
      <c r="I83" s="725"/>
      <c r="J83" s="725"/>
      <c r="K83" s="725"/>
      <c r="L83" s="726"/>
      <c r="M83" s="725"/>
      <c r="N83" s="725"/>
      <c r="O83" s="725"/>
      <c r="P83" s="725"/>
      <c r="Q83" s="725"/>
      <c r="R83" s="725"/>
      <c r="S83" s="725"/>
      <c r="T83" s="726"/>
      <c r="U83" s="745">
        <f t="shared" ref="U83" si="154">U82/Q82-1</f>
        <v>-8.886851991945921E-2</v>
      </c>
      <c r="V83" s="745">
        <f t="shared" ref="V83" si="155">V82/R82-1</f>
        <v>-0.42613325452763895</v>
      </c>
      <c r="W83" s="745">
        <f t="shared" ref="W83" si="156">W82/S82-1</f>
        <v>-0.38481810898421653</v>
      </c>
      <c r="X83" s="746">
        <f t="shared" ref="X83" si="157">X82/T82-1</f>
        <v>-0.34994519682920111</v>
      </c>
      <c r="Y83" s="745">
        <f t="shared" ref="Y83" si="158">Y82/U82-1</f>
        <v>-0.20951076368466737</v>
      </c>
      <c r="Z83" s="745">
        <f t="shared" ref="Z83" si="159">Z82/V82-1</f>
        <v>-9.5989584508857195E-2</v>
      </c>
      <c r="AA83" s="745">
        <f t="shared" ref="AA83:AG83" si="160">AA82/W82-1</f>
        <v>-0.12483708521459558</v>
      </c>
      <c r="AB83" s="746">
        <f t="shared" si="160"/>
        <v>-0.14858244296633283</v>
      </c>
      <c r="AC83" s="745">
        <f t="shared" si="160"/>
        <v>-9.9722965944845088E-2</v>
      </c>
      <c r="AD83" s="745">
        <f t="shared" si="160"/>
        <v>-0.12389059573629202</v>
      </c>
      <c r="AE83" s="745">
        <f t="shared" si="160"/>
        <v>-9.4740518019961417E-2</v>
      </c>
      <c r="AF83" s="745">
        <f t="shared" si="160"/>
        <v>-5.1617346724544544E-2</v>
      </c>
      <c r="AG83" s="745">
        <f t="shared" si="160"/>
        <v>-7.4598118334071262E-2</v>
      </c>
      <c r="AH83" s="943"/>
      <c r="AP83" s="626"/>
    </row>
    <row r="84" spans="3:42" ht="16" x14ac:dyDescent="0.35">
      <c r="C84" s="594"/>
      <c r="D84" s="803" t="s">
        <v>370</v>
      </c>
      <c r="E84" s="805">
        <f t="shared" ref="E84:Z84" si="161">E53-E82</f>
        <v>9.4387965435840044</v>
      </c>
      <c r="F84" s="805">
        <f t="shared" si="161"/>
        <v>9.0336757665153655</v>
      </c>
      <c r="G84" s="805">
        <f t="shared" si="161"/>
        <v>-3.3429576600972268</v>
      </c>
      <c r="H84" s="806">
        <f t="shared" si="161"/>
        <v>-5.2070314022405384</v>
      </c>
      <c r="I84" s="805">
        <f t="shared" si="161"/>
        <v>-147.98796214190511</v>
      </c>
      <c r="J84" s="805">
        <f t="shared" si="161"/>
        <v>194.06923083725675</v>
      </c>
      <c r="K84" s="805">
        <f t="shared" si="161"/>
        <v>-549.33914420674864</v>
      </c>
      <c r="L84" s="805">
        <f t="shared" si="161"/>
        <v>-177.11523405123563</v>
      </c>
      <c r="M84" s="805">
        <f t="shared" si="161"/>
        <v>-190.27418534656601</v>
      </c>
      <c r="N84" s="805">
        <f t="shared" si="161"/>
        <v>-107.03672283036612</v>
      </c>
      <c r="O84" s="805">
        <f t="shared" si="161"/>
        <v>-96.61368193974161</v>
      </c>
      <c r="P84" s="805">
        <f t="shared" si="161"/>
        <v>-77.88207465835174</v>
      </c>
      <c r="Q84" s="805">
        <f t="shared" si="161"/>
        <v>-85.957804078130039</v>
      </c>
      <c r="R84" s="809">
        <f t="shared" si="161"/>
        <v>-115.98532404710998</v>
      </c>
      <c r="S84" s="809">
        <f t="shared" si="161"/>
        <v>-110.5712185742232</v>
      </c>
      <c r="T84" s="809">
        <f t="shared" si="161"/>
        <v>-102.02384266875733</v>
      </c>
      <c r="U84" s="809">
        <f t="shared" si="161"/>
        <v>-16.720815851724922</v>
      </c>
      <c r="V84" s="809">
        <f t="shared" si="161"/>
        <v>-10.947733063417054</v>
      </c>
      <c r="W84" s="809">
        <f t="shared" si="161"/>
        <v>-24.158955622078331</v>
      </c>
      <c r="X84" s="810">
        <f t="shared" si="161"/>
        <v>-36.319950525638305</v>
      </c>
      <c r="Y84" s="809">
        <f t="shared" si="161"/>
        <v>-39.313778017884047</v>
      </c>
      <c r="Z84" s="809">
        <f t="shared" si="161"/>
        <v>-37.213436271953398</v>
      </c>
      <c r="AA84" s="809">
        <f t="shared" ref="AA84:AF84" si="162">AA53-AA82</f>
        <v>-36.101290567111832</v>
      </c>
      <c r="AB84" s="810">
        <f t="shared" si="162"/>
        <v>-22.381890319739362</v>
      </c>
      <c r="AC84" s="809">
        <f t="shared" si="162"/>
        <v>-33.416610315642089</v>
      </c>
      <c r="AD84" s="809">
        <f t="shared" si="162"/>
        <v>-27.288558498639745</v>
      </c>
      <c r="AE84" s="809">
        <f t="shared" si="162"/>
        <v>-25.910127065061836</v>
      </c>
      <c r="AF84" s="809">
        <f t="shared" si="162"/>
        <v>-12.458534657755251</v>
      </c>
      <c r="AG84" s="809">
        <f t="shared" ref="AG84" si="163">AG53-AG82</f>
        <v>-17.916822259865064</v>
      </c>
      <c r="AI84" s="944"/>
      <c r="AJ84" s="945"/>
      <c r="AK84" s="945"/>
      <c r="AL84" s="945"/>
      <c r="AM84" s="945"/>
      <c r="AN84" s="593"/>
      <c r="AO84" s="593"/>
    </row>
    <row r="85" spans="3:42" ht="16" x14ac:dyDescent="0.35">
      <c r="C85" s="594"/>
      <c r="D85" s="803" t="s">
        <v>371</v>
      </c>
      <c r="E85" s="805"/>
      <c r="F85" s="805"/>
      <c r="G85" s="805"/>
      <c r="H85" s="806"/>
      <c r="I85" s="805"/>
      <c r="J85" s="805"/>
      <c r="K85" s="805"/>
      <c r="L85" s="805"/>
      <c r="M85" s="805"/>
      <c r="N85" s="805"/>
      <c r="O85" s="805"/>
      <c r="P85" s="805"/>
      <c r="Q85" s="805"/>
      <c r="R85" s="805"/>
      <c r="S85" s="805"/>
      <c r="T85" s="805"/>
      <c r="U85" s="809">
        <f>U48-U78</f>
        <v>-37.173609952687912</v>
      </c>
      <c r="V85" s="809">
        <f t="shared" ref="V85:AA85" si="164">V48-V78</f>
        <v>-28.976103687971317</v>
      </c>
      <c r="W85" s="809">
        <f t="shared" si="164"/>
        <v>-414.80854782360097</v>
      </c>
      <c r="X85" s="810">
        <f t="shared" si="164"/>
        <v>-119.77179483765553</v>
      </c>
      <c r="Y85" s="809">
        <f t="shared" si="164"/>
        <v>-312.81428055330093</v>
      </c>
      <c r="Z85" s="809">
        <f t="shared" si="164"/>
        <v>-410.41323743838416</v>
      </c>
      <c r="AA85" s="809">
        <f t="shared" si="164"/>
        <v>-410.27946900618758</v>
      </c>
      <c r="AB85" s="810">
        <f t="shared" ref="AB85:AC85" si="165">AB48-AB78</f>
        <v>-100.45691731352485</v>
      </c>
      <c r="AC85" s="809">
        <f t="shared" si="165"/>
        <v>-387.90988572522178</v>
      </c>
      <c r="AD85" s="809">
        <f t="shared" ref="AD85:AE85" si="166">AD48-AD78</f>
        <v>-306.06153112179277</v>
      </c>
      <c r="AE85" s="809">
        <f t="shared" si="166"/>
        <v>-334.05459145484338</v>
      </c>
      <c r="AF85" s="809">
        <f t="shared" ref="AF85:AG85" si="167">AF48-AF78</f>
        <v>-61.519902793890651</v>
      </c>
      <c r="AG85" s="809">
        <f t="shared" si="167"/>
        <v>-383.02337101922967</v>
      </c>
      <c r="AH85" s="593"/>
      <c r="AI85" s="944"/>
      <c r="AJ85" s="945"/>
      <c r="AK85" s="945"/>
      <c r="AL85" s="945"/>
      <c r="AM85" s="945"/>
      <c r="AN85" s="593"/>
      <c r="AO85" s="593"/>
    </row>
    <row r="86" spans="3:42" x14ac:dyDescent="0.35">
      <c r="C86" s="811" t="s">
        <v>352</v>
      </c>
      <c r="D86" s="812"/>
      <c r="E86" s="813"/>
      <c r="F86" s="814"/>
      <c r="G86" s="814"/>
      <c r="H86" s="815"/>
      <c r="I86" s="814"/>
      <c r="J86" s="814"/>
      <c r="K86" s="814"/>
      <c r="L86" s="814"/>
      <c r="M86" s="813"/>
      <c r="N86" s="814"/>
      <c r="O86" s="814"/>
      <c r="P86" s="814"/>
      <c r="Q86" s="813"/>
      <c r="R86" s="814"/>
      <c r="S86" s="814"/>
      <c r="T86" s="815"/>
      <c r="U86" s="813"/>
      <c r="V86" s="814"/>
      <c r="W86" s="814"/>
      <c r="X86" s="815"/>
      <c r="Y86" s="814"/>
      <c r="Z86" s="814"/>
      <c r="AA86" s="814"/>
      <c r="AB86" s="815"/>
      <c r="AC86" s="814"/>
      <c r="AD86" s="814"/>
      <c r="AE86" s="814"/>
      <c r="AF86" s="814"/>
      <c r="AG86" s="814"/>
      <c r="AH86" s="593"/>
      <c r="AI86" s="944"/>
      <c r="AJ86" s="945"/>
      <c r="AK86" s="945"/>
      <c r="AL86" s="945"/>
      <c r="AM86" s="945"/>
      <c r="AN86" s="593"/>
      <c r="AO86" s="593"/>
    </row>
    <row r="87" spans="3:42" x14ac:dyDescent="0.35">
      <c r="C87" s="817"/>
      <c r="D87" s="812" t="s">
        <v>62</v>
      </c>
      <c r="E87" s="819">
        <f>E42/E74</f>
        <v>7.8213422656146184E-2</v>
      </c>
      <c r="F87" s="819">
        <f>F42/F74</f>
        <v>8.4214960281457099E-2</v>
      </c>
      <c r="G87" s="819">
        <f>G42/G74</f>
        <v>9.844818902151857E-2</v>
      </c>
      <c r="H87" s="820">
        <f>H42/H74</f>
        <v>0.10167816991681417</v>
      </c>
      <c r="I87" s="819"/>
      <c r="J87" s="819"/>
      <c r="K87" s="819"/>
      <c r="L87" s="819"/>
      <c r="M87" s="819"/>
      <c r="N87" s="819"/>
      <c r="O87" s="819"/>
      <c r="P87" s="819"/>
      <c r="Q87" s="819"/>
      <c r="R87" s="819"/>
      <c r="S87" s="819"/>
      <c r="T87" s="819"/>
      <c r="U87" s="819">
        <f t="shared" ref="U87:Z87" si="168">U42/U74</f>
        <v>0.15518161119735777</v>
      </c>
      <c r="V87" s="819">
        <f t="shared" si="168"/>
        <v>0.14026464860835411</v>
      </c>
      <c r="W87" s="819">
        <f t="shared" si="168"/>
        <v>0.13675989038745145</v>
      </c>
      <c r="X87" s="820">
        <f t="shared" si="168"/>
        <v>0.15622683392065936</v>
      </c>
      <c r="Y87" s="819">
        <f t="shared" si="168"/>
        <v>0.18564336397343123</v>
      </c>
      <c r="Z87" s="819">
        <f t="shared" si="168"/>
        <v>0.1641876052729592</v>
      </c>
      <c r="AA87" s="819">
        <f t="shared" ref="AA87:AB87" si="169">AA42/AA74</f>
        <v>0.17912609565112461</v>
      </c>
      <c r="AB87" s="820">
        <f t="shared" si="169"/>
        <v>0.15621941156754457</v>
      </c>
      <c r="AC87" s="819">
        <f t="shared" ref="AC87:AD87" si="170">AC42/AC74</f>
        <v>0.21025017251915687</v>
      </c>
      <c r="AD87" s="819">
        <f t="shared" si="170"/>
        <v>0.19001294660781504</v>
      </c>
      <c r="AE87" s="819">
        <f t="shared" ref="AE87:AF87" si="171">AE42/AE74</f>
        <v>0.19158117679654899</v>
      </c>
      <c r="AF87" s="819">
        <f t="shared" si="171"/>
        <v>0.17479253248877788</v>
      </c>
      <c r="AG87" s="819">
        <f t="shared" ref="AG87" si="172">AG42/AG74</f>
        <v>0.19057545504237841</v>
      </c>
      <c r="AH87" s="593"/>
      <c r="AI87" s="819">
        <f t="shared" ref="AI87" si="173">AI42/AI74</f>
        <v>9.084154528358894E-2</v>
      </c>
      <c r="AJ87" s="819"/>
      <c r="AK87" s="819"/>
      <c r="AL87" s="819"/>
      <c r="AM87" s="819">
        <f t="shared" ref="AM87:AN87" si="174">AM42/AM74</f>
        <v>0.1459861416483077</v>
      </c>
      <c r="AN87" s="819">
        <f t="shared" si="174"/>
        <v>0.17097643428218978</v>
      </c>
      <c r="AO87" s="819"/>
    </row>
    <row r="88" spans="3:42" x14ac:dyDescent="0.35">
      <c r="C88" s="817"/>
      <c r="D88" s="812" t="s">
        <v>247</v>
      </c>
      <c r="E88" s="824">
        <f>E51/E80</f>
        <v>0.10214188889902792</v>
      </c>
      <c r="F88" s="824">
        <f>F51/F80</f>
        <v>9.3841848810722522E-2</v>
      </c>
      <c r="G88" s="824">
        <f>G51/G80</f>
        <v>0.11718534048307455</v>
      </c>
      <c r="H88" s="825">
        <f>H51/H80</f>
        <v>0.10437542145506834</v>
      </c>
      <c r="I88" s="824"/>
      <c r="J88" s="824"/>
      <c r="K88" s="824"/>
      <c r="L88" s="824"/>
      <c r="M88" s="824"/>
      <c r="N88" s="824"/>
      <c r="O88" s="824"/>
      <c r="P88" s="824"/>
      <c r="Q88" s="824"/>
      <c r="R88" s="824"/>
      <c r="S88" s="824"/>
      <c r="T88" s="824"/>
      <c r="U88" s="824">
        <f t="shared" ref="U88:Z88" si="175">U51/U80</f>
        <v>0.12426053694997978</v>
      </c>
      <c r="V88" s="824">
        <f t="shared" si="175"/>
        <v>0.11902595144349183</v>
      </c>
      <c r="W88" s="824">
        <f t="shared" si="175"/>
        <v>0.11320699806490905</v>
      </c>
      <c r="X88" s="825">
        <f t="shared" si="175"/>
        <v>7.6313798783655601E-2</v>
      </c>
      <c r="Y88" s="824">
        <f t="shared" si="175"/>
        <v>8.4641490508867698E-2</v>
      </c>
      <c r="Z88" s="824">
        <f t="shared" si="175"/>
        <v>8.5041732366578415E-2</v>
      </c>
      <c r="AA88" s="824">
        <f t="shared" ref="AA88:AB88" si="176">AA51/AA80</f>
        <v>9.6422056567335726E-2</v>
      </c>
      <c r="AB88" s="825">
        <f t="shared" si="176"/>
        <v>0.10138544876767577</v>
      </c>
      <c r="AC88" s="824">
        <f t="shared" ref="AC88:AD88" si="177">AC51/AC80</f>
        <v>0.11492408997482914</v>
      </c>
      <c r="AD88" s="824">
        <f t="shared" si="177"/>
        <v>0.11592302660553311</v>
      </c>
      <c r="AE88" s="824">
        <f t="shared" ref="AE88:AF88" si="178">AE51/AE80</f>
        <v>0.12797139196486257</v>
      </c>
      <c r="AF88" s="824">
        <f t="shared" si="178"/>
        <v>0.13995151461153307</v>
      </c>
      <c r="AG88" s="824">
        <f t="shared" ref="AG88" si="179">AG51/AG80</f>
        <v>0.16683183148063202</v>
      </c>
      <c r="AH88" s="593"/>
      <c r="AI88" s="824">
        <f t="shared" ref="AI88" si="180">AI51/AI80</f>
        <v>0.10444686527290727</v>
      </c>
      <c r="AJ88" s="824"/>
      <c r="AK88" s="824"/>
      <c r="AL88" s="824"/>
      <c r="AM88" s="824">
        <f t="shared" ref="AM88:AN88" si="181">AM51/AM80</f>
        <v>0.10584633769287655</v>
      </c>
      <c r="AN88" s="824">
        <f t="shared" si="181"/>
        <v>9.2180872398610739E-2</v>
      </c>
      <c r="AO88" s="824"/>
    </row>
    <row r="89" spans="3:42" x14ac:dyDescent="0.35">
      <c r="C89" s="828"/>
      <c r="D89" s="829" t="s">
        <v>137</v>
      </c>
      <c r="E89" s="830">
        <f>E45/E76</f>
        <v>8.4734144944726683E-2</v>
      </c>
      <c r="F89" s="830">
        <f>F45/F76</f>
        <v>8.0223329015149558E-2</v>
      </c>
      <c r="G89" s="830">
        <f>G45/G76</f>
        <v>0.12509939364709469</v>
      </c>
      <c r="H89" s="831">
        <f>H45/H76</f>
        <v>0.11684969084968577</v>
      </c>
      <c r="I89" s="830"/>
      <c r="J89" s="830"/>
      <c r="K89" s="830"/>
      <c r="L89" s="830"/>
      <c r="M89" s="830"/>
      <c r="N89" s="830"/>
      <c r="O89" s="830"/>
      <c r="P89" s="830"/>
      <c r="Q89" s="830"/>
      <c r="R89" s="830"/>
      <c r="S89" s="830"/>
      <c r="T89" s="830"/>
      <c r="U89" s="830">
        <f t="shared" ref="U89:Z89" si="182">U45/U76</f>
        <v>0.1579911130161851</v>
      </c>
      <c r="V89" s="830">
        <f t="shared" si="182"/>
        <v>0.14245714017041622</v>
      </c>
      <c r="W89" s="830">
        <f t="shared" si="182"/>
        <v>0.17556016087676493</v>
      </c>
      <c r="X89" s="831">
        <f t="shared" si="182"/>
        <v>0.16870073942824301</v>
      </c>
      <c r="Y89" s="830">
        <f t="shared" si="182"/>
        <v>0.23190260531677362</v>
      </c>
      <c r="Z89" s="830">
        <f t="shared" si="182"/>
        <v>0.22289125847552949</v>
      </c>
      <c r="AA89" s="830">
        <f t="shared" ref="AA89:AB89" si="183">AA45/AA76</f>
        <v>0.24499993443551704</v>
      </c>
      <c r="AB89" s="831">
        <f t="shared" si="183"/>
        <v>0.16796003339742027</v>
      </c>
      <c r="AC89" s="830">
        <f>AC45/AC76</f>
        <v>0.28698587062564457</v>
      </c>
      <c r="AD89" s="830">
        <f>AD45/AD76</f>
        <v>0.24032880119787997</v>
      </c>
      <c r="AE89" s="830">
        <f>AE45/AE76</f>
        <v>0.24647669101527017</v>
      </c>
      <c r="AF89" s="830">
        <f>AF45/AF76</f>
        <v>0.18238111981892396</v>
      </c>
      <c r="AG89" s="830">
        <f>AG45/AG76</f>
        <v>0.25562997563201106</v>
      </c>
      <c r="AH89" s="593"/>
      <c r="AI89" s="830">
        <f t="shared" ref="AI89" si="184">AI45/AI76</f>
        <v>0.10206929748101914</v>
      </c>
      <c r="AJ89" s="830"/>
      <c r="AK89" s="830"/>
      <c r="AL89" s="830"/>
      <c r="AM89" s="830">
        <f t="shared" ref="AM89:AN89" si="185">AM45/AM76</f>
        <v>0.16245991300942794</v>
      </c>
      <c r="AN89" s="830">
        <f t="shared" si="185"/>
        <v>0.21584163157954425</v>
      </c>
      <c r="AO89" s="830"/>
    </row>
    <row r="90" spans="3:42" ht="16" thickBot="1" x14ac:dyDescent="0.4">
      <c r="C90" s="835"/>
      <c r="D90" s="836" t="s">
        <v>146</v>
      </c>
      <c r="E90" s="837">
        <f>E48/E78</f>
        <v>0.92304492725058973</v>
      </c>
      <c r="F90" s="837">
        <f>F48/F78</f>
        <v>1.0497564899800376</v>
      </c>
      <c r="G90" s="837">
        <f>G48/G78</f>
        <v>0.78695976176543947</v>
      </c>
      <c r="H90" s="838">
        <f>H48/H78</f>
        <v>0.8701620789704263</v>
      </c>
      <c r="I90" s="837"/>
      <c r="J90" s="837"/>
      <c r="K90" s="837"/>
      <c r="L90" s="837"/>
      <c r="M90" s="837"/>
      <c r="N90" s="837"/>
      <c r="O90" s="837"/>
      <c r="P90" s="837"/>
      <c r="Q90" s="837"/>
      <c r="R90" s="837"/>
      <c r="S90" s="837"/>
      <c r="T90" s="837"/>
      <c r="U90" s="837">
        <f t="shared" ref="U90:Z90" si="186">U48/U78</f>
        <v>0.98221734270243699</v>
      </c>
      <c r="V90" s="837">
        <f t="shared" si="186"/>
        <v>0.98460946527889492</v>
      </c>
      <c r="W90" s="837">
        <f t="shared" si="186"/>
        <v>0.77899159868878531</v>
      </c>
      <c r="X90" s="838">
        <f t="shared" si="186"/>
        <v>0.9260589754979146</v>
      </c>
      <c r="Y90" s="837">
        <f t="shared" si="186"/>
        <v>0.80052297696201669</v>
      </c>
      <c r="Z90" s="837">
        <f t="shared" si="186"/>
        <v>0.73662648950849197</v>
      </c>
      <c r="AA90" s="837">
        <f t="shared" ref="AA90:AB90" si="187">AA48/AA78</f>
        <v>0.73112711668202435</v>
      </c>
      <c r="AB90" s="838">
        <f t="shared" si="187"/>
        <v>0.93009871698408442</v>
      </c>
      <c r="AC90" s="837">
        <f t="shared" ref="AC90:AD90" si="188">AC48/AC78</f>
        <v>0.73261506589435998</v>
      </c>
      <c r="AD90" s="837">
        <f t="shared" si="188"/>
        <v>0.79063743363561212</v>
      </c>
      <c r="AE90" s="837">
        <f t="shared" ref="AE90:AF90" si="189">AE48/AE78</f>
        <v>0.77727908471750706</v>
      </c>
      <c r="AF90" s="837">
        <f t="shared" si="189"/>
        <v>0.95839159591913703</v>
      </c>
      <c r="AG90" s="837">
        <f t="shared" ref="AG90" si="190">AG48/AG78</f>
        <v>0.74551294139588287</v>
      </c>
      <c r="AH90" s="593"/>
      <c r="AI90" s="837">
        <f t="shared" ref="AI90" si="191">AI48/AI78</f>
        <v>0.88999873150377928</v>
      </c>
      <c r="AJ90" s="837"/>
      <c r="AK90" s="837"/>
      <c r="AL90" s="837"/>
      <c r="AM90" s="837">
        <f t="shared" ref="AM90:AN90" si="192">AM48/AM78</f>
        <v>0.89859793067743288</v>
      </c>
      <c r="AN90" s="837">
        <f t="shared" si="192"/>
        <v>0.79213835176732217</v>
      </c>
      <c r="AO90" s="837"/>
    </row>
    <row r="91" spans="3:42" ht="16" thickBot="1" x14ac:dyDescent="0.4">
      <c r="E91" s="845"/>
      <c r="F91" s="846"/>
      <c r="G91" s="847"/>
      <c r="H91" s="848"/>
      <c r="I91" s="847"/>
      <c r="J91" s="847"/>
      <c r="K91" s="847"/>
      <c r="L91" s="847">
        <f>L112+L62</f>
        <v>1539.4025338669894</v>
      </c>
      <c r="M91" s="849"/>
      <c r="N91" s="816"/>
      <c r="O91" s="816"/>
      <c r="P91" s="816"/>
      <c r="Q91" s="849"/>
      <c r="R91" s="816"/>
      <c r="S91" s="816"/>
      <c r="T91" s="848"/>
      <c r="U91" s="849"/>
      <c r="V91" s="816"/>
      <c r="W91" s="816"/>
      <c r="X91" s="848"/>
      <c r="Y91" s="816"/>
      <c r="Z91" s="816"/>
      <c r="AA91" s="816"/>
      <c r="AB91" s="848"/>
      <c r="AC91" s="816"/>
      <c r="AD91" s="816"/>
      <c r="AE91" s="816"/>
      <c r="AF91" s="816"/>
      <c r="AG91" s="816"/>
      <c r="AH91" s="816"/>
      <c r="AI91" s="850"/>
    </row>
    <row r="92" spans="3:42" s="671" customFormat="1" x14ac:dyDescent="0.3">
      <c r="C92" s="615" t="s">
        <v>136</v>
      </c>
      <c r="D92" s="672"/>
      <c r="E92" s="616" t="s">
        <v>130</v>
      </c>
      <c r="F92" s="617" t="s">
        <v>172</v>
      </c>
      <c r="G92" s="617" t="s">
        <v>174</v>
      </c>
      <c r="H92" s="618" t="s">
        <v>176</v>
      </c>
      <c r="I92" s="617" t="s">
        <v>186</v>
      </c>
      <c r="J92" s="617" t="s">
        <v>238</v>
      </c>
      <c r="K92" s="617" t="s">
        <v>256</v>
      </c>
      <c r="L92" s="617" t="s">
        <v>257</v>
      </c>
      <c r="M92" s="616" t="s">
        <v>260</v>
      </c>
      <c r="N92" s="617" t="s">
        <v>265</v>
      </c>
      <c r="O92" s="617" t="s">
        <v>268</v>
      </c>
      <c r="P92" s="617" t="s">
        <v>276</v>
      </c>
      <c r="Q92" s="616" t="s">
        <v>298</v>
      </c>
      <c r="R92" s="617" t="s">
        <v>299</v>
      </c>
      <c r="S92" s="617" t="s">
        <v>315</v>
      </c>
      <c r="T92" s="618" t="s">
        <v>325</v>
      </c>
      <c r="U92" s="616" t="s">
        <v>332</v>
      </c>
      <c r="V92" s="617" t="s">
        <v>333</v>
      </c>
      <c r="W92" s="617" t="s">
        <v>340</v>
      </c>
      <c r="X92" s="618" t="s">
        <v>344</v>
      </c>
      <c r="Y92" s="617" t="s">
        <v>347</v>
      </c>
      <c r="Z92" s="957" t="s">
        <v>366</v>
      </c>
      <c r="AA92" s="957" t="s">
        <v>369</v>
      </c>
      <c r="AB92" s="958" t="s">
        <v>378</v>
      </c>
      <c r="AC92" s="617" t="s">
        <v>435</v>
      </c>
      <c r="AD92" s="957" t="s">
        <v>448</v>
      </c>
      <c r="AE92" s="957" t="s">
        <v>463</v>
      </c>
      <c r="AF92" s="957" t="s">
        <v>482</v>
      </c>
      <c r="AG92" s="619" t="s">
        <v>487</v>
      </c>
      <c r="AH92" s="851"/>
      <c r="AI92" s="562">
        <v>2019</v>
      </c>
      <c r="AJ92" s="563">
        <v>2020</v>
      </c>
      <c r="AK92" s="563">
        <v>2021</v>
      </c>
      <c r="AL92" s="563">
        <v>2022</v>
      </c>
      <c r="AM92" s="563">
        <v>2023</v>
      </c>
      <c r="AN92" s="563">
        <v>2024</v>
      </c>
      <c r="AO92" s="563"/>
      <c r="AP92" s="674"/>
    </row>
    <row r="93" spans="3:42" s="625" customFormat="1" x14ac:dyDescent="0.3">
      <c r="C93" s="635" t="s">
        <v>131</v>
      </c>
      <c r="D93" s="627"/>
      <c r="E93" s="626"/>
      <c r="F93" s="627"/>
      <c r="G93" s="627"/>
      <c r="H93" s="628"/>
      <c r="I93" s="627">
        <f>I96*I94</f>
        <v>78.024447654685602</v>
      </c>
      <c r="J93" s="627"/>
      <c r="K93" s="627"/>
      <c r="L93" s="627"/>
      <c r="M93" s="626"/>
      <c r="N93" s="632"/>
      <c r="O93" s="632"/>
      <c r="P93" s="632"/>
      <c r="Q93" s="631"/>
      <c r="R93" s="632"/>
      <c r="S93" s="632"/>
      <c r="T93" s="633"/>
      <c r="U93" s="631"/>
      <c r="V93" s="632"/>
      <c r="W93" s="632"/>
      <c r="X93" s="633"/>
      <c r="Y93" s="632"/>
      <c r="Z93" s="632"/>
      <c r="AA93" s="632"/>
      <c r="AB93" s="633"/>
      <c r="AC93" s="632"/>
      <c r="AD93" s="632"/>
      <c r="AE93" s="632"/>
      <c r="AF93" s="632"/>
      <c r="AG93" s="632"/>
      <c r="AH93" s="852"/>
      <c r="AI93" s="635"/>
      <c r="AJ93" s="636"/>
      <c r="AK93" s="636"/>
      <c r="AL93" s="636"/>
      <c r="AM93" s="636"/>
      <c r="AN93" s="627"/>
      <c r="AO93" s="627"/>
      <c r="AP93" s="626"/>
    </row>
    <row r="94" spans="3:42" s="625" customFormat="1" x14ac:dyDescent="0.3">
      <c r="C94" s="635"/>
      <c r="D94" s="627" t="s">
        <v>429</v>
      </c>
      <c r="E94" s="626">
        <f t="shared" ref="E94:M94" si="193">+E11*E97</f>
        <v>15680.341034699064</v>
      </c>
      <c r="F94" s="627">
        <f t="shared" si="193"/>
        <v>16545.248596795569</v>
      </c>
      <c r="G94" s="627">
        <f t="shared" si="193"/>
        <v>18489.079387353708</v>
      </c>
      <c r="H94" s="628">
        <f t="shared" si="193"/>
        <v>16000.650000000001</v>
      </c>
      <c r="I94" s="627">
        <f t="shared" si="193"/>
        <v>7802.44476546856</v>
      </c>
      <c r="J94" s="627">
        <f t="shared" si="193"/>
        <v>9234.5173425265111</v>
      </c>
      <c r="K94" s="627">
        <f t="shared" si="193"/>
        <v>16418.126089274403</v>
      </c>
      <c r="L94" s="627">
        <f t="shared" si="193"/>
        <v>14211.352411231464</v>
      </c>
      <c r="M94" s="626">
        <f t="shared" si="193"/>
        <v>11689.781673356321</v>
      </c>
      <c r="N94" s="627">
        <f t="shared" ref="N94:AA94" si="194">N11*N97</f>
        <v>15174.201657338957</v>
      </c>
      <c r="O94" s="627">
        <f t="shared" si="194"/>
        <v>13974.406630344827</v>
      </c>
      <c r="P94" s="627">
        <f t="shared" si="194"/>
        <v>10672.831144789016</v>
      </c>
      <c r="Q94" s="626">
        <f t="shared" si="194"/>
        <v>10331.07809524639</v>
      </c>
      <c r="R94" s="627">
        <f t="shared" si="194"/>
        <v>7073.3707791190473</v>
      </c>
      <c r="S94" s="627">
        <f t="shared" si="194"/>
        <v>12855.705955428904</v>
      </c>
      <c r="T94" s="628">
        <f t="shared" si="194"/>
        <v>6958.7466384231602</v>
      </c>
      <c r="U94" s="626">
        <f t="shared" si="194"/>
        <v>16817.696385750001</v>
      </c>
      <c r="V94" s="627">
        <f>V11*V97</f>
        <v>16980.154661719655</v>
      </c>
      <c r="W94" s="627">
        <f t="shared" si="194"/>
        <v>21275.148568574074</v>
      </c>
      <c r="X94" s="628">
        <f t="shared" si="194"/>
        <v>15168.820679999999</v>
      </c>
      <c r="Y94" s="627">
        <f>Y11*Y97</f>
        <v>19770</v>
      </c>
      <c r="Z94" s="627">
        <f>Z11*Z97</f>
        <v>15968.735999999999</v>
      </c>
      <c r="AA94" s="627">
        <f t="shared" si="194"/>
        <v>20028.736000000001</v>
      </c>
      <c r="AB94" s="628">
        <f t="shared" ref="AB94:AG94" si="195">AB11*AB97</f>
        <v>14369.69</v>
      </c>
      <c r="AC94" s="627">
        <f t="shared" si="195"/>
        <v>18386.4954</v>
      </c>
      <c r="AD94" s="627">
        <f t="shared" si="195"/>
        <v>15416.134999999998</v>
      </c>
      <c r="AE94" s="627">
        <f t="shared" si="195"/>
        <v>19461.624</v>
      </c>
      <c r="AF94" s="627">
        <f t="shared" si="195"/>
        <v>13759.916279999999</v>
      </c>
      <c r="AG94" s="627">
        <f t="shared" si="195"/>
        <v>16851.058350000003</v>
      </c>
      <c r="AH94" s="779"/>
      <c r="AI94" s="853">
        <f>+SUM(E94:H94)</f>
        <v>66715.319018848342</v>
      </c>
      <c r="AJ94" s="853">
        <f>SUM(I94:L94)</f>
        <v>47666.44060850094</v>
      </c>
      <c r="AK94" s="853">
        <f>SUM(M94:P94)</f>
        <v>51511.221105829121</v>
      </c>
      <c r="AL94" s="853">
        <f>SUM(Q94:T94)</f>
        <v>37218.901468217504</v>
      </c>
      <c r="AM94" s="853">
        <f>SUM(U94:X94)</f>
        <v>70241.820296043734</v>
      </c>
      <c r="AN94" s="853">
        <f>SUM(Y94:AB94)</f>
        <v>70137.161999999997</v>
      </c>
      <c r="AO94" s="853"/>
      <c r="AP94" s="626"/>
    </row>
    <row r="95" spans="3:42" s="625" customFormat="1" x14ac:dyDescent="0.3">
      <c r="C95" s="635"/>
      <c r="D95" s="646" t="s">
        <v>134</v>
      </c>
      <c r="E95" s="626"/>
      <c r="F95" s="627"/>
      <c r="G95" s="627"/>
      <c r="H95" s="628"/>
      <c r="I95" s="681">
        <f>+I94/E94-1</f>
        <v>-0.50240592674594819</v>
      </c>
      <c r="J95" s="681">
        <f>+J94/F94-1</f>
        <v>-0.44186288356434711</v>
      </c>
      <c r="K95" s="681">
        <f>+K94/G94-1</f>
        <v>-0.11200954112922523</v>
      </c>
      <c r="L95" s="854">
        <f>+L94/H94-1</f>
        <v>-0.11182655634418204</v>
      </c>
      <c r="M95" s="855">
        <f>M94/E94-1</f>
        <v>-0.25449442410162026</v>
      </c>
      <c r="N95" s="854">
        <f>N94/F94-1</f>
        <v>-8.2866505839153781E-2</v>
      </c>
      <c r="O95" s="854">
        <f>O94/G94-1</f>
        <v>-0.24418050582317574</v>
      </c>
      <c r="P95" s="854">
        <f>P94/H94-1</f>
        <v>-0.33297515133516364</v>
      </c>
      <c r="Q95" s="855">
        <f>Q94/E94-1</f>
        <v>-0.34114455340067396</v>
      </c>
      <c r="R95" s="854">
        <f>R94/F94-1</f>
        <v>-0.57248325779227072</v>
      </c>
      <c r="S95" s="854">
        <f>S94/G94-1</f>
        <v>-0.30468652948604669</v>
      </c>
      <c r="T95" s="856">
        <f>T94/H94-1</f>
        <v>-0.56509600307342767</v>
      </c>
      <c r="U95" s="857">
        <f>U94/E94-1</f>
        <v>7.2533840210112777E-2</v>
      </c>
      <c r="V95" s="854">
        <f>V94/F94-1</f>
        <v>2.6285858588326994E-2</v>
      </c>
      <c r="W95" s="854">
        <f>W94/G94-1</f>
        <v>0.15068728533482312</v>
      </c>
      <c r="X95" s="856">
        <f>X94/H94-1</f>
        <v>-5.1987220519166599E-2</v>
      </c>
      <c r="Y95" s="858">
        <f t="shared" ref="Y95:AG95" si="196">Y94/U94-1</f>
        <v>0.17554744398594035</v>
      </c>
      <c r="Z95" s="854">
        <f t="shared" si="196"/>
        <v>-5.95647496662568E-2</v>
      </c>
      <c r="AA95" s="854">
        <f t="shared" si="196"/>
        <v>-5.8585375540698759E-2</v>
      </c>
      <c r="AB95" s="856">
        <f t="shared" si="196"/>
        <v>-5.2682452832582216E-2</v>
      </c>
      <c r="AC95" s="858">
        <f t="shared" si="196"/>
        <v>-6.9980000000000042E-2</v>
      </c>
      <c r="AD95" s="854">
        <f t="shared" si="196"/>
        <v>-3.4605181023720344E-2</v>
      </c>
      <c r="AE95" s="854">
        <f t="shared" si="196"/>
        <v>-2.8314917127071904E-2</v>
      </c>
      <c r="AF95" s="854">
        <f t="shared" si="196"/>
        <v>-4.2434716406547501E-2</v>
      </c>
      <c r="AG95" s="854">
        <f t="shared" si="196"/>
        <v>-8.3508956796627842E-2</v>
      </c>
      <c r="AH95" s="859"/>
      <c r="AI95" s="684"/>
      <c r="AJ95" s="860">
        <f>AJ94/AI94-1</f>
        <v>-0.28552480435513972</v>
      </c>
      <c r="AK95" s="860">
        <f>AK94/AI94-1</f>
        <v>-0.22789515416577377</v>
      </c>
      <c r="AL95" s="860">
        <f>AL94/AI94-1</f>
        <v>-0.44212360795723005</v>
      </c>
      <c r="AM95" s="860">
        <f>AM94/AI94-1</f>
        <v>5.2858943478919507E-2</v>
      </c>
      <c r="AN95" s="861">
        <f>AN94/AM94-1</f>
        <v>-1.4899712963394318E-3</v>
      </c>
      <c r="AO95" s="861"/>
      <c r="AP95" s="626"/>
    </row>
    <row r="96" spans="3:42" s="625" customFormat="1" outlineLevel="1" x14ac:dyDescent="0.3">
      <c r="C96" s="635"/>
      <c r="D96" s="862" t="s">
        <v>273</v>
      </c>
      <c r="E96" s="650">
        <v>0</v>
      </c>
      <c r="F96" s="649">
        <v>0.01</v>
      </c>
      <c r="G96" s="649">
        <v>0.01</v>
      </c>
      <c r="H96" s="647">
        <v>0.01</v>
      </c>
      <c r="I96" s="649">
        <v>0.01</v>
      </c>
      <c r="J96" s="649">
        <v>0.02</v>
      </c>
      <c r="K96" s="649">
        <v>0.01</v>
      </c>
      <c r="L96" s="863">
        <v>0.02</v>
      </c>
      <c r="M96" s="864">
        <v>0.08</v>
      </c>
      <c r="N96" s="863">
        <v>0.08</v>
      </c>
      <c r="O96" s="863">
        <v>0.09</v>
      </c>
      <c r="P96" s="863">
        <v>0.1</v>
      </c>
      <c r="Q96" s="864">
        <v>0.12</v>
      </c>
      <c r="R96" s="863">
        <v>0.12</v>
      </c>
      <c r="S96" s="863">
        <v>0.09</v>
      </c>
      <c r="T96" s="865">
        <v>0.12</v>
      </c>
      <c r="U96" s="866">
        <v>0.11</v>
      </c>
      <c r="V96" s="863">
        <v>0.1</v>
      </c>
      <c r="W96" s="863">
        <v>0.1</v>
      </c>
      <c r="X96" s="867">
        <v>0.11</v>
      </c>
      <c r="Y96" s="969">
        <v>0.1</v>
      </c>
      <c r="Z96" s="863">
        <v>0.1</v>
      </c>
      <c r="AA96" s="863">
        <v>0.1</v>
      </c>
      <c r="AB96" s="867">
        <v>0.11</v>
      </c>
      <c r="AC96" s="969">
        <v>0.12</v>
      </c>
      <c r="AD96" s="863">
        <v>0.11</v>
      </c>
      <c r="AE96" s="863">
        <v>0.11</v>
      </c>
      <c r="AF96" s="995">
        <v>0.1</v>
      </c>
      <c r="AG96" s="995">
        <v>0.05</v>
      </c>
      <c r="AH96" s="990"/>
      <c r="AI96" s="684"/>
      <c r="AJ96" s="685"/>
      <c r="AK96" s="685"/>
      <c r="AL96" s="685"/>
      <c r="AM96" s="685"/>
      <c r="AN96" s="686"/>
      <c r="AO96" s="686"/>
      <c r="AP96" s="626"/>
    </row>
    <row r="97" spans="3:46" s="625" customFormat="1" x14ac:dyDescent="0.35">
      <c r="C97" s="635"/>
      <c r="D97" s="646" t="s">
        <v>243</v>
      </c>
      <c r="E97" s="967">
        <f>1-E20-E96-5%</f>
        <v>0.52</v>
      </c>
      <c r="F97" s="869">
        <f>1-F20-F96-5%</f>
        <v>0.49000000000000005</v>
      </c>
      <c r="G97" s="870">
        <f>1-G20-G96-5%</f>
        <v>0.48499999999999993</v>
      </c>
      <c r="H97" s="968">
        <f>1-H20-H96-5%</f>
        <v>0.46500000000000002</v>
      </c>
      <c r="I97" s="870">
        <f t="shared" ref="I97:Q97" si="197">1-I20-I96</f>
        <v>0.53</v>
      </c>
      <c r="J97" s="871">
        <f t="shared" si="197"/>
        <v>0.53</v>
      </c>
      <c r="K97" s="871">
        <f t="shared" si="197"/>
        <v>0.54</v>
      </c>
      <c r="L97" s="871">
        <f t="shared" si="197"/>
        <v>0.52</v>
      </c>
      <c r="M97" s="871">
        <f t="shared" si="197"/>
        <v>0.44</v>
      </c>
      <c r="N97" s="871">
        <f t="shared" si="197"/>
        <v>0.45</v>
      </c>
      <c r="O97" s="871">
        <f t="shared" si="197"/>
        <v>0.44000000000000006</v>
      </c>
      <c r="P97" s="871">
        <f t="shared" si="197"/>
        <v>0.44000000000000006</v>
      </c>
      <c r="Q97" s="871">
        <f t="shared" si="197"/>
        <v>0.41000000000000003</v>
      </c>
      <c r="R97" s="869">
        <f>1-R20-R96-1.5%</f>
        <v>0.39500000000000002</v>
      </c>
      <c r="S97" s="869">
        <f>1-1%-S96-S20</f>
        <v>0.42500000000000004</v>
      </c>
      <c r="T97" s="872">
        <f>1-4%-T96-T20</f>
        <v>0.37699999999999995</v>
      </c>
      <c r="U97" s="869">
        <f>1-2%-U20-U96</f>
        <v>0.39</v>
      </c>
      <c r="V97" s="869">
        <f>1-V20-V96-1.5%</f>
        <v>0.39500000000000002</v>
      </c>
      <c r="W97" s="870">
        <f>1-W20-W96-3%</f>
        <v>0.41000000000000003</v>
      </c>
      <c r="X97" s="870">
        <f>1-X20-X96-3%</f>
        <v>0.39</v>
      </c>
      <c r="Y97" s="873">
        <f>1-2.5%-Y20-Y96</f>
        <v>0.4</v>
      </c>
      <c r="Z97" s="869">
        <f>1-5%-Z20-Z96</f>
        <v>0.36</v>
      </c>
      <c r="AA97" s="869">
        <f>1-3%-AA20-AA96</f>
        <v>0.38</v>
      </c>
      <c r="AB97" s="872">
        <f>1-2%-AB20-AB96</f>
        <v>0.37</v>
      </c>
      <c r="AC97" s="873">
        <f>1-1%-AC20-AC96</f>
        <v>0.39</v>
      </c>
      <c r="AD97" s="869">
        <f>1-1%-AD20-AD96</f>
        <v>0.35</v>
      </c>
      <c r="AE97" s="869">
        <f>1-1%-AE20-AE96</f>
        <v>0.38</v>
      </c>
      <c r="AF97" s="869">
        <f>1-2%-AF20-AF96</f>
        <v>0.35399999999999998</v>
      </c>
      <c r="AG97" s="869">
        <f>1-3%-AG20-AG96</f>
        <v>0.35000000000000003</v>
      </c>
      <c r="AH97" s="868" t="s">
        <v>493</v>
      </c>
      <c r="AI97" s="873">
        <f>AI94/AI11</f>
        <v>0.48892838603815836</v>
      </c>
      <c r="AJ97" s="873">
        <f t="shared" ref="AJ97:AN97" si="198">AJ94/AJ11</f>
        <v>0.53034206261016714</v>
      </c>
      <c r="AK97" s="873">
        <f t="shared" si="198"/>
        <v>0.442899322381692</v>
      </c>
      <c r="AL97" s="873">
        <f t="shared" si="198"/>
        <v>0.40538187280619598</v>
      </c>
      <c r="AM97" s="873">
        <f t="shared" si="198"/>
        <v>0.39708188720840476</v>
      </c>
      <c r="AN97" s="873">
        <f t="shared" si="198"/>
        <v>0.37845126554820996</v>
      </c>
      <c r="AO97" s="873"/>
      <c r="AP97" s="874"/>
    </row>
    <row r="98" spans="3:46" s="625" customFormat="1" x14ac:dyDescent="0.3">
      <c r="C98" s="635"/>
      <c r="D98" s="627" t="s">
        <v>430</v>
      </c>
      <c r="E98" s="626">
        <f>E94/E100</f>
        <v>110.42493686407792</v>
      </c>
      <c r="F98" s="627">
        <f t="shared" ref="F98:AC98" si="199">F94/F100</f>
        <v>124.40036538944037</v>
      </c>
      <c r="G98" s="627">
        <f t="shared" si="199"/>
        <v>132.06485276681221</v>
      </c>
      <c r="H98" s="628">
        <f>H94/H100</f>
        <v>118.52333333333334</v>
      </c>
      <c r="I98" s="627">
        <f t="shared" si="199"/>
        <v>55.731748324775431</v>
      </c>
      <c r="J98" s="627">
        <f t="shared" si="199"/>
        <v>71.034748788665468</v>
      </c>
      <c r="K98" s="627">
        <f t="shared" si="199"/>
        <v>123.44455706221356</v>
      </c>
      <c r="L98" s="627">
        <f t="shared" si="199"/>
        <v>111.02619071274582</v>
      </c>
      <c r="M98" s="626">
        <f t="shared" si="199"/>
        <v>83.498440523973727</v>
      </c>
      <c r="N98" s="622">
        <f t="shared" si="199"/>
        <v>108.38715469527827</v>
      </c>
      <c r="O98" s="622">
        <f t="shared" si="199"/>
        <v>103.51412318773946</v>
      </c>
      <c r="P98" s="622">
        <f t="shared" si="199"/>
        <v>76.234508177064399</v>
      </c>
      <c r="Q98" s="875">
        <f t="shared" si="199"/>
        <v>67.08492269640513</v>
      </c>
      <c r="R98" s="622">
        <f t="shared" si="199"/>
        <v>46.231181562869587</v>
      </c>
      <c r="S98" s="622">
        <f t="shared" si="199"/>
        <v>80.348162221430655</v>
      </c>
      <c r="T98" s="876">
        <f t="shared" si="199"/>
        <v>41.920160472428677</v>
      </c>
      <c r="U98" s="875">
        <f>U94/U100</f>
        <v>103.81294065277778</v>
      </c>
      <c r="V98" s="622">
        <f>V94/V100</f>
        <v>113.20103107813102</v>
      </c>
      <c r="W98" s="622">
        <f>W94/W100</f>
        <v>136.37915749085946</v>
      </c>
      <c r="X98" s="876">
        <f t="shared" si="199"/>
        <v>109.12820633093524</v>
      </c>
      <c r="Y98" s="622">
        <f t="shared" si="199"/>
        <v>125.12658227848101</v>
      </c>
      <c r="Z98" s="622">
        <f>Z94/Z100</f>
        <v>111.66948251748251</v>
      </c>
      <c r="AA98" s="622">
        <f t="shared" si="199"/>
        <v>133.52490666666668</v>
      </c>
      <c r="AB98" s="876">
        <f>AB94/AB100</f>
        <v>101.19500000000001</v>
      </c>
      <c r="AC98" s="622">
        <f t="shared" si="199"/>
        <v>116.37022405063291</v>
      </c>
      <c r="AD98" s="622">
        <f>AD94/AD100</f>
        <v>104.87166666666666</v>
      </c>
      <c r="AE98" s="622">
        <f>AE94/AE100</f>
        <v>121.63515</v>
      </c>
      <c r="AF98" s="622">
        <f>AF94/AF100</f>
        <v>98.285116285714281</v>
      </c>
      <c r="AG98" s="622">
        <f>AG94/AG100</f>
        <v>105.31911468750002</v>
      </c>
      <c r="AH98" s="859"/>
      <c r="AI98" s="877">
        <f>+SUM(E98:H98)</f>
        <v>485.41348835366387</v>
      </c>
      <c r="AJ98" s="878">
        <f>SUM(I98:L98)</f>
        <v>361.23724488840026</v>
      </c>
      <c r="AK98" s="878">
        <f>SUM(M98:P98)</f>
        <v>371.63422658405585</v>
      </c>
      <c r="AL98" s="878">
        <f>SUM(Q98:T98)</f>
        <v>235.58442695313403</v>
      </c>
      <c r="AM98" s="878">
        <f>SUM(U98:X98)</f>
        <v>462.52133555270353</v>
      </c>
      <c r="AN98" s="879">
        <f>SUM(Y98:AB98)</f>
        <v>471.51597146263015</v>
      </c>
      <c r="AO98" s="879"/>
      <c r="AP98" s="880" t="s">
        <v>431</v>
      </c>
      <c r="AQ98" s="881"/>
    </row>
    <row r="99" spans="3:46" s="625" customFormat="1" x14ac:dyDescent="0.3">
      <c r="C99" s="635"/>
      <c r="D99" s="646" t="s">
        <v>134</v>
      </c>
      <c r="E99" s="626"/>
      <c r="F99" s="627"/>
      <c r="G99" s="627"/>
      <c r="H99" s="628"/>
      <c r="I99" s="681">
        <f>+I98/E98-1</f>
        <v>-0.49529743998517606</v>
      </c>
      <c r="J99" s="681">
        <f>+J98/F98-1</f>
        <v>-0.42898279626198588</v>
      </c>
      <c r="K99" s="882">
        <f>+K98/G98-1</f>
        <v>-6.5273201188658092E-2</v>
      </c>
      <c r="L99" s="882">
        <f>L98/H98-1</f>
        <v>-6.3254571144254479E-2</v>
      </c>
      <c r="M99" s="883">
        <f>M98/E98-1</f>
        <v>-0.24384434444592917</v>
      </c>
      <c r="N99" s="882">
        <f>N98/F98-1</f>
        <v>-0.12872318054719611</v>
      </c>
      <c r="O99" s="882">
        <f>O98/G98-1</f>
        <v>-0.21618719122403418</v>
      </c>
      <c r="P99" s="882">
        <f>P98/H98-1</f>
        <v>-0.35679746735890772</v>
      </c>
      <c r="Q99" s="883">
        <f>Q98/E98-1</f>
        <v>-0.39248393884997212</v>
      </c>
      <c r="R99" s="882">
        <f>R98/F98-1</f>
        <v>-0.62836779925733333</v>
      </c>
      <c r="S99" s="882">
        <f>S98/G98-1</f>
        <v>-0.39160071330029089</v>
      </c>
      <c r="T99" s="884">
        <f>T98/H98-1</f>
        <v>-0.64631301454766699</v>
      </c>
      <c r="U99" s="885">
        <f>U98/E98-1</f>
        <v>-5.9877745001012284E-2</v>
      </c>
      <c r="V99" s="882">
        <f>V98/F98-1</f>
        <v>-9.002653871834998E-2</v>
      </c>
      <c r="W99" s="882">
        <f>W98/G98-1</f>
        <v>3.2668076582533567E-2</v>
      </c>
      <c r="X99" s="884">
        <f>X98/H98-1</f>
        <v>-7.926816381357904E-2</v>
      </c>
      <c r="Y99" s="886">
        <f t="shared" ref="Y99:AC99" si="200">Y98/U98-1</f>
        <v>0.20530813877039455</v>
      </c>
      <c r="Z99" s="882">
        <f>Z98/V98-1</f>
        <v>-1.3529457691877744E-2</v>
      </c>
      <c r="AA99" s="882">
        <f t="shared" si="200"/>
        <v>-2.0928790562326771E-2</v>
      </c>
      <c r="AB99" s="884">
        <f t="shared" si="200"/>
        <v>-7.2696203829076933E-2</v>
      </c>
      <c r="AC99" s="886">
        <f t="shared" si="200"/>
        <v>-6.9979999999999931E-2</v>
      </c>
      <c r="AD99" s="882">
        <f>AD98/Z98-1</f>
        <v>-6.0874427798585096E-2</v>
      </c>
      <c r="AE99" s="882">
        <f>AE98/AA98-1</f>
        <v>-8.9045234806629958E-2</v>
      </c>
      <c r="AF99" s="996">
        <f>AF98/AB98-1</f>
        <v>-2.8755212355212501E-2</v>
      </c>
      <c r="AG99" s="996">
        <f>AG98/AC98-1</f>
        <v>-9.4965094836670039E-2</v>
      </c>
      <c r="AH99" s="1019" t="s">
        <v>492</v>
      </c>
      <c r="AI99" s="684"/>
      <c r="AJ99" s="860">
        <f>AJ98/AI98-1</f>
        <v>-0.2558153954197312</v>
      </c>
      <c r="AK99" s="860">
        <f>AK98/AI98-1</f>
        <v>-0.23439658044011835</v>
      </c>
      <c r="AL99" s="860">
        <f>AL98/AI98-1</f>
        <v>-0.51467268090932961</v>
      </c>
      <c r="AM99" s="860">
        <f>AM98/AI98-1</f>
        <v>-4.7160108547048663E-2</v>
      </c>
      <c r="AN99" s="861">
        <f>AN98/AM98-1</f>
        <v>1.9446964320420479E-2</v>
      </c>
      <c r="AO99" s="861"/>
      <c r="AP99" s="874"/>
    </row>
    <row r="100" spans="3:46" s="625" customFormat="1" x14ac:dyDescent="0.3">
      <c r="C100" s="635"/>
      <c r="D100" s="627" t="s">
        <v>146</v>
      </c>
      <c r="E100" s="706">
        <v>142</v>
      </c>
      <c r="F100" s="707">
        <v>133</v>
      </c>
      <c r="G100" s="707">
        <v>140</v>
      </c>
      <c r="H100" s="709">
        <v>135</v>
      </c>
      <c r="I100" s="707">
        <v>140</v>
      </c>
      <c r="J100" s="707">
        <v>130</v>
      </c>
      <c r="K100" s="707">
        <v>133</v>
      </c>
      <c r="L100" s="707">
        <v>128</v>
      </c>
      <c r="M100" s="706">
        <v>140</v>
      </c>
      <c r="N100" s="622">
        <v>140</v>
      </c>
      <c r="O100" s="622">
        <v>135</v>
      </c>
      <c r="P100" s="622">
        <v>140</v>
      </c>
      <c r="Q100" s="875">
        <v>154</v>
      </c>
      <c r="R100" s="622">
        <v>153</v>
      </c>
      <c r="S100" s="622">
        <v>160</v>
      </c>
      <c r="T100" s="876">
        <v>166</v>
      </c>
      <c r="U100" s="706">
        <v>162</v>
      </c>
      <c r="V100" s="707">
        <v>150</v>
      </c>
      <c r="W100" s="707">
        <v>156</v>
      </c>
      <c r="X100" s="709">
        <v>139</v>
      </c>
      <c r="Y100" s="707">
        <v>158</v>
      </c>
      <c r="Z100" s="707">
        <v>143</v>
      </c>
      <c r="AA100" s="707">
        <v>150</v>
      </c>
      <c r="AB100" s="709">
        <v>142</v>
      </c>
      <c r="AC100" s="707">
        <v>158</v>
      </c>
      <c r="AD100" s="707">
        <v>147</v>
      </c>
      <c r="AE100" s="707">
        <v>160</v>
      </c>
      <c r="AF100" s="707">
        <v>140</v>
      </c>
      <c r="AG100" s="707">
        <v>160</v>
      </c>
      <c r="AH100" s="1019" t="s">
        <v>494</v>
      </c>
      <c r="AI100" s="887">
        <f t="shared" ref="AI100:AN100" si="201">+AI94/AI98</f>
        <v>137.44018371867062</v>
      </c>
      <c r="AJ100" s="888">
        <f t="shared" si="201"/>
        <v>131.95328356362282</v>
      </c>
      <c r="AK100" s="888">
        <f t="shared" si="201"/>
        <v>138.60731176270806</v>
      </c>
      <c r="AL100" s="888">
        <f t="shared" si="201"/>
        <v>157.98540654651015</v>
      </c>
      <c r="AM100" s="888">
        <f t="shared" si="201"/>
        <v>151.86720027111008</v>
      </c>
      <c r="AN100" s="888">
        <f t="shared" si="201"/>
        <v>148.74822115237447</v>
      </c>
      <c r="AO100" s="888"/>
      <c r="AP100" s="626"/>
    </row>
    <row r="101" spans="3:46" s="625" customFormat="1" outlineLevel="1" x14ac:dyDescent="0.3">
      <c r="C101" s="635"/>
      <c r="D101" s="629" t="s">
        <v>135</v>
      </c>
      <c r="E101" s="713">
        <v>4.1000000000000002E-2</v>
      </c>
      <c r="F101" s="714">
        <v>1.95E-2</v>
      </c>
      <c r="G101" s="714">
        <v>2.5999999999999999E-2</v>
      </c>
      <c r="H101" s="715">
        <v>3.3000000000000002E-2</v>
      </c>
      <c r="I101" s="714">
        <v>4.4999999999999998E-2</v>
      </c>
      <c r="J101" s="716">
        <v>3.5000000000000003E-2</v>
      </c>
      <c r="K101" s="716">
        <v>2.5000000000000001E-2</v>
      </c>
      <c r="L101" s="889">
        <v>2.9000000000000001E-2</v>
      </c>
      <c r="M101" s="717">
        <v>3.6999999999999998E-2</v>
      </c>
      <c r="N101" s="716">
        <v>3.5999999999999997E-2</v>
      </c>
      <c r="O101" s="716">
        <v>3.5999999999999997E-2</v>
      </c>
      <c r="P101" s="716">
        <v>4.2000000000000003E-2</v>
      </c>
      <c r="Q101" s="717">
        <v>3.9E-2</v>
      </c>
      <c r="R101" s="716">
        <v>3.3500000000000002E-2</v>
      </c>
      <c r="S101" s="716">
        <v>3.3000000000000002E-2</v>
      </c>
      <c r="T101" s="718">
        <v>3.9E-2</v>
      </c>
      <c r="U101" s="713">
        <v>3.5999999999999997E-2</v>
      </c>
      <c r="V101" s="959">
        <v>3.5000000000000003E-2</v>
      </c>
      <c r="W101" s="959">
        <v>3.5000000000000003E-2</v>
      </c>
      <c r="X101" s="960">
        <v>3.7999999999999999E-2</v>
      </c>
      <c r="Y101" s="991">
        <v>3.9E-2</v>
      </c>
      <c r="Z101" s="992">
        <v>4.4999999999999998E-2</v>
      </c>
      <c r="AA101" s="992">
        <v>4.4999999999999998E-2</v>
      </c>
      <c r="AB101" s="993">
        <v>4.8000000000000001E-2</v>
      </c>
      <c r="AC101" s="991">
        <v>4.4999999999999998E-2</v>
      </c>
      <c r="AD101" s="992">
        <v>4.5999999999999999E-2</v>
      </c>
      <c r="AE101" s="992">
        <v>4.5999999999999999E-2</v>
      </c>
      <c r="AF101" s="992">
        <v>4.8500000000000001E-2</v>
      </c>
      <c r="AG101" s="992">
        <v>4.3999999999999997E-2</v>
      </c>
      <c r="AH101" s="1014"/>
      <c r="AI101" s="890">
        <f t="shared" ref="AI101:AN101" si="202">+AI102/AI94</f>
        <v>2.9592361591999652E-2</v>
      </c>
      <c r="AJ101" s="891">
        <f t="shared" si="202"/>
        <v>3.1403655789753369E-2</v>
      </c>
      <c r="AK101" s="891">
        <f t="shared" si="202"/>
        <v>3.7470102376072789E-2</v>
      </c>
      <c r="AL101" s="891">
        <f t="shared" si="202"/>
        <v>3.5882289093975089E-2</v>
      </c>
      <c r="AM101" s="891">
        <f t="shared" si="202"/>
        <v>3.5887279944669379E-2</v>
      </c>
      <c r="AN101" s="891">
        <f t="shared" si="202"/>
        <v>4.3923382015371534E-2</v>
      </c>
      <c r="AO101" s="891"/>
      <c r="AP101" s="626"/>
    </row>
    <row r="102" spans="3:46" s="625" customFormat="1" ht="16.5" outlineLevel="1" x14ac:dyDescent="0.3">
      <c r="C102" s="635"/>
      <c r="D102" s="627" t="s">
        <v>241</v>
      </c>
      <c r="E102" s="626">
        <f t="shared" ref="E102:AA102" si="203">E94*E101</f>
        <v>642.89398242266168</v>
      </c>
      <c r="F102" s="627">
        <f t="shared" si="203"/>
        <v>322.63234763751359</v>
      </c>
      <c r="G102" s="627">
        <f t="shared" si="203"/>
        <v>480.7160640711964</v>
      </c>
      <c r="H102" s="628">
        <f t="shared" si="203"/>
        <v>528.02145000000007</v>
      </c>
      <c r="I102" s="627">
        <f t="shared" si="203"/>
        <v>351.11001444608519</v>
      </c>
      <c r="J102" s="627">
        <f t="shared" si="203"/>
        <v>323.20810698842791</v>
      </c>
      <c r="K102" s="627">
        <f t="shared" si="203"/>
        <v>410.45315223186009</v>
      </c>
      <c r="L102" s="627">
        <f t="shared" si="203"/>
        <v>412.1292199257125</v>
      </c>
      <c r="M102" s="626">
        <f t="shared" si="203"/>
        <v>432.52192191418385</v>
      </c>
      <c r="N102" s="627">
        <f t="shared" si="203"/>
        <v>546.27125966420238</v>
      </c>
      <c r="O102" s="627">
        <f t="shared" si="203"/>
        <v>503.07863869241373</v>
      </c>
      <c r="P102" s="627">
        <f t="shared" si="203"/>
        <v>448.25890808113866</v>
      </c>
      <c r="Q102" s="626">
        <f t="shared" si="203"/>
        <v>402.91204571460923</v>
      </c>
      <c r="R102" s="627">
        <f t="shared" si="203"/>
        <v>236.95792110048811</v>
      </c>
      <c r="S102" s="627">
        <f t="shared" si="203"/>
        <v>424.23829652915384</v>
      </c>
      <c r="T102" s="628">
        <f t="shared" si="203"/>
        <v>271.39111889850324</v>
      </c>
      <c r="U102" s="626">
        <f t="shared" si="203"/>
        <v>605.43706988700001</v>
      </c>
      <c r="V102" s="627">
        <f t="shared" si="203"/>
        <v>594.30541316018798</v>
      </c>
      <c r="W102" s="627">
        <f t="shared" si="203"/>
        <v>744.63019990009263</v>
      </c>
      <c r="X102" s="628">
        <f t="shared" si="203"/>
        <v>576.41518583999994</v>
      </c>
      <c r="Y102" s="627">
        <f>Y94*Y101</f>
        <v>771.03</v>
      </c>
      <c r="Z102" s="627">
        <f>Z94*Z101</f>
        <v>718.59311999999989</v>
      </c>
      <c r="AA102" s="627">
        <f t="shared" si="203"/>
        <v>901.29312000000004</v>
      </c>
      <c r="AB102" s="628">
        <f t="shared" ref="AB102:AG102" si="204">AB94*AB101</f>
        <v>689.74512000000004</v>
      </c>
      <c r="AC102" s="627">
        <f t="shared" si="204"/>
        <v>827.392293</v>
      </c>
      <c r="AD102" s="627">
        <f t="shared" si="204"/>
        <v>709.14220999999986</v>
      </c>
      <c r="AE102" s="627">
        <f t="shared" si="204"/>
        <v>895.23470399999997</v>
      </c>
      <c r="AF102" s="627">
        <f t="shared" si="204"/>
        <v>667.35593958000004</v>
      </c>
      <c r="AG102" s="738">
        <f t="shared" si="204"/>
        <v>741.44656740000005</v>
      </c>
      <c r="AH102" s="1006" t="s">
        <v>489</v>
      </c>
      <c r="AI102" s="877">
        <f>+SUM(E102:H102)</f>
        <v>1974.2638441313716</v>
      </c>
      <c r="AJ102" s="878">
        <f>SUM(I102:L102)</f>
        <v>1496.9004935920857</v>
      </c>
      <c r="AK102" s="878">
        <f>SUM(M102:P102)</f>
        <v>1930.1307283519386</v>
      </c>
      <c r="AL102" s="878">
        <f>SUM(Q102:T102)</f>
        <v>1335.4993822427543</v>
      </c>
      <c r="AM102" s="878">
        <f>SUM(U102:X102)</f>
        <v>2520.7878687872808</v>
      </c>
      <c r="AN102" s="879">
        <f>SUM(Y102:AB102)</f>
        <v>3080.6613599999996</v>
      </c>
      <c r="AO102" s="879"/>
      <c r="AP102" s="626"/>
    </row>
    <row r="103" spans="3:46" s="625" customFormat="1" x14ac:dyDescent="0.3">
      <c r="C103" s="635"/>
      <c r="D103" s="646" t="s">
        <v>348</v>
      </c>
      <c r="E103" s="626"/>
      <c r="F103" s="627"/>
      <c r="G103" s="627"/>
      <c r="H103" s="628"/>
      <c r="I103" s="741">
        <f>+I102/E102-1</f>
        <v>-0.45386016350165059</v>
      </c>
      <c r="J103" s="741">
        <f>+J102/F102-1</f>
        <v>1.7845679614283405E-3</v>
      </c>
      <c r="K103" s="741">
        <f>+K102/G102-1</f>
        <v>-0.1461630203165627</v>
      </c>
      <c r="L103" s="892">
        <f>L102/H102-1</f>
        <v>-0.21948394345397815</v>
      </c>
      <c r="M103" s="742">
        <f>M102/E102-1</f>
        <v>-0.32722667540877937</v>
      </c>
      <c r="N103" s="741">
        <f>N102/F102-1</f>
        <v>0.69316952768156193</v>
      </c>
      <c r="O103" s="741">
        <f>O102/G102-1</f>
        <v>4.6519299629448785E-2</v>
      </c>
      <c r="P103" s="741">
        <f>P102/H102-1</f>
        <v>-0.15105928351748099</v>
      </c>
      <c r="Q103" s="742">
        <f>Q102/E102-1</f>
        <v>-0.37328384347868993</v>
      </c>
      <c r="R103" s="741">
        <f>R102/F102-1</f>
        <v>-0.26554816082261867</v>
      </c>
      <c r="S103" s="741">
        <f>S102/G102-1</f>
        <v>-0.11748674896305922</v>
      </c>
      <c r="T103" s="743">
        <f>T102/H102-1</f>
        <v>-0.48602254908677822</v>
      </c>
      <c r="U103" s="893">
        <f>U102/E102-1</f>
        <v>-5.826296957160837E-2</v>
      </c>
      <c r="V103" s="741">
        <f>V102/F102-1</f>
        <v>0.84205154105597191</v>
      </c>
      <c r="W103" s="741">
        <f>W102/G102-1</f>
        <v>0.54900211487380046</v>
      </c>
      <c r="X103" s="743">
        <f>X102/H102-1</f>
        <v>9.1651079402171653E-2</v>
      </c>
      <c r="Y103" s="741">
        <f t="shared" ref="Y103:AG103" si="205">Y102/U102-1</f>
        <v>0.27350973098476872</v>
      </c>
      <c r="Z103" s="741">
        <f t="shared" si="205"/>
        <v>0.2091310361433838</v>
      </c>
      <c r="AA103" s="741">
        <f t="shared" si="205"/>
        <v>0.21039023144767288</v>
      </c>
      <c r="AB103" s="743">
        <f t="shared" si="205"/>
        <v>0.19661163852726449</v>
      </c>
      <c r="AC103" s="741">
        <f t="shared" si="205"/>
        <v>7.3099999999999943E-2</v>
      </c>
      <c r="AD103" s="741">
        <f t="shared" si="205"/>
        <v>-1.3151962824247465E-2</v>
      </c>
      <c r="AE103" s="741">
        <f t="shared" si="205"/>
        <v>-6.7219152854512965E-3</v>
      </c>
      <c r="AF103" s="741">
        <f t="shared" si="205"/>
        <v>-3.2460078035782214E-2</v>
      </c>
      <c r="AG103" s="741">
        <f t="shared" si="205"/>
        <v>-0.10387542442336961</v>
      </c>
      <c r="AH103" s="894"/>
      <c r="AI103" s="684"/>
      <c r="AJ103" s="895"/>
      <c r="AK103" s="896"/>
      <c r="AL103" s="896"/>
      <c r="AM103" s="896"/>
      <c r="AN103" s="896">
        <f>AN102/AM102-1</f>
        <v>0.22210258076260381</v>
      </c>
      <c r="AO103" s="896"/>
      <c r="AP103" s="897"/>
    </row>
    <row r="104" spans="3:46" s="625" customFormat="1" x14ac:dyDescent="0.25">
      <c r="C104" s="635"/>
      <c r="D104" s="724" t="s">
        <v>248</v>
      </c>
      <c r="E104" s="727">
        <f t="shared" ref="E104:AF104" si="206">E102/E98</f>
        <v>5.8220000000000001</v>
      </c>
      <c r="F104" s="725">
        <f t="shared" si="206"/>
        <v>2.5935000000000001</v>
      </c>
      <c r="G104" s="725">
        <f t="shared" si="206"/>
        <v>3.6399999999999997</v>
      </c>
      <c r="H104" s="726">
        <f t="shared" si="206"/>
        <v>4.4550000000000001</v>
      </c>
      <c r="I104" s="725">
        <f t="shared" si="206"/>
        <v>6.3</v>
      </c>
      <c r="J104" s="725">
        <f t="shared" si="206"/>
        <v>4.5500000000000007</v>
      </c>
      <c r="K104" s="725">
        <f t="shared" si="206"/>
        <v>3.3249999999999997</v>
      </c>
      <c r="L104" s="725">
        <f t="shared" si="206"/>
        <v>3.7120000000000002</v>
      </c>
      <c r="M104" s="727">
        <f t="shared" si="206"/>
        <v>5.18</v>
      </c>
      <c r="N104" s="727">
        <f t="shared" si="206"/>
        <v>5.0399999999999991</v>
      </c>
      <c r="O104" s="727">
        <f t="shared" si="206"/>
        <v>4.8599999999999994</v>
      </c>
      <c r="P104" s="727">
        <f t="shared" si="206"/>
        <v>5.88</v>
      </c>
      <c r="Q104" s="727">
        <f t="shared" si="206"/>
        <v>6.0060000000000002</v>
      </c>
      <c r="R104" s="725">
        <f t="shared" si="206"/>
        <v>5.1255000000000006</v>
      </c>
      <c r="S104" s="725">
        <f t="shared" si="206"/>
        <v>5.2799999999999994</v>
      </c>
      <c r="T104" s="726">
        <f t="shared" si="206"/>
        <v>6.4739999999999993</v>
      </c>
      <c r="U104" s="727">
        <f t="shared" si="206"/>
        <v>5.8319999999999999</v>
      </c>
      <c r="V104" s="725">
        <f t="shared" si="206"/>
        <v>5.2500000000000009</v>
      </c>
      <c r="W104" s="725">
        <f t="shared" si="206"/>
        <v>5.46</v>
      </c>
      <c r="X104" s="726">
        <f t="shared" si="206"/>
        <v>5.282</v>
      </c>
      <c r="Y104" s="725">
        <f t="shared" si="206"/>
        <v>6.1619999999999999</v>
      </c>
      <c r="Z104" s="725">
        <f t="shared" si="206"/>
        <v>6.4349999999999996</v>
      </c>
      <c r="AA104" s="725">
        <f t="shared" si="206"/>
        <v>6.75</v>
      </c>
      <c r="AB104" s="726">
        <f t="shared" si="206"/>
        <v>6.8159999999999998</v>
      </c>
      <c r="AC104" s="725">
        <f t="shared" si="206"/>
        <v>7.1099999999999994</v>
      </c>
      <c r="AD104" s="725">
        <f t="shared" si="206"/>
        <v>6.7619999999999996</v>
      </c>
      <c r="AE104" s="725">
        <f t="shared" si="206"/>
        <v>7.36</v>
      </c>
      <c r="AF104" s="725">
        <f t="shared" si="206"/>
        <v>6.7900000000000009</v>
      </c>
      <c r="AG104" s="1018">
        <f t="shared" ref="AG104" si="207">AG102/AG98</f>
        <v>7.0399999999999991</v>
      </c>
      <c r="AH104" s="1017"/>
      <c r="AI104" s="727">
        <f t="shared" ref="AI104:AN104" si="208">AI102/AI98</f>
        <v>4.0671796138737646</v>
      </c>
      <c r="AJ104" s="725">
        <f t="shared" si="208"/>
        <v>4.1438154973597321</v>
      </c>
      <c r="AK104" s="725">
        <f t="shared" si="208"/>
        <v>5.1936301618209093</v>
      </c>
      <c r="AL104" s="725">
        <f t="shared" si="208"/>
        <v>5.6688780303310615</v>
      </c>
      <c r="AM104" s="725">
        <f t="shared" si="208"/>
        <v>5.4501007305424967</v>
      </c>
      <c r="AN104" s="725">
        <f t="shared" si="208"/>
        <v>6.5335249417827121</v>
      </c>
      <c r="AO104" s="725"/>
      <c r="AP104" s="626"/>
    </row>
    <row r="105" spans="3:46" ht="16" x14ac:dyDescent="0.35">
      <c r="C105" s="594" t="s">
        <v>432</v>
      </c>
      <c r="D105" s="575"/>
      <c r="E105" s="899"/>
      <c r="F105" s="900"/>
      <c r="G105" s="900"/>
      <c r="H105" s="901"/>
      <c r="I105" s="900"/>
      <c r="J105" s="900"/>
      <c r="K105" s="605"/>
      <c r="L105" s="605"/>
      <c r="O105" s="593"/>
      <c r="P105" s="593"/>
      <c r="Q105" s="903"/>
      <c r="R105" s="593"/>
      <c r="S105" s="593"/>
      <c r="T105" s="904"/>
      <c r="U105" s="903"/>
      <c r="V105" s="593"/>
      <c r="W105" s="593"/>
      <c r="X105" s="904"/>
      <c r="Y105" s="593"/>
      <c r="Z105" s="593"/>
      <c r="AA105" s="593"/>
      <c r="AB105" s="904"/>
      <c r="AC105" s="593"/>
      <c r="AD105" s="593"/>
      <c r="AE105" s="593"/>
      <c r="AF105" s="593"/>
      <c r="AG105" s="1015"/>
      <c r="AH105" s="898"/>
      <c r="AI105" s="594"/>
    </row>
    <row r="106" spans="3:46" x14ac:dyDescent="0.35">
      <c r="C106" s="594"/>
      <c r="D106" s="627" t="s">
        <v>429</v>
      </c>
      <c r="E106" s="706">
        <v>23911.201545707048</v>
      </c>
      <c r="F106" s="707">
        <v>22874.046087135255</v>
      </c>
      <c r="G106" s="707">
        <v>29360.147299397486</v>
      </c>
      <c r="H106" s="709">
        <v>21821.777008598659</v>
      </c>
      <c r="I106" s="707">
        <v>10964.413732599998</v>
      </c>
      <c r="J106" s="707">
        <v>9653.0885966000023</v>
      </c>
      <c r="K106" s="707">
        <v>18855.679768099988</v>
      </c>
      <c r="L106" s="707">
        <v>15913.133950399999</v>
      </c>
      <c r="M106" s="706">
        <v>14919.641784649984</v>
      </c>
      <c r="N106" s="707">
        <v>22116.814876769989</v>
      </c>
      <c r="O106" s="707">
        <v>20403.676510679998</v>
      </c>
      <c r="P106" s="707">
        <v>12862.027018299999</v>
      </c>
      <c r="Q106" s="706">
        <v>12354.077880932797</v>
      </c>
      <c r="R106" s="707">
        <v>8506.7709134716988</v>
      </c>
      <c r="S106" s="707">
        <v>16624.60867354786</v>
      </c>
      <c r="T106" s="709">
        <v>7914.9934728075623</v>
      </c>
      <c r="U106" s="706">
        <v>22385.809854199993</v>
      </c>
      <c r="V106" s="707">
        <v>25806.69427829999</v>
      </c>
      <c r="W106" s="707">
        <v>33363.862309019984</v>
      </c>
      <c r="X106" s="709">
        <v>19784.346162230002</v>
      </c>
      <c r="Y106" s="707">
        <v>27707.575696820008</v>
      </c>
      <c r="Z106" s="707">
        <v>25756.15132885001</v>
      </c>
      <c r="AA106" s="707">
        <v>32273.425094329101</v>
      </c>
      <c r="AB106" s="709">
        <v>18918.401571695387</v>
      </c>
      <c r="AC106" s="707">
        <v>25667.451453381993</v>
      </c>
      <c r="AD106" s="707">
        <v>24931.274980269998</v>
      </c>
      <c r="AE106" s="707">
        <v>31689.300963259997</v>
      </c>
      <c r="AF106" s="707">
        <f>'[10]火车票、汽车票'!$AE$49</f>
        <v>19347.126982599999</v>
      </c>
      <c r="AG106" s="707">
        <f>'[11]火车票、汽车票'!$AF$49</f>
        <v>25578.742992089996</v>
      </c>
      <c r="AH106" s="905"/>
      <c r="AI106" s="707">
        <f>+SUM(E106:H106)</f>
        <v>97967.171940838452</v>
      </c>
      <c r="AJ106" s="707">
        <f>SUM(I106:L106)</f>
        <v>55386.316047699984</v>
      </c>
      <c r="AK106" s="707">
        <f>SUM(M106:P106)</f>
        <v>70302.160190399969</v>
      </c>
      <c r="AL106" s="707">
        <f>SUM(Q106:T106)</f>
        <v>45400.450940759918</v>
      </c>
      <c r="AM106" s="707">
        <f>SUM(U106:X106)</f>
        <v>101340.71260374997</v>
      </c>
      <c r="AN106" s="707">
        <f>SUM(Y106:AB106)</f>
        <v>104655.5536916945</v>
      </c>
      <c r="AO106" s="707"/>
      <c r="AT106" s="906"/>
    </row>
    <row r="107" spans="3:46" s="625" customFormat="1" x14ac:dyDescent="0.3">
      <c r="C107" s="635"/>
      <c r="D107" s="646" t="s">
        <v>134</v>
      </c>
      <c r="E107" s="626"/>
      <c r="F107" s="627"/>
      <c r="G107" s="627"/>
      <c r="H107" s="628"/>
      <c r="I107" s="681">
        <f>+I106/E106-1</f>
        <v>-0.54145283282225853</v>
      </c>
      <c r="J107" s="681">
        <f>+J106/F106-1</f>
        <v>-0.57798945757877696</v>
      </c>
      <c r="K107" s="681">
        <f>+K106/G106-1</f>
        <v>-0.35777979668082471</v>
      </c>
      <c r="L107" s="681">
        <f>+L106/H106-1</f>
        <v>-0.27076818977072381</v>
      </c>
      <c r="M107" s="780">
        <f>M106/E106-1</f>
        <v>-0.37603964584838623</v>
      </c>
      <c r="N107" s="781">
        <f>N106/F106-1</f>
        <v>-3.3104384221344429E-2</v>
      </c>
      <c r="O107" s="781">
        <f>O106/G106-1</f>
        <v>-0.30505537650695946</v>
      </c>
      <c r="P107" s="781">
        <f>P106/H106-1</f>
        <v>-0.41058755145230186</v>
      </c>
      <c r="Q107" s="780">
        <f>Q106/E106-1</f>
        <v>-0.48333512821103652</v>
      </c>
      <c r="R107" s="781">
        <f>R106/F106-1</f>
        <v>-0.62810379584501885</v>
      </c>
      <c r="S107" s="781">
        <f>S106/G106-1</f>
        <v>-0.4337695753355767</v>
      </c>
      <c r="T107" s="782">
        <f>T106/H106-1</f>
        <v>-0.63728923315050201</v>
      </c>
      <c r="U107" s="780">
        <f>U106/E106-1</f>
        <v>-6.3794020914892946E-2</v>
      </c>
      <c r="V107" s="781">
        <f>V106/F106-1</f>
        <v>0.12820854605229215</v>
      </c>
      <c r="W107" s="781">
        <f>W106/G106-1</f>
        <v>0.13636563089397913</v>
      </c>
      <c r="X107" s="782">
        <f>X106/H106-1</f>
        <v>-9.3366862174690368E-2</v>
      </c>
      <c r="Y107" s="781">
        <f t="shared" ref="Y107:AG107" si="209">Y106/U106-1</f>
        <v>0.23772943115665535</v>
      </c>
      <c r="Z107" s="781">
        <f t="shared" si="209"/>
        <v>-1.9585208746585314E-3</v>
      </c>
      <c r="AA107" s="781">
        <f t="shared" si="209"/>
        <v>-3.2683182917826681E-2</v>
      </c>
      <c r="AB107" s="782">
        <f t="shared" si="209"/>
        <v>-4.3769179099169664E-2</v>
      </c>
      <c r="AC107" s="781">
        <f t="shared" si="209"/>
        <v>-7.3630557424486542E-2</v>
      </c>
      <c r="AD107" s="781">
        <f t="shared" si="209"/>
        <v>-3.202638228235799E-2</v>
      </c>
      <c r="AE107" s="781">
        <f t="shared" si="209"/>
        <v>-1.8099229609557121E-2</v>
      </c>
      <c r="AF107" s="781">
        <f t="shared" si="209"/>
        <v>2.2661819989382437E-2</v>
      </c>
      <c r="AG107" s="781">
        <f t="shared" si="209"/>
        <v>-3.4560681434661067E-3</v>
      </c>
      <c r="AH107" s="894"/>
      <c r="AI107" s="781"/>
      <c r="AJ107" s="781">
        <f>AJ106/AI106-1</f>
        <v>-0.4346441266963661</v>
      </c>
      <c r="AK107" s="781">
        <f>AK106/AI106-1</f>
        <v>-0.28239063353941818</v>
      </c>
      <c r="AL107" s="781">
        <f>AL106/AI106-1</f>
        <v>-0.53657485419527196</v>
      </c>
      <c r="AM107" s="781">
        <f>AM106/AI106-1</f>
        <v>3.4435419498980435E-2</v>
      </c>
      <c r="AN107" s="781">
        <f>AN106/AM106-1</f>
        <v>3.270986558882627E-2</v>
      </c>
      <c r="AO107" s="781"/>
      <c r="AP107" s="626"/>
    </row>
    <row r="108" spans="3:46" x14ac:dyDescent="0.35">
      <c r="C108" s="594"/>
      <c r="D108" s="627" t="s">
        <v>430</v>
      </c>
      <c r="E108" s="907">
        <v>164.07646916745563</v>
      </c>
      <c r="F108" s="908">
        <v>167.0057240972032</v>
      </c>
      <c r="G108" s="908">
        <v>204.40854789139757</v>
      </c>
      <c r="H108" s="909">
        <v>159.1916583757336</v>
      </c>
      <c r="I108" s="910">
        <v>61.442492000000001</v>
      </c>
      <c r="J108" s="784">
        <v>73.208215999999993</v>
      </c>
      <c r="K108" s="784">
        <v>133.394206</v>
      </c>
      <c r="L108" s="784">
        <v>119.511467</v>
      </c>
      <c r="M108" s="911">
        <v>103.273788</v>
      </c>
      <c r="N108" s="912">
        <v>155.574701</v>
      </c>
      <c r="O108" s="912">
        <v>135.22182700000002</v>
      </c>
      <c r="P108" s="912">
        <v>93.175083000000001</v>
      </c>
      <c r="Q108" s="913">
        <v>80.139478999999994</v>
      </c>
      <c r="R108" s="622">
        <v>55.532776999999996</v>
      </c>
      <c r="S108" s="622">
        <v>99.872542999999993</v>
      </c>
      <c r="T108" s="876">
        <v>47.750039000000001</v>
      </c>
      <c r="U108" s="706">
        <v>137.14205000000001</v>
      </c>
      <c r="V108" s="707">
        <v>168.45018199999998</v>
      </c>
      <c r="W108" s="707">
        <v>210.83328399999999</v>
      </c>
      <c r="X108" s="709">
        <v>142.95266800000002</v>
      </c>
      <c r="Y108" s="707">
        <v>166.28529800000001</v>
      </c>
      <c r="Z108" s="707">
        <f>'[8]火车票、汽车票'!$Y$3</f>
        <v>169.24682098954662</v>
      </c>
      <c r="AA108" s="707">
        <f>'[18]火车票、汽车票'!$Z$3</f>
        <v>205.57117</v>
      </c>
      <c r="AB108" s="709">
        <f>'[19]火车票、汽车票'!$AA$3</f>
        <v>130.69034000000005</v>
      </c>
      <c r="AC108" s="707">
        <f>'[21]火车票、汽车票'!$AB$3</f>
        <v>156.70288800000003</v>
      </c>
      <c r="AD108" s="707">
        <f>'[9]火车票、汽车票'!$AC$3</f>
        <v>161.40923800000004</v>
      </c>
      <c r="AE108" s="707">
        <v>192.901545</v>
      </c>
      <c r="AF108" s="707">
        <f>'[10]火车票、汽车票'!$AE$3</f>
        <v>132.17778699999997</v>
      </c>
      <c r="AG108" s="707">
        <f>'[11]火车票、汽车票'!$AF$3</f>
        <v>149.77357800000001</v>
      </c>
      <c r="AH108" s="859"/>
      <c r="AI108" s="707">
        <f>+SUM(E108:H108)</f>
        <v>694.68239953179</v>
      </c>
      <c r="AJ108" s="707">
        <f>SUM(I108:L108)</f>
        <v>387.55638099999999</v>
      </c>
      <c r="AK108" s="707">
        <f>SUM(M108:P108)</f>
        <v>487.24539900000002</v>
      </c>
      <c r="AL108" s="707">
        <f>SUM(Q108:T108)</f>
        <v>283.29483800000003</v>
      </c>
      <c r="AM108" s="707">
        <f>SUM(U108:X108)</f>
        <v>659.37818400000003</v>
      </c>
      <c r="AN108" s="707">
        <f>SUM(Y108:AB108)</f>
        <v>671.79362898954673</v>
      </c>
      <c r="AO108" s="707"/>
      <c r="AT108" s="906"/>
    </row>
    <row r="109" spans="3:46" s="625" customFormat="1" x14ac:dyDescent="0.3">
      <c r="C109" s="635"/>
      <c r="D109" s="646" t="s">
        <v>348</v>
      </c>
      <c r="E109" s="626"/>
      <c r="F109" s="627"/>
      <c r="G109" s="627"/>
      <c r="H109" s="628"/>
      <c r="I109" s="681">
        <f>+I108/E108-1</f>
        <v>-0.62552526689679011</v>
      </c>
      <c r="J109" s="681">
        <f>+J108/F108-1</f>
        <v>-0.56164247425800662</v>
      </c>
      <c r="K109" s="681">
        <f>+K108/G108-1</f>
        <v>-0.34741375849471601</v>
      </c>
      <c r="L109" s="681">
        <f>+L108/H108-1</f>
        <v>-0.24926049380098836</v>
      </c>
      <c r="M109" s="780">
        <f>M108/E108-1</f>
        <v>-0.37057526576465216</v>
      </c>
      <c r="N109" s="781">
        <f>N108/F108-1</f>
        <v>-6.8446894015141257E-2</v>
      </c>
      <c r="O109" s="781">
        <f>O108/G108-1</f>
        <v>-0.33847273807823597</v>
      </c>
      <c r="P109" s="781">
        <f>P108/H108-1</f>
        <v>-0.41469871002862069</v>
      </c>
      <c r="Q109" s="780">
        <f>Q108/E108-1</f>
        <v>-0.51157238203236788</v>
      </c>
      <c r="R109" s="781">
        <f>R108/F108-1</f>
        <v>-0.66747979867038587</v>
      </c>
      <c r="S109" s="781">
        <f>S108/G108-1</f>
        <v>-0.51140720860136257</v>
      </c>
      <c r="T109" s="782">
        <f>T108/H108-1</f>
        <v>-0.70004685240920395</v>
      </c>
      <c r="U109" s="780">
        <f>U108/E108-1</f>
        <v>-0.16415772050754263</v>
      </c>
      <c r="V109" s="781">
        <f>V108/F108-1</f>
        <v>8.6491520611355899E-3</v>
      </c>
      <c r="W109" s="781">
        <f>W108/G108-1</f>
        <v>3.1430858322108346E-2</v>
      </c>
      <c r="X109" s="782">
        <f>X108/H108-1</f>
        <v>-0.10200905337266697</v>
      </c>
      <c r="Y109" s="781">
        <f t="shared" ref="Y109:AG109" si="210">Y108/U108-1</f>
        <v>0.21250410067517578</v>
      </c>
      <c r="Z109" s="781">
        <f t="shared" si="210"/>
        <v>4.7292260541851316E-3</v>
      </c>
      <c r="AA109" s="781">
        <f t="shared" si="210"/>
        <v>-2.4958649318387538E-2</v>
      </c>
      <c r="AB109" s="782">
        <f t="shared" si="210"/>
        <v>-8.5778937683065659E-2</v>
      </c>
      <c r="AC109" s="781">
        <f t="shared" si="210"/>
        <v>-5.7626321239776623E-2</v>
      </c>
      <c r="AD109" s="781">
        <f t="shared" si="210"/>
        <v>-4.6308597961970954E-2</v>
      </c>
      <c r="AE109" s="781">
        <f t="shared" si="210"/>
        <v>-6.1631331864288152E-2</v>
      </c>
      <c r="AF109" s="781">
        <f t="shared" si="210"/>
        <v>1.1381460940417698E-2</v>
      </c>
      <c r="AG109" s="781">
        <f t="shared" si="210"/>
        <v>-4.4219414769177789E-2</v>
      </c>
      <c r="AH109" s="894"/>
      <c r="AI109" s="781"/>
      <c r="AJ109" s="781">
        <f>AJ108/AI108-1</f>
        <v>-0.44210997534814522</v>
      </c>
      <c r="AK109" s="781">
        <f>AK108/AI108-1</f>
        <v>-0.29860696150010524</v>
      </c>
      <c r="AL109" s="781">
        <f>AL108/AI108-1</f>
        <v>-0.59219516977695363</v>
      </c>
      <c r="AM109" s="781">
        <f>AM108/AI108-1</f>
        <v>-5.0820656397203567E-2</v>
      </c>
      <c r="AN109" s="781">
        <f>AN108/AM108-1</f>
        <v>1.8829019962763427E-2</v>
      </c>
      <c r="AO109" s="781"/>
      <c r="AP109" s="626"/>
    </row>
    <row r="110" spans="3:46" x14ac:dyDescent="0.35">
      <c r="C110" s="594"/>
      <c r="D110" s="627" t="s">
        <v>146</v>
      </c>
      <c r="E110" s="914">
        <f t="shared" ref="E110:S110" si="211">+E106/E108</f>
        <v>145.73205814968748</v>
      </c>
      <c r="F110" s="915">
        <f t="shared" si="211"/>
        <v>136.96564121252368</v>
      </c>
      <c r="G110" s="915">
        <f t="shared" si="211"/>
        <v>143.63463564643371</v>
      </c>
      <c r="H110" s="916">
        <f t="shared" si="211"/>
        <v>137.07864615050121</v>
      </c>
      <c r="I110" s="915">
        <f t="shared" si="211"/>
        <v>178.45001684827494</v>
      </c>
      <c r="J110" s="915">
        <f t="shared" si="211"/>
        <v>131.85799523649098</v>
      </c>
      <c r="K110" s="915">
        <f t="shared" si="211"/>
        <v>141.35306422604285</v>
      </c>
      <c r="L110" s="915">
        <f t="shared" si="211"/>
        <v>133.15152386506978</v>
      </c>
      <c r="M110" s="914">
        <f t="shared" si="211"/>
        <v>144.46687851374239</v>
      </c>
      <c r="N110" s="915">
        <f t="shared" si="211"/>
        <v>142.16202721013096</v>
      </c>
      <c r="O110" s="915">
        <f t="shared" si="211"/>
        <v>150.89040699531441</v>
      </c>
      <c r="P110" s="915">
        <f t="shared" si="211"/>
        <v>138.04148710337074</v>
      </c>
      <c r="Q110" s="914">
        <f t="shared" si="211"/>
        <v>154.15720235631676</v>
      </c>
      <c r="R110" s="915">
        <f t="shared" si="211"/>
        <v>153.1846843076423</v>
      </c>
      <c r="S110" s="915">
        <f t="shared" si="211"/>
        <v>166.4582494264501</v>
      </c>
      <c r="T110" s="916">
        <f t="shared" ref="T110:AA110" si="212">+T106/T108</f>
        <v>165.75889022431085</v>
      </c>
      <c r="U110" s="914">
        <f t="shared" si="212"/>
        <v>163.23082420162154</v>
      </c>
      <c r="V110" s="915">
        <f t="shared" si="212"/>
        <v>153.20075034587967</v>
      </c>
      <c r="W110" s="915">
        <f t="shared" si="212"/>
        <v>158.24760529281508</v>
      </c>
      <c r="X110" s="916">
        <f t="shared" si="212"/>
        <v>138.39787979494022</v>
      </c>
      <c r="Y110" s="915">
        <f t="shared" si="212"/>
        <v>166.62673146738447</v>
      </c>
      <c r="Z110" s="915">
        <f t="shared" si="212"/>
        <v>152.18100510402388</v>
      </c>
      <c r="AA110" s="915">
        <f t="shared" si="212"/>
        <v>156.99392621216828</v>
      </c>
      <c r="AB110" s="916">
        <f t="shared" ref="AB110:AC110" si="213">+AB106/AB108</f>
        <v>144.75745928655002</v>
      </c>
      <c r="AC110" s="915">
        <f t="shared" si="213"/>
        <v>163.79692666150473</v>
      </c>
      <c r="AD110" s="915">
        <f>+AD106/AD108</f>
        <v>154.46002526986709</v>
      </c>
      <c r="AE110" s="915">
        <f>+AE106/AE108</f>
        <v>164.27707182573369</v>
      </c>
      <c r="AF110" s="915">
        <f>+AF106/AF108</f>
        <v>146.37199957508747</v>
      </c>
      <c r="AG110" s="915">
        <f>+AG106/AG108</f>
        <v>170.78274642066702</v>
      </c>
      <c r="AI110" s="915">
        <f t="shared" ref="AI110:AN110" si="214">+AI106/AI108</f>
        <v>141.02440483142726</v>
      </c>
      <c r="AJ110" s="915">
        <f t="shared" si="214"/>
        <v>142.91163495950795</v>
      </c>
      <c r="AK110" s="915">
        <f t="shared" si="214"/>
        <v>144.28491338180899</v>
      </c>
      <c r="AL110" s="915">
        <f t="shared" si="214"/>
        <v>160.25865935742857</v>
      </c>
      <c r="AM110" s="915">
        <f t="shared" si="214"/>
        <v>153.69133383968608</v>
      </c>
      <c r="AN110" s="915">
        <f t="shared" si="214"/>
        <v>155.78527270213658</v>
      </c>
      <c r="AO110" s="915"/>
      <c r="AP110" s="918"/>
      <c r="AT110" s="906"/>
    </row>
    <row r="111" spans="3:46" outlineLevel="1" x14ac:dyDescent="0.35">
      <c r="C111" s="594"/>
      <c r="D111" s="629" t="s">
        <v>135</v>
      </c>
      <c r="E111" s="919">
        <f t="shared" ref="E111:K111" si="215">+E112/E106</f>
        <v>3.6145784510771092E-2</v>
      </c>
      <c r="F111" s="920">
        <f t="shared" si="215"/>
        <v>2.5196306317759667E-2</v>
      </c>
      <c r="G111" s="920">
        <f t="shared" si="215"/>
        <v>2.8256075489532153E-2</v>
      </c>
      <c r="H111" s="921">
        <f t="shared" si="215"/>
        <v>3.0460944648288434E-2</v>
      </c>
      <c r="I111" s="922">
        <f t="shared" si="215"/>
        <v>4.5993300423037113E-2</v>
      </c>
      <c r="J111" s="920">
        <f t="shared" si="215"/>
        <v>2.471378143636857E-2</v>
      </c>
      <c r="K111" s="922">
        <f t="shared" si="215"/>
        <v>1.8357195119836679E-2</v>
      </c>
      <c r="L111" s="922">
        <f t="shared" ref="L111:U111" si="216">+L112/L106</f>
        <v>1.6577979343490111E-2</v>
      </c>
      <c r="M111" s="923">
        <f t="shared" si="216"/>
        <v>1.7191541333078146E-2</v>
      </c>
      <c r="N111" s="922">
        <f t="shared" si="216"/>
        <v>1.4120444387789959E-2</v>
      </c>
      <c r="O111" s="922">
        <f t="shared" si="216"/>
        <v>1.2972967854222195E-2</v>
      </c>
      <c r="P111" s="922">
        <f t="shared" si="216"/>
        <v>1.3193018807189047E-2</v>
      </c>
      <c r="Q111" s="923">
        <f t="shared" si="216"/>
        <v>2.1975561981057587E-2</v>
      </c>
      <c r="R111" s="922">
        <f t="shared" si="216"/>
        <v>2.3138972396631576E-2</v>
      </c>
      <c r="S111" s="922">
        <f t="shared" si="216"/>
        <v>2.7016657403174913E-2</v>
      </c>
      <c r="T111" s="924">
        <f>+T112/T106</f>
        <v>3.3536830116869025E-2</v>
      </c>
      <c r="U111" s="923">
        <f t="shared" si="216"/>
        <v>3.1261956458621884E-2</v>
      </c>
      <c r="V111" s="922">
        <f t="shared" ref="V111:AA111" si="217">+V112/V106</f>
        <v>2.9007283946174488E-2</v>
      </c>
      <c r="W111" s="922">
        <f t="shared" si="217"/>
        <v>3.0352098162774507E-2</v>
      </c>
      <c r="X111" s="924">
        <f t="shared" si="217"/>
        <v>2.3815986622079302E-2</v>
      </c>
      <c r="Y111" s="922">
        <f t="shared" si="217"/>
        <v>3.0699855696857577E-2</v>
      </c>
      <c r="Z111" s="922">
        <f t="shared" si="217"/>
        <v>2.5984733708130224E-2</v>
      </c>
      <c r="AA111" s="922">
        <f t="shared" si="217"/>
        <v>2.9569174014595145E-2</v>
      </c>
      <c r="AB111" s="924">
        <f t="shared" ref="AB111:AC111" si="218">+AB112/AB106</f>
        <v>2.3826889293948047E-2</v>
      </c>
      <c r="AC111" s="922">
        <f t="shared" si="218"/>
        <v>3.2554136688940694E-2</v>
      </c>
      <c r="AD111" s="922">
        <f t="shared" ref="AD111:AG111" si="219">+AD112/AD106</f>
        <v>2.7233331852819495E-2</v>
      </c>
      <c r="AE111" s="922">
        <f t="shared" si="219"/>
        <v>2.926233917692888E-2</v>
      </c>
      <c r="AF111" s="922">
        <f t="shared" si="219"/>
        <v>2.1984083083133842E-2</v>
      </c>
      <c r="AG111" s="922">
        <f t="shared" si="219"/>
        <v>2.8424968104259946E-2</v>
      </c>
      <c r="AH111" s="917"/>
      <c r="AI111" s="922">
        <f t="shared" ref="AI111:AN111" si="220">+AI112/AI106</f>
        <v>2.995845477949409E-2</v>
      </c>
      <c r="AJ111" s="922">
        <f t="shared" si="220"/>
        <v>2.4424785607752793E-2</v>
      </c>
      <c r="AK111" s="922">
        <f t="shared" si="220"/>
        <v>1.4269491777110422E-2</v>
      </c>
      <c r="AL111" s="922">
        <f t="shared" si="220"/>
        <v>2.6055047152611137E-2</v>
      </c>
      <c r="AM111" s="922">
        <f t="shared" si="220"/>
        <v>2.893460282325044E-2</v>
      </c>
      <c r="AN111" s="922">
        <f t="shared" si="220"/>
        <v>2.794835427820384E-2</v>
      </c>
      <c r="AO111" s="922"/>
      <c r="AT111" s="906"/>
    </row>
    <row r="112" spans="3:46" outlineLevel="1" x14ac:dyDescent="0.35">
      <c r="C112" s="594"/>
      <c r="D112" s="627" t="s">
        <v>241</v>
      </c>
      <c r="E112" s="706">
        <v>864.28913846474359</v>
      </c>
      <c r="F112" s="707">
        <v>576.34147193801186</v>
      </c>
      <c r="G112" s="707">
        <f>'[6]火车票、汽车票'!$F$68</f>
        <v>829.60253847555896</v>
      </c>
      <c r="H112" s="709">
        <v>664.71194158621688</v>
      </c>
      <c r="I112" s="707">
        <v>504.28957476594542</v>
      </c>
      <c r="J112" s="707">
        <v>238.56432176227426</v>
      </c>
      <c r="K112" s="707">
        <v>346.13739262016827</v>
      </c>
      <c r="L112" s="707">
        <v>263.80760591992237</v>
      </c>
      <c r="M112" s="706">
        <v>256.49163841553002</v>
      </c>
      <c r="N112" s="707">
        <v>312.29925450247629</v>
      </c>
      <c r="O112" s="707">
        <v>264.69623948100008</v>
      </c>
      <c r="P112" s="707">
        <v>169.68896435100555</v>
      </c>
      <c r="Q112" s="706">
        <v>271.48780419125126</v>
      </c>
      <c r="R112" s="707">
        <v>196.83793735129001</v>
      </c>
      <c r="S112" s="707">
        <v>449.14135699509268</v>
      </c>
      <c r="T112" s="709">
        <f>'[15]火车票、汽车票'!$S$69</f>
        <v>265.44379147367442</v>
      </c>
      <c r="U112" s="706">
        <f>'[16]火车票、汽车票'!$T$71</f>
        <v>699.82421295298889</v>
      </c>
      <c r="V112" s="707">
        <f>'[6]火车票、汽车票'!$U$68</f>
        <v>748.5821086427643</v>
      </c>
      <c r="W112" s="707">
        <f>'[6]火车票、汽车票'!$V$68</f>
        <v>1012.663223892667</v>
      </c>
      <c r="X112" s="709">
        <f>'[17]火车票、汽车票'!$W$68</f>
        <v>471.18372352625568</v>
      </c>
      <c r="Y112" s="707">
        <f>'[22]火车票、汽车票'!$X$68</f>
        <v>850.6185756021323</v>
      </c>
      <c r="Z112" s="707">
        <f>'[8]火车票、汽车票'!$Y$68</f>
        <v>669.26673362647193</v>
      </c>
      <c r="AA112" s="707">
        <f>'[18]火车票、汽车票'!$Z$69</f>
        <v>954.29852266121895</v>
      </c>
      <c r="AB112" s="709">
        <f>'[19]火车票、汽车票'!$AA$69</f>
        <v>450.76665986723873</v>
      </c>
      <c r="AC112" s="707">
        <f>'[23]火车票、汽车票'!$AB$69</f>
        <v>835.58172307014695</v>
      </c>
      <c r="AD112" s="707">
        <f>'[9]火车票、汽车票'!$AC$69</f>
        <v>678.96168505158869</v>
      </c>
      <c r="AE112" s="707">
        <v>927.30307306669306</v>
      </c>
      <c r="AF112" s="707">
        <f>'[10]火车票、汽车票'!$AE$68</f>
        <v>425.32884700541894</v>
      </c>
      <c r="AG112" s="707">
        <f>'[11]火车票、汽车票'!$AF$97</f>
        <v>727.07495369722074</v>
      </c>
      <c r="AH112" s="905"/>
      <c r="AI112" s="707">
        <f>+SUM(E112:H112)</f>
        <v>2934.9450904645309</v>
      </c>
      <c r="AJ112" s="707">
        <f>SUM(I112:L112)</f>
        <v>1352.7988950683102</v>
      </c>
      <c r="AK112" s="707">
        <f>SUM(M112:P112)</f>
        <v>1003.176096750012</v>
      </c>
      <c r="AL112" s="707">
        <f>SUM(Q112:T112)</f>
        <v>1182.9108900113083</v>
      </c>
      <c r="AM112" s="707">
        <f>SUM(U112:X112)</f>
        <v>2932.2532690146754</v>
      </c>
      <c r="AN112" s="707">
        <f>SUM(Y112:AB112)</f>
        <v>2924.9504917570616</v>
      </c>
      <c r="AO112" s="707"/>
      <c r="AT112" s="906"/>
    </row>
    <row r="113" spans="3:46" s="625" customFormat="1" x14ac:dyDescent="0.3">
      <c r="C113" s="635"/>
      <c r="D113" s="646" t="s">
        <v>134</v>
      </c>
      <c r="E113" s="626"/>
      <c r="F113" s="627"/>
      <c r="G113" s="627"/>
      <c r="H113" s="628"/>
      <c r="I113" s="681">
        <f>+I112/E112-1</f>
        <v>-0.41652677058776133</v>
      </c>
      <c r="J113" s="681">
        <f>+J112/F112-1</f>
        <v>-0.58607122100709608</v>
      </c>
      <c r="K113" s="681">
        <f>+K112/G112-1</f>
        <v>-0.58276719686005896</v>
      </c>
      <c r="L113" s="681">
        <f>+L112/H112-1</f>
        <v>-0.60312491860700979</v>
      </c>
      <c r="M113" s="780">
        <f>M112/E112-1</f>
        <v>-0.70323399080180282</v>
      </c>
      <c r="N113" s="781">
        <f>N112/F112-1</f>
        <v>-0.45813502982470522</v>
      </c>
      <c r="O113" s="781">
        <f>O112/G112-1</f>
        <v>-0.68093607817618995</v>
      </c>
      <c r="P113" s="781">
        <f>P112/H112-1</f>
        <v>-0.74471804441172962</v>
      </c>
      <c r="Q113" s="780">
        <f>Q112/E112-1</f>
        <v>-0.68588312393523632</v>
      </c>
      <c r="R113" s="781">
        <f>R112/F112-1</f>
        <v>-0.6584699402432368</v>
      </c>
      <c r="S113" s="781">
        <f>S112/G112-1</f>
        <v>-0.45860657825322593</v>
      </c>
      <c r="T113" s="782">
        <f>T112/H112-1</f>
        <v>-0.6006634229554535</v>
      </c>
      <c r="U113" s="780">
        <f>U112/E112-1</f>
        <v>-0.19028924256053648</v>
      </c>
      <c r="V113" s="781">
        <f>V112/F112-1</f>
        <v>0.29885171394238608</v>
      </c>
      <c r="W113" s="781">
        <f>W112/G112-1</f>
        <v>0.22066071031254597</v>
      </c>
      <c r="X113" s="782">
        <f>X112/H112-1</f>
        <v>-0.29114599265080221</v>
      </c>
      <c r="Y113" s="781">
        <f t="shared" ref="Y113:AG113" si="221">Y112/U112-1</f>
        <v>0.21547462899697223</v>
      </c>
      <c r="Z113" s="781">
        <f t="shared" si="221"/>
        <v>-0.10595414197127573</v>
      </c>
      <c r="AA113" s="781">
        <f t="shared" si="221"/>
        <v>-5.7634858119064214E-2</v>
      </c>
      <c r="AB113" s="782">
        <f t="shared" si="221"/>
        <v>-4.3331428144884221E-2</v>
      </c>
      <c r="AC113" s="781">
        <f t="shared" si="221"/>
        <v>-1.7677550153829102E-2</v>
      </c>
      <c r="AD113" s="781">
        <f t="shared" si="221"/>
        <v>1.4485930553553628E-2</v>
      </c>
      <c r="AE113" s="781">
        <f t="shared" si="221"/>
        <v>-2.828826510099236E-2</v>
      </c>
      <c r="AF113" s="781">
        <f t="shared" si="221"/>
        <v>-5.6432329909474221E-2</v>
      </c>
      <c r="AG113" s="781">
        <f t="shared" si="221"/>
        <v>-0.12985775822650092</v>
      </c>
      <c r="AH113" s="894"/>
      <c r="AI113" s="781"/>
      <c r="AJ113" s="781">
        <f>AJ112/AI112-1</f>
        <v>-0.53907182132181053</v>
      </c>
      <c r="AK113" s="781">
        <f>AK112/AI112-1</f>
        <v>-0.6581959573931131</v>
      </c>
      <c r="AL113" s="781">
        <f>AL112/AI112-1</f>
        <v>-0.59695638127796047</v>
      </c>
      <c r="AM113" s="781">
        <f>AM112/AI112-1</f>
        <v>-9.1716245683814979E-4</v>
      </c>
      <c r="AN113" s="781">
        <f>AN112/AM112-1</f>
        <v>-2.4905001674933036E-3</v>
      </c>
      <c r="AO113" s="781"/>
      <c r="AP113" s="626"/>
    </row>
    <row r="114" spans="3:46" ht="16" x14ac:dyDescent="0.35">
      <c r="C114" s="594"/>
      <c r="D114" s="803" t="s">
        <v>248</v>
      </c>
      <c r="E114" s="804">
        <f t="shared" ref="E114:S114" si="222">E112/E108</f>
        <v>5.2675995701897653</v>
      </c>
      <c r="F114" s="805">
        <f t="shared" si="222"/>
        <v>3.4510282509991148</v>
      </c>
      <c r="G114" s="805">
        <f t="shared" si="222"/>
        <v>4.0585511077370766</v>
      </c>
      <c r="H114" s="806">
        <f t="shared" si="222"/>
        <v>4.1755450528527334</v>
      </c>
      <c r="I114" s="805">
        <f t="shared" si="222"/>
        <v>8.2075052353987434</v>
      </c>
      <c r="J114" s="805">
        <f t="shared" si="222"/>
        <v>3.2587096749123661</v>
      </c>
      <c r="K114" s="805">
        <f t="shared" si="222"/>
        <v>2.594845780784274</v>
      </c>
      <c r="L114" s="805">
        <f t="shared" si="222"/>
        <v>2.2073832121893573</v>
      </c>
      <c r="M114" s="804">
        <f t="shared" si="222"/>
        <v>2.4836083132297815</v>
      </c>
      <c r="N114" s="805">
        <f t="shared" si="222"/>
        <v>2.0073909992761374</v>
      </c>
      <c r="O114" s="805">
        <f t="shared" si="222"/>
        <v>1.9574963994607175</v>
      </c>
      <c r="P114" s="805">
        <f t="shared" si="222"/>
        <v>1.8211839355271147</v>
      </c>
      <c r="Q114" s="804">
        <f t="shared" si="222"/>
        <v>3.3876911552076758</v>
      </c>
      <c r="R114" s="805">
        <f t="shared" si="222"/>
        <v>3.5445361817812571</v>
      </c>
      <c r="S114" s="805">
        <f t="shared" si="222"/>
        <v>4.4971454966866391</v>
      </c>
      <c r="T114" s="806">
        <f t="shared" ref="T114:AN114" si="223">T112/T108</f>
        <v>5.5590277418134555</v>
      </c>
      <c r="U114" s="804">
        <f t="shared" si="223"/>
        <v>5.1029149188960554</v>
      </c>
      <c r="V114" s="805">
        <f t="shared" si="223"/>
        <v>4.443937666049921</v>
      </c>
      <c r="W114" s="805">
        <f t="shared" si="223"/>
        <v>4.803146849871518</v>
      </c>
      <c r="X114" s="806">
        <f t="shared" si="223"/>
        <v>3.2960820537204358</v>
      </c>
      <c r="Y114" s="805">
        <f t="shared" si="223"/>
        <v>5.1154166112877411</v>
      </c>
      <c r="Z114" s="805">
        <f t="shared" si="223"/>
        <v>3.9543828930636669</v>
      </c>
      <c r="AA114" s="805">
        <f t="shared" si="223"/>
        <v>4.642180723402114</v>
      </c>
      <c r="AB114" s="806">
        <f t="shared" ref="AB114" si="224">AB112/AB108</f>
        <v>3.4491199568938189</v>
      </c>
      <c r="AC114" s="805">
        <f>AC112/AC108</f>
        <v>5.3322675397670194</v>
      </c>
      <c r="AD114" s="805">
        <f>AD112/AD108</f>
        <v>4.2064611261691756</v>
      </c>
      <c r="AE114" s="805">
        <f>AE112/AE108</f>
        <v>4.8071313947573255</v>
      </c>
      <c r="AF114" s="805">
        <f>AF112/AF108</f>
        <v>3.2178541997031549</v>
      </c>
      <c r="AG114" s="805">
        <f>AG112/AG108</f>
        <v>4.8544941197653744</v>
      </c>
      <c r="AH114" s="925"/>
      <c r="AI114" s="805">
        <f t="shared" si="223"/>
        <v>4.2248732549473811</v>
      </c>
      <c r="AJ114" s="805">
        <f t="shared" si="223"/>
        <v>3.4905860447394113</v>
      </c>
      <c r="AK114" s="805">
        <f t="shared" si="223"/>
        <v>2.0588723850628128</v>
      </c>
      <c r="AL114" s="805">
        <f t="shared" si="223"/>
        <v>4.1755469261720473</v>
      </c>
      <c r="AM114" s="805">
        <f t="shared" si="223"/>
        <v>4.4469977020269074</v>
      </c>
      <c r="AN114" s="805">
        <f t="shared" si="223"/>
        <v>4.3539419928059102</v>
      </c>
      <c r="AO114" s="805"/>
      <c r="AT114" s="906"/>
    </row>
    <row r="115" spans="3:46" x14ac:dyDescent="0.35">
      <c r="C115" s="811" t="s">
        <v>453</v>
      </c>
      <c r="D115" s="812"/>
      <c r="E115" s="926"/>
      <c r="F115" s="812"/>
      <c r="G115" s="814"/>
      <c r="H115" s="815"/>
      <c r="I115" s="814"/>
      <c r="J115" s="814"/>
      <c r="K115" s="814"/>
      <c r="L115" s="814"/>
      <c r="M115" s="813"/>
      <c r="N115" s="814"/>
      <c r="O115" s="814"/>
      <c r="P115" s="814"/>
      <c r="Q115" s="813"/>
      <c r="R115" s="814"/>
      <c r="S115" s="814"/>
      <c r="T115" s="815"/>
      <c r="U115" s="813"/>
      <c r="V115" s="814"/>
      <c r="W115" s="814"/>
      <c r="X115" s="815"/>
      <c r="Y115" s="814"/>
      <c r="Z115" s="814"/>
      <c r="AA115" s="814"/>
      <c r="AB115" s="815"/>
      <c r="AC115" s="814"/>
      <c r="AD115" s="814"/>
      <c r="AE115" s="814"/>
      <c r="AF115" s="814"/>
      <c r="AG115" s="1016"/>
      <c r="AH115" s="927"/>
      <c r="AI115" s="817"/>
      <c r="AJ115" s="818"/>
      <c r="AK115" s="818"/>
      <c r="AL115" s="818"/>
      <c r="AM115" s="818"/>
      <c r="AN115" s="812"/>
      <c r="AO115" s="812"/>
    </row>
    <row r="116" spans="3:46" x14ac:dyDescent="0.35">
      <c r="C116" s="817"/>
      <c r="D116" s="812" t="s">
        <v>62</v>
      </c>
      <c r="E116" s="928">
        <f t="shared" ref="E116:AD116" si="225">+E94/E106</f>
        <v>0.65577386417514716</v>
      </c>
      <c r="F116" s="824">
        <f t="shared" si="225"/>
        <v>0.72331971937841344</v>
      </c>
      <c r="G116" s="824">
        <f t="shared" si="225"/>
        <v>0.6297338769731966</v>
      </c>
      <c r="H116" s="825">
        <f t="shared" si="225"/>
        <v>0.7332423016555939</v>
      </c>
      <c r="I116" s="824">
        <f t="shared" si="225"/>
        <v>0.71161531804203104</v>
      </c>
      <c r="J116" s="824">
        <f t="shared" si="225"/>
        <v>0.95663861883325929</v>
      </c>
      <c r="K116" s="824">
        <f t="shared" si="225"/>
        <v>0.87072575962233756</v>
      </c>
      <c r="L116" s="824">
        <f t="shared" si="225"/>
        <v>0.89305805226846857</v>
      </c>
      <c r="M116" s="928">
        <f t="shared" si="225"/>
        <v>0.78351624268776399</v>
      </c>
      <c r="N116" s="824">
        <f t="shared" si="225"/>
        <v>0.68609344256332838</v>
      </c>
      <c r="O116" s="824">
        <f t="shared" si="225"/>
        <v>0.6848965000513576</v>
      </c>
      <c r="P116" s="824">
        <f t="shared" si="225"/>
        <v>0.82979386760763196</v>
      </c>
      <c r="Q116" s="928">
        <f t="shared" si="225"/>
        <v>0.83624841892823976</v>
      </c>
      <c r="R116" s="824">
        <f t="shared" si="225"/>
        <v>0.83149891434331968</v>
      </c>
      <c r="S116" s="824">
        <f t="shared" si="225"/>
        <v>0.77329374831445985</v>
      </c>
      <c r="T116" s="825">
        <f t="shared" si="225"/>
        <v>0.87918539191855993</v>
      </c>
      <c r="U116" s="928">
        <f t="shared" si="225"/>
        <v>0.75126593566569977</v>
      </c>
      <c r="V116" s="824">
        <f t="shared" si="225"/>
        <v>0.65797480601758873</v>
      </c>
      <c r="W116" s="824">
        <f t="shared" si="225"/>
        <v>0.63767043430167547</v>
      </c>
      <c r="X116" s="825">
        <f t="shared" si="225"/>
        <v>0.76670821242293907</v>
      </c>
      <c r="Y116" s="824">
        <f t="shared" si="225"/>
        <v>0.71352326945980327</v>
      </c>
      <c r="Z116" s="824">
        <f t="shared" si="225"/>
        <v>0.61999697843493717</v>
      </c>
      <c r="AA116" s="824">
        <f t="shared" si="225"/>
        <v>0.62059530221722059</v>
      </c>
      <c r="AB116" s="825">
        <f t="shared" si="225"/>
        <v>0.75956152772965213</v>
      </c>
      <c r="AC116" s="824">
        <f t="shared" si="225"/>
        <v>0.71633506089975907</v>
      </c>
      <c r="AD116" s="824">
        <f t="shared" si="225"/>
        <v>0.61834523152947252</v>
      </c>
      <c r="AE116" s="824">
        <f t="shared" ref="AE116:AF116" si="226">+AE94/AE106</f>
        <v>0.6141386338109337</v>
      </c>
      <c r="AF116" s="824">
        <f t="shared" si="226"/>
        <v>0.71121238271579523</v>
      </c>
      <c r="AG116" s="824">
        <f t="shared" ref="AG116" si="227">+AG94/AG106</f>
        <v>0.65879149554812155</v>
      </c>
      <c r="AH116" s="898"/>
      <c r="AI116" s="826">
        <f t="shared" ref="AI116:AN116" si="228">+AI94/AI106</f>
        <v>0.68099668181844797</v>
      </c>
      <c r="AJ116" s="826">
        <f t="shared" si="228"/>
        <v>0.86061764005841246</v>
      </c>
      <c r="AK116" s="826">
        <f t="shared" si="228"/>
        <v>0.73271178248749147</v>
      </c>
      <c r="AL116" s="826">
        <f t="shared" si="228"/>
        <v>0.81979144913741087</v>
      </c>
      <c r="AM116" s="826">
        <f t="shared" si="228"/>
        <v>0.69312538358295039</v>
      </c>
      <c r="AN116" s="826">
        <f t="shared" si="228"/>
        <v>0.67017142928331863</v>
      </c>
      <c r="AO116" s="826"/>
    </row>
    <row r="117" spans="3:46" x14ac:dyDescent="0.35">
      <c r="C117" s="817"/>
      <c r="D117" s="812" t="s">
        <v>12</v>
      </c>
      <c r="E117" s="928">
        <f t="shared" ref="E117:Q117" si="229">+E102/E112</f>
        <v>0.74384133018800724</v>
      </c>
      <c r="F117" s="824">
        <f t="shared" si="229"/>
        <v>0.5597937392091995</v>
      </c>
      <c r="G117" s="824">
        <f t="shared" si="229"/>
        <v>0.57945346328681568</v>
      </c>
      <c r="H117" s="825">
        <f t="shared" si="229"/>
        <v>0.79436131196916782</v>
      </c>
      <c r="I117" s="824">
        <f t="shared" si="229"/>
        <v>0.69624682328411203</v>
      </c>
      <c r="J117" s="824">
        <f t="shared" si="229"/>
        <v>1.3548048786209528</v>
      </c>
      <c r="K117" s="824">
        <f t="shared" si="229"/>
        <v>1.1858099153195747</v>
      </c>
      <c r="L117" s="824">
        <f t="shared" si="229"/>
        <v>1.5622340322166925</v>
      </c>
      <c r="M117" s="928">
        <f t="shared" si="229"/>
        <v>1.6863002809217331</v>
      </c>
      <c r="N117" s="824">
        <f t="shared" si="229"/>
        <v>1.74919168646261</v>
      </c>
      <c r="O117" s="824">
        <f t="shared" si="229"/>
        <v>1.9005885375584446</v>
      </c>
      <c r="P117" s="824">
        <f t="shared" si="229"/>
        <v>2.6416503264991631</v>
      </c>
      <c r="Q117" s="928">
        <f t="shared" si="229"/>
        <v>1.4840889332574783</v>
      </c>
      <c r="R117" s="824">
        <f t="shared" ref="R117:X117" si="230">+R102/R112</f>
        <v>1.2038224149727668</v>
      </c>
      <c r="S117" s="824">
        <f t="shared" si="230"/>
        <v>0.9445540694970761</v>
      </c>
      <c r="T117" s="825">
        <f t="shared" si="230"/>
        <v>1.0224052233122907</v>
      </c>
      <c r="U117" s="928">
        <f t="shared" si="230"/>
        <v>0.86512735438559429</v>
      </c>
      <c r="V117" s="824">
        <f t="shared" si="230"/>
        <v>0.79390811815915352</v>
      </c>
      <c r="W117" s="824">
        <f t="shared" si="230"/>
        <v>0.73531869463743516</v>
      </c>
      <c r="X117" s="825">
        <f t="shared" si="230"/>
        <v>1.2233342474697779</v>
      </c>
      <c r="Y117" s="824">
        <f t="shared" ref="Y117:AD117" si="231">+Y102/Y112</f>
        <v>0.9064344726473984</v>
      </c>
      <c r="Z117" s="824">
        <f t="shared" si="231"/>
        <v>1.0737021338357118</v>
      </c>
      <c r="AA117" s="824">
        <f t="shared" si="231"/>
        <v>0.94445616187961334</v>
      </c>
      <c r="AB117" s="825">
        <f t="shared" si="231"/>
        <v>1.5301600171653025</v>
      </c>
      <c r="AC117" s="824">
        <f t="shared" si="231"/>
        <v>0.99019912733364146</v>
      </c>
      <c r="AD117" s="824">
        <f t="shared" si="231"/>
        <v>1.0444509986540964</v>
      </c>
      <c r="AE117" s="824">
        <f t="shared" ref="AE117:AF117" si="232">+AE102/AE112</f>
        <v>0.96541759647076386</v>
      </c>
      <c r="AF117" s="824">
        <f t="shared" si="232"/>
        <v>1.5690352165826589</v>
      </c>
      <c r="AG117" s="824">
        <f t="shared" ref="AG117" si="233">+AG102/AG112</f>
        <v>1.0197663440745672</v>
      </c>
      <c r="AH117" s="898"/>
      <c r="AI117" s="826">
        <f t="shared" ref="AI117:AN117" si="234">+AI102/AI112</f>
        <v>0.67267488258831221</v>
      </c>
      <c r="AJ117" s="826">
        <f t="shared" si="234"/>
        <v>1.1065210794073712</v>
      </c>
      <c r="AK117" s="826">
        <f t="shared" si="234"/>
        <v>1.9240198551430603</v>
      </c>
      <c r="AL117" s="826">
        <f t="shared" si="234"/>
        <v>1.1289940717596971</v>
      </c>
      <c r="AM117" s="826">
        <f t="shared" si="234"/>
        <v>0.85967603665911874</v>
      </c>
      <c r="AN117" s="826">
        <f t="shared" si="234"/>
        <v>1.053235385925934</v>
      </c>
      <c r="AO117" s="826"/>
    </row>
    <row r="118" spans="3:46" ht="16.5" x14ac:dyDescent="0.4">
      <c r="C118" s="828"/>
      <c r="D118" s="829" t="s">
        <v>137</v>
      </c>
      <c r="E118" s="929">
        <f t="shared" ref="E118:AA118" si="235">+E98/E108</f>
        <v>0.67300897821843531</v>
      </c>
      <c r="F118" s="832">
        <f t="shared" si="235"/>
        <v>0.74488683583704585</v>
      </c>
      <c r="G118" s="832">
        <f t="shared" si="235"/>
        <v>0.64608282838043729</v>
      </c>
      <c r="H118" s="930">
        <f>+H98/H108</f>
        <v>0.74453231119426833</v>
      </c>
      <c r="I118" s="832">
        <f t="shared" si="235"/>
        <v>0.90705546781493551</v>
      </c>
      <c r="J118" s="832">
        <f t="shared" si="235"/>
        <v>0.97031115727045547</v>
      </c>
      <c r="K118" s="832">
        <f t="shared" si="235"/>
        <v>0.92541168588846778</v>
      </c>
      <c r="L118" s="832">
        <f t="shared" si="235"/>
        <v>0.9290003168712323</v>
      </c>
      <c r="M118" s="929">
        <f t="shared" si="235"/>
        <v>0.80851532747083632</v>
      </c>
      <c r="N118" s="832">
        <f t="shared" si="235"/>
        <v>0.69668881893128798</v>
      </c>
      <c r="O118" s="832">
        <f t="shared" si="235"/>
        <v>0.76551341957344976</v>
      </c>
      <c r="P118" s="832">
        <f t="shared" si="235"/>
        <v>0.81818556767010764</v>
      </c>
      <c r="Q118" s="929">
        <f t="shared" si="235"/>
        <v>0.83710205673292604</v>
      </c>
      <c r="R118" s="832">
        <f t="shared" si="235"/>
        <v>0.83250260585508973</v>
      </c>
      <c r="S118" s="832">
        <f t="shared" si="235"/>
        <v>0.80450702273026797</v>
      </c>
      <c r="T118" s="930">
        <f t="shared" si="235"/>
        <v>0.877908402806303</v>
      </c>
      <c r="U118" s="929">
        <f t="shared" si="235"/>
        <v>0.75697381403280595</v>
      </c>
      <c r="V118" s="832">
        <f t="shared" si="235"/>
        <v>0.6720148932705281</v>
      </c>
      <c r="W118" s="832">
        <f t="shared" si="235"/>
        <v>0.64685781534788156</v>
      </c>
      <c r="X118" s="930">
        <f t="shared" si="235"/>
        <v>0.76338698576045627</v>
      </c>
      <c r="Y118" s="832">
        <f t="shared" si="235"/>
        <v>0.7524813304810688</v>
      </c>
      <c r="Z118" s="832">
        <f t="shared" si="235"/>
        <v>0.65980254083696899</v>
      </c>
      <c r="AA118" s="832">
        <f t="shared" si="235"/>
        <v>0.64953128722605746</v>
      </c>
      <c r="AB118" s="930">
        <f t="shared" ref="AB118:AG118" si="236">+AB98/AB108</f>
        <v>0.77431124595742862</v>
      </c>
      <c r="AC118" s="832">
        <f t="shared" si="236"/>
        <v>0.7426169711092554</v>
      </c>
      <c r="AD118" s="832">
        <f t="shared" si="236"/>
        <v>0.64972530671798745</v>
      </c>
      <c r="AE118" s="832">
        <f t="shared" si="236"/>
        <v>0.63055560285947942</v>
      </c>
      <c r="AF118" s="994">
        <f t="shared" si="236"/>
        <v>0.7435827041476667</v>
      </c>
      <c r="AG118" s="994">
        <f t="shared" si="236"/>
        <v>0.70318888080179276</v>
      </c>
      <c r="AH118" s="970" t="s">
        <v>457</v>
      </c>
      <c r="AI118" s="931">
        <f t="shared" ref="AI118:AN118" si="237">+AI98/AI108</f>
        <v>0.69875599076762041</v>
      </c>
      <c r="AJ118" s="931">
        <f t="shared" si="237"/>
        <v>0.93208952967387804</v>
      </c>
      <c r="AK118" s="931">
        <f t="shared" si="237"/>
        <v>0.76272495819720576</v>
      </c>
      <c r="AL118" s="931">
        <f t="shared" si="237"/>
        <v>0.83158743243014543</v>
      </c>
      <c r="AM118" s="931">
        <f t="shared" si="237"/>
        <v>0.70145077100807374</v>
      </c>
      <c r="AN118" s="931">
        <f t="shared" si="237"/>
        <v>0.70187621780790521</v>
      </c>
      <c r="AO118" s="931"/>
    </row>
    <row r="119" spans="3:46" ht="16" thickBot="1" x14ac:dyDescent="0.4">
      <c r="C119" s="835"/>
      <c r="D119" s="836" t="s">
        <v>146</v>
      </c>
      <c r="E119" s="932">
        <f t="shared" ref="E119:K119" si="238">+E100/E110</f>
        <v>0.97439095970322387</v>
      </c>
      <c r="F119" s="933">
        <f t="shared" si="238"/>
        <v>0.97104645239917975</v>
      </c>
      <c r="G119" s="933">
        <f t="shared" si="238"/>
        <v>0.97469527018970126</v>
      </c>
      <c r="H119" s="934">
        <f t="shared" si="238"/>
        <v>0.98483610533898158</v>
      </c>
      <c r="I119" s="837">
        <f t="shared" si="238"/>
        <v>0.78453340869692034</v>
      </c>
      <c r="J119" s="837">
        <f t="shared" si="238"/>
        <v>0.98590911963162631</v>
      </c>
      <c r="K119" s="837">
        <f t="shared" si="238"/>
        <v>0.94090638026293394</v>
      </c>
      <c r="L119" s="837">
        <f t="shared" ref="L119:Q119" si="239">+L100/L110</f>
        <v>0.96131081556159947</v>
      </c>
      <c r="M119" s="935">
        <f t="shared" si="239"/>
        <v>0.9690802586745344</v>
      </c>
      <c r="N119" s="837">
        <f t="shared" si="239"/>
        <v>0.98479180937019672</v>
      </c>
      <c r="O119" s="837">
        <f t="shared" si="239"/>
        <v>0.89468908387391488</v>
      </c>
      <c r="P119" s="837">
        <f t="shared" si="239"/>
        <v>1.0141878571270582</v>
      </c>
      <c r="Q119" s="935">
        <f t="shared" si="239"/>
        <v>0.99898024643731276</v>
      </c>
      <c r="R119" s="837">
        <f t="shared" ref="R119:X119" si="240">+R100/R110</f>
        <v>0.99879436832424184</v>
      </c>
      <c r="S119" s="837">
        <f t="shared" si="240"/>
        <v>0.96120198639176679</v>
      </c>
      <c r="T119" s="838">
        <f t="shared" si="240"/>
        <v>1.0014545812617524</v>
      </c>
      <c r="U119" s="935">
        <f t="shared" si="240"/>
        <v>0.99245960922122622</v>
      </c>
      <c r="V119" s="837">
        <f t="shared" si="240"/>
        <v>0.97910747604921411</v>
      </c>
      <c r="W119" s="837">
        <f t="shared" si="240"/>
        <v>0.98579690802488795</v>
      </c>
      <c r="X119" s="838">
        <f t="shared" si="240"/>
        <v>1.00435064616562</v>
      </c>
      <c r="Y119" s="837">
        <f t="shared" ref="Y119:AD119" si="241">+Y100/Y110</f>
        <v>0.94822720585458364</v>
      </c>
      <c r="Z119" s="837">
        <f t="shared" si="241"/>
        <v>0.93967049239983547</v>
      </c>
      <c r="AA119" s="837">
        <f t="shared" si="241"/>
        <v>0.95545097583764871</v>
      </c>
      <c r="AB119" s="838">
        <f t="shared" si="241"/>
        <v>0.98095117653943087</v>
      </c>
      <c r="AC119" s="837">
        <f t="shared" si="241"/>
        <v>0.96460906330993379</v>
      </c>
      <c r="AD119" s="837">
        <f t="shared" si="241"/>
        <v>0.95170255050241515</v>
      </c>
      <c r="AE119" s="837">
        <f t="shared" ref="AE119:AF119" si="242">+AE100/AE110</f>
        <v>0.97396428011408165</v>
      </c>
      <c r="AF119" s="837">
        <f t="shared" si="242"/>
        <v>0.95646708664508817</v>
      </c>
      <c r="AG119" s="837">
        <f t="shared" ref="AG119" si="243">+AG100/AG110</f>
        <v>0.93686278826956393</v>
      </c>
      <c r="AH119" s="936"/>
      <c r="AI119" s="937">
        <f t="shared" ref="AI119:AN119" si="244">+AI100/AI110</f>
        <v>0.97458439114108641</v>
      </c>
      <c r="AJ119" s="937">
        <f t="shared" si="244"/>
        <v>0.92332078910866822</v>
      </c>
      <c r="AK119" s="937">
        <f t="shared" si="244"/>
        <v>0.96065006738385206</v>
      </c>
      <c r="AL119" s="937">
        <f t="shared" si="244"/>
        <v>0.98581510153627128</v>
      </c>
      <c r="AM119" s="937">
        <f t="shared" si="244"/>
        <v>0.98813118786203824</v>
      </c>
      <c r="AN119" s="937">
        <f t="shared" si="244"/>
        <v>0.95482851859034812</v>
      </c>
      <c r="AO119" s="937"/>
    </row>
    <row r="120" spans="3:46" x14ac:dyDescent="0.35">
      <c r="AT120" s="906"/>
    </row>
    <row r="121" spans="3:46" ht="16.5" x14ac:dyDescent="0.4">
      <c r="D121" s="961" t="s">
        <v>454</v>
      </c>
      <c r="U121" s="962">
        <f>U5+U94</f>
        <v>21561.1492125</v>
      </c>
      <c r="V121" s="963">
        <f t="shared" ref="V121:AD121" si="245">V5+V94</f>
        <v>21278.927993800578</v>
      </c>
      <c r="W121" s="963">
        <f t="shared" si="245"/>
        <v>26464.209195055555</v>
      </c>
      <c r="X121" s="963">
        <f t="shared" si="245"/>
        <v>19447.205999999998</v>
      </c>
      <c r="Y121" s="962">
        <f t="shared" si="245"/>
        <v>24712.5</v>
      </c>
      <c r="Z121" s="963">
        <f t="shared" si="245"/>
        <v>20404.495999999999</v>
      </c>
      <c r="AA121" s="963">
        <f t="shared" si="245"/>
        <v>25299.456000000002</v>
      </c>
      <c r="AB121" s="983">
        <f t="shared" si="245"/>
        <v>18641.760000000002</v>
      </c>
      <c r="AC121" s="963">
        <f t="shared" si="245"/>
        <v>24043.8786</v>
      </c>
      <c r="AD121" s="963">
        <f t="shared" si="245"/>
        <v>20261.205999999998</v>
      </c>
      <c r="AE121" s="963">
        <f t="shared" ref="AE121:AF121" si="246">AE5+AE94</f>
        <v>25095.252</v>
      </c>
      <c r="AF121" s="963">
        <f t="shared" si="246"/>
        <v>17646.898280000001</v>
      </c>
      <c r="AG121" s="963">
        <f t="shared" ref="AG121" si="247">AG5+AG94</f>
        <v>19258.352400000003</v>
      </c>
      <c r="AT121" s="906"/>
    </row>
    <row r="122" spans="3:46" ht="16.5" x14ac:dyDescent="0.4">
      <c r="D122" s="961" t="s">
        <v>455</v>
      </c>
      <c r="U122" s="962">
        <f>U102+U3</f>
        <v>751.38355105799997</v>
      </c>
      <c r="V122" s="963">
        <f t="shared" ref="V122:AD122" si="248">V102+V3</f>
        <v>767.87436821171991</v>
      </c>
      <c r="W122" s="963">
        <f t="shared" si="248"/>
        <v>916.11827578192595</v>
      </c>
      <c r="X122" s="963">
        <f t="shared" si="248"/>
        <v>814.72954896000022</v>
      </c>
      <c r="Y122" s="962">
        <f t="shared" si="248"/>
        <v>961.76712499999985</v>
      </c>
      <c r="Z122" s="963">
        <f t="shared" si="248"/>
        <v>982.00316000000009</v>
      </c>
      <c r="AA122" s="963">
        <f t="shared" si="248"/>
        <v>1109.9092560000001</v>
      </c>
      <c r="AB122" s="983">
        <f t="shared" si="248"/>
        <v>985.13699999999994</v>
      </c>
      <c r="AC122" s="963">
        <f t="shared" si="248"/>
        <v>1140.2887535999998</v>
      </c>
      <c r="AD122" s="963">
        <f t="shared" si="248"/>
        <v>993.92154600000015</v>
      </c>
      <c r="AE122" s="963">
        <f t="shared" ref="AE122:AF122" si="249">AE102+AE3</f>
        <v>1235.6347999999998</v>
      </c>
      <c r="AF122" s="963">
        <f t="shared" si="249"/>
        <v>997.24446187999979</v>
      </c>
      <c r="AG122" s="963">
        <f t="shared" ref="AG122" si="250">AG102+AG3</f>
        <v>1218.39397839</v>
      </c>
      <c r="AT122" s="906"/>
    </row>
    <row r="123" spans="3:46" x14ac:dyDescent="0.35">
      <c r="D123" s="566" t="s">
        <v>456</v>
      </c>
      <c r="U123" s="966">
        <f>U122/U14</f>
        <v>0.54341998378383072</v>
      </c>
      <c r="V123" s="966">
        <f t="shared" ref="V123:AD123" si="251">V122/V14</f>
        <v>0.5137719899020059</v>
      </c>
      <c r="W123" s="966">
        <f t="shared" si="251"/>
        <v>0.54532537660804137</v>
      </c>
      <c r="X123" s="966">
        <f t="shared" si="251"/>
        <v>0.55317546572806109</v>
      </c>
      <c r="Y123" s="966">
        <f t="shared" si="251"/>
        <v>0.55385252495819182</v>
      </c>
      <c r="Z123" s="966">
        <f t="shared" si="251"/>
        <v>0.56348360279468612</v>
      </c>
      <c r="AA123" s="966">
        <f t="shared" si="251"/>
        <v>0.54762980553605256</v>
      </c>
      <c r="AB123" s="984">
        <f t="shared" si="251"/>
        <v>0.57174354629027768</v>
      </c>
      <c r="AC123" s="974">
        <f t="shared" si="251"/>
        <v>0.57008423291342758</v>
      </c>
      <c r="AD123" s="966">
        <f t="shared" si="251"/>
        <v>0.52839780011802173</v>
      </c>
      <c r="AE123" s="966">
        <f t="shared" ref="AE123:AF123" si="252">AE122/AE14</f>
        <v>0.55943579889854556</v>
      </c>
      <c r="AF123" s="966">
        <f t="shared" si="252"/>
        <v>0.54330617570801798</v>
      </c>
      <c r="AG123" s="966">
        <f t="shared" ref="AG123" si="253">AG122/AG14</f>
        <v>0.57362695532241248</v>
      </c>
    </row>
  </sheetData>
  <phoneticPr fontId="2" type="noConversion"/>
  <pageMargins left="0.7" right="0.7" top="0.75" bottom="0.75" header="0.3" footer="0.3"/>
  <pageSetup paperSize="9" orientation="portrait" verticalDpi="599"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9DD69-647A-4543-975D-F3BE3BEA56A8}">
  <dimension ref="A1"/>
  <sheetViews>
    <sheetView workbookViewId="0"/>
  </sheetViews>
  <sheetFormatPr defaultRowHeight="14" x14ac:dyDescent="0.3"/>
  <sheetData/>
  <phoneticPr fontId="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4E6E3-D4A6-4C9B-A9D7-48E455CF938C}">
  <dimension ref="A1:R33"/>
  <sheetViews>
    <sheetView topLeftCell="A22" zoomScale="70" zoomScaleNormal="70" workbookViewId="0">
      <selection activeCell="G28" sqref="G28"/>
    </sheetView>
  </sheetViews>
  <sheetFormatPr defaultRowHeight="14" x14ac:dyDescent="0.3"/>
  <cols>
    <col min="1" max="1" width="16.4140625" bestFit="1" customWidth="1"/>
    <col min="2" max="2" width="19.1640625" bestFit="1" customWidth="1"/>
    <col min="3" max="3" width="15.4140625" bestFit="1" customWidth="1"/>
    <col min="4" max="8" width="11.75" bestFit="1" customWidth="1"/>
    <col min="9" max="9" width="10.6640625" bestFit="1" customWidth="1"/>
    <col min="10" max="10" width="10.9140625" bestFit="1" customWidth="1"/>
    <col min="11" max="12" width="11.75" bestFit="1" customWidth="1"/>
    <col min="13" max="13" width="11.75" customWidth="1"/>
    <col min="14" max="14" width="10" bestFit="1" customWidth="1"/>
  </cols>
  <sheetData>
    <row r="1" spans="1:18" ht="16.5" x14ac:dyDescent="0.3">
      <c r="A1" s="948" t="s">
        <v>437</v>
      </c>
      <c r="B1" s="614"/>
      <c r="C1" s="619" t="s">
        <v>332</v>
      </c>
      <c r="D1" s="619" t="s">
        <v>380</v>
      </c>
      <c r="E1" s="619" t="s">
        <v>340</v>
      </c>
      <c r="F1" s="619" t="s">
        <v>344</v>
      </c>
      <c r="G1" s="619" t="s">
        <v>347</v>
      </c>
      <c r="H1" s="619" t="s">
        <v>367</v>
      </c>
      <c r="I1" s="619" t="s">
        <v>369</v>
      </c>
      <c r="J1" s="621" t="s">
        <v>378</v>
      </c>
      <c r="K1" s="619" t="s">
        <v>435</v>
      </c>
      <c r="L1" s="619" t="s">
        <v>448</v>
      </c>
      <c r="M1" s="619" t="s">
        <v>463</v>
      </c>
    </row>
    <row r="2" spans="1:18" ht="15.5" x14ac:dyDescent="0.3">
      <c r="A2" s="675" t="s">
        <v>436</v>
      </c>
      <c r="B2" s="676"/>
    </row>
    <row r="3" spans="1:18" ht="15.5" x14ac:dyDescent="0.3">
      <c r="A3" s="635"/>
      <c r="B3" s="627" t="s">
        <v>355</v>
      </c>
      <c r="C3" s="233">
        <f>Tongchengelong!AP6/1000</f>
        <v>10296</v>
      </c>
      <c r="D3" s="233">
        <f>Tongchengelong!AQ6/1000</f>
        <v>11641.5</v>
      </c>
      <c r="E3" s="233">
        <f>Tongchengelong!AR6/1000</f>
        <v>13864.5</v>
      </c>
      <c r="F3" s="233">
        <f>Tongchengelong!AS6/1000</f>
        <v>10860.5</v>
      </c>
      <c r="G3" s="233">
        <f>Tongchengelong!AT6/1000</f>
        <v>11466.6</v>
      </c>
      <c r="H3" s="233">
        <f>Tongchengelong!AU6/1000</f>
        <v>12584.6</v>
      </c>
      <c r="I3" s="233">
        <f>Tongchengelong!AV6/1000</f>
        <v>14196</v>
      </c>
      <c r="J3" s="233">
        <f>Tongchengelong!AW6/1000</f>
        <v>11760.5</v>
      </c>
      <c r="K3" s="233">
        <f>Tongchengelong!AX6/1000</f>
        <v>12270.58</v>
      </c>
      <c r="L3" s="233">
        <f>Tongchengelong!AY6/1000</f>
        <v>13654.290999999999</v>
      </c>
      <c r="M3" s="233">
        <f>Tongchengelong!AZ6/1000</f>
        <v>16434.599999999999</v>
      </c>
    </row>
    <row r="4" spans="1:18" ht="15.5" x14ac:dyDescent="0.3">
      <c r="A4" s="635"/>
      <c r="B4" s="646" t="s">
        <v>134</v>
      </c>
      <c r="C4" s="80"/>
      <c r="D4" s="80"/>
      <c r="E4" s="80"/>
      <c r="F4" s="80"/>
      <c r="G4" s="80">
        <f t="shared" ref="G4:J4" si="0">G3/C3-1</f>
        <v>0.11369463869463869</v>
      </c>
      <c r="H4" s="80">
        <f t="shared" si="0"/>
        <v>8.1011897092299057E-2</v>
      </c>
      <c r="I4" s="80">
        <f t="shared" si="0"/>
        <v>2.3909985935302469E-2</v>
      </c>
      <c r="J4" s="80">
        <f t="shared" si="0"/>
        <v>8.2869112840108672E-2</v>
      </c>
      <c r="K4" s="80">
        <f>K3/G3-1</f>
        <v>7.0114942528735513E-2</v>
      </c>
      <c r="L4" s="80">
        <f>L3/H3-1</f>
        <v>8.4999999999999964E-2</v>
      </c>
      <c r="M4" s="80">
        <f>M3/I3-1</f>
        <v>0.15769230769230758</v>
      </c>
    </row>
    <row r="5" spans="1:18" ht="15.5" x14ac:dyDescent="0.3">
      <c r="A5" s="635"/>
      <c r="B5" s="627" t="s">
        <v>244</v>
      </c>
      <c r="C5" s="233">
        <f>[24]TTM国内酒店对比!$D$111</f>
        <v>47.305440000000004</v>
      </c>
      <c r="D5" s="396">
        <f>[24]TTM国内酒店对比!$D$118</f>
        <v>54.162000000000013</v>
      </c>
      <c r="E5" s="396">
        <f>[24]TTM国内酒店对比!$D$125</f>
        <v>57.666499999999985</v>
      </c>
      <c r="F5" s="396">
        <f>[24]TTM国内酒店对比!$D$132</f>
        <v>47.988</v>
      </c>
      <c r="G5" s="396">
        <f>G15/G16</f>
        <v>52.350717774193562</v>
      </c>
      <c r="H5" s="396">
        <f>D5*(1+H6)</f>
        <v>59.578200000000017</v>
      </c>
      <c r="K5" s="396">
        <f>K15+K26</f>
        <v>59.332209496560012</v>
      </c>
      <c r="L5" s="396">
        <f>L15+L26</f>
        <v>67.488516770400011</v>
      </c>
      <c r="M5" s="396">
        <f>M15+M26</f>
        <v>0</v>
      </c>
    </row>
    <row r="6" spans="1:18" ht="15.5" x14ac:dyDescent="0.3">
      <c r="A6" s="635"/>
      <c r="B6" s="693" t="s">
        <v>348</v>
      </c>
      <c r="H6" s="231">
        <v>0.1</v>
      </c>
    </row>
    <row r="7" spans="1:18" ht="15.5" x14ac:dyDescent="0.3">
      <c r="A7" s="635"/>
      <c r="B7" s="627" t="s">
        <v>406</v>
      </c>
    </row>
    <row r="8" spans="1:18" ht="15.5" x14ac:dyDescent="0.3">
      <c r="A8" s="635"/>
      <c r="B8" s="629" t="s">
        <v>135</v>
      </c>
      <c r="C8" s="178">
        <f t="shared" ref="C8:F8" si="1">C9/C3</f>
        <v>8.102768065268065E-2</v>
      </c>
      <c r="D8" s="178">
        <f t="shared" si="1"/>
        <v>9.0658076708327956E-2</v>
      </c>
      <c r="E8" s="178">
        <f t="shared" si="1"/>
        <v>8.1315662303004077E-2</v>
      </c>
      <c r="F8" s="178">
        <f t="shared" si="1"/>
        <v>8.1253717600478795E-2</v>
      </c>
      <c r="G8" s="178">
        <f>G9/G3</f>
        <v>8.4129820522212337E-2</v>
      </c>
      <c r="H8" s="178">
        <f t="shared" ref="H8:K8" si="2">H9/H3</f>
        <v>9.4629865073184674E-2</v>
      </c>
      <c r="I8" s="178">
        <f t="shared" si="2"/>
        <v>9.703726401803324E-2</v>
      </c>
      <c r="J8" s="178">
        <f t="shared" si="2"/>
        <v>9.651596445729349E-2</v>
      </c>
      <c r="K8" s="178">
        <f t="shared" si="2"/>
        <v>9.6950755384016082E-2</v>
      </c>
      <c r="L8" s="178">
        <f t="shared" ref="L8:M8" si="3">L9/L3</f>
        <v>0.10043487428237761</v>
      </c>
      <c r="M8" s="178">
        <f t="shared" si="3"/>
        <v>9.6106507003516972E-2</v>
      </c>
      <c r="Q8" t="s">
        <v>441</v>
      </c>
    </row>
    <row r="9" spans="1:18" ht="15.5" x14ac:dyDescent="0.3">
      <c r="A9" s="635"/>
      <c r="B9" s="627" t="s">
        <v>241</v>
      </c>
      <c r="C9" s="949">
        <f>Tongchengelong!AP13/1000</f>
        <v>834.26099999999997</v>
      </c>
      <c r="D9" s="949">
        <f>Tongchengelong!AQ13/1000</f>
        <v>1055.396</v>
      </c>
      <c r="E9" s="949">
        <f>Tongchengelong!AR13/1000</f>
        <v>1127.4010000000001</v>
      </c>
      <c r="F9" s="949">
        <f>Tongchengelong!AS13/1000</f>
        <v>882.45600000000002</v>
      </c>
      <c r="G9" s="949">
        <f>Tongchengelong!AT13/1000</f>
        <v>964.68299999999999</v>
      </c>
      <c r="H9" s="949">
        <f>Tongchengelong!AU13/1000</f>
        <v>1190.8789999999999</v>
      </c>
      <c r="I9" s="949">
        <f>Tongchengelong!AV13/1000</f>
        <v>1377.5409999999999</v>
      </c>
      <c r="J9" s="949">
        <f>Tongchengelong!AW13/1000</f>
        <v>1135.076</v>
      </c>
      <c r="K9" s="949">
        <f>Tongchengelong!AX13/1000</f>
        <v>1189.6420000000001</v>
      </c>
      <c r="L9" s="949">
        <f>Tongchengelong!AY13/1000</f>
        <v>1371.367</v>
      </c>
      <c r="M9" s="949">
        <f>Tongchengelong!AZ13/1000</f>
        <v>1579.472</v>
      </c>
      <c r="N9" s="398" t="s">
        <v>438</v>
      </c>
      <c r="R9" t="s">
        <v>442</v>
      </c>
    </row>
    <row r="10" spans="1:18" ht="15.5" x14ac:dyDescent="0.3">
      <c r="A10" s="635"/>
      <c r="B10" s="646" t="s">
        <v>134</v>
      </c>
      <c r="G10" s="231">
        <f>G9/C9-1</f>
        <v>0.1563323708048201</v>
      </c>
      <c r="H10" s="231">
        <f t="shared" ref="H10:L10" si="4">H9/D9-1</f>
        <v>0.12837172018844112</v>
      </c>
      <c r="I10" s="231">
        <f t="shared" si="4"/>
        <v>0.22187314008059222</v>
      </c>
      <c r="J10" s="231">
        <f t="shared" si="4"/>
        <v>0.28626923042055363</v>
      </c>
      <c r="K10" s="231">
        <f t="shared" si="4"/>
        <v>0.23319473858251882</v>
      </c>
      <c r="L10" s="231">
        <f t="shared" si="4"/>
        <v>0.15155863861903685</v>
      </c>
      <c r="M10" s="231"/>
    </row>
    <row r="11" spans="1:18" ht="15.5" x14ac:dyDescent="0.3">
      <c r="A11" s="730" t="s">
        <v>427</v>
      </c>
      <c r="B11" s="676"/>
      <c r="C11" s="676"/>
      <c r="D11" s="676"/>
      <c r="E11" s="676"/>
      <c r="F11" s="676"/>
      <c r="G11" s="676"/>
      <c r="H11" s="676"/>
      <c r="I11" s="676"/>
      <c r="J11" s="676"/>
      <c r="K11" s="676"/>
      <c r="L11" s="676"/>
      <c r="M11" s="676"/>
    </row>
    <row r="12" spans="1:18" ht="15.5" x14ac:dyDescent="0.3">
      <c r="A12" s="635"/>
      <c r="B12" s="627" t="s">
        <v>242</v>
      </c>
    </row>
    <row r="13" spans="1:18" ht="15.5" x14ac:dyDescent="0.3">
      <c r="A13" s="635"/>
      <c r="B13" s="731" t="s">
        <v>439</v>
      </c>
    </row>
    <row r="14" spans="1:18" ht="15.5" x14ac:dyDescent="0.3">
      <c r="A14" s="635"/>
      <c r="B14" s="646" t="s">
        <v>134</v>
      </c>
    </row>
    <row r="15" spans="1:18" ht="15.5" x14ac:dyDescent="0.3">
      <c r="A15" s="635"/>
      <c r="B15" s="627" t="s">
        <v>244</v>
      </c>
      <c r="C15" s="396">
        <f>C5*C16</f>
        <v>47.210829120000007</v>
      </c>
      <c r="D15" s="396">
        <f>D5*D16</f>
        <v>53.999514000000012</v>
      </c>
      <c r="E15" s="396">
        <f>E5*E16</f>
        <v>57.435833999999986</v>
      </c>
      <c r="F15" s="396">
        <f>F5*F16</f>
        <v>47.844036000000003</v>
      </c>
      <c r="G15" s="396">
        <f>C15*(1+G17)</f>
        <v>51.931912032000014</v>
      </c>
      <c r="H15" s="396">
        <f>H5-H26</f>
        <v>59.184983880000011</v>
      </c>
      <c r="I15" s="396">
        <f t="shared" ref="I15:J15" si="5">I5-I26</f>
        <v>-0.53514511999999859</v>
      </c>
      <c r="J15" s="396">
        <f t="shared" si="5"/>
        <v>-0.20442887999999554</v>
      </c>
      <c r="K15" s="396">
        <f>(1+K17)*G15</f>
        <v>58.683060596160011</v>
      </c>
      <c r="L15" s="396">
        <f>(1+L17)*H15</f>
        <v>66.879031784400013</v>
      </c>
      <c r="M15" s="396"/>
    </row>
    <row r="16" spans="1:18" ht="15.5" x14ac:dyDescent="0.3">
      <c r="A16" s="635"/>
      <c r="B16" s="731" t="s">
        <v>439</v>
      </c>
      <c r="C16" s="178">
        <f>1-C27</f>
        <v>0.998</v>
      </c>
      <c r="D16" s="178">
        <f t="shared" ref="D16:K16" si="6">1-D27</f>
        <v>0.997</v>
      </c>
      <c r="E16" s="178">
        <f t="shared" si="6"/>
        <v>0.996</v>
      </c>
      <c r="F16" s="178">
        <f t="shared" si="6"/>
        <v>0.997</v>
      </c>
      <c r="G16" s="178">
        <f t="shared" si="6"/>
        <v>0.99199999999999999</v>
      </c>
      <c r="H16" s="178">
        <f t="shared" si="6"/>
        <v>0.99</v>
      </c>
      <c r="I16" s="178">
        <f t="shared" si="6"/>
        <v>0.98799999999999999</v>
      </c>
      <c r="J16" s="178">
        <f t="shared" si="6"/>
        <v>0.98499999999999999</v>
      </c>
      <c r="K16" s="178">
        <f t="shared" si="6"/>
        <v>0.98499999999999999</v>
      </c>
      <c r="L16" s="178">
        <f t="shared" ref="L16" si="7">1-L27</f>
        <v>0.98499999999999999</v>
      </c>
      <c r="M16" s="178"/>
    </row>
    <row r="17" spans="1:13" ht="15.5" x14ac:dyDescent="0.3">
      <c r="A17" s="635"/>
      <c r="B17" s="693" t="s">
        <v>348</v>
      </c>
      <c r="C17" s="80"/>
      <c r="D17" s="80"/>
      <c r="E17" s="80"/>
      <c r="F17" s="80"/>
      <c r="G17" s="246">
        <v>0.1</v>
      </c>
      <c r="H17" s="246">
        <f>H15/D15-1</f>
        <v>9.6028084252758328E-2</v>
      </c>
      <c r="I17" s="80"/>
      <c r="J17" s="80"/>
      <c r="K17" s="80">
        <v>0.13</v>
      </c>
      <c r="L17" s="80">
        <v>0.13</v>
      </c>
      <c r="M17" s="80"/>
    </row>
    <row r="18" spans="1:13" ht="15.5" x14ac:dyDescent="0.3">
      <c r="A18" s="635"/>
      <c r="B18" s="627" t="s">
        <v>406</v>
      </c>
    </row>
    <row r="19" spans="1:13" ht="15.5" x14ac:dyDescent="0.3">
      <c r="A19" s="635"/>
      <c r="B19" s="629" t="s">
        <v>135</v>
      </c>
    </row>
    <row r="20" spans="1:13" ht="15.5" x14ac:dyDescent="0.3">
      <c r="A20" s="635"/>
      <c r="B20" s="627" t="s">
        <v>241</v>
      </c>
    </row>
    <row r="21" spans="1:13" ht="15.5" x14ac:dyDescent="0.3">
      <c r="A21" s="635"/>
      <c r="B21" s="646" t="s">
        <v>134</v>
      </c>
    </row>
    <row r="22" spans="1:13" ht="15.5" x14ac:dyDescent="0.3">
      <c r="A22" s="747" t="s">
        <v>428</v>
      </c>
      <c r="B22" s="748"/>
      <c r="C22" s="748"/>
      <c r="D22" s="748"/>
      <c r="E22" s="748"/>
      <c r="F22" s="748"/>
      <c r="G22" s="748"/>
      <c r="H22" s="748"/>
      <c r="I22" s="748"/>
      <c r="J22" s="748"/>
      <c r="K22" s="748"/>
      <c r="L22" s="748"/>
      <c r="M22" s="748"/>
    </row>
    <row r="23" spans="1:13" ht="15.5" x14ac:dyDescent="0.3">
      <c r="A23" s="635"/>
      <c r="B23" s="627" t="s">
        <v>242</v>
      </c>
    </row>
    <row r="24" spans="1:13" ht="15.5" x14ac:dyDescent="0.3">
      <c r="A24" s="635"/>
      <c r="B24" s="731" t="s">
        <v>350</v>
      </c>
    </row>
    <row r="25" spans="1:13" ht="15.5" x14ac:dyDescent="0.3">
      <c r="A25" s="635"/>
      <c r="B25" s="646" t="s">
        <v>134</v>
      </c>
    </row>
    <row r="26" spans="1:13" ht="15.5" x14ac:dyDescent="0.3">
      <c r="A26" s="635"/>
      <c r="B26" s="627" t="s">
        <v>244</v>
      </c>
      <c r="C26" s="950">
        <f>C5-C15</f>
        <v>9.4610879999997621E-2</v>
      </c>
      <c r="D26" s="950">
        <f>D5-D15</f>
        <v>0.16248600000000124</v>
      </c>
      <c r="E26" s="950">
        <f>E5-E15</f>
        <v>0.23066599999999937</v>
      </c>
      <c r="F26" s="950">
        <f>F5-F15</f>
        <v>0.14396399999999687</v>
      </c>
      <c r="G26" s="950">
        <f>G5-G15</f>
        <v>0.41880574219354827</v>
      </c>
      <c r="H26" s="950">
        <f>D26*(1+H28)</f>
        <v>0.393216120000003</v>
      </c>
      <c r="I26" s="950">
        <f>E26*(1+I28)</f>
        <v>0.53514511999999859</v>
      </c>
      <c r="J26" s="950">
        <f>F26*(1+J28)</f>
        <v>0.20442887999999554</v>
      </c>
      <c r="K26" s="950">
        <f>G26*(1+K28)</f>
        <v>0.64914890039999984</v>
      </c>
      <c r="L26" s="950">
        <f>H26*(1+L28)</f>
        <v>0.60948498600000467</v>
      </c>
      <c r="M26" s="950"/>
    </row>
    <row r="27" spans="1:13" ht="15.5" x14ac:dyDescent="0.3">
      <c r="A27" s="635"/>
      <c r="B27" s="731" t="s">
        <v>440</v>
      </c>
      <c r="C27" s="178">
        <v>2E-3</v>
      </c>
      <c r="D27" s="178">
        <v>3.0000000000000001E-3</v>
      </c>
      <c r="E27" s="178">
        <v>4.0000000000000001E-3</v>
      </c>
      <c r="F27" s="178">
        <v>3.0000000000000001E-3</v>
      </c>
      <c r="G27" s="178">
        <v>8.0000000000000002E-3</v>
      </c>
      <c r="H27" s="178">
        <v>0.01</v>
      </c>
      <c r="I27" s="178">
        <v>1.2E-2</v>
      </c>
      <c r="J27" s="178">
        <v>1.4999999999999999E-2</v>
      </c>
      <c r="K27" s="178">
        <v>1.4999999999999999E-2</v>
      </c>
      <c r="L27" s="178">
        <v>1.4999999999999999E-2</v>
      </c>
      <c r="M27" s="178"/>
    </row>
    <row r="28" spans="1:13" ht="15.5" x14ac:dyDescent="0.3">
      <c r="A28" s="635"/>
      <c r="B28" s="693" t="s">
        <v>348</v>
      </c>
      <c r="H28" s="231">
        <v>1.42</v>
      </c>
      <c r="I28" s="231">
        <v>1.32</v>
      </c>
      <c r="J28" s="231">
        <v>0.42</v>
      </c>
      <c r="K28" s="231">
        <v>0.55000000000000004</v>
      </c>
      <c r="L28" s="231">
        <v>0.55000000000000004</v>
      </c>
      <c r="M28" s="231"/>
    </row>
    <row r="29" spans="1:13" ht="15.5" x14ac:dyDescent="0.3">
      <c r="A29" s="635"/>
      <c r="B29" s="627" t="s">
        <v>146</v>
      </c>
    </row>
    <row r="30" spans="1:13" ht="15.5" x14ac:dyDescent="0.3">
      <c r="A30" s="635"/>
      <c r="B30" s="627"/>
    </row>
    <row r="31" spans="1:13" ht="15.5" x14ac:dyDescent="0.3">
      <c r="A31" s="635"/>
      <c r="B31" s="629" t="s">
        <v>135</v>
      </c>
    </row>
    <row r="32" spans="1:13" ht="15.5" x14ac:dyDescent="0.3">
      <c r="A32" s="635"/>
      <c r="B32" s="627" t="s">
        <v>241</v>
      </c>
    </row>
    <row r="33" spans="1:2" ht="15.5" x14ac:dyDescent="0.3">
      <c r="A33" s="635"/>
      <c r="B33" s="693" t="s">
        <v>348</v>
      </c>
    </row>
  </sheetData>
  <phoneticPr fontId="2" type="noConversion"/>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5359E-DE23-478D-83D6-035DB4E8E831}">
  <dimension ref="A2:AK75"/>
  <sheetViews>
    <sheetView zoomScale="85" zoomScaleNormal="85" workbookViewId="0">
      <pane xSplit="3" ySplit="2" topLeftCell="D3" activePane="bottomRight" state="frozen"/>
      <selection pane="topRight" activeCell="D1" sqref="D1"/>
      <selection pane="bottomLeft" activeCell="A3" sqref="A3"/>
      <selection pane="bottomRight" activeCell="Z39" sqref="Z39"/>
    </sheetView>
  </sheetViews>
  <sheetFormatPr defaultColWidth="8.4140625" defaultRowHeight="12.5" outlineLevelRow="1" outlineLevelCol="2" x14ac:dyDescent="0.25"/>
  <cols>
    <col min="1" max="1" width="2.4140625" style="549" customWidth="1"/>
    <col min="2" max="2" width="2.83203125" style="521" customWidth="1"/>
    <col min="3" max="3" width="28.4140625" style="521" customWidth="1"/>
    <col min="4" max="7" width="8.33203125" style="522" customWidth="1"/>
    <col min="8" max="19" width="8.33203125" style="522" hidden="1" customWidth="1" outlineLevel="2"/>
    <col min="20" max="20" width="8.33203125" style="522" customWidth="1" collapsed="1"/>
    <col min="21" max="22" width="8.4140625" style="522"/>
    <col min="23" max="23" width="8.4140625" style="528"/>
    <col min="24" max="24" width="8.33203125" style="522" customWidth="1"/>
    <col min="25" max="26" width="8.4140625" style="522"/>
    <col min="27" max="27" width="8.4140625" style="528"/>
    <col min="28" max="29" width="8.4140625" style="522"/>
    <col min="30" max="30" width="8.4140625" style="521"/>
    <col min="31" max="31" width="8.4140625" style="1007"/>
    <col min="32" max="32" width="8.4140625" style="521"/>
    <col min="33" max="33" width="10.33203125" style="521" bestFit="1" customWidth="1"/>
    <col min="34" max="34" width="8.4140625" style="521"/>
    <col min="35" max="37" width="10.33203125" style="521" bestFit="1" customWidth="1"/>
    <col min="38" max="16384" width="8.4140625" style="521"/>
  </cols>
  <sheetData>
    <row r="2" spans="1:32" s="519" customFormat="1" ht="14.5" x14ac:dyDescent="0.4">
      <c r="A2" s="548"/>
      <c r="B2" s="519" t="s">
        <v>422</v>
      </c>
      <c r="D2" s="520" t="s">
        <v>468</v>
      </c>
      <c r="E2" s="520" t="s">
        <v>469</v>
      </c>
      <c r="F2" s="520" t="s">
        <v>470</v>
      </c>
      <c r="G2" s="520" t="s">
        <v>471</v>
      </c>
      <c r="H2" s="520" t="s">
        <v>472</v>
      </c>
      <c r="I2" s="520" t="s">
        <v>238</v>
      </c>
      <c r="J2" s="520" t="s">
        <v>256</v>
      </c>
      <c r="K2" s="520" t="s">
        <v>257</v>
      </c>
      <c r="L2" s="520" t="s">
        <v>473</v>
      </c>
      <c r="M2" s="520" t="s">
        <v>283</v>
      </c>
      <c r="N2" s="520" t="s">
        <v>284</v>
      </c>
      <c r="O2" s="520" t="s">
        <v>276</v>
      </c>
      <c r="P2" s="520" t="s">
        <v>474</v>
      </c>
      <c r="Q2" s="520" t="s">
        <v>475</v>
      </c>
      <c r="R2" s="520" t="s">
        <v>314</v>
      </c>
      <c r="S2" s="520" t="s">
        <v>325</v>
      </c>
      <c r="T2" s="520" t="s">
        <v>379</v>
      </c>
      <c r="U2" s="520" t="s">
        <v>380</v>
      </c>
      <c r="V2" s="520" t="s">
        <v>340</v>
      </c>
      <c r="W2" s="527" t="s">
        <v>344</v>
      </c>
      <c r="X2" s="520" t="s">
        <v>377</v>
      </c>
      <c r="Y2" s="520" t="s">
        <v>366</v>
      </c>
      <c r="Z2" s="520" t="s">
        <v>376</v>
      </c>
      <c r="AA2" s="527" t="s">
        <v>378</v>
      </c>
      <c r="AB2" s="520" t="s">
        <v>443</v>
      </c>
      <c r="AC2" s="520" t="s">
        <v>448</v>
      </c>
      <c r="AD2" s="520" t="s">
        <v>463</v>
      </c>
      <c r="AE2" s="527" t="s">
        <v>484</v>
      </c>
      <c r="AF2" s="520" t="s">
        <v>487</v>
      </c>
    </row>
    <row r="3" spans="1:32" ht="13" x14ac:dyDescent="0.25">
      <c r="B3" s="551" t="s">
        <v>423</v>
      </c>
    </row>
    <row r="4" spans="1:32" ht="13" x14ac:dyDescent="0.25">
      <c r="C4" s="521" t="s">
        <v>381</v>
      </c>
      <c r="D4" s="524"/>
      <c r="E4" s="524"/>
      <c r="F4" s="524"/>
      <c r="G4" s="524"/>
      <c r="H4" s="524"/>
      <c r="I4" s="524"/>
      <c r="J4" s="524"/>
      <c r="K4" s="524"/>
      <c r="L4" s="524"/>
      <c r="M4" s="524"/>
      <c r="N4" s="524"/>
      <c r="O4" s="524"/>
      <c r="P4" s="524"/>
      <c r="Q4" s="524"/>
      <c r="R4" s="524"/>
      <c r="S4" s="524"/>
      <c r="T4" s="524">
        <f>+交通业务拆分!U30</f>
        <v>0.91500000000000004</v>
      </c>
      <c r="U4" s="524">
        <f>+交通业务拆分!V30</f>
        <v>0.88500000000000001</v>
      </c>
      <c r="V4" s="524">
        <f>+交通业务拆分!W30</f>
        <v>0.88500000000000001</v>
      </c>
      <c r="W4" s="529">
        <f>+交通业务拆分!X30</f>
        <v>0.85</v>
      </c>
      <c r="X4" s="524">
        <f>+交通业务拆分!Y30</f>
        <v>0.83499999999999996</v>
      </c>
      <c r="Y4" s="524">
        <f>+交通业务拆分!Z30</f>
        <v>0.82499999999999996</v>
      </c>
      <c r="Z4" s="524">
        <f>+交通业务拆分!AA30</f>
        <v>0.83</v>
      </c>
      <c r="AA4" s="529">
        <f>+交通业务拆分!AB30</f>
        <v>0.81</v>
      </c>
      <c r="AB4" s="524">
        <f>+交通业务拆分!AC30</f>
        <v>0.8</v>
      </c>
      <c r="AC4" s="524">
        <f>+交通业务拆分!AD30</f>
        <v>0.79</v>
      </c>
      <c r="AD4" s="524">
        <f>+交通业务拆分!AE30</f>
        <v>0.78500000000000003</v>
      </c>
      <c r="AE4" s="529">
        <f>+交通业务拆分!AF30</f>
        <v>0.78</v>
      </c>
      <c r="AF4" s="524">
        <f>+交通业务拆分!AG30</f>
        <v>0.80499999999999994</v>
      </c>
    </row>
    <row r="5" spans="1:32" x14ac:dyDescent="0.25">
      <c r="B5" s="549"/>
      <c r="D5" s="524"/>
      <c r="E5" s="524"/>
      <c r="F5" s="524"/>
      <c r="G5" s="524"/>
      <c r="H5" s="524"/>
      <c r="I5" s="524"/>
      <c r="J5" s="524"/>
      <c r="K5" s="524"/>
      <c r="L5" s="524"/>
      <c r="M5" s="524"/>
      <c r="N5" s="524"/>
      <c r="O5" s="524"/>
      <c r="P5" s="524"/>
      <c r="Q5" s="524"/>
      <c r="R5" s="524"/>
      <c r="S5" s="524"/>
      <c r="T5" s="524"/>
      <c r="U5" s="524"/>
      <c r="V5" s="524"/>
      <c r="W5" s="529"/>
      <c r="X5" s="524"/>
      <c r="Y5" s="524"/>
      <c r="Z5" s="524"/>
      <c r="AA5" s="529"/>
      <c r="AB5" s="524"/>
      <c r="AC5" s="524"/>
    </row>
    <row r="6" spans="1:32" s="540" customFormat="1" ht="13.5" x14ac:dyDescent="0.3">
      <c r="A6" s="550"/>
      <c r="B6" s="550"/>
      <c r="C6" s="540" t="s">
        <v>414</v>
      </c>
      <c r="D6" s="541">
        <f>+交通业务拆分!E32</f>
        <v>17.028647927865627</v>
      </c>
      <c r="E6" s="541">
        <f>+交通业务拆分!F32</f>
        <v>20.898102375810552</v>
      </c>
      <c r="F6" s="541">
        <f>+交通业务拆分!G32</f>
        <v>21.392690823786918</v>
      </c>
      <c r="G6" s="541">
        <f>+交通业务拆分!H32</f>
        <v>22.353849264705882</v>
      </c>
      <c r="H6" s="541">
        <f>+交通业务拆分!I32</f>
        <v>9.9587252833394491</v>
      </c>
      <c r="I6" s="541">
        <f>+交通业务拆分!J32</f>
        <v>12.646174084409404</v>
      </c>
      <c r="J6" s="541">
        <f>+交通业务拆分!K32</f>
        <v>26.31109950204231</v>
      </c>
      <c r="K6" s="541">
        <f>+交通业务拆分!L32</f>
        <v>21.675139619252235</v>
      </c>
      <c r="L6" s="541">
        <f>+交通业务拆分!M32</f>
        <v>21.254148497011492</v>
      </c>
      <c r="M6" s="541">
        <f>+交通业务拆分!N32</f>
        <v>26.414351033145593</v>
      </c>
      <c r="N6" s="541">
        <f>+交通业务拆分!O32</f>
        <v>22.651300580294066</v>
      </c>
      <c r="O6" s="541">
        <f>+交通业务拆分!P32</f>
        <v>18.596599721980855</v>
      </c>
      <c r="P6" s="541">
        <f>+交通业务拆分!Q32</f>
        <v>18.278567707429882</v>
      </c>
      <c r="Q6" s="541">
        <f>+交通业务拆分!R32</f>
        <v>11.886457964915516</v>
      </c>
      <c r="R6" s="541">
        <f>+交通业务拆分!S32</f>
        <v>19.027092487447014</v>
      </c>
      <c r="S6" s="541">
        <f>+交通业务拆分!T32</f>
        <v>12.087789819287556</v>
      </c>
      <c r="T6" s="541">
        <f>+交通业务拆分!U32</f>
        <v>23.625208826439774</v>
      </c>
      <c r="U6" s="541">
        <f>+交通业务拆分!V32</f>
        <v>29.082495135551067</v>
      </c>
      <c r="V6" s="541">
        <f>+交通业务拆分!W32</f>
        <v>28.65047918521482</v>
      </c>
      <c r="W6" s="542">
        <f>+交通业务拆分!X32</f>
        <v>26.294616562499996</v>
      </c>
      <c r="X6" s="541">
        <f>+交通业务拆分!Y32</f>
        <v>30.454730333407284</v>
      </c>
      <c r="Y6" s="541">
        <f>+交通业务拆分!Z32</f>
        <v>31.937867385223353</v>
      </c>
      <c r="Z6" s="541">
        <f>+交通业务拆分!AA32</f>
        <v>33.156053236602226</v>
      </c>
      <c r="AA6" s="542">
        <f>+交通业务拆分!AB32</f>
        <v>28.135239721874999</v>
      </c>
      <c r="AB6" s="541">
        <f>+交通业务拆分!AC32</f>
        <v>31.368372243409503</v>
      </c>
      <c r="AC6" s="541">
        <f>+交通业务拆分!AD32</f>
        <v>32.576624732927819</v>
      </c>
      <c r="AD6" s="541">
        <f>+交通业务拆分!AE32</f>
        <v>33.487613768968245</v>
      </c>
      <c r="AE6" s="542">
        <f>+交通业务拆分!AF32</f>
        <v>28.41659211909375</v>
      </c>
      <c r="AF6" s="541">
        <f>+交通业务拆分!AG32</f>
        <v>31.682055965843599</v>
      </c>
    </row>
    <row r="7" spans="1:32" ht="13" x14ac:dyDescent="0.25">
      <c r="B7" s="549"/>
      <c r="C7" s="523" t="s">
        <v>383</v>
      </c>
      <c r="D7" s="524"/>
      <c r="E7" s="524"/>
      <c r="F7" s="524"/>
      <c r="G7" s="524"/>
      <c r="H7" s="524"/>
      <c r="I7" s="524"/>
      <c r="J7" s="524"/>
      <c r="K7" s="524"/>
      <c r="L7" s="524"/>
      <c r="M7" s="524"/>
      <c r="N7" s="524"/>
      <c r="O7" s="524"/>
      <c r="P7" s="524"/>
      <c r="Q7" s="524"/>
      <c r="R7" s="524"/>
      <c r="S7" s="524"/>
      <c r="T7" s="524">
        <f>+交通业务拆分!U34</f>
        <v>0.38738019169329085</v>
      </c>
      <c r="U7" s="524">
        <f>+交通业务拆分!V34</f>
        <v>0.39163329820864057</v>
      </c>
      <c r="V7" s="524">
        <f>+交通业务拆分!W34</f>
        <v>0.33926486486486485</v>
      </c>
      <c r="W7" s="529">
        <f>+交通业务拆分!X34</f>
        <v>0.17629032258064492</v>
      </c>
      <c r="X7" s="524">
        <f>+交通业务拆分!Y34</f>
        <v>0.28907772020725431</v>
      </c>
      <c r="Y7" s="524">
        <f>+交通业务拆分!Z34</f>
        <v>9.8181818181818148E-2</v>
      </c>
      <c r="Z7" s="524">
        <f>+交通业务拆分!AA34</f>
        <v>0.15725998934469909</v>
      </c>
      <c r="AA7" s="529">
        <f>+交通业务拆分!AB34</f>
        <v>7.0000000000000007E-2</v>
      </c>
      <c r="AB7" s="524">
        <f>+交通业务拆分!AC34</f>
        <v>0.03</v>
      </c>
      <c r="AC7" s="524">
        <f>+交通业务拆分!AD34</f>
        <v>0.02</v>
      </c>
      <c r="AD7" s="524">
        <f>+交通业务拆分!AE34</f>
        <v>0.01</v>
      </c>
      <c r="AE7" s="529">
        <f>+交通业务拆分!AF34</f>
        <v>0.01</v>
      </c>
      <c r="AF7" s="524">
        <f>+交通业务拆分!AG34</f>
        <v>0.01</v>
      </c>
    </row>
    <row r="8" spans="1:32" ht="13" x14ac:dyDescent="0.25">
      <c r="B8" s="549"/>
      <c r="C8" s="523" t="s">
        <v>413</v>
      </c>
      <c r="D8" s="524"/>
      <c r="E8" s="524"/>
      <c r="F8" s="524"/>
      <c r="G8" s="524"/>
      <c r="H8" s="524"/>
      <c r="I8" s="524"/>
      <c r="J8" s="524"/>
      <c r="K8" s="524"/>
      <c r="L8" s="524"/>
      <c r="M8" s="524"/>
      <c r="N8" s="524"/>
      <c r="O8" s="524"/>
      <c r="P8" s="524"/>
      <c r="Q8" s="524"/>
      <c r="R8" s="524"/>
      <c r="S8" s="524"/>
      <c r="T8" s="524">
        <f>交通业务拆分!U33</f>
        <v>0.96499999999999997</v>
      </c>
      <c r="U8" s="524">
        <f>交通业务拆分!V33</f>
        <v>0.95699999999999996</v>
      </c>
      <c r="V8" s="524">
        <f>交通业务拆分!W33</f>
        <v>0.9385</v>
      </c>
      <c r="W8" s="529">
        <f>交通业务拆分!X33</f>
        <v>0.93500000000000005</v>
      </c>
      <c r="X8" s="524">
        <f>交通业务拆分!Y33</f>
        <v>0.90800000000000003</v>
      </c>
      <c r="Y8" s="524">
        <f>交通业务拆分!Z33</f>
        <v>0.90600000000000003</v>
      </c>
      <c r="Z8" s="524">
        <f>交通业务拆分!AA33</f>
        <v>0.89390000000000003</v>
      </c>
      <c r="AA8" s="529">
        <f>交通业务拆分!AB33</f>
        <v>0.91065902057163661</v>
      </c>
      <c r="AB8" s="524">
        <f>交通业务拆分!AC33</f>
        <v>0.88047448691395225</v>
      </c>
      <c r="AC8" s="524">
        <f>交通业务拆分!AD33</f>
        <v>0.88479950978514799</v>
      </c>
      <c r="AD8" s="524">
        <f>交通业务拆分!AE33</f>
        <v>0.8764074283678539</v>
      </c>
      <c r="AE8" s="529">
        <f>交通业务拆分!AF33</f>
        <v>0.89951946316611286</v>
      </c>
      <c r="AF8" s="524">
        <f>交通业务拆分!AG33</f>
        <v>0.86916008243009035</v>
      </c>
    </row>
    <row r="9" spans="1:32" x14ac:dyDescent="0.25">
      <c r="B9" s="549"/>
      <c r="C9" s="523"/>
      <c r="D9" s="524"/>
      <c r="E9" s="524"/>
      <c r="F9" s="524"/>
      <c r="G9" s="524"/>
      <c r="H9" s="524"/>
      <c r="I9" s="524"/>
      <c r="J9" s="524"/>
      <c r="K9" s="524"/>
      <c r="L9" s="524"/>
      <c r="M9" s="524"/>
      <c r="N9" s="524"/>
      <c r="O9" s="524"/>
      <c r="P9" s="524"/>
      <c r="Q9" s="524"/>
      <c r="R9" s="524"/>
      <c r="S9" s="524"/>
      <c r="T9" s="524"/>
      <c r="U9" s="524"/>
      <c r="V9" s="524"/>
      <c r="W9" s="529"/>
      <c r="X9" s="524"/>
      <c r="Y9" s="524"/>
      <c r="Z9" s="524"/>
      <c r="AA9" s="529"/>
      <c r="AB9" s="524"/>
      <c r="AC9" s="524"/>
    </row>
    <row r="10" spans="1:32" s="540" customFormat="1" ht="13.5" x14ac:dyDescent="0.3">
      <c r="A10" s="550"/>
      <c r="B10" s="550"/>
      <c r="C10" s="540" t="s">
        <v>415</v>
      </c>
      <c r="D10" s="543">
        <f>+交通业务拆分!E37</f>
        <v>457.39102480687319</v>
      </c>
      <c r="E10" s="543">
        <f>+交通业务拆分!F37</f>
        <v>461.90113355570372</v>
      </c>
      <c r="F10" s="543">
        <f>+交通业务拆分!G37</f>
        <v>469.19374604062398</v>
      </c>
      <c r="G10" s="543">
        <f>+交通业务拆分!H37</f>
        <v>495.49109624999994</v>
      </c>
      <c r="H10" s="543">
        <f>+交通业务拆分!I37</f>
        <v>284.42119409217469</v>
      </c>
      <c r="I10" s="543">
        <f>+交通业务拆分!J37</f>
        <v>344.98762902268851</v>
      </c>
      <c r="J10" s="543">
        <f>+交通业务拆分!K37</f>
        <v>519.90732616035598</v>
      </c>
      <c r="K10" s="543">
        <f>+交通业务拆分!L37</f>
        <v>502.86323916665185</v>
      </c>
      <c r="L10" s="543">
        <f>+交通业务拆分!M37</f>
        <v>510.09956392827581</v>
      </c>
      <c r="M10" s="543">
        <f>+交通业务拆分!N37</f>
        <v>570.5499823159447</v>
      </c>
      <c r="N10" s="543">
        <f>+交通业务拆分!O37</f>
        <v>507.52504080206887</v>
      </c>
      <c r="O10" s="543">
        <f>+交通业务拆分!P37</f>
        <v>479.79227282710605</v>
      </c>
      <c r="P10" s="543">
        <f>+交通业务拆分!Q37</f>
        <v>444.1103693383356</v>
      </c>
      <c r="Q10" s="543">
        <f>+交通业务拆分!R37</f>
        <v>282.79157302239997</v>
      </c>
      <c r="R10" s="543">
        <f>+交通业务拆分!S37</f>
        <v>488.51682630629836</v>
      </c>
      <c r="S10" s="543">
        <f>+交通业务拆分!T37</f>
        <v>324.75381526901089</v>
      </c>
      <c r="T10" s="543">
        <f>+交通业务拆分!U37</f>
        <v>578.52875566980003</v>
      </c>
      <c r="U10" s="543">
        <f>+交通业务拆分!V37</f>
        <v>654.03686860945231</v>
      </c>
      <c r="V10" s="543">
        <f>+交通业务拆分!W37</f>
        <v>681.47933207581298</v>
      </c>
      <c r="W10" s="544">
        <f>+交通业务拆分!X37</f>
        <v>603.2523301199999</v>
      </c>
      <c r="X10" s="543">
        <f>+交通业务拆分!Y37</f>
        <v>705.01055625000004</v>
      </c>
      <c r="Y10" s="543">
        <f>+交通业务拆分!Z37</f>
        <v>684.65955600000007</v>
      </c>
      <c r="Z10" s="543">
        <f>+交通业务拆分!AA37</f>
        <v>824.64103903999978</v>
      </c>
      <c r="AA10" s="544">
        <f>+交通业务拆分!AB37</f>
        <v>643.82036749999997</v>
      </c>
      <c r="AB10" s="543">
        <f>+交通业务拆分!AC37</f>
        <v>764.87820864000003</v>
      </c>
      <c r="AC10" s="543">
        <f>+交通业务拆分!AD37</f>
        <v>779.23717353999996</v>
      </c>
      <c r="AD10" s="543">
        <f>+交通业务拆分!AE37</f>
        <v>840.94701600000008</v>
      </c>
      <c r="AE10" s="544">
        <f>+交通业务拆分!AF37</f>
        <v>707.82408657840006</v>
      </c>
      <c r="AF10" s="543">
        <f>+交通业务拆分!AG37</f>
        <v>745.08158141550007</v>
      </c>
    </row>
    <row r="11" spans="1:32" ht="13" x14ac:dyDescent="0.25">
      <c r="B11" s="549"/>
      <c r="C11" s="523" t="s">
        <v>418</v>
      </c>
      <c r="D11" s="525"/>
      <c r="E11" s="525"/>
      <c r="F11" s="525"/>
      <c r="G11" s="525"/>
      <c r="H11" s="525"/>
      <c r="I11" s="525"/>
      <c r="J11" s="525"/>
      <c r="K11" s="525"/>
      <c r="L11" s="525"/>
      <c r="M11" s="525"/>
      <c r="N11" s="525"/>
      <c r="O11" s="525"/>
      <c r="P11" s="525"/>
      <c r="Q11" s="525"/>
      <c r="R11" s="525"/>
      <c r="S11" s="525"/>
      <c r="T11" s="525"/>
      <c r="U11" s="525"/>
      <c r="V11" s="525"/>
      <c r="W11" s="531"/>
      <c r="X11" s="525">
        <f>+X10/T10-1</f>
        <v>0.21862664446776514</v>
      </c>
      <c r="Y11" s="525">
        <f t="shared" ref="Y11:AF11" si="0">+Y10/U10-1</f>
        <v>4.6821041534943708E-2</v>
      </c>
      <c r="Z11" s="525">
        <f t="shared" si="0"/>
        <v>0.21007490649512528</v>
      </c>
      <c r="AA11" s="531">
        <f t="shared" si="0"/>
        <v>6.7248869758911978E-2</v>
      </c>
      <c r="AB11" s="525">
        <f t="shared" si="0"/>
        <v>8.4917384370015947E-2</v>
      </c>
      <c r="AC11" s="525">
        <f t="shared" si="0"/>
        <v>0.13813816912532784</v>
      </c>
      <c r="AD11" s="525">
        <f t="shared" si="0"/>
        <v>1.9773424057311972E-2</v>
      </c>
      <c r="AE11" s="531">
        <f t="shared" si="0"/>
        <v>9.9412386294846611E-2</v>
      </c>
      <c r="AF11" s="525">
        <f t="shared" si="0"/>
        <v>-2.5882064622679724E-2</v>
      </c>
    </row>
    <row r="12" spans="1:32" x14ac:dyDescent="0.25">
      <c r="B12" s="549"/>
      <c r="C12" s="523" t="s">
        <v>135</v>
      </c>
      <c r="D12" s="525"/>
      <c r="E12" s="525"/>
      <c r="F12" s="525"/>
      <c r="G12" s="525"/>
      <c r="H12" s="525"/>
      <c r="I12" s="525"/>
      <c r="J12" s="525"/>
      <c r="K12" s="525"/>
      <c r="L12" s="525"/>
      <c r="M12" s="525"/>
      <c r="N12" s="525"/>
      <c r="O12" s="525"/>
      <c r="P12" s="525"/>
      <c r="Q12" s="525"/>
      <c r="R12" s="525"/>
      <c r="S12" s="525"/>
      <c r="T12" s="525">
        <f>+交通业务拆分!U36</f>
        <v>3.0546448087431698E-2</v>
      </c>
      <c r="U12" s="525">
        <f>+交通业务拆分!V36</f>
        <v>3.5084745762711866E-2</v>
      </c>
      <c r="V12" s="525">
        <f>+交通业务拆分!W36</f>
        <v>3.2259887005649718E-2</v>
      </c>
      <c r="W12" s="531">
        <f>+交通业务拆分!X36</f>
        <v>3.8823529411764701E-2</v>
      </c>
      <c r="X12" s="525">
        <f>+交通业务拆分!Y36</f>
        <v>3.596407185628743E-2</v>
      </c>
      <c r="Y12" s="525">
        <f>+交通业务拆分!Z36</f>
        <v>3.8181818181818185E-2</v>
      </c>
      <c r="Z12" s="525">
        <f>+交通业务拆分!AA36</f>
        <v>3.8469879518072285E-2</v>
      </c>
      <c r="AA12" s="531">
        <f>+交通业务拆分!AB36</f>
        <v>4.0932098765432093E-2</v>
      </c>
      <c r="AB12" s="525">
        <f>+交通业务拆分!AC36</f>
        <v>4.2249999999999996E-2</v>
      </c>
      <c r="AC12" s="525">
        <f>+交通业务拆分!AD36</f>
        <v>4.2253164556962021E-2</v>
      </c>
      <c r="AD12" s="525">
        <f>+交通业务拆分!AE36</f>
        <v>4.1834394904458602E-2</v>
      </c>
      <c r="AE12" s="531">
        <f>+交通业务拆分!AF36</f>
        <v>4.4384615384615383E-2</v>
      </c>
      <c r="AF12" s="525">
        <f>+交通业务拆分!AG36</f>
        <v>3.3726708074534172E-2</v>
      </c>
    </row>
    <row r="13" spans="1:32" x14ac:dyDescent="0.25">
      <c r="B13" s="549"/>
      <c r="C13" s="523"/>
      <c r="D13" s="525"/>
      <c r="E13" s="525"/>
      <c r="F13" s="525"/>
      <c r="G13" s="525"/>
      <c r="H13" s="525"/>
      <c r="I13" s="525"/>
      <c r="J13" s="525"/>
      <c r="K13" s="525"/>
      <c r="L13" s="525"/>
      <c r="M13" s="525"/>
      <c r="N13" s="525"/>
      <c r="O13" s="525"/>
      <c r="P13" s="525"/>
      <c r="Q13" s="525"/>
      <c r="R13" s="525"/>
      <c r="S13" s="525"/>
      <c r="T13" s="525"/>
      <c r="U13" s="525"/>
      <c r="V13" s="525"/>
      <c r="W13" s="531"/>
      <c r="X13" s="525"/>
      <c r="Y13" s="525"/>
      <c r="Z13" s="525"/>
      <c r="AA13" s="531"/>
      <c r="AB13" s="525"/>
      <c r="AC13" s="525"/>
    </row>
    <row r="14" spans="1:32" s="540" customFormat="1" ht="13.5" x14ac:dyDescent="0.3">
      <c r="A14" s="550"/>
      <c r="B14" s="550"/>
      <c r="C14" s="540" t="s">
        <v>417</v>
      </c>
      <c r="D14" s="541">
        <f>+交通业务拆分!E39</f>
        <v>26.860090521831737</v>
      </c>
      <c r="E14" s="541">
        <f>+交通业务拆分!F39</f>
        <v>22.10253951527924</v>
      </c>
      <c r="F14" s="541">
        <f>+交通业务拆分!G39</f>
        <v>21.932432432432435</v>
      </c>
      <c r="G14" s="541">
        <f>+交通业务拆分!H39</f>
        <v>22.165806451612902</v>
      </c>
      <c r="H14" s="541">
        <f>+交通业务拆分!I39</f>
        <v>28.560000000000002</v>
      </c>
      <c r="I14" s="541">
        <f>+交通业务拆分!J39</f>
        <v>27.279999999999998</v>
      </c>
      <c r="J14" s="541">
        <f>+交通业务拆分!K39</f>
        <v>19.759999999999998</v>
      </c>
      <c r="K14" s="541">
        <f>+交通业务拆分!L39</f>
        <v>23.2</v>
      </c>
      <c r="L14" s="541">
        <f>+交通业务拆分!M39</f>
        <v>24</v>
      </c>
      <c r="M14" s="541">
        <f>+交通业务拆分!N39</f>
        <v>21.599999999999998</v>
      </c>
      <c r="N14" s="541">
        <f>+交通业务拆分!O39</f>
        <v>22.406000000000002</v>
      </c>
      <c r="O14" s="541">
        <f>+交通业务拆分!P39</f>
        <v>25.8</v>
      </c>
      <c r="P14" s="541">
        <f>+交通业务拆分!Q39</f>
        <v>24.296781697934318</v>
      </c>
      <c r="Q14" s="541">
        <f>+交通业务拆分!R39</f>
        <v>23.791071642796989</v>
      </c>
      <c r="R14" s="541">
        <f>+交通业务拆分!S39</f>
        <v>25.674801687572277</v>
      </c>
      <c r="S14" s="541">
        <f>+交通业务拆分!T39</f>
        <v>26.866269195947321</v>
      </c>
      <c r="T14" s="541">
        <f>+交通业务拆分!U39</f>
        <v>24.487773205303856</v>
      </c>
      <c r="U14" s="541">
        <f>+交通业务拆分!V39</f>
        <v>22.489021851840477</v>
      </c>
      <c r="V14" s="541">
        <f>+交通业务拆分!W39</f>
        <v>23.785966289439681</v>
      </c>
      <c r="W14" s="542">
        <f>+交通业务拆分!X39</f>
        <v>22.942047041687108</v>
      </c>
      <c r="X14" s="541">
        <f>+交通业务拆分!Y39</f>
        <v>23.149459822227993</v>
      </c>
      <c r="Y14" s="541">
        <f>+交通业务拆分!Z39</f>
        <v>21.437234607491998</v>
      </c>
      <c r="Z14" s="541">
        <f>+交通业务拆分!AA39</f>
        <v>24.8715078708357</v>
      </c>
      <c r="AA14" s="542">
        <f>+交通业务拆分!AB39</f>
        <v>22.883059602987249</v>
      </c>
      <c r="AB14" s="541">
        <f>+交通业务拆分!AC39</f>
        <v>24.383739223213947</v>
      </c>
      <c r="AC14" s="541">
        <f>+交通业务拆分!AD39</f>
        <v>23.920132301255943</v>
      </c>
      <c r="AD14" s="541">
        <f>+交通业务拆分!AE39</f>
        <v>25.112180933574763</v>
      </c>
      <c r="AE14" s="542">
        <f>+交通业务拆分!AF39</f>
        <v>24.908830855294468</v>
      </c>
      <c r="AF14" s="541">
        <f>+交通业务拆分!AG39</f>
        <v>23.517463078115004</v>
      </c>
    </row>
    <row r="15" spans="1:32" ht="13" x14ac:dyDescent="0.25">
      <c r="B15" s="549"/>
      <c r="C15" s="523" t="s">
        <v>419</v>
      </c>
      <c r="D15" s="525"/>
      <c r="E15" s="525"/>
      <c r="F15" s="525"/>
      <c r="G15" s="525"/>
      <c r="H15" s="525"/>
      <c r="I15" s="525"/>
      <c r="J15" s="525"/>
      <c r="K15" s="525"/>
      <c r="L15" s="525"/>
      <c r="M15" s="525"/>
      <c r="N15" s="525"/>
      <c r="O15" s="525"/>
      <c r="P15" s="525"/>
      <c r="Q15" s="525"/>
      <c r="R15" s="525"/>
      <c r="S15" s="525"/>
      <c r="T15" s="525"/>
      <c r="U15" s="525"/>
      <c r="V15" s="525"/>
      <c r="W15" s="531"/>
      <c r="X15" s="525">
        <f>+X14/T14-1</f>
        <v>-5.4652310434907037E-2</v>
      </c>
      <c r="Y15" s="525">
        <f t="shared" ref="Y15" si="1">+Y14/U14-1</f>
        <v>-4.6768919132087583E-2</v>
      </c>
      <c r="Z15" s="525">
        <f t="shared" ref="Z15" si="2">+Z14/V14-1</f>
        <v>4.5637901281226023E-2</v>
      </c>
      <c r="AA15" s="531">
        <f t="shared" ref="AA15:AF15" si="3">+AA14/W14-1</f>
        <v>-2.5711497580261922E-3</v>
      </c>
      <c r="AB15" s="525">
        <f t="shared" si="3"/>
        <v>5.3317848902928011E-2</v>
      </c>
      <c r="AC15" s="525">
        <f t="shared" si="3"/>
        <v>0.11582173443659616</v>
      </c>
      <c r="AD15" s="525">
        <f t="shared" si="3"/>
        <v>9.6766574824873608E-3</v>
      </c>
      <c r="AE15" s="531">
        <f t="shared" si="3"/>
        <v>8.8527115143412383E-2</v>
      </c>
      <c r="AF15" s="525">
        <f t="shared" si="3"/>
        <v>-3.5526796656118576E-2</v>
      </c>
    </row>
    <row r="16" spans="1:32" x14ac:dyDescent="0.25">
      <c r="B16" s="549"/>
      <c r="C16" s="523"/>
      <c r="D16" s="525"/>
      <c r="E16" s="525"/>
      <c r="F16" s="525"/>
      <c r="G16" s="525"/>
      <c r="H16" s="525"/>
      <c r="I16" s="525"/>
      <c r="J16" s="525"/>
      <c r="K16" s="525"/>
      <c r="L16" s="525"/>
      <c r="M16" s="525"/>
      <c r="N16" s="525"/>
      <c r="O16" s="525"/>
      <c r="P16" s="525"/>
      <c r="Q16" s="525"/>
      <c r="R16" s="525"/>
      <c r="S16" s="525"/>
      <c r="T16" s="525"/>
      <c r="U16" s="525"/>
      <c r="V16" s="525"/>
      <c r="W16" s="531"/>
      <c r="X16" s="525"/>
      <c r="Y16" s="525"/>
      <c r="Z16" s="525"/>
      <c r="AA16" s="531"/>
      <c r="AB16" s="525"/>
      <c r="AC16" s="525"/>
      <c r="AD16" s="525"/>
      <c r="AE16" s="531"/>
      <c r="AF16" s="525"/>
    </row>
    <row r="17" spans="1:32" ht="13" x14ac:dyDescent="0.25">
      <c r="B17" s="549"/>
      <c r="C17" s="521" t="s">
        <v>386</v>
      </c>
      <c r="D17" s="526"/>
      <c r="E17" s="526"/>
      <c r="F17" s="526"/>
      <c r="G17" s="526"/>
      <c r="H17" s="526"/>
      <c r="I17" s="526"/>
      <c r="J17" s="526"/>
      <c r="K17" s="526"/>
      <c r="L17" s="526"/>
      <c r="M17" s="526"/>
      <c r="N17" s="526"/>
      <c r="O17" s="526"/>
      <c r="P17" s="526"/>
      <c r="Q17" s="526"/>
      <c r="R17" s="526"/>
      <c r="S17" s="526"/>
      <c r="T17" s="526">
        <f>+交通业务拆分!U35</f>
        <v>801.65697613069858</v>
      </c>
      <c r="U17" s="526">
        <f>+交通业务拆分!V35</f>
        <v>640.99144408627433</v>
      </c>
      <c r="V17" s="526">
        <f>+交通业务拆分!W35</f>
        <v>737.32329828911088</v>
      </c>
      <c r="W17" s="532">
        <f>+交通业务拆分!X35</f>
        <v>590.93151471012254</v>
      </c>
      <c r="X17" s="526">
        <f>+交通业务拆分!Y35</f>
        <v>643.68294876990922</v>
      </c>
      <c r="Y17" s="526">
        <f>+交通业务拆分!Z35</f>
        <v>561.45138257717133</v>
      </c>
      <c r="Z17" s="526">
        <f>+交通业务拆分!AA35</f>
        <v>646.51899570290118</v>
      </c>
      <c r="AA17" s="532">
        <f>+交通业务拆分!AB35</f>
        <v>559.04926190377535</v>
      </c>
      <c r="AB17" s="526">
        <f>+交通业务拆分!AC35</f>
        <v>577.12992244293378</v>
      </c>
      <c r="AC17" s="526">
        <f>+交通业务拆分!AD35</f>
        <v>566.11457513457754</v>
      </c>
      <c r="AD17" s="526">
        <f>+交通业务拆分!AE35</f>
        <v>600.27594497126029</v>
      </c>
      <c r="AE17" s="532">
        <f>+交通业务拆分!AF35</f>
        <v>561.2041613844508</v>
      </c>
      <c r="AF17" s="526">
        <f>+交通业务拆分!AG35</f>
        <v>697.29494577836374</v>
      </c>
    </row>
    <row r="18" spans="1:32" x14ac:dyDescent="0.25">
      <c r="B18" s="549"/>
      <c r="AD18" s="522"/>
      <c r="AE18" s="528"/>
      <c r="AF18" s="522"/>
    </row>
    <row r="19" spans="1:32" s="545" customFormat="1" x14ac:dyDescent="0.25">
      <c r="A19" s="549"/>
      <c r="B19" s="549"/>
      <c r="C19" s="545" t="s">
        <v>374</v>
      </c>
      <c r="D19" s="546"/>
      <c r="E19" s="546"/>
      <c r="F19" s="546"/>
      <c r="G19" s="546"/>
      <c r="H19" s="546"/>
      <c r="I19" s="546"/>
      <c r="J19" s="546"/>
      <c r="K19" s="546"/>
      <c r="L19" s="546"/>
      <c r="M19" s="546"/>
      <c r="N19" s="546"/>
      <c r="O19" s="546"/>
      <c r="P19" s="546"/>
      <c r="Q19" s="546"/>
      <c r="R19" s="546"/>
      <c r="S19" s="546"/>
      <c r="T19" s="546"/>
      <c r="U19" s="546"/>
      <c r="V19" s="546"/>
      <c r="W19" s="547"/>
      <c r="X19" s="546"/>
      <c r="Y19" s="546"/>
      <c r="Z19" s="546"/>
      <c r="AA19" s="547"/>
      <c r="AB19" s="546"/>
      <c r="AC19" s="546"/>
      <c r="AE19" s="1008"/>
    </row>
    <row r="20" spans="1:32" x14ac:dyDescent="0.25">
      <c r="B20" s="549"/>
      <c r="C20" s="523" t="s">
        <v>62</v>
      </c>
      <c r="D20" s="524"/>
      <c r="E20" s="524"/>
      <c r="F20" s="524"/>
      <c r="G20" s="524"/>
      <c r="H20" s="524"/>
      <c r="I20" s="524"/>
      <c r="J20" s="524"/>
      <c r="K20" s="524"/>
      <c r="L20" s="524"/>
      <c r="M20" s="524"/>
      <c r="N20" s="524"/>
      <c r="O20" s="524"/>
      <c r="P20" s="524"/>
      <c r="Q20" s="524"/>
      <c r="R20" s="524"/>
      <c r="S20" s="524"/>
      <c r="T20" s="524">
        <f>+交通业务拆分!U69</f>
        <v>0.32235253903314154</v>
      </c>
      <c r="U20" s="524">
        <f>+交通业务拆分!V69</f>
        <v>0.28437978106379519</v>
      </c>
      <c r="V20" s="524">
        <f>+交通业务拆分!W69</f>
        <v>0.24552410488564702</v>
      </c>
      <c r="W20" s="529">
        <f>+交通业务拆分!X69</f>
        <v>0.27153141411142939</v>
      </c>
      <c r="X20" s="524">
        <f>+交通业务拆分!Y69</f>
        <v>0.27003583864024611</v>
      </c>
      <c r="Y20" s="524">
        <f>+交通业务拆分!Z69</f>
        <v>0.28420106140829021</v>
      </c>
      <c r="Z20" s="524">
        <f>+交通业务拆分!AA69</f>
        <v>0.26737570855924053</v>
      </c>
      <c r="AA20" s="529">
        <f>+交通业务拆分!AB69</f>
        <v>0.28014761644808844</v>
      </c>
      <c r="AB20" s="524">
        <f>+交通业务拆分!AC69</f>
        <v>0.28544830383251757</v>
      </c>
      <c r="AC20" s="524">
        <f>+交通业务拆分!AD69</f>
        <v>0.29271820834753154</v>
      </c>
      <c r="AD20" s="524">
        <f>+交通业务拆分!AE69</f>
        <v>0.26648750984031427</v>
      </c>
      <c r="AE20" s="529">
        <f>+交通业务拆分!AF69</f>
        <v>0.30829605234371893</v>
      </c>
      <c r="AF20" s="524">
        <f>+交通业务拆分!AG69</f>
        <v>0.34363504123514327</v>
      </c>
    </row>
    <row r="21" spans="1:32" ht="13" x14ac:dyDescent="0.25">
      <c r="B21" s="549"/>
      <c r="C21" s="523" t="s">
        <v>384</v>
      </c>
      <c r="D21" s="524"/>
      <c r="E21" s="524"/>
      <c r="F21" s="524"/>
      <c r="G21" s="524"/>
      <c r="H21" s="524"/>
      <c r="I21" s="524"/>
      <c r="J21" s="524"/>
      <c r="K21" s="524"/>
      <c r="L21" s="524"/>
      <c r="M21" s="524"/>
      <c r="N21" s="524"/>
      <c r="O21" s="524"/>
      <c r="P21" s="524"/>
      <c r="Q21" s="524"/>
      <c r="R21" s="524"/>
      <c r="S21" s="524"/>
      <c r="T21" s="524">
        <f>+交通业务拆分!U70</f>
        <v>0.34403352913925472</v>
      </c>
      <c r="U21" s="524">
        <f>+交通业务拆分!V70</f>
        <v>0.35531715394939367</v>
      </c>
      <c r="V21" s="524">
        <f>+交通业务拆分!W70</f>
        <v>0.36722419763399189</v>
      </c>
      <c r="W21" s="529">
        <f>+交通业务拆分!X70</f>
        <v>0.47160739830197479</v>
      </c>
      <c r="X21" s="524">
        <f>+交通业务拆分!Y70</f>
        <v>0.4571387949669129</v>
      </c>
      <c r="Y21" s="524">
        <f>+交通业务拆分!Z70</f>
        <v>0.48250668629344562</v>
      </c>
      <c r="Z21" s="524">
        <f>+交通业务拆分!AA70</f>
        <v>0.51044165618436854</v>
      </c>
      <c r="AA21" s="529">
        <f>+交通业务拆分!AB70</f>
        <v>0.45814336721816151</v>
      </c>
      <c r="AB21" s="524">
        <f>+交通业务拆分!AC70</f>
        <v>0.5221505131942682</v>
      </c>
      <c r="AC21" s="524">
        <f>+交通业务拆分!AD70</f>
        <v>0.54785036668028342</v>
      </c>
      <c r="AD21" s="524">
        <f>+交通业务拆分!AE70</f>
        <v>0.52611258736979682</v>
      </c>
      <c r="AE21" s="529">
        <f>+交通业务拆分!AF70</f>
        <v>0.54390302670349178</v>
      </c>
      <c r="AF21" s="524">
        <f>+交通业务拆分!AG70</f>
        <v>0.580485382028742</v>
      </c>
    </row>
    <row r="22" spans="1:32" ht="13" x14ac:dyDescent="0.25">
      <c r="B22" s="549"/>
      <c r="C22" s="1011" t="s">
        <v>382</v>
      </c>
      <c r="D22" s="1012"/>
      <c r="E22" s="1012"/>
      <c r="F22" s="1012"/>
      <c r="G22" s="1012"/>
      <c r="H22" s="1012"/>
      <c r="I22" s="1012"/>
      <c r="J22" s="1012"/>
      <c r="K22" s="1012"/>
      <c r="L22" s="1012"/>
      <c r="M22" s="1012"/>
      <c r="N22" s="1012"/>
      <c r="O22" s="1012"/>
      <c r="P22" s="1012"/>
      <c r="Q22" s="1012"/>
      <c r="R22" s="1012"/>
      <c r="S22" s="1012"/>
      <c r="T22" s="1012">
        <f>+交通业务拆分!U71</f>
        <v>0.37512608811508918</v>
      </c>
      <c r="U22" s="1012">
        <f>+交通业务拆分!V71</f>
        <v>0.39742427124922775</v>
      </c>
      <c r="V22" s="1012">
        <f>+交通业务拆分!W71</f>
        <v>0.33638055580098258</v>
      </c>
      <c r="W22" s="1013">
        <f>+交通业务拆分!X71</f>
        <v>0.36412686626049018</v>
      </c>
      <c r="X22" s="1012">
        <f>+交通业务拆分!Y71</f>
        <v>0.37969456444754585</v>
      </c>
      <c r="Y22" s="1012">
        <f>+交通业务拆分!Z71</f>
        <v>0.420963130752674</v>
      </c>
      <c r="Z22" s="1012">
        <f>+交通业务拆分!AA71</f>
        <v>0.36639674330223304</v>
      </c>
      <c r="AA22" s="1013">
        <f>+交通业务拆分!AB71</f>
        <v>0.36406784295497063</v>
      </c>
      <c r="AB22" s="1012">
        <f>+交通业务拆分!AC71</f>
        <v>0.40256873798764381</v>
      </c>
      <c r="AC22" s="1012">
        <f>+交通业务拆分!AD71</f>
        <v>0.42306003251572455</v>
      </c>
      <c r="AD22" s="1012">
        <f>+交通业务拆分!AE71</f>
        <v>0.38938945416555182</v>
      </c>
      <c r="AE22" s="1013">
        <f>+交通业务拆分!AF71</f>
        <v>0.40218568588318804</v>
      </c>
      <c r="AF22" s="1012">
        <f>+交通业务拆分!AG71</f>
        <v>0.42469296866340062</v>
      </c>
    </row>
    <row r="23" spans="1:32" ht="13" x14ac:dyDescent="0.25">
      <c r="B23" s="549"/>
      <c r="C23" s="523" t="s">
        <v>386</v>
      </c>
      <c r="D23" s="524"/>
      <c r="E23" s="524"/>
      <c r="F23" s="524"/>
      <c r="G23" s="524"/>
      <c r="H23" s="524"/>
      <c r="I23" s="524"/>
      <c r="J23" s="524"/>
      <c r="K23" s="524"/>
      <c r="L23" s="524"/>
      <c r="M23" s="524"/>
      <c r="N23" s="524"/>
      <c r="O23" s="524"/>
      <c r="P23" s="524"/>
      <c r="Q23" s="524"/>
      <c r="R23" s="524"/>
      <c r="S23" s="524"/>
      <c r="T23" s="524">
        <f>+交通业务拆分!U72</f>
        <v>0.85931783804448014</v>
      </c>
      <c r="U23" s="524">
        <f>+交通业务拆分!V72</f>
        <v>0.71555715550512633</v>
      </c>
      <c r="V23" s="524">
        <f>+交通业务拆分!W72</f>
        <v>0.7298998133260407</v>
      </c>
      <c r="W23" s="529">
        <f>+交通业务拆分!X72</f>
        <v>0.74320367691339462</v>
      </c>
      <c r="X23" s="524">
        <f>+交通业务拆分!Y72</f>
        <v>0.71119226853601991</v>
      </c>
      <c r="Y23" s="524">
        <f>+交通业务拆分!Z72</f>
        <v>0.67512102758297177</v>
      </c>
      <c r="Z23" s="524">
        <f>+交通业务拆分!AA72</f>
        <v>0.72709800869090591</v>
      </c>
      <c r="AA23" s="529">
        <f>+交通业务拆分!AB72</f>
        <v>0.76949288949625294</v>
      </c>
      <c r="AB23" s="524">
        <f>+交通业务拆分!AC72</f>
        <v>0.70906723969529628</v>
      </c>
      <c r="AC23" s="524">
        <f>+交通业务拆分!AD72</f>
        <v>0.6919070246529414</v>
      </c>
      <c r="AD23" s="524">
        <f>+交通业务拆分!AE72</f>
        <v>0.6843726941999182</v>
      </c>
      <c r="AE23" s="529">
        <f>+交通业务拆分!AF72</f>
        <v>0.76655152872163956</v>
      </c>
      <c r="AF23" s="524">
        <f>+交通业务拆分!AG72</f>
        <v>0.80913758077190701</v>
      </c>
    </row>
    <row r="24" spans="1:32" ht="13" outlineLevel="1" x14ac:dyDescent="0.25">
      <c r="B24" s="549"/>
      <c r="C24" s="523" t="s">
        <v>387</v>
      </c>
      <c r="D24" s="518"/>
      <c r="E24" s="518"/>
      <c r="F24" s="518"/>
      <c r="G24" s="518"/>
      <c r="H24" s="518"/>
      <c r="I24" s="518"/>
      <c r="J24" s="518"/>
      <c r="K24" s="518"/>
      <c r="L24" s="518"/>
      <c r="M24" s="518"/>
      <c r="N24" s="518"/>
      <c r="O24" s="518"/>
      <c r="P24" s="518"/>
      <c r="Q24" s="518"/>
      <c r="R24" s="518"/>
      <c r="S24" s="518"/>
      <c r="T24" s="518">
        <f>+交通业务拆分!U66</f>
        <v>-2.2131201411609531</v>
      </c>
      <c r="U24" s="518">
        <f>+交通业务拆分!V66</f>
        <v>-2.6650778622662514</v>
      </c>
      <c r="V24" s="518">
        <f>+交通业务拆分!W66</f>
        <v>1.9978144948245706</v>
      </c>
      <c r="W24" s="530">
        <f>+交通业务拆分!X66</f>
        <v>5.2285511869396224</v>
      </c>
      <c r="X24" s="518">
        <f>+交通业务拆分!Y66</f>
        <v>3.9217675738966982</v>
      </c>
      <c r="Y24" s="518">
        <f>+交通业务拆分!Z66</f>
        <v>2.7343116192681372</v>
      </c>
      <c r="Z24" s="518">
        <f>+交通业务拆分!AA66</f>
        <v>7.018655591870143</v>
      </c>
      <c r="AA24" s="530">
        <f>+交通业务拆分!AB66</f>
        <v>4.6988257015882233</v>
      </c>
      <c r="AB24" s="518">
        <f>+交通业务拆分!AC66</f>
        <v>5.5843109387167544</v>
      </c>
      <c r="AC24" s="518">
        <f>+交通业务拆分!AD66</f>
        <v>5.4485704211934731</v>
      </c>
      <c r="AD24" s="518">
        <f>+交通业务拆分!AE66</f>
        <v>6.5260100998437949</v>
      </c>
      <c r="AE24" s="530">
        <f>+交通业务拆分!AF66</f>
        <v>6.4901519176127849</v>
      </c>
      <c r="AF24" s="518">
        <f>+交通业务拆分!AG66</f>
        <v>6.3116874991150667</v>
      </c>
    </row>
    <row r="25" spans="1:32" ht="13" outlineLevel="1" x14ac:dyDescent="0.25">
      <c r="B25" s="549"/>
      <c r="C25" s="523" t="s">
        <v>388</v>
      </c>
      <c r="D25" s="526"/>
      <c r="E25" s="526"/>
      <c r="F25" s="526"/>
      <c r="G25" s="526"/>
      <c r="H25" s="526"/>
      <c r="I25" s="526"/>
      <c r="J25" s="526"/>
      <c r="K25" s="526"/>
      <c r="L25" s="526"/>
      <c r="M25" s="526"/>
      <c r="N25" s="526"/>
      <c r="O25" s="526"/>
      <c r="P25" s="526"/>
      <c r="Q25" s="526"/>
      <c r="R25" s="526"/>
      <c r="S25" s="526"/>
      <c r="T25" s="526">
        <f>+交通业务拆分!U67</f>
        <v>-131.2422849331723</v>
      </c>
      <c r="U25" s="526">
        <f>+交通业务拆分!V67</f>
        <v>-254.80204935421182</v>
      </c>
      <c r="V25" s="526">
        <f>+交通业务拆分!W67</f>
        <v>-272.84725502181891</v>
      </c>
      <c r="W25" s="532">
        <f>+交通业务拆分!X67</f>
        <v>-204.18230545331517</v>
      </c>
      <c r="X25" s="526">
        <f>+交通业务拆分!Y67</f>
        <v>-261.39290377686018</v>
      </c>
      <c r="Y25" s="526">
        <f>+交通业务拆分!Z67</f>
        <v>-270.1793319737385</v>
      </c>
      <c r="Z25" s="526">
        <f>+交通业务拆分!AA67</f>
        <v>-242.65823759322325</v>
      </c>
      <c r="AA25" s="532">
        <f>+交通业务拆分!AB67</f>
        <v>-167.46721347230755</v>
      </c>
      <c r="AB25" s="526">
        <f>+交通业务拆分!AC67</f>
        <v>-236.79841909339325</v>
      </c>
      <c r="AC25" s="526">
        <f>+交通业务拆分!AD67</f>
        <v>-252.08000154071931</v>
      </c>
      <c r="AD25" s="526">
        <f>+交通业务拆分!AE67</f>
        <v>-276.84254625233655</v>
      </c>
      <c r="AE25" s="532">
        <f>+交通业务拆分!AF67</f>
        <v>-170.91121554312269</v>
      </c>
      <c r="AF25" s="526">
        <f>+交通业务拆分!AG67</f>
        <v>-164.4805573606119</v>
      </c>
    </row>
    <row r="26" spans="1:32" x14ac:dyDescent="0.25">
      <c r="B26" s="549"/>
      <c r="AD26" s="522"/>
      <c r="AE26" s="528"/>
      <c r="AF26" s="522"/>
    </row>
    <row r="27" spans="1:32" s="545" customFormat="1" x14ac:dyDescent="0.25">
      <c r="A27" s="549"/>
      <c r="B27" s="549"/>
      <c r="C27" s="545" t="s">
        <v>398</v>
      </c>
      <c r="D27" s="546"/>
      <c r="E27" s="546"/>
      <c r="F27" s="546"/>
      <c r="G27" s="546"/>
      <c r="H27" s="546"/>
      <c r="I27" s="546"/>
      <c r="J27" s="546"/>
      <c r="K27" s="546"/>
      <c r="L27" s="546"/>
      <c r="M27" s="546"/>
      <c r="N27" s="546"/>
      <c r="O27" s="546"/>
      <c r="P27" s="546"/>
      <c r="Q27" s="546"/>
      <c r="R27" s="546"/>
      <c r="S27" s="546"/>
      <c r="T27" s="546"/>
      <c r="U27" s="546"/>
      <c r="V27" s="546"/>
      <c r="W27" s="547"/>
      <c r="X27" s="546"/>
      <c r="Y27" s="546"/>
      <c r="Z27" s="546"/>
      <c r="AA27" s="547"/>
      <c r="AB27" s="546"/>
      <c r="AC27" s="546"/>
      <c r="AE27" s="1008"/>
    </row>
    <row r="28" spans="1:32" x14ac:dyDescent="0.25">
      <c r="B28" s="549"/>
      <c r="C28" s="523" t="s">
        <v>62</v>
      </c>
      <c r="D28" s="524"/>
      <c r="E28" s="524"/>
      <c r="F28" s="524"/>
      <c r="G28" s="524"/>
      <c r="H28" s="524"/>
      <c r="I28" s="524"/>
      <c r="J28" s="524"/>
      <c r="K28" s="524"/>
      <c r="L28" s="524"/>
      <c r="M28" s="524"/>
      <c r="N28" s="524"/>
      <c r="O28" s="524"/>
      <c r="P28" s="524"/>
      <c r="Q28" s="524"/>
      <c r="R28" s="524"/>
      <c r="S28" s="524"/>
      <c r="T28" s="524">
        <f>+交通业务拆分!U31</f>
        <v>0.63200160277261785</v>
      </c>
      <c r="U28" s="524">
        <f>+交通业务拆分!V31</f>
        <v>0.37386072114348168</v>
      </c>
      <c r="V28" s="524">
        <f>+交通业务拆分!W31</f>
        <v>0.36840576537305791</v>
      </c>
      <c r="W28" s="529">
        <f>+交通业务拆分!X31</f>
        <v>7.4193304282383687E-2</v>
      </c>
      <c r="X28" s="524">
        <f>+交通业务拆分!Y31</f>
        <v>3.5052862811135066E-2</v>
      </c>
      <c r="Y28" s="524">
        <f>+交通业务拆分!Z31</f>
        <v>-3.8090592584718697E-2</v>
      </c>
      <c r="Z28" s="524">
        <f>+交通业务拆分!AA31</f>
        <v>1.4738809711276613E-2</v>
      </c>
      <c r="AA28" s="529">
        <f>+交通业务拆分!AB31</f>
        <v>1.2270788317110259E-2</v>
      </c>
      <c r="AB28" s="524">
        <f>+交通业务拆分!AC31</f>
        <v>-7.6495934446895619E-2</v>
      </c>
      <c r="AC28" s="524">
        <f>+交通业务拆分!AD31</f>
        <v>2.8471715550367316E-2</v>
      </c>
      <c r="AD28" s="524">
        <f>+交通业务拆分!AE31</f>
        <v>-6.2241467844542986E-2</v>
      </c>
      <c r="AE28" s="529">
        <f>+交通业务拆分!AF31</f>
        <v>1.3893124673969748E-2</v>
      </c>
      <c r="AF28" s="524">
        <f>+交通业务拆分!AG31</f>
        <v>0.22029350385273938</v>
      </c>
    </row>
    <row r="29" spans="1:32" ht="13" x14ac:dyDescent="0.25">
      <c r="C29" s="523" t="s">
        <v>384</v>
      </c>
      <c r="D29" s="524"/>
      <c r="E29" s="524"/>
      <c r="F29" s="524"/>
      <c r="G29" s="524"/>
      <c r="H29" s="524"/>
      <c r="I29" s="524"/>
      <c r="J29" s="524"/>
      <c r="K29" s="524"/>
      <c r="L29" s="524"/>
      <c r="M29" s="524"/>
      <c r="N29" s="524"/>
      <c r="O29" s="524"/>
      <c r="P29" s="524"/>
      <c r="Q29" s="524"/>
      <c r="R29" s="524"/>
      <c r="S29" s="524"/>
      <c r="T29" s="524">
        <f>+交通业务拆分!U38</f>
        <v>0.26484501070845345</v>
      </c>
      <c r="U29" s="524">
        <f>+交通业务拆分!V38</f>
        <v>0.41596722998857438</v>
      </c>
      <c r="V29" s="524">
        <f>+交通业务拆分!W38</f>
        <v>0.45244760363197334</v>
      </c>
      <c r="W29" s="529">
        <f>+交通业务拆分!X38</f>
        <v>0.21748369382530552</v>
      </c>
      <c r="X29" s="524">
        <f>+交通业务拆分!Y38</f>
        <v>0.21862664446776514</v>
      </c>
      <c r="Y29" s="524">
        <f>+交通业务拆分!Z38</f>
        <v>4.6821041534943708E-2</v>
      </c>
      <c r="Z29" s="524">
        <f>+交通业务拆分!AA38</f>
        <v>0.21007490649512528</v>
      </c>
      <c r="AA29" s="529">
        <f>+交通业务拆分!AB38</f>
        <v>6.7248869758911978E-2</v>
      </c>
      <c r="AB29" s="524">
        <f>+交通业务拆分!AC38</f>
        <v>8.4917384370015947E-2</v>
      </c>
      <c r="AC29" s="524">
        <f>+交通业务拆分!AD38</f>
        <v>0.13813816912532784</v>
      </c>
      <c r="AD29" s="524">
        <f>+交通业务拆分!AE38</f>
        <v>1.9773424057311972E-2</v>
      </c>
      <c r="AE29" s="529">
        <f>+交通业务拆分!AF38</f>
        <v>9.9412386294846611E-2</v>
      </c>
      <c r="AF29" s="524">
        <f>+交通业务拆分!AG38</f>
        <v>-2.5882064622679724E-2</v>
      </c>
    </row>
    <row r="30" spans="1:32" ht="13" x14ac:dyDescent="0.25">
      <c r="C30" s="523" t="s">
        <v>382</v>
      </c>
      <c r="D30" s="524"/>
      <c r="E30" s="524"/>
      <c r="F30" s="524"/>
      <c r="G30" s="524"/>
      <c r="H30" s="524"/>
      <c r="I30" s="524"/>
      <c r="J30" s="524"/>
      <c r="K30" s="524"/>
      <c r="L30" s="524"/>
      <c r="M30" s="524"/>
      <c r="N30" s="524"/>
      <c r="O30" s="524"/>
      <c r="P30" s="524"/>
      <c r="Q30" s="524"/>
      <c r="R30" s="524"/>
      <c r="S30" s="524"/>
      <c r="T30" s="524">
        <f>+交通业务拆分!U34</f>
        <v>0.38738019169329085</v>
      </c>
      <c r="U30" s="524">
        <f>+交通业务拆分!V34</f>
        <v>0.39163329820864057</v>
      </c>
      <c r="V30" s="524">
        <f>+交通业务拆分!W34</f>
        <v>0.33926486486486485</v>
      </c>
      <c r="W30" s="529">
        <f>+交通业务拆分!X34</f>
        <v>0.17629032258064492</v>
      </c>
      <c r="X30" s="524">
        <f>+交通业务拆分!Y34</f>
        <v>0.28907772020725431</v>
      </c>
      <c r="Y30" s="524">
        <f>+交通业务拆分!Z34</f>
        <v>9.8181818181818148E-2</v>
      </c>
      <c r="Z30" s="524">
        <f>+交通业务拆分!AA34</f>
        <v>0.15725998934469909</v>
      </c>
      <c r="AA30" s="529">
        <f>+交通业务拆分!AB34</f>
        <v>7.0000000000000007E-2</v>
      </c>
      <c r="AB30" s="524">
        <f>+交通业务拆分!AC34</f>
        <v>0.03</v>
      </c>
      <c r="AC30" s="524">
        <f>+交通业务拆分!AD34</f>
        <v>0.02</v>
      </c>
      <c r="AD30" s="524">
        <f>+交通业务拆分!AE34</f>
        <v>0.01</v>
      </c>
      <c r="AE30" s="529">
        <f>+交通业务拆分!AF34</f>
        <v>0.01</v>
      </c>
      <c r="AF30" s="524">
        <f>+交通业务拆分!AG34</f>
        <v>0.01</v>
      </c>
    </row>
    <row r="31" spans="1:32" ht="13" x14ac:dyDescent="0.25">
      <c r="C31" s="523" t="s">
        <v>385</v>
      </c>
      <c r="D31" s="524"/>
      <c r="E31" s="524"/>
      <c r="F31" s="524"/>
      <c r="G31" s="524"/>
      <c r="H31" s="524"/>
      <c r="I31" s="524"/>
      <c r="J31" s="524"/>
      <c r="K31" s="524"/>
      <c r="L31" s="524"/>
      <c r="M31" s="524"/>
      <c r="N31" s="524"/>
      <c r="O31" s="524"/>
      <c r="P31" s="524"/>
      <c r="Q31" s="524"/>
      <c r="R31" s="524"/>
      <c r="S31" s="524"/>
      <c r="T31" s="524">
        <f>交通业务拆分!U40</f>
        <v>7.8607738977123365E-3</v>
      </c>
      <c r="U31" s="524">
        <f>交通业务拆分!V40</f>
        <v>-5.4728505319377785E-2</v>
      </c>
      <c r="V31" s="524">
        <f>交通业务拆分!W40</f>
        <v>-7.356767234727557E-2</v>
      </c>
      <c r="W31" s="529">
        <f>交通业务拆分!X40</f>
        <v>-0.14606502025417689</v>
      </c>
      <c r="X31" s="524">
        <f>交通业务拆分!Y40</f>
        <v>-5.4652310434907037E-2</v>
      </c>
      <c r="Y31" s="524">
        <f>交通业务拆分!Z40</f>
        <v>-4.6768919132087583E-2</v>
      </c>
      <c r="Z31" s="524">
        <f>交通业务拆分!AA40</f>
        <v>4.5637901281226023E-2</v>
      </c>
      <c r="AA31" s="529">
        <f>交通业务拆分!AB40</f>
        <v>-2.5711497580261922E-3</v>
      </c>
      <c r="AB31" s="524">
        <f>交通业务拆分!AC40</f>
        <v>5.3317848902928011E-2</v>
      </c>
      <c r="AC31" s="524">
        <f>交通业务拆分!AD40</f>
        <v>0.11582173443659616</v>
      </c>
      <c r="AD31" s="524">
        <f>交通业务拆分!AE40</f>
        <v>9.6766574824873608E-3</v>
      </c>
      <c r="AE31" s="529">
        <f>交通业务拆分!AF40</f>
        <v>8.8527115143412383E-2</v>
      </c>
      <c r="AF31" s="524">
        <f>交通业务拆分!AG40</f>
        <v>-3.5526796656118576E-2</v>
      </c>
    </row>
    <row r="32" spans="1:32" s="519" customFormat="1" ht="14.5" x14ac:dyDescent="0.4">
      <c r="A32" s="548"/>
      <c r="B32" s="519" t="s">
        <v>420</v>
      </c>
      <c r="D32" s="520" t="s">
        <v>468</v>
      </c>
      <c r="E32" s="520" t="s">
        <v>469</v>
      </c>
      <c r="F32" s="520" t="s">
        <v>470</v>
      </c>
      <c r="G32" s="520" t="s">
        <v>471</v>
      </c>
      <c r="H32" s="520" t="s">
        <v>472</v>
      </c>
      <c r="I32" s="520" t="s">
        <v>238</v>
      </c>
      <c r="J32" s="520" t="s">
        <v>256</v>
      </c>
      <c r="K32" s="520" t="s">
        <v>257</v>
      </c>
      <c r="L32" s="520" t="s">
        <v>473</v>
      </c>
      <c r="M32" s="520" t="s">
        <v>283</v>
      </c>
      <c r="N32" s="520" t="s">
        <v>284</v>
      </c>
      <c r="O32" s="520" t="s">
        <v>276</v>
      </c>
      <c r="P32" s="520" t="s">
        <v>474</v>
      </c>
      <c r="Q32" s="520" t="s">
        <v>475</v>
      </c>
      <c r="R32" s="520" t="s">
        <v>314</v>
      </c>
      <c r="S32" s="520" t="s">
        <v>325</v>
      </c>
      <c r="T32" s="520" t="s">
        <v>379</v>
      </c>
      <c r="U32" s="520" t="s">
        <v>380</v>
      </c>
      <c r="V32" s="520" t="s">
        <v>340</v>
      </c>
      <c r="W32" s="527" t="s">
        <v>344</v>
      </c>
      <c r="X32" s="520" t="s">
        <v>377</v>
      </c>
      <c r="Y32" s="520" t="s">
        <v>366</v>
      </c>
      <c r="Z32" s="520" t="s">
        <v>376</v>
      </c>
      <c r="AA32" s="527" t="s">
        <v>378</v>
      </c>
      <c r="AB32" s="520" t="s">
        <v>445</v>
      </c>
      <c r="AC32" s="520" t="s">
        <v>448</v>
      </c>
      <c r="AD32" s="520" t="s">
        <v>463</v>
      </c>
      <c r="AE32" s="527" t="s">
        <v>484</v>
      </c>
      <c r="AF32" s="520" t="s">
        <v>487</v>
      </c>
    </row>
    <row r="33" spans="1:37" ht="13" x14ac:dyDescent="0.25">
      <c r="B33" s="551" t="s">
        <v>421</v>
      </c>
    </row>
    <row r="34" spans="1:37" ht="13" x14ac:dyDescent="0.25">
      <c r="C34" s="521" t="s">
        <v>390</v>
      </c>
      <c r="D34" s="524"/>
      <c r="E34" s="524"/>
      <c r="F34" s="524"/>
      <c r="G34" s="524"/>
      <c r="H34" s="524"/>
      <c r="I34" s="524"/>
      <c r="J34" s="524"/>
      <c r="K34" s="524"/>
      <c r="L34" s="524"/>
      <c r="M34" s="524"/>
      <c r="N34" s="524"/>
      <c r="O34" s="524"/>
      <c r="P34" s="524"/>
      <c r="Q34" s="524"/>
      <c r="R34" s="524"/>
      <c r="S34" s="524"/>
      <c r="T34" s="524">
        <f>交通业务拆分!U43</f>
        <v>8.5000000000000006E-2</v>
      </c>
      <c r="U34" s="524">
        <f>交通业务拆分!V43</f>
        <v>0.115</v>
      </c>
      <c r="V34" s="524">
        <f>交通业务拆分!W43</f>
        <v>0.115</v>
      </c>
      <c r="W34" s="529">
        <f>交通业务拆分!X43</f>
        <v>0.15</v>
      </c>
      <c r="X34" s="524">
        <f>交通业务拆分!Y43</f>
        <v>0.16500000000000001</v>
      </c>
      <c r="Y34" s="524">
        <f>交通业务拆分!Z43</f>
        <v>0.17499999999999999</v>
      </c>
      <c r="Z34" s="524">
        <f>交通业务拆分!AA43</f>
        <v>0.17</v>
      </c>
      <c r="AA34" s="529">
        <f>交通业务拆分!AB43</f>
        <v>0.19</v>
      </c>
      <c r="AB34" s="524">
        <f>交通业务拆分!AC43</f>
        <v>0.2</v>
      </c>
      <c r="AC34" s="524">
        <f>交通业务拆分!AD43</f>
        <v>0.21</v>
      </c>
      <c r="AD34" s="524">
        <f>交通业务拆分!AE43</f>
        <v>0.215</v>
      </c>
      <c r="AE34" s="529">
        <f>交通业务拆分!AF43</f>
        <v>0.22</v>
      </c>
      <c r="AF34" s="524">
        <f>交通业务拆分!AG43</f>
        <v>0.19500000000000001</v>
      </c>
    </row>
    <row r="35" spans="1:37" x14ac:dyDescent="0.25">
      <c r="D35" s="524"/>
      <c r="E35" s="524"/>
      <c r="F35" s="524"/>
      <c r="G35" s="524"/>
      <c r="H35" s="524"/>
      <c r="I35" s="524"/>
      <c r="J35" s="524"/>
      <c r="K35" s="524"/>
      <c r="L35" s="524"/>
      <c r="M35" s="524"/>
      <c r="N35" s="524"/>
      <c r="O35" s="524"/>
      <c r="P35" s="524"/>
      <c r="Q35" s="524"/>
      <c r="R35" s="524"/>
      <c r="S35" s="524"/>
      <c r="T35" s="524"/>
      <c r="U35" s="524"/>
      <c r="V35" s="524"/>
      <c r="W35" s="529"/>
      <c r="X35" s="524"/>
      <c r="Y35" s="524"/>
      <c r="Z35" s="524"/>
      <c r="AA35" s="529"/>
      <c r="AB35" s="524"/>
      <c r="AC35" s="524"/>
      <c r="AD35" s="524"/>
      <c r="AE35" s="529"/>
      <c r="AF35" s="524"/>
    </row>
    <row r="36" spans="1:37" s="539" customFormat="1" ht="13.5" x14ac:dyDescent="0.3">
      <c r="A36" s="549"/>
      <c r="B36" s="549"/>
      <c r="C36" s="540" t="s">
        <v>414</v>
      </c>
      <c r="D36" s="541"/>
      <c r="E36" s="541"/>
      <c r="F36" s="541"/>
      <c r="G36" s="541"/>
      <c r="H36" s="541"/>
      <c r="I36" s="541"/>
      <c r="J36" s="541"/>
      <c r="K36" s="541"/>
      <c r="L36" s="541"/>
      <c r="M36" s="541"/>
      <c r="N36" s="541"/>
      <c r="O36" s="541"/>
      <c r="P36" s="541"/>
      <c r="Q36" s="541"/>
      <c r="R36" s="541"/>
      <c r="S36" s="541"/>
      <c r="T36" s="541">
        <f>交通业务拆分!U45</f>
        <v>0.85687285899004373</v>
      </c>
      <c r="U36" s="541">
        <f>交通业务拆分!V45</f>
        <v>1.3067369810122214</v>
      </c>
      <c r="V36" s="541">
        <f>交通业务拆分!W45</f>
        <v>1.8774688011621861</v>
      </c>
      <c r="W36" s="542">
        <f>交通业务拆分!X45</f>
        <v>1.8279679963235294</v>
      </c>
      <c r="X36" s="541">
        <f>交通业务拆分!Y45</f>
        <v>3.0857215756315748</v>
      </c>
      <c r="Y36" s="541">
        <f>交通业务拆分!Z45</f>
        <v>3.3136418699900609</v>
      </c>
      <c r="Z36" s="541">
        <f>交通业务拆分!AA45</f>
        <v>3.93540356684584</v>
      </c>
      <c r="AA36" s="542">
        <f>交通业务拆分!AB45</f>
        <v>2.7602316744485291</v>
      </c>
      <c r="AB36" s="541">
        <f>交通业务拆分!AC45</f>
        <v>4.2582957743715726</v>
      </c>
      <c r="AC36" s="541">
        <f>交通业务拆分!AD45</f>
        <v>4.2414615935872781</v>
      </c>
      <c r="AD36" s="541">
        <f>交通业务拆分!AE45</f>
        <v>4.7224842802150082</v>
      </c>
      <c r="AE36" s="542">
        <f>交通业务拆分!AF45</f>
        <v>3.1742664256158082</v>
      </c>
      <c r="AF36" s="541">
        <f>交通业务拆分!AG45</f>
        <v>4.769291267296162</v>
      </c>
      <c r="AG36" s="975">
        <f>AD36/90</f>
        <v>5.2472047557944539E-2</v>
      </c>
    </row>
    <row r="37" spans="1:37" ht="13" x14ac:dyDescent="0.25">
      <c r="B37" s="549"/>
      <c r="C37" s="523" t="s">
        <v>392</v>
      </c>
      <c r="D37" s="524"/>
      <c r="E37" s="524"/>
      <c r="F37" s="524"/>
      <c r="G37" s="524"/>
      <c r="H37" s="524"/>
      <c r="I37" s="524"/>
      <c r="J37" s="524"/>
      <c r="K37" s="524"/>
      <c r="L37" s="524"/>
      <c r="M37" s="524"/>
      <c r="N37" s="524"/>
      <c r="O37" s="524"/>
      <c r="P37" s="524"/>
      <c r="Q37" s="524"/>
      <c r="R37" s="524"/>
      <c r="S37" s="524"/>
      <c r="T37" s="524">
        <f>交通业务拆分!U47</f>
        <v>-0.22540983606557352</v>
      </c>
      <c r="U37" s="524">
        <f>交通业务拆分!V47</f>
        <v>0.1635294117647057</v>
      </c>
      <c r="V37" s="524">
        <f>交通业务拆分!W47</f>
        <v>8.2400000000000029E-2</v>
      </c>
      <c r="W37" s="529">
        <f>交通业务拆分!X47</f>
        <v>8.6428571428571299E-2</v>
      </c>
      <c r="X37" s="524">
        <f>交通业务拆分!Y47</f>
        <v>2.6011428571428574</v>
      </c>
      <c r="Y37" s="524">
        <f>交通业务拆分!Z47</f>
        <v>1.5358139534883724</v>
      </c>
      <c r="Z37" s="524">
        <f>交通业务拆分!AA47</f>
        <v>1.0961219512195122</v>
      </c>
      <c r="AA37" s="529">
        <f>交通业务拆分!AB47</f>
        <v>0.51</v>
      </c>
      <c r="AB37" s="524">
        <f>交通业务拆分!AC47</f>
        <v>0.38</v>
      </c>
      <c r="AC37" s="524">
        <f>交通业务拆分!AD47</f>
        <v>0.28000000000000003</v>
      </c>
      <c r="AD37" s="524">
        <f>交通业务拆分!AE47</f>
        <v>0.2</v>
      </c>
      <c r="AE37" s="529">
        <f>交通业务拆分!AF47</f>
        <v>0.15</v>
      </c>
      <c r="AF37" s="524">
        <f>交通业务拆分!AG47</f>
        <v>0.12</v>
      </c>
    </row>
    <row r="38" spans="1:37" ht="13" x14ac:dyDescent="0.25">
      <c r="B38" s="549"/>
      <c r="C38" s="523" t="s">
        <v>413</v>
      </c>
      <c r="D38" s="525"/>
      <c r="E38" s="525"/>
      <c r="F38" s="525"/>
      <c r="G38" s="525"/>
      <c r="H38" s="525"/>
      <c r="I38" s="525"/>
      <c r="J38" s="525"/>
      <c r="K38" s="525"/>
      <c r="L38" s="525"/>
      <c r="M38" s="525"/>
      <c r="N38" s="525"/>
      <c r="O38" s="525"/>
      <c r="P38" s="525"/>
      <c r="Q38" s="525"/>
      <c r="R38" s="525"/>
      <c r="S38" s="525"/>
      <c r="T38" s="525">
        <f>交通业务拆分!U46</f>
        <v>3.5000000000000003E-2</v>
      </c>
      <c r="U38" s="525">
        <f>交通业务拆分!V46</f>
        <v>4.2999999999999997E-2</v>
      </c>
      <c r="V38" s="525">
        <f>交通业务拆分!W46</f>
        <v>6.1499999999999999E-2</v>
      </c>
      <c r="W38" s="531">
        <f>交通业务拆分!X46</f>
        <v>6.5000000000000002E-2</v>
      </c>
      <c r="X38" s="525">
        <f>交通业务拆分!Y46</f>
        <v>9.1999999999999998E-2</v>
      </c>
      <c r="Y38" s="525">
        <f>交通业务拆分!Z46</f>
        <v>9.4E-2</v>
      </c>
      <c r="Z38" s="525">
        <f>交通业务拆分!AA46</f>
        <v>0.1061</v>
      </c>
      <c r="AA38" s="531">
        <f>交通业务拆分!AB46</f>
        <v>8.934097942836336E-2</v>
      </c>
      <c r="AB38" s="525">
        <f>交通业务拆分!AC46</f>
        <v>0.11952551308604779</v>
      </c>
      <c r="AC38" s="525">
        <f>交通业务拆分!AD46</f>
        <v>0.11520049021485197</v>
      </c>
      <c r="AD38" s="525">
        <f>交通业务拆分!AE46</f>
        <v>0.12359257163214613</v>
      </c>
      <c r="AE38" s="531">
        <f>交通业务拆分!AF46</f>
        <v>0.10048053683388718</v>
      </c>
      <c r="AF38" s="525">
        <f>交通业务拆分!AG46</f>
        <v>0.13083991756990968</v>
      </c>
    </row>
    <row r="39" spans="1:37" x14ac:dyDescent="0.25">
      <c r="B39" s="549"/>
      <c r="C39" s="523"/>
      <c r="D39" s="525"/>
      <c r="E39" s="525"/>
      <c r="F39" s="525"/>
      <c r="G39" s="525"/>
      <c r="H39" s="525"/>
      <c r="I39" s="525"/>
      <c r="J39" s="525"/>
      <c r="K39" s="525"/>
      <c r="L39" s="525"/>
      <c r="M39" s="525"/>
      <c r="N39" s="525"/>
      <c r="O39" s="525"/>
      <c r="P39" s="525"/>
      <c r="Q39" s="525"/>
      <c r="R39" s="525"/>
      <c r="S39" s="525"/>
      <c r="T39" s="525"/>
      <c r="U39" s="525"/>
      <c r="V39" s="525"/>
      <c r="W39" s="531"/>
      <c r="X39" s="525"/>
      <c r="Y39" s="525"/>
      <c r="Z39" s="525"/>
      <c r="AA39" s="531"/>
      <c r="AB39" s="525"/>
      <c r="AC39" s="525"/>
      <c r="AD39" s="525"/>
      <c r="AE39" s="531"/>
      <c r="AF39" s="525"/>
    </row>
    <row r="40" spans="1:37" s="539" customFormat="1" ht="13.5" x14ac:dyDescent="0.3">
      <c r="A40" s="549"/>
      <c r="B40" s="549"/>
      <c r="C40" s="540" t="s">
        <v>415</v>
      </c>
      <c r="D40" s="543"/>
      <c r="E40" s="543"/>
      <c r="F40" s="543"/>
      <c r="G40" s="543"/>
      <c r="H40" s="543"/>
      <c r="I40" s="543"/>
      <c r="J40" s="543"/>
      <c r="K40" s="543"/>
      <c r="L40" s="543"/>
      <c r="M40" s="543"/>
      <c r="N40" s="543"/>
      <c r="O40" s="543"/>
      <c r="P40" s="543"/>
      <c r="Q40" s="543"/>
      <c r="R40" s="543"/>
      <c r="S40" s="543"/>
      <c r="T40" s="543">
        <f>交通业务拆分!U51</f>
        <v>52.781693272200002</v>
      </c>
      <c r="U40" s="543">
        <f>交通业务拆分!V51</f>
        <v>72.670763178828025</v>
      </c>
      <c r="V40" s="543">
        <f>交通业务拆分!W51</f>
        <v>82.3503921422611</v>
      </c>
      <c r="W40" s="544">
        <f>交通业务拆分!X51</f>
        <v>54.841120919999994</v>
      </c>
      <c r="X40" s="543">
        <f>交通业务拆分!Y51</f>
        <v>69.726318750000004</v>
      </c>
      <c r="Y40" s="543">
        <f>交通业务拆分!Z51</f>
        <v>76.073283999999987</v>
      </c>
      <c r="Z40" s="543">
        <f>交通业务拆分!AA51</f>
        <v>92.20070496000001</v>
      </c>
      <c r="AA40" s="544">
        <f>交通业务拆分!AB51</f>
        <v>94.082632499999988</v>
      </c>
      <c r="AB40" s="543">
        <f>交通业务拆分!AC51</f>
        <v>95.044037760000009</v>
      </c>
      <c r="AC40" s="543">
        <f>交通业务拆分!AD51</f>
        <v>107.85128046</v>
      </c>
      <c r="AD40" s="543">
        <f>交通业务拆分!AE51</f>
        <v>132.134184</v>
      </c>
      <c r="AE40" s="544">
        <f>交通业务拆分!AF51</f>
        <v>130.44245154160001</v>
      </c>
      <c r="AF40" s="543">
        <f>交通业务拆分!AG51</f>
        <v>160.54244019449999</v>
      </c>
    </row>
    <row r="41" spans="1:37" ht="13" x14ac:dyDescent="0.25">
      <c r="B41" s="549"/>
      <c r="C41" s="523" t="s">
        <v>418</v>
      </c>
      <c r="D41" s="525"/>
      <c r="E41" s="525"/>
      <c r="F41" s="525"/>
      <c r="G41" s="525"/>
      <c r="H41" s="525"/>
      <c r="I41" s="525"/>
      <c r="J41" s="525"/>
      <c r="K41" s="525"/>
      <c r="L41" s="525"/>
      <c r="M41" s="525"/>
      <c r="N41" s="525"/>
      <c r="O41" s="525"/>
      <c r="P41" s="525"/>
      <c r="Q41" s="525"/>
      <c r="R41" s="525"/>
      <c r="S41" s="525"/>
      <c r="T41" s="525"/>
      <c r="U41" s="525"/>
      <c r="V41" s="525"/>
      <c r="W41" s="531"/>
      <c r="X41" s="525">
        <f>+X40/T40-1</f>
        <v>0.32103224484320769</v>
      </c>
      <c r="Y41" s="525">
        <f t="shared" ref="Y41" si="4">+Y40/U40-1</f>
        <v>4.6821041534943708E-2</v>
      </c>
      <c r="Z41" s="525">
        <f t="shared" ref="Z41" si="5">+Z40/V40-1</f>
        <v>0.11961464373748698</v>
      </c>
      <c r="AA41" s="531">
        <f t="shared" ref="AA41:AF41" si="6">+AA40/W40-1</f>
        <v>0.71554904279297871</v>
      </c>
      <c r="AB41" s="525">
        <f t="shared" si="6"/>
        <v>0.36310132908027648</v>
      </c>
      <c r="AC41" s="525">
        <f t="shared" si="6"/>
        <v>0.41772873194221538</v>
      </c>
      <c r="AD41" s="525">
        <f t="shared" si="6"/>
        <v>0.4331146823370231</v>
      </c>
      <c r="AE41" s="531">
        <f t="shared" si="6"/>
        <v>0.38646685446009421</v>
      </c>
      <c r="AF41" s="525">
        <f t="shared" si="6"/>
        <v>0.68913741438356135</v>
      </c>
      <c r="AI41" s="521">
        <v>1</v>
      </c>
      <c r="AJ41" s="521">
        <v>3</v>
      </c>
    </row>
    <row r="42" spans="1:37" x14ac:dyDescent="0.25">
      <c r="B42" s="549"/>
      <c r="C42" s="523" t="s">
        <v>372</v>
      </c>
      <c r="D42" s="525"/>
      <c r="E42" s="525"/>
      <c r="F42" s="525"/>
      <c r="G42" s="525"/>
      <c r="H42" s="525"/>
      <c r="I42" s="525"/>
      <c r="J42" s="525"/>
      <c r="K42" s="525"/>
      <c r="L42" s="525"/>
      <c r="M42" s="525"/>
      <c r="N42" s="525"/>
      <c r="O42" s="525"/>
      <c r="P42" s="525"/>
      <c r="Q42" s="525"/>
      <c r="R42" s="525"/>
      <c r="S42" s="525"/>
      <c r="T42" s="525">
        <f>交通业务拆分!U50</f>
        <v>0.03</v>
      </c>
      <c r="U42" s="525">
        <f>交通业务拆分!V50</f>
        <v>0.03</v>
      </c>
      <c r="V42" s="525">
        <f>交通业务拆分!W50</f>
        <v>0.03</v>
      </c>
      <c r="W42" s="531">
        <f>交通业务拆分!X50</f>
        <v>0.02</v>
      </c>
      <c r="X42" s="525">
        <f>交通业务拆分!Y50</f>
        <v>1.7999999999999999E-2</v>
      </c>
      <c r="Y42" s="525">
        <f>交通业务拆分!Z50</f>
        <v>0.02</v>
      </c>
      <c r="Z42" s="525">
        <f>交通业务拆分!AA50</f>
        <v>2.1000000000000001E-2</v>
      </c>
      <c r="AA42" s="531">
        <f>交通业务拆分!AB50</f>
        <v>2.5499999999999998E-2</v>
      </c>
      <c r="AB42" s="525">
        <f>交通业务拆分!AC50</f>
        <v>2.1000000000000001E-2</v>
      </c>
      <c r="AC42" s="525">
        <f>交通业务拆分!AD50</f>
        <v>2.1999999999999999E-2</v>
      </c>
      <c r="AD42" s="525">
        <f>交通业务拆分!AE50</f>
        <v>2.4E-2</v>
      </c>
      <c r="AE42" s="531">
        <f>交通业务拆分!AF50</f>
        <v>2.9000000000000001E-2</v>
      </c>
      <c r="AF42" s="525">
        <f>交通业务拆分!AG50</f>
        <v>0.03</v>
      </c>
      <c r="AI42" s="521">
        <v>1</v>
      </c>
      <c r="AJ42" s="521">
        <v>1.5</v>
      </c>
    </row>
    <row r="43" spans="1:37" x14ac:dyDescent="0.25">
      <c r="B43" s="549"/>
      <c r="C43" s="523"/>
      <c r="D43" s="525"/>
      <c r="E43" s="525"/>
      <c r="F43" s="525"/>
      <c r="G43" s="525"/>
      <c r="H43" s="525"/>
      <c r="I43" s="525"/>
      <c r="J43" s="525"/>
      <c r="K43" s="525"/>
      <c r="L43" s="525"/>
      <c r="M43" s="525"/>
      <c r="N43" s="525"/>
      <c r="O43" s="525"/>
      <c r="P43" s="525"/>
      <c r="Q43" s="525"/>
      <c r="R43" s="525"/>
      <c r="S43" s="525"/>
      <c r="T43" s="525"/>
      <c r="U43" s="525"/>
      <c r="V43" s="525"/>
      <c r="W43" s="531"/>
      <c r="X43" s="525"/>
      <c r="Y43" s="525"/>
      <c r="Z43" s="525"/>
      <c r="AA43" s="531"/>
      <c r="AB43" s="525"/>
      <c r="AC43" s="525"/>
      <c r="AD43" s="525"/>
      <c r="AE43" s="531"/>
      <c r="AF43" s="525"/>
      <c r="AI43" s="521">
        <v>1</v>
      </c>
      <c r="AJ43" s="521">
        <f>+AJ41+AJ42</f>
        <v>4.5</v>
      </c>
      <c r="AK43" s="521">
        <f>AI43/AJ43</f>
        <v>0.22222222222222221</v>
      </c>
    </row>
    <row r="44" spans="1:37" s="539" customFormat="1" ht="13.5" x14ac:dyDescent="0.3">
      <c r="A44" s="549"/>
      <c r="B44" s="549"/>
      <c r="C44" s="540" t="s">
        <v>416</v>
      </c>
      <c r="D44" s="541"/>
      <c r="E44" s="541"/>
      <c r="F44" s="541"/>
      <c r="G44" s="541"/>
      <c r="H44" s="541"/>
      <c r="I44" s="541"/>
      <c r="J44" s="541"/>
      <c r="K44" s="541"/>
      <c r="L44" s="541"/>
      <c r="M44" s="541"/>
      <c r="N44" s="541"/>
      <c r="O44" s="541"/>
      <c r="P44" s="541"/>
      <c r="Q44" s="541"/>
      <c r="R44" s="541"/>
      <c r="S44" s="541"/>
      <c r="T44" s="541">
        <f>交通业务拆分!U53</f>
        <v>61.598045402454844</v>
      </c>
      <c r="U44" s="541">
        <f>交通业务拆分!V53</f>
        <v>55.612387370055124</v>
      </c>
      <c r="V44" s="541">
        <f>交通业务拆分!W53</f>
        <v>43.862455712331816</v>
      </c>
      <c r="W44" s="542">
        <f>交通业务拆分!X53</f>
        <v>30.001138439129296</v>
      </c>
      <c r="X44" s="541">
        <f>交通业务拆分!Y53</f>
        <v>22.596438804019012</v>
      </c>
      <c r="Y44" s="541">
        <f>交通业务拆分!Z53</f>
        <v>22.957605856250289</v>
      </c>
      <c r="Z44" s="541">
        <f>交通业务拆分!AA53</f>
        <v>23.428526044127498</v>
      </c>
      <c r="AA44" s="542">
        <f>交通业务拆分!AB53</f>
        <v>34.085049226455567</v>
      </c>
      <c r="AB44" s="541">
        <f>交通业务拆分!AC53</f>
        <v>22.319736062492357</v>
      </c>
      <c r="AC44" s="541">
        <f>交通业务拆分!AD53</f>
        <v>25.427857374227266</v>
      </c>
      <c r="AD44" s="541">
        <f>交通业务拆分!AE53</f>
        <v>27.979803882795373</v>
      </c>
      <c r="AE44" s="542">
        <f>交通业务拆分!AF53</f>
        <v>41.093731291409838</v>
      </c>
      <c r="AF44" s="541">
        <f>交通业务拆分!AG53</f>
        <v>33.661697555644523</v>
      </c>
    </row>
    <row r="45" spans="1:37" ht="13" x14ac:dyDescent="0.25">
      <c r="B45" s="549"/>
      <c r="C45" s="523" t="s">
        <v>419</v>
      </c>
      <c r="D45" s="525"/>
      <c r="E45" s="525"/>
      <c r="F45" s="525"/>
      <c r="G45" s="525"/>
      <c r="H45" s="525"/>
      <c r="I45" s="525"/>
      <c r="J45" s="525"/>
      <c r="K45" s="525"/>
      <c r="L45" s="525"/>
      <c r="M45" s="525"/>
      <c r="N45" s="525"/>
      <c r="O45" s="525"/>
      <c r="P45" s="525"/>
      <c r="Q45" s="525"/>
      <c r="R45" s="525"/>
      <c r="S45" s="525"/>
      <c r="T45" s="525"/>
      <c r="U45" s="525"/>
      <c r="V45" s="525"/>
      <c r="W45" s="531"/>
      <c r="X45" s="525">
        <f>+X44/T44-1</f>
        <v>-0.63316305482773516</v>
      </c>
      <c r="Y45" s="525">
        <f t="shared" ref="Y45" si="7">+Y44/U44-1</f>
        <v>-0.58718539264487735</v>
      </c>
      <c r="Z45" s="525">
        <f t="shared" ref="Z45" si="8">+Z44/V44-1</f>
        <v>-0.46586378569906128</v>
      </c>
      <c r="AA45" s="531">
        <f t="shared" ref="AA45:AF45" si="9">+AA44/W44-1</f>
        <v>0.13612519390263489</v>
      </c>
      <c r="AB45" s="525">
        <f t="shared" si="9"/>
        <v>-1.2245413709944475E-2</v>
      </c>
      <c r="AC45" s="525">
        <f t="shared" si="9"/>
        <v>0.10760057182985583</v>
      </c>
      <c r="AD45" s="525">
        <f t="shared" si="9"/>
        <v>0.19426223528085251</v>
      </c>
      <c r="AE45" s="531">
        <f t="shared" si="9"/>
        <v>0.20562335170442969</v>
      </c>
      <c r="AF45" s="525">
        <f t="shared" si="9"/>
        <v>0.50815840569960824</v>
      </c>
    </row>
    <row r="46" spans="1:37" x14ac:dyDescent="0.25">
      <c r="B46" s="549"/>
      <c r="C46" s="523"/>
      <c r="D46" s="525"/>
      <c r="E46" s="525"/>
      <c r="F46" s="525"/>
      <c r="G46" s="525"/>
      <c r="H46" s="525"/>
      <c r="I46" s="525"/>
      <c r="J46" s="525"/>
      <c r="K46" s="525"/>
      <c r="L46" s="525"/>
      <c r="M46" s="525"/>
      <c r="N46" s="525"/>
      <c r="O46" s="525"/>
      <c r="P46" s="525"/>
      <c r="Q46" s="525"/>
      <c r="R46" s="525"/>
      <c r="S46" s="525"/>
      <c r="T46" s="525"/>
      <c r="U46" s="525"/>
      <c r="V46" s="525"/>
      <c r="W46" s="531"/>
      <c r="X46" s="525"/>
      <c r="Y46" s="525"/>
      <c r="Z46" s="525"/>
      <c r="AA46" s="531"/>
      <c r="AB46" s="525"/>
      <c r="AC46" s="525"/>
      <c r="AD46" s="525"/>
      <c r="AE46" s="531"/>
      <c r="AF46" s="525"/>
    </row>
    <row r="47" spans="1:37" ht="13" x14ac:dyDescent="0.25">
      <c r="B47" s="549"/>
      <c r="C47" s="521" t="s">
        <v>395</v>
      </c>
      <c r="D47" s="526"/>
      <c r="E47" s="526"/>
      <c r="F47" s="526"/>
      <c r="G47" s="526"/>
      <c r="H47" s="526"/>
      <c r="I47" s="526"/>
      <c r="J47" s="526"/>
      <c r="K47" s="526"/>
      <c r="L47" s="526"/>
      <c r="M47" s="526"/>
      <c r="N47" s="526"/>
      <c r="O47" s="526"/>
      <c r="P47" s="526"/>
      <c r="Q47" s="526"/>
      <c r="R47" s="526"/>
      <c r="S47" s="526"/>
      <c r="T47" s="526">
        <f>交通业务拆分!U48</f>
        <v>2053.2681800818282</v>
      </c>
      <c r="U47" s="526">
        <f>交通业务拆分!V48</f>
        <v>1853.7462456685043</v>
      </c>
      <c r="V47" s="526">
        <f>交通业务拆分!W48</f>
        <v>1462.0818570777274</v>
      </c>
      <c r="W47" s="532">
        <f>交通业务拆分!X48</f>
        <v>1500.0569219564647</v>
      </c>
      <c r="X47" s="526">
        <f>交通业务拆分!Y48</f>
        <v>1255.3577113343895</v>
      </c>
      <c r="Y47" s="526">
        <f>交通业务拆分!Z48</f>
        <v>1147.8802928125144</v>
      </c>
      <c r="Z47" s="526">
        <f>交通业务拆分!AA48</f>
        <v>1115.6440973394044</v>
      </c>
      <c r="AA47" s="532">
        <f>交通业务拆分!AB48</f>
        <v>1336.6685971159047</v>
      </c>
      <c r="AB47" s="526">
        <f>交通业务拆分!AC48</f>
        <v>1062.8445744043979</v>
      </c>
      <c r="AC47" s="526">
        <f>交通业务拆分!AD48</f>
        <v>1155.8116988285121</v>
      </c>
      <c r="AD47" s="526">
        <f>交通业务拆分!AE48</f>
        <v>1165.8251617831406</v>
      </c>
      <c r="AE47" s="532">
        <f>交通业务拆分!AF48</f>
        <v>1417.0252169451669</v>
      </c>
      <c r="AF47" s="526">
        <f>交通业务拆分!AG48</f>
        <v>1122.0565851881508</v>
      </c>
    </row>
    <row r="48" spans="1:37" x14ac:dyDescent="0.25">
      <c r="B48" s="549"/>
      <c r="AD48" s="522"/>
      <c r="AE48" s="528"/>
      <c r="AF48" s="522"/>
    </row>
    <row r="49" spans="1:32" s="545" customFormat="1" x14ac:dyDescent="0.25">
      <c r="A49" s="549"/>
      <c r="B49" s="549"/>
      <c r="C49" s="545" t="s">
        <v>373</v>
      </c>
      <c r="D49" s="546"/>
      <c r="E49" s="546"/>
      <c r="F49" s="546"/>
      <c r="G49" s="546"/>
      <c r="H49" s="546"/>
      <c r="I49" s="546"/>
      <c r="J49" s="546"/>
      <c r="K49" s="546"/>
      <c r="L49" s="546"/>
      <c r="M49" s="546"/>
      <c r="N49" s="546"/>
      <c r="O49" s="546"/>
      <c r="P49" s="546"/>
      <c r="Q49" s="546"/>
      <c r="R49" s="546"/>
      <c r="S49" s="546"/>
      <c r="T49" s="546"/>
      <c r="U49" s="546"/>
      <c r="V49" s="546"/>
      <c r="W49" s="547"/>
      <c r="X49" s="546"/>
      <c r="Y49" s="546"/>
      <c r="Z49" s="546"/>
      <c r="AA49" s="547"/>
      <c r="AB49" s="546"/>
      <c r="AC49" s="546"/>
      <c r="AD49" s="546"/>
      <c r="AE49" s="547"/>
      <c r="AF49" s="546"/>
    </row>
    <row r="50" spans="1:32" x14ac:dyDescent="0.25">
      <c r="B50" s="549"/>
      <c r="C50" s="523" t="s">
        <v>375</v>
      </c>
      <c r="D50" s="524"/>
      <c r="E50" s="524"/>
      <c r="F50" s="524"/>
      <c r="G50" s="524"/>
      <c r="H50" s="524"/>
      <c r="I50" s="524"/>
      <c r="J50" s="524"/>
      <c r="K50" s="524"/>
      <c r="L50" s="524"/>
      <c r="M50" s="524"/>
      <c r="N50" s="524"/>
      <c r="O50" s="524"/>
      <c r="P50" s="524"/>
      <c r="Q50" s="524"/>
      <c r="R50" s="524"/>
      <c r="S50" s="524"/>
      <c r="T50" s="524">
        <f>交通业务拆分!U87</f>
        <v>0.15518161119735777</v>
      </c>
      <c r="U50" s="524">
        <f>交通业务拆分!V87</f>
        <v>0.14026464860835411</v>
      </c>
      <c r="V50" s="524">
        <f>交通业务拆分!W87</f>
        <v>0.13675989038745145</v>
      </c>
      <c r="W50" s="529">
        <f>交通业务拆分!X87</f>
        <v>0.15622683392065936</v>
      </c>
      <c r="X50" s="524">
        <f>交通业务拆分!Y87</f>
        <v>0.18564336397343123</v>
      </c>
      <c r="Y50" s="524">
        <f>交通业务拆分!Z87</f>
        <v>0.1641876052729592</v>
      </c>
      <c r="Z50" s="524">
        <f>交通业务拆分!AA87</f>
        <v>0.17912609565112461</v>
      </c>
      <c r="AA50" s="529">
        <f>交通业务拆分!AB87</f>
        <v>0.15621941156754457</v>
      </c>
      <c r="AB50" s="524">
        <f>交通业务拆分!AC87</f>
        <v>0.21025017251915687</v>
      </c>
      <c r="AC50" s="524">
        <f>交通业务拆分!AD87</f>
        <v>0.19001294660781504</v>
      </c>
      <c r="AD50" s="524">
        <f>交通业务拆分!AE87</f>
        <v>0.19158117679654899</v>
      </c>
      <c r="AE50" s="529">
        <f>交通业务拆分!AF87</f>
        <v>0.17479253248877788</v>
      </c>
      <c r="AF50" s="524">
        <f>交通业务拆分!AG87</f>
        <v>0.19057545504237841</v>
      </c>
    </row>
    <row r="51" spans="1:32" ht="13" x14ac:dyDescent="0.25">
      <c r="B51" s="549"/>
      <c r="C51" s="523" t="s">
        <v>393</v>
      </c>
      <c r="D51" s="524"/>
      <c r="E51" s="524"/>
      <c r="F51" s="524"/>
      <c r="G51" s="524"/>
      <c r="H51" s="524"/>
      <c r="I51" s="524"/>
      <c r="J51" s="524"/>
      <c r="K51" s="524"/>
      <c r="L51" s="524"/>
      <c r="M51" s="524"/>
      <c r="N51" s="524"/>
      <c r="O51" s="524"/>
      <c r="P51" s="524"/>
      <c r="Q51" s="524"/>
      <c r="R51" s="524"/>
      <c r="S51" s="524"/>
      <c r="T51" s="524">
        <f>交通业务拆分!U88</f>
        <v>0.12426053694997978</v>
      </c>
      <c r="U51" s="524">
        <f>交通业务拆分!V88</f>
        <v>0.11902595144349183</v>
      </c>
      <c r="V51" s="524">
        <f>交通业务拆分!W88</f>
        <v>0.11320699806490905</v>
      </c>
      <c r="W51" s="529">
        <f>交通业务拆分!X88</f>
        <v>7.6313798783655601E-2</v>
      </c>
      <c r="X51" s="524">
        <f>交通业务拆分!Y88</f>
        <v>8.4641490508867698E-2</v>
      </c>
      <c r="Y51" s="524">
        <f>交通业务拆分!Z88</f>
        <v>8.5041732366578415E-2</v>
      </c>
      <c r="Z51" s="524">
        <f>交通业务拆分!AA88</f>
        <v>9.6422056567335726E-2</v>
      </c>
      <c r="AA51" s="529">
        <f>交通业务拆分!AB88</f>
        <v>0.10138544876767577</v>
      </c>
      <c r="AB51" s="524">
        <f>交通业务拆分!AC88</f>
        <v>0.11492408997482914</v>
      </c>
      <c r="AC51" s="524">
        <f>交通业务拆分!AD88</f>
        <v>0.11592302660553311</v>
      </c>
      <c r="AD51" s="524">
        <f>交通业务拆分!AE88</f>
        <v>0.12797139196486257</v>
      </c>
      <c r="AE51" s="529">
        <f>交通业务拆分!AF88</f>
        <v>0.13995151461153307</v>
      </c>
      <c r="AF51" s="524">
        <f>交通业务拆分!AG88</f>
        <v>0.16683183148063202</v>
      </c>
    </row>
    <row r="52" spans="1:32" ht="13" x14ac:dyDescent="0.25">
      <c r="B52" s="549"/>
      <c r="C52" s="523" t="s">
        <v>391</v>
      </c>
      <c r="D52" s="524"/>
      <c r="E52" s="524"/>
      <c r="F52" s="524"/>
      <c r="G52" s="524"/>
      <c r="H52" s="524"/>
      <c r="I52" s="524"/>
      <c r="J52" s="524"/>
      <c r="K52" s="524"/>
      <c r="L52" s="524"/>
      <c r="M52" s="524"/>
      <c r="N52" s="524"/>
      <c r="O52" s="524"/>
      <c r="P52" s="524"/>
      <c r="Q52" s="524"/>
      <c r="R52" s="524"/>
      <c r="S52" s="524"/>
      <c r="T52" s="524">
        <f>交通业务拆分!U89</f>
        <v>0.1579911130161851</v>
      </c>
      <c r="U52" s="524">
        <f>交通业务拆分!V89</f>
        <v>0.14245714017041622</v>
      </c>
      <c r="V52" s="524">
        <f>交通业务拆分!W89</f>
        <v>0.17556016087676493</v>
      </c>
      <c r="W52" s="529">
        <f>交通业务拆分!X89</f>
        <v>0.16870073942824301</v>
      </c>
      <c r="X52" s="524">
        <f>交通业务拆分!Y89</f>
        <v>0.23190260531677362</v>
      </c>
      <c r="Y52" s="524">
        <f>交通业务拆分!Z89</f>
        <v>0.22289125847552949</v>
      </c>
      <c r="Z52" s="524">
        <f>交通业务拆分!AA89</f>
        <v>0.24499993443551704</v>
      </c>
      <c r="AA52" s="529">
        <f>交通业务拆分!AB89</f>
        <v>0.16796003339742027</v>
      </c>
      <c r="AB52" s="524">
        <f>交通业务拆分!AC89</f>
        <v>0.28698587062564457</v>
      </c>
      <c r="AC52" s="524">
        <f>交通业务拆分!AD89</f>
        <v>0.24032880119787997</v>
      </c>
      <c r="AD52" s="524">
        <f>交通业务拆分!AE89</f>
        <v>0.24647669101527017</v>
      </c>
      <c r="AE52" s="529">
        <f>交通业务拆分!AF89</f>
        <v>0.18238111981892396</v>
      </c>
      <c r="AF52" s="524">
        <f>交通业务拆分!AG89</f>
        <v>0.25562997563201106</v>
      </c>
    </row>
    <row r="53" spans="1:32" ht="13" x14ac:dyDescent="0.25">
      <c r="B53" s="549"/>
      <c r="C53" s="523" t="s">
        <v>395</v>
      </c>
      <c r="D53" s="524"/>
      <c r="E53" s="524"/>
      <c r="F53" s="524"/>
      <c r="G53" s="524"/>
      <c r="H53" s="524"/>
      <c r="I53" s="524"/>
      <c r="J53" s="524"/>
      <c r="K53" s="524"/>
      <c r="L53" s="524"/>
      <c r="M53" s="524"/>
      <c r="N53" s="524"/>
      <c r="O53" s="524"/>
      <c r="P53" s="524"/>
      <c r="Q53" s="524"/>
      <c r="R53" s="524"/>
      <c r="S53" s="524"/>
      <c r="T53" s="524">
        <f>交通业务拆分!U90</f>
        <v>0.98221734270243699</v>
      </c>
      <c r="U53" s="524">
        <f>交通业务拆分!V90</f>
        <v>0.98460946527889492</v>
      </c>
      <c r="V53" s="524">
        <f>交通业务拆分!W90</f>
        <v>0.77899159868878531</v>
      </c>
      <c r="W53" s="529">
        <f>交通业务拆分!X90</f>
        <v>0.9260589754979146</v>
      </c>
      <c r="X53" s="524">
        <f>交通业务拆分!Y90</f>
        <v>0.80052297696201669</v>
      </c>
      <c r="Y53" s="524">
        <f>交通业务拆分!Z90</f>
        <v>0.73662648950849197</v>
      </c>
      <c r="Z53" s="524">
        <f>交通业务拆分!AA90</f>
        <v>0.73112711668202435</v>
      </c>
      <c r="AA53" s="529">
        <f>交通业务拆分!AB90</f>
        <v>0.93009871698408442</v>
      </c>
      <c r="AB53" s="524">
        <f>交通业务拆分!AC90</f>
        <v>0.73261506589435998</v>
      </c>
      <c r="AC53" s="524">
        <f>交通业务拆分!AD90</f>
        <v>0.79063743363561212</v>
      </c>
      <c r="AD53" s="524">
        <f>交通业务拆分!AE90</f>
        <v>0.77727908471750706</v>
      </c>
      <c r="AE53" s="529">
        <f>交通业务拆分!AF90</f>
        <v>0.95839159591913703</v>
      </c>
      <c r="AF53" s="524">
        <f>交通业务拆分!AG90</f>
        <v>0.74551294139588287</v>
      </c>
    </row>
    <row r="54" spans="1:32" ht="13" outlineLevel="1" x14ac:dyDescent="0.25">
      <c r="B54" s="549"/>
      <c r="C54" s="523" t="s">
        <v>396</v>
      </c>
      <c r="D54" s="518"/>
      <c r="E54" s="518"/>
      <c r="F54" s="518"/>
      <c r="G54" s="518"/>
      <c r="H54" s="518"/>
      <c r="I54" s="518"/>
      <c r="J54" s="518"/>
      <c r="K54" s="518"/>
      <c r="L54" s="518"/>
      <c r="M54" s="518"/>
      <c r="N54" s="518"/>
      <c r="O54" s="518"/>
      <c r="P54" s="518"/>
      <c r="Q54" s="518"/>
      <c r="R54" s="518"/>
      <c r="S54" s="518"/>
      <c r="T54" s="518">
        <f>交通业务拆分!U84</f>
        <v>-16.720815851724922</v>
      </c>
      <c r="U54" s="518">
        <f>交通业务拆分!V84</f>
        <v>-10.947733063417054</v>
      </c>
      <c r="V54" s="518">
        <f>交通业务拆分!W84</f>
        <v>-24.158955622078331</v>
      </c>
      <c r="W54" s="530">
        <f>交通业务拆分!X84</f>
        <v>-36.319950525638305</v>
      </c>
      <c r="X54" s="518">
        <f>交通业务拆分!Y84</f>
        <v>-39.313778017884047</v>
      </c>
      <c r="Y54" s="518">
        <f>交通业务拆分!Z84</f>
        <v>-37.213436271953398</v>
      </c>
      <c r="Z54" s="518">
        <f>交通业务拆分!AA84</f>
        <v>-36.101290567111832</v>
      </c>
      <c r="AA54" s="530">
        <f>交通业务拆分!AB84</f>
        <v>-22.381890319739362</v>
      </c>
      <c r="AB54" s="518">
        <f>交通业务拆分!AC84</f>
        <v>-33.416610315642089</v>
      </c>
      <c r="AC54" s="518">
        <f>交通业务拆分!AD84</f>
        <v>-27.288558498639745</v>
      </c>
      <c r="AD54" s="518">
        <f>交通业务拆分!AE84</f>
        <v>-25.910127065061836</v>
      </c>
      <c r="AE54" s="530">
        <f>交通业务拆分!AF84</f>
        <v>-12.458534657755251</v>
      </c>
      <c r="AF54" s="518">
        <f>交通业务拆分!AG84</f>
        <v>-17.916822259865064</v>
      </c>
    </row>
    <row r="55" spans="1:32" ht="13" outlineLevel="1" x14ac:dyDescent="0.25">
      <c r="B55" s="549"/>
      <c r="C55" s="523" t="s">
        <v>397</v>
      </c>
      <c r="D55" s="526"/>
      <c r="E55" s="526"/>
      <c r="F55" s="526"/>
      <c r="G55" s="526"/>
      <c r="H55" s="526"/>
      <c r="I55" s="526"/>
      <c r="J55" s="526"/>
      <c r="K55" s="526"/>
      <c r="L55" s="526"/>
      <c r="M55" s="526"/>
      <c r="N55" s="526"/>
      <c r="O55" s="526"/>
      <c r="P55" s="526"/>
      <c r="Q55" s="526"/>
      <c r="R55" s="526"/>
      <c r="S55" s="526"/>
      <c r="T55" s="526">
        <f>交通业务拆分!U85</f>
        <v>-37.173609952687912</v>
      </c>
      <c r="U55" s="526">
        <f>交通业务拆分!V85</f>
        <v>-28.976103687971317</v>
      </c>
      <c r="V55" s="526">
        <f>交通业务拆分!W85</f>
        <v>-414.80854782360097</v>
      </c>
      <c r="W55" s="532">
        <f>交通业务拆分!X85</f>
        <v>-119.77179483765553</v>
      </c>
      <c r="X55" s="526">
        <f>交通业务拆分!Y85</f>
        <v>-312.81428055330093</v>
      </c>
      <c r="Y55" s="526">
        <f>交通业务拆分!Z85</f>
        <v>-410.41323743838416</v>
      </c>
      <c r="Z55" s="526">
        <f>交通业务拆分!AA85</f>
        <v>-410.27946900618758</v>
      </c>
      <c r="AA55" s="532">
        <f>交通业务拆分!AB85</f>
        <v>-100.45691731352485</v>
      </c>
      <c r="AB55" s="526">
        <f>交通业务拆分!AC85</f>
        <v>-387.90988572522178</v>
      </c>
      <c r="AC55" s="526">
        <f>交通业务拆分!AD85</f>
        <v>-306.06153112179277</v>
      </c>
      <c r="AD55" s="526">
        <f>交通业务拆分!AE85</f>
        <v>-334.05459145484338</v>
      </c>
      <c r="AE55" s="532">
        <f>交通业务拆分!AF85</f>
        <v>-61.519902793890651</v>
      </c>
      <c r="AF55" s="526">
        <f>交通业务拆分!AG85</f>
        <v>-383.02337101922967</v>
      </c>
    </row>
    <row r="56" spans="1:32" x14ac:dyDescent="0.25">
      <c r="B56" s="549"/>
      <c r="AD56" s="522"/>
      <c r="AE56" s="528"/>
      <c r="AF56" s="522"/>
    </row>
    <row r="57" spans="1:32" s="545" customFormat="1" x14ac:dyDescent="0.25">
      <c r="A57" s="549"/>
      <c r="B57" s="549"/>
      <c r="C57" s="545" t="s">
        <v>398</v>
      </c>
      <c r="D57" s="546"/>
      <c r="E57" s="546"/>
      <c r="F57" s="546"/>
      <c r="G57" s="546"/>
      <c r="H57" s="546"/>
      <c r="I57" s="546"/>
      <c r="J57" s="546"/>
      <c r="K57" s="546"/>
      <c r="L57" s="546"/>
      <c r="M57" s="546"/>
      <c r="N57" s="546"/>
      <c r="O57" s="546"/>
      <c r="P57" s="546"/>
      <c r="Q57" s="546"/>
      <c r="R57" s="546"/>
      <c r="S57" s="546"/>
      <c r="T57" s="546"/>
      <c r="U57" s="546"/>
      <c r="V57" s="546"/>
      <c r="W57" s="547"/>
      <c r="X57" s="546"/>
      <c r="Y57" s="546"/>
      <c r="Z57" s="546"/>
      <c r="AA57" s="547"/>
      <c r="AB57" s="546"/>
      <c r="AC57" s="546"/>
      <c r="AD57" s="546"/>
      <c r="AE57" s="547"/>
      <c r="AF57" s="546"/>
    </row>
    <row r="58" spans="1:32" x14ac:dyDescent="0.25">
      <c r="B58" s="549"/>
      <c r="C58" s="523" t="s">
        <v>375</v>
      </c>
      <c r="D58" s="524"/>
      <c r="E58" s="524"/>
      <c r="F58" s="524"/>
      <c r="G58" s="524"/>
      <c r="H58" s="524"/>
      <c r="I58" s="524"/>
      <c r="J58" s="524"/>
      <c r="K58" s="524"/>
      <c r="L58" s="524"/>
      <c r="M58" s="524"/>
      <c r="N58" s="524"/>
      <c r="O58" s="524"/>
      <c r="P58" s="524"/>
      <c r="Q58" s="524"/>
      <c r="R58" s="524"/>
      <c r="S58" s="524"/>
      <c r="T58" s="524">
        <f>交通业务拆分!U44</f>
        <v>0.29226668676478718</v>
      </c>
      <c r="U58" s="524">
        <f>交通业务拆分!V44</f>
        <v>0.48992688904197523</v>
      </c>
      <c r="V58" s="524">
        <f>交通业务拆分!W44</f>
        <v>0.43868854736448371</v>
      </c>
      <c r="W58" s="529">
        <f>交通业务拆分!X44</f>
        <v>0.45881494775945186</v>
      </c>
      <c r="X58" s="524">
        <f>交通业务拆分!Y44</f>
        <v>1.2017204080720125</v>
      </c>
      <c r="Y58" s="524">
        <f>交通业务拆分!Z44</f>
        <v>0.57023156230241545</v>
      </c>
      <c r="Z58" s="524">
        <f>交通业务拆分!AA44</f>
        <v>0.59944949105355261</v>
      </c>
      <c r="AA58" s="529">
        <f>交通业务拆分!AB44</f>
        <v>0.34552866101410107</v>
      </c>
      <c r="AB58" s="524">
        <f>交通业务拆分!AC44</f>
        <v>0.16837256778309406</v>
      </c>
      <c r="AC58" s="524">
        <f>交通业务拆分!AD44</f>
        <v>0.28884430176565035</v>
      </c>
      <c r="AD58" s="524">
        <f>交通业务拆分!AE44</f>
        <v>0.25397534704489533</v>
      </c>
      <c r="AE58" s="529">
        <f>交通业务拆分!AF44</f>
        <v>0.21913464788732395</v>
      </c>
      <c r="AF58" s="524">
        <f>交通业务拆分!AG44</f>
        <v>0.18239619006849295</v>
      </c>
    </row>
    <row r="59" spans="1:32" ht="13" x14ac:dyDescent="0.25">
      <c r="B59" s="549"/>
      <c r="C59" s="523" t="s">
        <v>393</v>
      </c>
      <c r="D59" s="524"/>
      <c r="E59" s="524"/>
      <c r="F59" s="524"/>
      <c r="G59" s="524"/>
      <c r="H59" s="524"/>
      <c r="I59" s="524"/>
      <c r="J59" s="524"/>
      <c r="K59" s="524"/>
      <c r="L59" s="524"/>
      <c r="M59" s="524"/>
      <c r="N59" s="524"/>
      <c r="O59" s="524"/>
      <c r="P59" s="524"/>
      <c r="Q59" s="524"/>
      <c r="R59" s="524"/>
      <c r="S59" s="524"/>
      <c r="T59" s="524">
        <f>交通业务拆分!U52</f>
        <v>-0.13848887549014188</v>
      </c>
      <c r="U59" s="524">
        <f>交通业务拆分!V52</f>
        <v>3.9483876075796731E-2</v>
      </c>
      <c r="V59" s="524">
        <f>交通业务拆分!W52</f>
        <v>-4.0874301757010789E-2</v>
      </c>
      <c r="W59" s="529">
        <f>交通业务拆分!X52</f>
        <v>-0.25188977037976823</v>
      </c>
      <c r="X59" s="524">
        <f>交通业务拆分!Y52</f>
        <v>0.32103224484320769</v>
      </c>
      <c r="Y59" s="524">
        <f>交通业务拆分!Z52</f>
        <v>4.6821041534943708E-2</v>
      </c>
      <c r="Z59" s="524">
        <f>交通业务拆分!AA52</f>
        <v>0.11961464373748698</v>
      </c>
      <c r="AA59" s="529">
        <f>交通业务拆分!AB52</f>
        <v>0.71554904279297871</v>
      </c>
      <c r="AB59" s="524">
        <f>交通业务拆分!AC52</f>
        <v>0.36310132908027648</v>
      </c>
      <c r="AC59" s="524">
        <f>交通业务拆分!AD52</f>
        <v>0.41772873194221538</v>
      </c>
      <c r="AD59" s="524">
        <f>交通业务拆分!AE52</f>
        <v>0.4331146823370231</v>
      </c>
      <c r="AE59" s="529">
        <f>交通业务拆分!AF52</f>
        <v>0.38646685446009421</v>
      </c>
      <c r="AF59" s="524">
        <f>交通业务拆分!AG52</f>
        <v>0.68913741438356135</v>
      </c>
    </row>
    <row r="60" spans="1:32" ht="13" x14ac:dyDescent="0.25">
      <c r="B60" s="549"/>
      <c r="C60" s="523" t="s">
        <v>391</v>
      </c>
      <c r="D60" s="524"/>
      <c r="E60" s="524"/>
      <c r="F60" s="524"/>
      <c r="G60" s="524"/>
      <c r="H60" s="524"/>
      <c r="I60" s="524"/>
      <c r="J60" s="524"/>
      <c r="K60" s="524"/>
      <c r="L60" s="524"/>
      <c r="M60" s="524"/>
      <c r="N60" s="524"/>
      <c r="O60" s="524"/>
      <c r="P60" s="524"/>
      <c r="Q60" s="524"/>
      <c r="R60" s="524"/>
      <c r="S60" s="524"/>
      <c r="T60" s="524">
        <f>交通业务拆分!U47</f>
        <v>-0.22540983606557352</v>
      </c>
      <c r="U60" s="524">
        <f>交通业务拆分!V47</f>
        <v>0.1635294117647057</v>
      </c>
      <c r="V60" s="524">
        <f>交通业务拆分!W47</f>
        <v>8.2400000000000029E-2</v>
      </c>
      <c r="W60" s="529">
        <f>交通业务拆分!X47</f>
        <v>8.6428571428571299E-2</v>
      </c>
      <c r="X60" s="524">
        <f>交通业务拆分!Y47</f>
        <v>2.6011428571428574</v>
      </c>
      <c r="Y60" s="524">
        <f>交通业务拆分!Z47</f>
        <v>1.5358139534883724</v>
      </c>
      <c r="Z60" s="524">
        <f>交通业务拆分!AA47</f>
        <v>1.0961219512195122</v>
      </c>
      <c r="AA60" s="529">
        <f>交通业务拆分!AB47</f>
        <v>0.51</v>
      </c>
      <c r="AB60" s="524">
        <f>交通业务拆分!AC47</f>
        <v>0.38</v>
      </c>
      <c r="AC60" s="524">
        <f>交通业务拆分!AD47</f>
        <v>0.28000000000000003</v>
      </c>
      <c r="AD60" s="524">
        <f>交通业务拆分!AE47</f>
        <v>0.2</v>
      </c>
      <c r="AE60" s="529">
        <f>交通业务拆分!AF47</f>
        <v>0.15</v>
      </c>
      <c r="AF60" s="524">
        <f>交通业务拆分!AG47</f>
        <v>0.12</v>
      </c>
    </row>
    <row r="61" spans="1:32" ht="13" x14ac:dyDescent="0.25">
      <c r="B61" s="549"/>
      <c r="C61" s="523" t="s">
        <v>394</v>
      </c>
      <c r="D61" s="524"/>
      <c r="E61" s="524"/>
      <c r="F61" s="524"/>
      <c r="G61" s="524"/>
      <c r="H61" s="524"/>
      <c r="I61" s="524"/>
      <c r="J61" s="524"/>
      <c r="K61" s="524"/>
      <c r="L61" s="524"/>
      <c r="M61" s="524"/>
      <c r="N61" s="524"/>
      <c r="O61" s="524"/>
      <c r="P61" s="524"/>
      <c r="Q61" s="524"/>
      <c r="R61" s="524"/>
      <c r="S61" s="524"/>
      <c r="T61" s="524"/>
      <c r="U61" s="524"/>
      <c r="V61" s="524"/>
      <c r="W61" s="529"/>
      <c r="X61" s="524">
        <f>交通业务拆分!Y54</f>
        <v>-0.63316305482773516</v>
      </c>
      <c r="Y61" s="524">
        <f>交通业务拆分!Z54</f>
        <v>-0.58718539264487735</v>
      </c>
      <c r="Z61" s="524">
        <f>交通业务拆分!AA54</f>
        <v>-0.46586378569906128</v>
      </c>
      <c r="AA61" s="529">
        <f>交通业务拆分!AB54</f>
        <v>0.13612519390263489</v>
      </c>
      <c r="AB61" s="524">
        <f>交通业务拆分!AC54</f>
        <v>-1.2245413709944475E-2</v>
      </c>
      <c r="AC61" s="524">
        <f>交通业务拆分!AD54</f>
        <v>0.10760057182985583</v>
      </c>
      <c r="AD61" s="524">
        <f>交通业务拆分!AE54</f>
        <v>0.19426223528085251</v>
      </c>
      <c r="AE61" s="529">
        <f>交通业务拆分!AF54</f>
        <v>0.20562335170442969</v>
      </c>
      <c r="AF61" s="524">
        <f>交通业务拆分!AG54</f>
        <v>0.50815840569960824</v>
      </c>
    </row>
    <row r="62" spans="1:32" x14ac:dyDescent="0.25">
      <c r="AD62" s="522"/>
      <c r="AE62" s="528"/>
      <c r="AF62" s="522"/>
    </row>
    <row r="64" spans="1:32" ht="14.5" x14ac:dyDescent="0.4">
      <c r="B64" s="976" t="s">
        <v>465</v>
      </c>
      <c r="D64" s="520" t="s">
        <v>468</v>
      </c>
      <c r="E64" s="520" t="s">
        <v>469</v>
      </c>
      <c r="F64" s="520" t="s">
        <v>470</v>
      </c>
      <c r="G64" s="520" t="s">
        <v>471</v>
      </c>
      <c r="H64" s="520" t="s">
        <v>472</v>
      </c>
      <c r="I64" s="520" t="s">
        <v>238</v>
      </c>
      <c r="J64" s="520" t="s">
        <v>256</v>
      </c>
      <c r="K64" s="520" t="s">
        <v>257</v>
      </c>
      <c r="L64" s="520" t="s">
        <v>473</v>
      </c>
      <c r="M64" s="520" t="s">
        <v>283</v>
      </c>
      <c r="N64" s="520" t="s">
        <v>284</v>
      </c>
      <c r="O64" s="520" t="s">
        <v>276</v>
      </c>
      <c r="P64" s="520" t="s">
        <v>474</v>
      </c>
      <c r="Q64" s="520" t="s">
        <v>475</v>
      </c>
      <c r="R64" s="520" t="s">
        <v>314</v>
      </c>
      <c r="S64" s="520" t="s">
        <v>325</v>
      </c>
      <c r="T64" s="520" t="s">
        <v>379</v>
      </c>
      <c r="U64" s="520" t="s">
        <v>380</v>
      </c>
      <c r="V64" s="520" t="s">
        <v>340</v>
      </c>
      <c r="W64" s="527" t="s">
        <v>344</v>
      </c>
      <c r="X64" s="520" t="s">
        <v>377</v>
      </c>
      <c r="Y64" s="520" t="s">
        <v>366</v>
      </c>
      <c r="Z64" s="520" t="s">
        <v>376</v>
      </c>
      <c r="AA64" s="527" t="s">
        <v>378</v>
      </c>
      <c r="AB64" s="520" t="s">
        <v>435</v>
      </c>
      <c r="AC64" s="520" t="s">
        <v>448</v>
      </c>
      <c r="AD64" s="520" t="s">
        <v>463</v>
      </c>
      <c r="AE64" s="527" t="s">
        <v>484</v>
      </c>
      <c r="AF64" s="520" t="s">
        <v>487</v>
      </c>
    </row>
    <row r="65" spans="1:32" ht="14.5" x14ac:dyDescent="0.4">
      <c r="C65" s="977" t="s">
        <v>477</v>
      </c>
      <c r="D65" s="541">
        <f t="shared" ref="D65:S65" si="10">D6</f>
        <v>17.028647927865627</v>
      </c>
      <c r="E65" s="541">
        <f t="shared" si="10"/>
        <v>20.898102375810552</v>
      </c>
      <c r="F65" s="541">
        <f t="shared" si="10"/>
        <v>21.392690823786918</v>
      </c>
      <c r="G65" s="541">
        <f t="shared" si="10"/>
        <v>22.353849264705882</v>
      </c>
      <c r="H65" s="541">
        <f t="shared" si="10"/>
        <v>9.9587252833394491</v>
      </c>
      <c r="I65" s="541">
        <f t="shared" si="10"/>
        <v>12.646174084409404</v>
      </c>
      <c r="J65" s="541">
        <f t="shared" si="10"/>
        <v>26.31109950204231</v>
      </c>
      <c r="K65" s="541">
        <f t="shared" si="10"/>
        <v>21.675139619252235</v>
      </c>
      <c r="L65" s="541">
        <f t="shared" si="10"/>
        <v>21.254148497011492</v>
      </c>
      <c r="M65" s="541">
        <f t="shared" si="10"/>
        <v>26.414351033145593</v>
      </c>
      <c r="N65" s="541">
        <f t="shared" si="10"/>
        <v>22.651300580294066</v>
      </c>
      <c r="O65" s="541">
        <f t="shared" si="10"/>
        <v>18.596599721980855</v>
      </c>
      <c r="P65" s="541">
        <f t="shared" si="10"/>
        <v>18.278567707429882</v>
      </c>
      <c r="Q65" s="541">
        <f t="shared" si="10"/>
        <v>11.886457964915516</v>
      </c>
      <c r="R65" s="541">
        <f t="shared" si="10"/>
        <v>19.027092487447014</v>
      </c>
      <c r="S65" s="541">
        <f t="shared" si="10"/>
        <v>12.087789819287556</v>
      </c>
      <c r="T65" s="982">
        <f>T6</f>
        <v>23.625208826439774</v>
      </c>
      <c r="U65" s="982">
        <f t="shared" ref="U65:AD65" si="11">U6</f>
        <v>29.082495135551067</v>
      </c>
      <c r="V65" s="982">
        <f t="shared" si="11"/>
        <v>28.65047918521482</v>
      </c>
      <c r="W65" s="982">
        <f t="shared" si="11"/>
        <v>26.294616562499996</v>
      </c>
      <c r="X65" s="982">
        <f t="shared" si="11"/>
        <v>30.454730333407284</v>
      </c>
      <c r="Y65" s="982">
        <f t="shared" si="11"/>
        <v>31.937867385223353</v>
      </c>
      <c r="Z65" s="982">
        <f t="shared" si="11"/>
        <v>33.156053236602226</v>
      </c>
      <c r="AA65" s="982">
        <f t="shared" si="11"/>
        <v>28.135239721874999</v>
      </c>
      <c r="AB65" s="982">
        <f t="shared" si="11"/>
        <v>31.368372243409503</v>
      </c>
      <c r="AC65" s="982">
        <f t="shared" si="11"/>
        <v>32.576624732927819</v>
      </c>
      <c r="AD65" s="982">
        <f t="shared" si="11"/>
        <v>33.487613768968245</v>
      </c>
      <c r="AE65" s="1009">
        <f t="shared" ref="AE65:AF65" si="12">AE6</f>
        <v>28.41659211909375</v>
      </c>
      <c r="AF65" s="982">
        <f t="shared" si="12"/>
        <v>31.682055965843599</v>
      </c>
    </row>
    <row r="66" spans="1:32" ht="14.5" x14ac:dyDescent="0.4">
      <c r="C66" s="521" t="s">
        <v>478</v>
      </c>
      <c r="D66" s="541">
        <f>交通业务拆分!E58</f>
        <v>61.195596026561205</v>
      </c>
      <c r="E66" s="541">
        <f>交通业务拆分!F58</f>
        <v>60.862552982366566</v>
      </c>
      <c r="F66" s="541">
        <f>交通业务拆分!G58</f>
        <v>70.35044500239556</v>
      </c>
      <c r="G66" s="541">
        <f>交通业务拆分!H58</f>
        <v>68.8399450118945</v>
      </c>
      <c r="H66" s="541">
        <f>交通业务拆分!I58</f>
        <v>19.844603098040956</v>
      </c>
      <c r="I66" s="541">
        <f>交通业务拆分!J58</f>
        <v>36.435656000000002</v>
      </c>
      <c r="J66" s="541">
        <f>交通业务拆分!K58</f>
        <v>67.954651999999996</v>
      </c>
      <c r="K66" s="541">
        <f>交通业务拆分!L58</f>
        <v>62.295738</v>
      </c>
      <c r="L66" s="541">
        <f>交通业务拆分!M58</f>
        <v>50.494953999999993</v>
      </c>
      <c r="M66" s="541">
        <f>交通业务拆分!N58</f>
        <v>67.682372999999998</v>
      </c>
      <c r="N66" s="541">
        <f>交通业务拆分!O58</f>
        <v>53.878776000000002</v>
      </c>
      <c r="O66" s="541">
        <f>交通业务拆分!P58</f>
        <v>43.118696999999997</v>
      </c>
      <c r="P66" s="541">
        <f>交通业务拆分!Q58</f>
        <v>34.901727000000001</v>
      </c>
      <c r="Q66" s="541">
        <f>交通业务拆分!R58</f>
        <v>23.767484</v>
      </c>
      <c r="R66" s="541">
        <f>交通业务拆分!S58</f>
        <v>44.401353999999998</v>
      </c>
      <c r="S66" s="541">
        <f>交通业务拆分!T58</f>
        <v>25.621592</v>
      </c>
      <c r="T66" s="982">
        <f>交通业务拆分!U58</f>
        <v>62.979381000000004</v>
      </c>
      <c r="U66" s="982">
        <f>交通业务拆分!V58</f>
        <v>73.177450999999991</v>
      </c>
      <c r="V66" s="982">
        <f>交通业务拆分!W58</f>
        <v>85.172815999999997</v>
      </c>
      <c r="W66" s="982">
        <f>交通业务拆分!X58</f>
        <v>72.212789000000001</v>
      </c>
      <c r="X66" s="982">
        <f>交通业务拆分!Y58</f>
        <v>80.208496999999994</v>
      </c>
      <c r="Y66" s="982">
        <f>交通业务拆分!Z58</f>
        <v>75.868561999999997</v>
      </c>
      <c r="Z66" s="982">
        <f>交通业务拆分!AA58</f>
        <v>90.492215999999999</v>
      </c>
      <c r="AA66" s="982">
        <f>交通业务拆分!AB58</f>
        <v>77.280211000000008</v>
      </c>
      <c r="AB66" s="982">
        <f>交通业务拆分!AC58</f>
        <v>77.920536999999996</v>
      </c>
      <c r="AC66" s="982">
        <f>交通业务拆分!AD58</f>
        <v>77.002369000000002</v>
      </c>
      <c r="AD66" s="982">
        <f>交通业务拆分!AE58</f>
        <v>86.000309999999999</v>
      </c>
      <c r="AE66" s="1009">
        <f>交通业务拆分!AF58</f>
        <v>70.655404000000004</v>
      </c>
      <c r="AF66" s="982">
        <f>交通业务拆分!AG58</f>
        <v>74.599907000000002</v>
      </c>
    </row>
    <row r="67" spans="1:32" ht="14.5" x14ac:dyDescent="0.4">
      <c r="C67" s="521" t="s">
        <v>479</v>
      </c>
      <c r="D67" s="524">
        <f>D65/D66</f>
        <v>0.27826590528629791</v>
      </c>
      <c r="E67" s="524">
        <f t="shared" ref="E67:AD67" si="13">E65/E66</f>
        <v>0.34336552365565842</v>
      </c>
      <c r="F67" s="524">
        <f t="shared" si="13"/>
        <v>0.30408749828175868</v>
      </c>
      <c r="G67" s="524">
        <f t="shared" si="13"/>
        <v>0.32472206741076676</v>
      </c>
      <c r="H67" s="524">
        <f t="shared" si="13"/>
        <v>0.5018354478615179</v>
      </c>
      <c r="I67" s="524">
        <f t="shared" si="13"/>
        <v>0.34708237679072951</v>
      </c>
      <c r="J67" s="524">
        <f t="shared" si="13"/>
        <v>0.38718614145860553</v>
      </c>
      <c r="K67" s="524">
        <f t="shared" si="13"/>
        <v>0.34793936656231977</v>
      </c>
      <c r="L67" s="524">
        <f t="shared" si="13"/>
        <v>0.42091628595228536</v>
      </c>
      <c r="M67" s="524">
        <f t="shared" si="13"/>
        <v>0.39026928079406425</v>
      </c>
      <c r="N67" s="524">
        <f t="shared" si="13"/>
        <v>0.42041230818409953</v>
      </c>
      <c r="O67" s="524">
        <f t="shared" si="13"/>
        <v>0.43128853643190695</v>
      </c>
      <c r="P67" s="524">
        <f t="shared" si="13"/>
        <v>0.52371527940235973</v>
      </c>
      <c r="Q67" s="524">
        <f t="shared" si="13"/>
        <v>0.50011427229384131</v>
      </c>
      <c r="R67" s="524">
        <f t="shared" si="13"/>
        <v>0.42852505100288191</v>
      </c>
      <c r="S67" s="524">
        <f t="shared" si="13"/>
        <v>0.47178137171521412</v>
      </c>
      <c r="T67" s="524">
        <f t="shared" si="13"/>
        <v>0.37512608811508918</v>
      </c>
      <c r="U67" s="524">
        <f t="shared" si="13"/>
        <v>0.39742427124922775</v>
      </c>
      <c r="V67" s="524">
        <f t="shared" si="13"/>
        <v>0.33638055580098258</v>
      </c>
      <c r="W67" s="524">
        <f t="shared" si="13"/>
        <v>0.36412686626049018</v>
      </c>
      <c r="X67" s="524">
        <f t="shared" si="13"/>
        <v>0.37969456444754585</v>
      </c>
      <c r="Y67" s="524">
        <f t="shared" si="13"/>
        <v>0.420963130752674</v>
      </c>
      <c r="Z67" s="524">
        <f t="shared" si="13"/>
        <v>0.36639674330223304</v>
      </c>
      <c r="AA67" s="524">
        <f t="shared" si="13"/>
        <v>0.36406784295497063</v>
      </c>
      <c r="AB67" s="524">
        <f t="shared" si="13"/>
        <v>0.40256873798764381</v>
      </c>
      <c r="AC67" s="524">
        <f t="shared" si="13"/>
        <v>0.42306003251572455</v>
      </c>
      <c r="AD67" s="524">
        <f t="shared" si="13"/>
        <v>0.38938945416555182</v>
      </c>
      <c r="AE67" s="529">
        <f t="shared" ref="AE67:AF67" si="14">AE65/AE66</f>
        <v>0.40218568588318804</v>
      </c>
      <c r="AF67" s="524">
        <f t="shared" si="14"/>
        <v>0.42469296866340062</v>
      </c>
    </row>
    <row r="68" spans="1:32" s="980" customFormat="1" x14ac:dyDescent="0.25">
      <c r="A68" s="979"/>
      <c r="C68" s="980" t="s">
        <v>476</v>
      </c>
      <c r="D68" s="981">
        <f>交通业务拆分!E71</f>
        <v>0.27826590528629791</v>
      </c>
      <c r="E68" s="981">
        <f>交通业务拆分!F71</f>
        <v>0.34336552365565842</v>
      </c>
      <c r="F68" s="981">
        <f>交通业务拆分!G71</f>
        <v>0.30408749828175868</v>
      </c>
      <c r="G68" s="981">
        <f>交通业务拆分!H71</f>
        <v>0.32472206741076676</v>
      </c>
      <c r="H68" s="981">
        <f>交通业务拆分!I71</f>
        <v>0.5018354478615179</v>
      </c>
      <c r="I68" s="981">
        <f>交通业务拆分!J71</f>
        <v>0.34708237679072951</v>
      </c>
      <c r="J68" s="981">
        <f>交通业务拆分!K71</f>
        <v>0.38718614145860553</v>
      </c>
      <c r="K68" s="981">
        <f>交通业务拆分!L71</f>
        <v>0.34793936656231977</v>
      </c>
      <c r="L68" s="981">
        <f>交通业务拆分!M71</f>
        <v>0.42091628595228536</v>
      </c>
      <c r="M68" s="981">
        <f>交通业务拆分!N71</f>
        <v>0.39026928079406425</v>
      </c>
      <c r="N68" s="981">
        <f>交通业务拆分!O71</f>
        <v>0.42041230818409953</v>
      </c>
      <c r="O68" s="981">
        <f>交通业务拆分!P71</f>
        <v>0.43128853643190695</v>
      </c>
      <c r="P68" s="981">
        <f>交通业务拆分!Q71</f>
        <v>0.52371527940235973</v>
      </c>
      <c r="Q68" s="981">
        <f>交通业务拆分!R71</f>
        <v>0.50011427229384131</v>
      </c>
      <c r="R68" s="981">
        <f>交通业务拆分!S71</f>
        <v>0.42852505100288191</v>
      </c>
      <c r="S68" s="981">
        <f>交通业务拆分!T71</f>
        <v>0.47178137171521412</v>
      </c>
      <c r="T68" s="981">
        <f>交通业务拆分!U71</f>
        <v>0.37512608811508918</v>
      </c>
      <c r="U68" s="981">
        <f>交通业务拆分!V71</f>
        <v>0.39742427124922775</v>
      </c>
      <c r="V68" s="981">
        <f>交通业务拆分!W71</f>
        <v>0.33638055580098258</v>
      </c>
      <c r="W68" s="981">
        <f>交通业务拆分!X71</f>
        <v>0.36412686626049018</v>
      </c>
      <c r="X68" s="981">
        <f>交通业务拆分!Y71</f>
        <v>0.37969456444754585</v>
      </c>
      <c r="Y68" s="981">
        <f>交通业务拆分!Z71</f>
        <v>0.420963130752674</v>
      </c>
      <c r="Z68" s="981">
        <f>交通业务拆分!AA71</f>
        <v>0.36639674330223304</v>
      </c>
      <c r="AA68" s="981">
        <f>交通业务拆分!AB71</f>
        <v>0.36406784295497063</v>
      </c>
      <c r="AB68" s="981">
        <f>交通业务拆分!AC71</f>
        <v>0.40256873798764381</v>
      </c>
      <c r="AC68" s="981">
        <f>交通业务拆分!AD71</f>
        <v>0.42306003251572455</v>
      </c>
      <c r="AD68" s="981">
        <f>交通业务拆分!AE71</f>
        <v>0.38938945416555182</v>
      </c>
      <c r="AE68" s="1010">
        <f>交通业务拆分!AF71</f>
        <v>0.40218568588318804</v>
      </c>
      <c r="AF68" s="981">
        <f>交通业务拆分!AG71</f>
        <v>0.42469296866340062</v>
      </c>
    </row>
    <row r="69" spans="1:32" x14ac:dyDescent="0.25">
      <c r="W69" s="978"/>
      <c r="AA69" s="978"/>
    </row>
    <row r="70" spans="1:32" ht="14.5" x14ac:dyDescent="0.4">
      <c r="C70" s="977" t="s">
        <v>466</v>
      </c>
      <c r="D70" s="541">
        <f t="shared" ref="D70:S70" si="15">D14</f>
        <v>26.860090521831737</v>
      </c>
      <c r="E70" s="541">
        <f t="shared" si="15"/>
        <v>22.10253951527924</v>
      </c>
      <c r="F70" s="541">
        <f t="shared" si="15"/>
        <v>21.932432432432435</v>
      </c>
      <c r="G70" s="541">
        <f t="shared" si="15"/>
        <v>22.165806451612902</v>
      </c>
      <c r="H70" s="541">
        <f t="shared" si="15"/>
        <v>28.560000000000002</v>
      </c>
      <c r="I70" s="541">
        <f t="shared" si="15"/>
        <v>27.279999999999998</v>
      </c>
      <c r="J70" s="541">
        <f t="shared" si="15"/>
        <v>19.759999999999998</v>
      </c>
      <c r="K70" s="541">
        <f t="shared" si="15"/>
        <v>23.2</v>
      </c>
      <c r="L70" s="541">
        <f t="shared" si="15"/>
        <v>24</v>
      </c>
      <c r="M70" s="541">
        <f t="shared" si="15"/>
        <v>21.599999999999998</v>
      </c>
      <c r="N70" s="541">
        <f t="shared" si="15"/>
        <v>22.406000000000002</v>
      </c>
      <c r="O70" s="541">
        <f t="shared" si="15"/>
        <v>25.8</v>
      </c>
      <c r="P70" s="541">
        <f t="shared" si="15"/>
        <v>24.296781697934318</v>
      </c>
      <c r="Q70" s="541">
        <f t="shared" si="15"/>
        <v>23.791071642796989</v>
      </c>
      <c r="R70" s="541">
        <f t="shared" si="15"/>
        <v>25.674801687572277</v>
      </c>
      <c r="S70" s="541">
        <f t="shared" si="15"/>
        <v>26.866269195947321</v>
      </c>
      <c r="T70" s="541">
        <f>T14</f>
        <v>24.487773205303856</v>
      </c>
      <c r="U70" s="541">
        <f t="shared" ref="U70:AD70" si="16">U14</f>
        <v>22.489021851840477</v>
      </c>
      <c r="V70" s="541">
        <f t="shared" si="16"/>
        <v>23.785966289439681</v>
      </c>
      <c r="W70" s="541">
        <f t="shared" si="16"/>
        <v>22.942047041687108</v>
      </c>
      <c r="X70" s="541">
        <f t="shared" si="16"/>
        <v>23.149459822227993</v>
      </c>
      <c r="Y70" s="541">
        <f t="shared" si="16"/>
        <v>21.437234607491998</v>
      </c>
      <c r="Z70" s="541">
        <f t="shared" si="16"/>
        <v>24.8715078708357</v>
      </c>
      <c r="AA70" s="541">
        <f t="shared" si="16"/>
        <v>22.883059602987249</v>
      </c>
      <c r="AB70" s="541">
        <f t="shared" si="16"/>
        <v>24.383739223213947</v>
      </c>
      <c r="AC70" s="541">
        <f t="shared" si="16"/>
        <v>23.920132301255943</v>
      </c>
      <c r="AD70" s="541">
        <f t="shared" si="16"/>
        <v>25.112180933574763</v>
      </c>
      <c r="AE70" s="542">
        <f t="shared" ref="AE70:AF70" si="17">AE14</f>
        <v>24.908830855294468</v>
      </c>
      <c r="AF70" s="541">
        <f t="shared" si="17"/>
        <v>23.517463078115004</v>
      </c>
    </row>
    <row r="71" spans="1:32" ht="14.5" x14ac:dyDescent="0.4">
      <c r="C71" s="521" t="s">
        <v>467</v>
      </c>
      <c r="D71" s="541">
        <f>交通业务拆分!E64</f>
        <v>18.321510118924767</v>
      </c>
      <c r="E71" s="541">
        <f>交通业务拆分!F64</f>
        <v>19.114091987126027</v>
      </c>
      <c r="F71" s="541">
        <f>交通业务拆分!G64</f>
        <v>18.186619519484609</v>
      </c>
      <c r="G71" s="541">
        <f>交通业务拆分!H64</f>
        <v>17.094433225701746</v>
      </c>
      <c r="H71" s="541">
        <f>交通业务拆分!I64</f>
        <v>19.368304336240367</v>
      </c>
      <c r="I71" s="541">
        <f>交通业务拆分!J64</f>
        <v>19.306840845833459</v>
      </c>
      <c r="J71" s="541">
        <f>交通业务拆分!K64</f>
        <v>19.664719678783456</v>
      </c>
      <c r="K71" s="541">
        <f>交通业务拆分!L64</f>
        <v>20.476439783843109</v>
      </c>
      <c r="L71" s="541">
        <f>交通业务拆分!M64</f>
        <v>20.053502169703787</v>
      </c>
      <c r="M71" s="541">
        <f>交通业务拆分!N64</f>
        <v>21.074505152156846</v>
      </c>
      <c r="N71" s="541">
        <f>交通业务拆分!O64</f>
        <v>20.773141976009068</v>
      </c>
      <c r="O71" s="541">
        <f>交通业务拆分!P64</f>
        <v>19.749869651150604</v>
      </c>
      <c r="P71" s="541">
        <f>交通业务拆分!Q64</f>
        <v>20.573106537385701</v>
      </c>
      <c r="Q71" s="541">
        <f>交通业务拆分!R64</f>
        <v>23.78056619955392</v>
      </c>
      <c r="R71" s="541">
        <f>交通业务拆分!S64</f>
        <v>25.461377967623715</v>
      </c>
      <c r="S71" s="541">
        <f>交通业务拆分!T64</f>
        <v>27.411508301289569</v>
      </c>
      <c r="T71" s="541">
        <f>交通业务拆分!U64</f>
        <v>26.700893346464809</v>
      </c>
      <c r="U71" s="541">
        <f>交通业务拆分!V64</f>
        <v>25.154099714106728</v>
      </c>
      <c r="V71" s="541">
        <f>交通业务拆分!W64</f>
        <v>21.788151794615111</v>
      </c>
      <c r="W71" s="541">
        <f>交通业务拆分!X64</f>
        <v>17.713495854747485</v>
      </c>
      <c r="X71" s="541">
        <f>交通业务拆分!Y64</f>
        <v>19.227692248331294</v>
      </c>
      <c r="Y71" s="541">
        <f>交通业务拆分!Z64</f>
        <v>18.702922988223861</v>
      </c>
      <c r="Z71" s="541">
        <f>交通业务拆分!AA64</f>
        <v>17.852852278965557</v>
      </c>
      <c r="AA71" s="541">
        <f>交通业务拆分!AB64</f>
        <v>18.184233901399026</v>
      </c>
      <c r="AB71" s="541">
        <f>交通业务拆分!AC64</f>
        <v>18.799428284497193</v>
      </c>
      <c r="AC71" s="541">
        <f>交通业务拆分!AD64</f>
        <v>18.47156188006247</v>
      </c>
      <c r="AD71" s="541">
        <f>交通业务拆分!AE64</f>
        <v>18.586170833730968</v>
      </c>
      <c r="AE71" s="542">
        <f>交通业务拆分!AF64</f>
        <v>18.418678937681683</v>
      </c>
      <c r="AF71" s="541">
        <f>交通业务拆分!AG64</f>
        <v>17.205775578999937</v>
      </c>
    </row>
    <row r="72" spans="1:32" ht="14.5" x14ac:dyDescent="0.4">
      <c r="C72" s="521" t="s">
        <v>480</v>
      </c>
      <c r="D72" s="524">
        <f>D70/D71</f>
        <v>1.4660413004977819</v>
      </c>
      <c r="E72" s="524">
        <f t="shared" ref="E72" si="18">E70/E71</f>
        <v>1.1563478678540435</v>
      </c>
      <c r="F72" s="524">
        <f t="shared" ref="F72" si="19">F70/F71</f>
        <v>1.2059653202143847</v>
      </c>
      <c r="G72" s="524">
        <f t="shared" ref="G72" si="20">G70/G71</f>
        <v>1.2966681117152377</v>
      </c>
      <c r="H72" s="524">
        <f t="shared" ref="H72" si="21">H70/H71</f>
        <v>1.4745741033488871</v>
      </c>
      <c r="I72" s="524">
        <f t="shared" ref="I72" si="22">I70/I71</f>
        <v>1.4129706780012743</v>
      </c>
      <c r="J72" s="524">
        <f t="shared" ref="J72" si="23">J70/J71</f>
        <v>1.0048452417717066</v>
      </c>
      <c r="K72" s="524">
        <f t="shared" ref="K72" si="24">K70/K71</f>
        <v>1.1330094608685788</v>
      </c>
      <c r="L72" s="524">
        <f t="shared" ref="L72" si="25">L70/L71</f>
        <v>1.1967984343532003</v>
      </c>
      <c r="M72" s="524">
        <f t="shared" ref="M72" si="26">M70/M71</f>
        <v>1.0249350978373684</v>
      </c>
      <c r="N72" s="524">
        <f t="shared" ref="N72" si="27">N70/N71</f>
        <v>1.0786042874918356</v>
      </c>
      <c r="O72" s="524">
        <f t="shared" ref="O72" si="28">O70/O71</f>
        <v>1.306337735677001</v>
      </c>
      <c r="P72" s="524">
        <f t="shared" ref="P72" si="29">P70/P71</f>
        <v>1.1809972234276778</v>
      </c>
      <c r="Q72" s="524">
        <f t="shared" ref="Q72" si="30">Q70/Q71</f>
        <v>1.000441765900564</v>
      </c>
      <c r="R72" s="524">
        <f t="shared" ref="R72" si="31">R70/R71</f>
        <v>1.008382253317945</v>
      </c>
      <c r="S72" s="524">
        <f t="shared" ref="S72" si="32">S70/S71</f>
        <v>0.98010911696834291</v>
      </c>
      <c r="T72" s="524">
        <f t="shared" ref="T72" si="33">T70/T71</f>
        <v>0.91711437844254862</v>
      </c>
      <c r="U72" s="524">
        <f t="shared" ref="U72" si="34">U70/U71</f>
        <v>0.89404996034218454</v>
      </c>
      <c r="V72" s="524">
        <f t="shared" ref="V72" si="35">V70/V71</f>
        <v>1.0916927013202802</v>
      </c>
      <c r="W72" s="524">
        <f t="shared" ref="W72" si="36">W70/W71</f>
        <v>1.2951733090867148</v>
      </c>
      <c r="X72" s="524">
        <f t="shared" ref="X72" si="37">X70/X71</f>
        <v>1.2039645488000286</v>
      </c>
      <c r="Y72" s="524">
        <f t="shared" ref="Y72" si="38">Y70/Y71</f>
        <v>1.1461970207004419</v>
      </c>
      <c r="Z72" s="524">
        <f t="shared" ref="Z72" si="39">Z70/Z71</f>
        <v>1.3931391736288328</v>
      </c>
      <c r="AA72" s="524">
        <f t="shared" ref="AA72" si="40">AA70/AA71</f>
        <v>1.2584010812370112</v>
      </c>
      <c r="AB72" s="524">
        <f t="shared" ref="AB72" si="41">AB70/AB71</f>
        <v>1.2970468492024203</v>
      </c>
      <c r="AC72" s="524">
        <f t="shared" ref="AC72" si="42">AC70/AC71</f>
        <v>1.294970747821518</v>
      </c>
      <c r="AD72" s="524">
        <f t="shared" ref="AD72:AE72" si="43">AD70/AD71</f>
        <v>1.3511218183790776</v>
      </c>
      <c r="AE72" s="529">
        <f t="shared" si="43"/>
        <v>1.3523679379814242</v>
      </c>
      <c r="AF72" s="524">
        <f t="shared" ref="AF72" si="44">AF70/AF71</f>
        <v>1.3668353960642514</v>
      </c>
    </row>
    <row r="74" spans="1:32" x14ac:dyDescent="0.25">
      <c r="X74" s="524">
        <f>X65/T65-1</f>
        <v>0.28907772020725431</v>
      </c>
      <c r="Y74" s="524">
        <f t="shared" ref="Y74:AF74" si="45">Y65/U65-1</f>
        <v>9.8181818181818148E-2</v>
      </c>
      <c r="Z74" s="524">
        <f t="shared" si="45"/>
        <v>0.15725998934469909</v>
      </c>
      <c r="AA74" s="524">
        <f t="shared" si="45"/>
        <v>7.0000000000000062E-2</v>
      </c>
      <c r="AB74" s="524">
        <f t="shared" si="45"/>
        <v>3.0000000000000027E-2</v>
      </c>
      <c r="AC74" s="524">
        <f t="shared" si="45"/>
        <v>2.0000000000000018E-2</v>
      </c>
      <c r="AD74" s="524">
        <f t="shared" si="45"/>
        <v>1.0000000000000009E-2</v>
      </c>
      <c r="AE74" s="529">
        <f t="shared" si="45"/>
        <v>1.0000000000000009E-2</v>
      </c>
      <c r="AF74" s="524">
        <f t="shared" si="45"/>
        <v>1.0000000000000009E-2</v>
      </c>
    </row>
    <row r="75" spans="1:32" x14ac:dyDescent="0.25">
      <c r="X75" s="524">
        <f>X66/T66-1</f>
        <v>0.27356756650243974</v>
      </c>
      <c r="Y75" s="524">
        <f t="shared" ref="Y75" si="46">Y66/U66-1</f>
        <v>3.6775139926642275E-2</v>
      </c>
      <c r="Z75" s="524">
        <f t="shared" ref="Z75" si="47">Z66/V66-1</f>
        <v>6.2454199001709565E-2</v>
      </c>
      <c r="AA75" s="524">
        <f t="shared" ref="AA75" si="48">AA66/W66-1</f>
        <v>7.0173470242230973E-2</v>
      </c>
      <c r="AB75" s="524">
        <f t="shared" ref="AB75" si="49">AB66/X66-1</f>
        <v>-2.8525157378276211E-2</v>
      </c>
      <c r="AC75" s="524">
        <f t="shared" ref="AC75" si="50">AC66/Y66-1</f>
        <v>1.4944358639616739E-2</v>
      </c>
      <c r="AD75" s="524">
        <f t="shared" ref="AD75:AF75" si="51">AD66/Z66-1</f>
        <v>-4.9638589909213882E-2</v>
      </c>
      <c r="AE75" s="529">
        <f t="shared" si="51"/>
        <v>-8.5724494204603041E-2</v>
      </c>
      <c r="AF75" s="524">
        <f t="shared" si="51"/>
        <v>-4.2615594397148349E-2</v>
      </c>
    </row>
  </sheetData>
  <phoneticPr fontId="2"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F119F-47FF-4E37-9916-A5694FEAFA8C}">
  <dimension ref="B2:H20"/>
  <sheetViews>
    <sheetView zoomScale="90" zoomScaleNormal="90" workbookViewId="0">
      <selection activeCell="D7" sqref="D7"/>
    </sheetView>
  </sheetViews>
  <sheetFormatPr defaultRowHeight="14" x14ac:dyDescent="0.3"/>
  <cols>
    <col min="2" max="2" width="17.33203125" customWidth="1"/>
    <col min="3" max="3" width="14.75" bestFit="1" customWidth="1"/>
    <col min="4" max="4" width="21.4140625" customWidth="1"/>
    <col min="5" max="6" width="16.33203125" customWidth="1"/>
    <col min="7" max="7" width="10.6640625" bestFit="1" customWidth="1"/>
  </cols>
  <sheetData>
    <row r="2" spans="2:8" x14ac:dyDescent="0.3">
      <c r="B2" s="533"/>
      <c r="C2" s="533" t="s">
        <v>399</v>
      </c>
      <c r="D2" s="533" t="s">
        <v>400</v>
      </c>
      <c r="E2" s="533"/>
      <c r="F2" s="946">
        <v>2024</v>
      </c>
      <c r="G2" s="533"/>
      <c r="H2" s="533"/>
    </row>
    <row r="3" spans="2:8" x14ac:dyDescent="0.3">
      <c r="B3" t="s">
        <v>401</v>
      </c>
      <c r="C3" s="233"/>
      <c r="F3" s="233"/>
    </row>
    <row r="4" spans="2:8" x14ac:dyDescent="0.3">
      <c r="B4" s="244" t="s">
        <v>62</v>
      </c>
      <c r="C4" s="233">
        <f>+交通业务拆分!AB42</f>
        <v>3689.5149999999999</v>
      </c>
      <c r="F4" s="233">
        <f>SUM(交通业务拆分!Y42:AB42)</f>
        <v>15757.373335</v>
      </c>
    </row>
    <row r="5" spans="2:8" x14ac:dyDescent="0.3">
      <c r="B5" s="244" t="s">
        <v>137</v>
      </c>
      <c r="C5" s="396">
        <f>+交通业务拆分!AB45</f>
        <v>2.7602316744485291</v>
      </c>
      <c r="D5" t="s">
        <v>402</v>
      </c>
      <c r="E5" s="231"/>
      <c r="F5" s="396">
        <f>SUM(交通业务拆分!Y45:AB45)</f>
        <v>13.094998686916004</v>
      </c>
      <c r="G5" s="178">
        <f>F5/SUM(交通业务拆分!Y21:AB21)</f>
        <v>9.5738448731404163E-2</v>
      </c>
    </row>
    <row r="6" spans="2:8" x14ac:dyDescent="0.3">
      <c r="B6" s="244" t="s">
        <v>146</v>
      </c>
      <c r="C6" s="233">
        <f>C4/C5</f>
        <v>1336.6685971159047</v>
      </c>
      <c r="F6" s="233">
        <f>F4/F5</f>
        <v>1203.3123264643116</v>
      </c>
    </row>
    <row r="7" spans="2:8" x14ac:dyDescent="0.3">
      <c r="B7" s="244" t="s">
        <v>71</v>
      </c>
      <c r="C7" s="178">
        <f>+交通业务拆分!AB50</f>
        <v>2.5499999999999998E-2</v>
      </c>
      <c r="F7" s="178"/>
    </row>
    <row r="8" spans="2:8" x14ac:dyDescent="0.3">
      <c r="B8" s="534" t="s">
        <v>247</v>
      </c>
      <c r="C8" s="535">
        <f>C5*C7*C6</f>
        <v>94.082632499999988</v>
      </c>
      <c r="D8" s="536" t="s">
        <v>403</v>
      </c>
      <c r="E8" s="536"/>
      <c r="F8" s="535">
        <f>SUM(交通业务拆分!Y51:AB51)</f>
        <v>332.08294021</v>
      </c>
      <c r="G8" s="552">
        <f>F8/SUM(交通业务拆分!Y14:AB14)</f>
        <v>4.5937407131052557E-2</v>
      </c>
      <c r="H8" s="536"/>
    </row>
    <row r="9" spans="2:8" x14ac:dyDescent="0.3">
      <c r="C9" s="178">
        <f>C8/(Tongchengelong!AW15/1000)</f>
        <v>5.4602697847989594E-2</v>
      </c>
      <c r="F9" s="178"/>
    </row>
    <row r="10" spans="2:8" x14ac:dyDescent="0.3">
      <c r="C10" s="233"/>
      <c r="F10" s="233"/>
    </row>
    <row r="11" spans="2:8" x14ac:dyDescent="0.3">
      <c r="B11" t="s">
        <v>404</v>
      </c>
      <c r="C11" s="233"/>
      <c r="F11" s="233"/>
    </row>
    <row r="12" spans="2:8" x14ac:dyDescent="0.3">
      <c r="B12" s="244" t="s">
        <v>62</v>
      </c>
      <c r="C12" s="233">
        <f>C13*C15</f>
        <v>904.8</v>
      </c>
      <c r="F12" s="233"/>
    </row>
    <row r="13" spans="2:8" x14ac:dyDescent="0.3">
      <c r="B13" s="244" t="s">
        <v>137</v>
      </c>
      <c r="C13" s="396">
        <f>2%*58</f>
        <v>1.1599999999999999</v>
      </c>
      <c r="D13" t="s">
        <v>405</v>
      </c>
      <c r="F13" s="396"/>
    </row>
    <row r="14" spans="2:8" x14ac:dyDescent="0.3">
      <c r="B14" s="244" t="s">
        <v>71</v>
      </c>
      <c r="C14" s="231">
        <v>0.09</v>
      </c>
      <c r="F14" s="231"/>
    </row>
    <row r="15" spans="2:8" x14ac:dyDescent="0.3">
      <c r="B15" s="244" t="s">
        <v>406</v>
      </c>
      <c r="C15" s="233">
        <v>780</v>
      </c>
      <c r="D15" t="s">
        <v>407</v>
      </c>
      <c r="F15" s="233"/>
    </row>
    <row r="16" spans="2:8" x14ac:dyDescent="0.3">
      <c r="B16" s="534" t="s">
        <v>247</v>
      </c>
      <c r="C16" s="535">
        <f>C13*C14*C15</f>
        <v>81.431999999999988</v>
      </c>
      <c r="D16" s="536"/>
      <c r="F16" s="535"/>
    </row>
    <row r="17" spans="2:6" x14ac:dyDescent="0.3">
      <c r="B17" s="244"/>
      <c r="C17" s="233"/>
      <c r="F17" s="233"/>
    </row>
    <row r="18" spans="2:6" x14ac:dyDescent="0.3">
      <c r="B18" s="244" t="s">
        <v>408</v>
      </c>
      <c r="C18" s="233">
        <f>C16+C8</f>
        <v>175.51463249999998</v>
      </c>
      <c r="F18" s="233"/>
    </row>
    <row r="19" spans="2:6" x14ac:dyDescent="0.3">
      <c r="B19" s="1" t="s">
        <v>409</v>
      </c>
      <c r="C19" s="239">
        <f>Tongchengelong!AW17/1000</f>
        <v>3457.3319999999999</v>
      </c>
      <c r="F19" s="239"/>
    </row>
    <row r="20" spans="2:6" x14ac:dyDescent="0.3">
      <c r="B20" s="244" t="s">
        <v>412</v>
      </c>
      <c r="C20" s="178">
        <f>C18/C19</f>
        <v>5.0765917910111029E-2</v>
      </c>
      <c r="F20" s="178"/>
    </row>
  </sheetData>
  <phoneticPr fontId="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5:F13"/>
  <sheetViews>
    <sheetView workbookViewId="0">
      <selection activeCell="G11" sqref="G11"/>
    </sheetView>
  </sheetViews>
  <sheetFormatPr defaultColWidth="8.4140625" defaultRowHeight="14" x14ac:dyDescent="0.3"/>
  <cols>
    <col min="1" max="1" width="8.4140625" style="455"/>
    <col min="2" max="2" width="10.4140625" style="454" bestFit="1" customWidth="1"/>
    <col min="3" max="3" width="8.4140625" style="455"/>
    <col min="4" max="4" width="7.83203125" style="455" customWidth="1"/>
    <col min="5" max="6" width="11.75" style="455" bestFit="1" customWidth="1"/>
    <col min="7" max="16384" width="8.4140625" style="455"/>
  </cols>
  <sheetData>
    <row r="5" spans="2:6" x14ac:dyDescent="0.3">
      <c r="D5" s="457" t="s">
        <v>187</v>
      </c>
      <c r="E5" s="457" t="s">
        <v>332</v>
      </c>
      <c r="F5" s="455" t="s">
        <v>134</v>
      </c>
    </row>
    <row r="6" spans="2:6" x14ac:dyDescent="0.3">
      <c r="C6" s="455" t="s">
        <v>338</v>
      </c>
      <c r="D6" s="456">
        <f>D8-D7</f>
        <v>0.90674376612703256</v>
      </c>
      <c r="E6" s="456">
        <f>D6*(1+F6)</f>
        <v>1.6321387790286586</v>
      </c>
      <c r="F6" s="454">
        <v>0.8</v>
      </c>
    </row>
    <row r="7" spans="2:6" x14ac:dyDescent="0.3">
      <c r="B7" s="454">
        <v>0.95</v>
      </c>
      <c r="C7" s="455" t="s">
        <v>339</v>
      </c>
      <c r="D7" s="456">
        <f>B7*D8</f>
        <v>17.228131556413572</v>
      </c>
      <c r="E7" s="456">
        <f>D7*(1+F7)</f>
        <v>22.913414970030054</v>
      </c>
      <c r="F7" s="454">
        <v>0.33</v>
      </c>
    </row>
    <row r="8" spans="2:6" x14ac:dyDescent="0.3">
      <c r="C8" s="455" t="s">
        <v>206</v>
      </c>
      <c r="D8" s="456">
        <f>交通业务拆分!E21</f>
        <v>18.134875322540605</v>
      </c>
      <c r="E8" s="456">
        <f>E6+E7</f>
        <v>24.545553749058712</v>
      </c>
      <c r="F8" s="454">
        <f>E8/D8-1</f>
        <v>0.35350000000000015</v>
      </c>
    </row>
    <row r="10" spans="2:6" x14ac:dyDescent="0.3">
      <c r="D10" s="457" t="s">
        <v>187</v>
      </c>
      <c r="E10" s="457" t="s">
        <v>332</v>
      </c>
      <c r="F10" s="455" t="s">
        <v>134</v>
      </c>
    </row>
    <row r="11" spans="2:6" x14ac:dyDescent="0.3">
      <c r="C11" s="455" t="s">
        <v>338</v>
      </c>
    </row>
    <row r="12" spans="2:6" x14ac:dyDescent="0.3">
      <c r="B12" s="454">
        <v>0.95</v>
      </c>
      <c r="C12" s="455" t="s">
        <v>339</v>
      </c>
    </row>
    <row r="13" spans="2:6" x14ac:dyDescent="0.3">
      <c r="C13" s="455" t="s">
        <v>206</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K10"/>
  <sheetViews>
    <sheetView showGridLines="0" workbookViewId="0">
      <selection activeCell="F18" sqref="F18"/>
    </sheetView>
  </sheetViews>
  <sheetFormatPr defaultRowHeight="14" x14ac:dyDescent="0.3"/>
  <cols>
    <col min="1" max="1" width="17.33203125" bestFit="1" customWidth="1"/>
    <col min="2" max="2" width="18" bestFit="1" customWidth="1"/>
    <col min="3" max="3" width="16.33203125" bestFit="1" customWidth="1"/>
    <col min="4" max="4" width="10.4140625" bestFit="1" customWidth="1"/>
    <col min="8" max="8" width="12.83203125" bestFit="1" customWidth="1"/>
    <col min="9" max="9" width="12.83203125" customWidth="1"/>
    <col min="10" max="10" width="27.33203125" bestFit="1" customWidth="1"/>
  </cols>
  <sheetData>
    <row r="3" spans="1:11" x14ac:dyDescent="0.3">
      <c r="A3" s="1023" t="s">
        <v>301</v>
      </c>
      <c r="B3" s="405" t="s">
        <v>263</v>
      </c>
      <c r="C3" s="405" t="s">
        <v>267</v>
      </c>
      <c r="D3" s="405" t="s">
        <v>275</v>
      </c>
      <c r="E3" s="405" t="s">
        <v>285</v>
      </c>
      <c r="F3" s="406" t="s">
        <v>299</v>
      </c>
      <c r="I3" s="407" t="s">
        <v>310</v>
      </c>
      <c r="J3" t="s">
        <v>303</v>
      </c>
      <c r="K3" t="s">
        <v>304</v>
      </c>
    </row>
    <row r="4" spans="1:11" x14ac:dyDescent="0.3">
      <c r="A4" s="1024"/>
      <c r="B4" s="238">
        <v>0.12</v>
      </c>
      <c r="C4" s="238">
        <v>0.11</v>
      </c>
      <c r="D4" s="238">
        <v>0.1</v>
      </c>
      <c r="E4" s="238">
        <v>0.12</v>
      </c>
      <c r="F4" s="404">
        <v>0.15</v>
      </c>
      <c r="H4" t="s">
        <v>307</v>
      </c>
      <c r="I4" t="s">
        <v>311</v>
      </c>
      <c r="J4" t="s">
        <v>308</v>
      </c>
    </row>
    <row r="5" spans="1:11" x14ac:dyDescent="0.3">
      <c r="H5" t="s">
        <v>309</v>
      </c>
    </row>
    <row r="9" spans="1:11" x14ac:dyDescent="0.3">
      <c r="B9" t="s">
        <v>312</v>
      </c>
      <c r="C9">
        <v>9961</v>
      </c>
    </row>
    <row r="10" spans="1:11" x14ac:dyDescent="0.3">
      <c r="B10">
        <v>4072755</v>
      </c>
      <c r="C10">
        <v>509934</v>
      </c>
      <c r="D10" s="231">
        <f>C10/(B10+C10)</f>
        <v>0.11127397036979816</v>
      </c>
    </row>
  </sheetData>
  <mergeCells count="1">
    <mergeCell ref="A3:A4"/>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O13"/>
  <sheetViews>
    <sheetView workbookViewId="0">
      <selection activeCell="F19" sqref="F19"/>
    </sheetView>
  </sheetViews>
  <sheetFormatPr defaultRowHeight="14" x14ac:dyDescent="0.3"/>
  <cols>
    <col min="1" max="1" width="17.25" bestFit="1" customWidth="1"/>
    <col min="2" max="2" width="11.75" bestFit="1" customWidth="1"/>
    <col min="6" max="6" width="11.75" bestFit="1" customWidth="1"/>
    <col min="12" max="13" width="11.4140625" bestFit="1" customWidth="1"/>
    <col min="14" max="14" width="12.75" bestFit="1" customWidth="1"/>
    <col min="15" max="15" width="10.4140625" bestFit="1" customWidth="1"/>
  </cols>
  <sheetData>
    <row r="2" spans="1:15" x14ac:dyDescent="0.3">
      <c r="A2" t="s">
        <v>280</v>
      </c>
      <c r="B2" t="s">
        <v>187</v>
      </c>
      <c r="C2" t="s">
        <v>277</v>
      </c>
      <c r="D2" t="s">
        <v>278</v>
      </c>
      <c r="E2" t="s">
        <v>279</v>
      </c>
      <c r="F2" s="398" t="s">
        <v>186</v>
      </c>
      <c r="G2" t="s">
        <v>238</v>
      </c>
      <c r="H2" t="s">
        <v>256</v>
      </c>
      <c r="I2" t="s">
        <v>257</v>
      </c>
      <c r="J2" t="s">
        <v>260</v>
      </c>
      <c r="K2" t="s">
        <v>283</v>
      </c>
      <c r="L2" t="s">
        <v>284</v>
      </c>
      <c r="M2" t="s">
        <v>276</v>
      </c>
      <c r="N2" s="398" t="s">
        <v>285</v>
      </c>
    </row>
    <row r="3" spans="1:15" x14ac:dyDescent="0.3">
      <c r="A3" t="s">
        <v>282</v>
      </c>
      <c r="B3" s="395">
        <f>交通业务拆分!E21</f>
        <v>18.134875322540605</v>
      </c>
      <c r="C3" s="395">
        <f>交通业务拆分!F21</f>
        <v>22.021182693161805</v>
      </c>
      <c r="D3" s="395">
        <f>交通业务拆分!G21</f>
        <v>23.127233323012884</v>
      </c>
      <c r="E3" s="395">
        <f>交通业务拆分!H21</f>
        <v>24.036397058823528</v>
      </c>
      <c r="F3" s="399">
        <f>交通业务拆分!I21</f>
        <v>9.9587252833394491</v>
      </c>
      <c r="G3" s="395">
        <f>交通业务拆分!J21</f>
        <v>12.646174084409404</v>
      </c>
      <c r="H3" s="395">
        <f>交通业务拆分!K21</f>
        <v>26.31109950204231</v>
      </c>
      <c r="I3" s="395">
        <f>交通业务拆分!L21</f>
        <v>21.675139619252235</v>
      </c>
      <c r="J3" s="395">
        <f>交通业务拆分!M21</f>
        <v>21.254148497011492</v>
      </c>
      <c r="K3" s="395">
        <f>交通业务拆分!N21</f>
        <v>26.414351033145593</v>
      </c>
      <c r="L3" s="395">
        <f>交通业务拆分!O21</f>
        <v>22.651300580294066</v>
      </c>
      <c r="M3" s="395">
        <f>交通业务拆分!P21</f>
        <v>18.596599721980855</v>
      </c>
      <c r="N3" s="399"/>
      <c r="O3" s="231"/>
    </row>
    <row r="4" spans="1:15" x14ac:dyDescent="0.3">
      <c r="A4" t="s">
        <v>281</v>
      </c>
      <c r="B4" s="396">
        <f>交通业务拆分!E98</f>
        <v>110.42493686407792</v>
      </c>
      <c r="C4" s="396">
        <f>交通业务拆分!F98</f>
        <v>124.40036538944037</v>
      </c>
      <c r="D4" s="396">
        <f>交通业务拆分!G98</f>
        <v>132.06485276681221</v>
      </c>
      <c r="E4" s="396">
        <f>交通业务拆分!H98</f>
        <v>118.52333333333334</v>
      </c>
      <c r="F4" s="400">
        <f>交通业务拆分!I98</f>
        <v>55.731748324775431</v>
      </c>
      <c r="G4" s="396">
        <f>交通业务拆分!J98</f>
        <v>71.034748788665468</v>
      </c>
      <c r="H4" s="396">
        <f>交通业务拆分!K98</f>
        <v>123.44455706221356</v>
      </c>
      <c r="I4" s="396">
        <f>交通业务拆分!L98</f>
        <v>111.02619071274582</v>
      </c>
      <c r="J4" s="396">
        <f>交通业务拆分!M98</f>
        <v>83.498440523973727</v>
      </c>
      <c r="K4" s="396">
        <f>交通业务拆分!N98</f>
        <v>108.38715469527827</v>
      </c>
      <c r="L4" s="396">
        <f>交通业务拆分!O98</f>
        <v>103.51412318773946</v>
      </c>
      <c r="M4" s="396">
        <f>交通业务拆分!P98</f>
        <v>76.234508177064399</v>
      </c>
      <c r="N4" s="400">
        <f>(J4+J5)*1.6</f>
        <v>133.59750483835796</v>
      </c>
    </row>
    <row r="5" spans="1:15" x14ac:dyDescent="0.3">
      <c r="B5" s="396"/>
      <c r="C5" s="396"/>
      <c r="D5" s="396"/>
      <c r="E5" s="396"/>
      <c r="F5" s="400"/>
      <c r="G5" s="396"/>
      <c r="H5" s="396"/>
      <c r="I5" s="396"/>
      <c r="J5" s="396">
        <f>交通业务拆分!M93/80</f>
        <v>0</v>
      </c>
      <c r="K5" s="396"/>
      <c r="L5" s="396"/>
      <c r="M5" s="396"/>
      <c r="N5" s="400"/>
    </row>
    <row r="6" spans="1:15" x14ac:dyDescent="0.3">
      <c r="A6" t="s">
        <v>271</v>
      </c>
      <c r="B6" s="395"/>
      <c r="F6">
        <f>SUM(F3:F4)</f>
        <v>65.690473608114885</v>
      </c>
      <c r="J6" s="395">
        <f>SUM(J3:J5)</f>
        <v>104.75258902098523</v>
      </c>
      <c r="N6" s="395">
        <f>J6*1.15</f>
        <v>120.465477374133</v>
      </c>
      <c r="O6" s="231">
        <f>N6/J6-1</f>
        <v>0.14999999999999991</v>
      </c>
    </row>
    <row r="8" spans="1:15" x14ac:dyDescent="0.3">
      <c r="A8" t="s">
        <v>282</v>
      </c>
      <c r="B8" s="397">
        <f>B3/(B3+B4+B6)</f>
        <v>0.14106177516980084</v>
      </c>
      <c r="C8" s="231">
        <f t="shared" ref="C8:M8" si="0">C3/(C3+C4+C6)</f>
        <v>0.15039577836411611</v>
      </c>
      <c r="D8" s="231">
        <f t="shared" si="0"/>
        <v>0.14902327757632469</v>
      </c>
      <c r="E8" s="231">
        <f t="shared" si="0"/>
        <v>0.16860579767304279</v>
      </c>
      <c r="F8" s="397">
        <f t="shared" si="0"/>
        <v>7.5800376647834261E-2</v>
      </c>
      <c r="G8" s="231">
        <f t="shared" si="0"/>
        <v>0.15112374063549472</v>
      </c>
      <c r="H8" s="231">
        <f t="shared" si="0"/>
        <v>0.17569352708058122</v>
      </c>
      <c r="I8" s="231">
        <f t="shared" si="0"/>
        <v>0.16333777185974255</v>
      </c>
      <c r="J8" s="397">
        <f t="shared" si="0"/>
        <v>0.10144927536231883</v>
      </c>
      <c r="K8" s="231">
        <f t="shared" si="0"/>
        <v>0.19594997022036925</v>
      </c>
      <c r="L8" s="231">
        <f t="shared" si="0"/>
        <v>0.17953651566169604</v>
      </c>
      <c r="M8" s="231">
        <f t="shared" si="0"/>
        <v>0.19610231425091348</v>
      </c>
    </row>
    <row r="9" spans="1:15" x14ac:dyDescent="0.3">
      <c r="A9" t="s">
        <v>281</v>
      </c>
      <c r="B9" s="231">
        <f>B4/(B3+B4+B6)</f>
        <v>0.8589382248301991</v>
      </c>
      <c r="C9" s="231">
        <f t="shared" ref="C9:M9" si="1">C4/(C3+C4+C6)</f>
        <v>0.849604221635884</v>
      </c>
      <c r="D9" s="231">
        <f t="shared" si="1"/>
        <v>0.85097672242367528</v>
      </c>
      <c r="E9" s="231">
        <f t="shared" si="1"/>
        <v>0.83139420232695727</v>
      </c>
      <c r="F9" s="397">
        <f t="shared" si="1"/>
        <v>0.42419962335216571</v>
      </c>
      <c r="G9" s="231">
        <f t="shared" si="1"/>
        <v>0.84887625936450528</v>
      </c>
      <c r="H9" s="231">
        <f t="shared" si="1"/>
        <v>0.82430647291941883</v>
      </c>
      <c r="I9" s="231">
        <f t="shared" si="1"/>
        <v>0.83666222814025737</v>
      </c>
      <c r="J9" s="397">
        <f t="shared" si="1"/>
        <v>0.39855072463768115</v>
      </c>
      <c r="K9" s="231">
        <f t="shared" si="1"/>
        <v>0.80405002977963069</v>
      </c>
      <c r="L9" s="231">
        <f t="shared" si="1"/>
        <v>0.82046348433830396</v>
      </c>
      <c r="M9" s="231">
        <f t="shared" si="1"/>
        <v>0.8038976857490866</v>
      </c>
    </row>
    <row r="10" spans="1:15" x14ac:dyDescent="0.3">
      <c r="A10" t="s">
        <v>271</v>
      </c>
    </row>
    <row r="13" spans="1:15" x14ac:dyDescent="0.3">
      <c r="L13" s="231">
        <f>0.15-(0.8*60%)</f>
        <v>-0.32999999999999996</v>
      </c>
      <c r="M13" s="231"/>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C5"/>
  <sheetViews>
    <sheetView workbookViewId="0">
      <selection activeCell="E31" sqref="E31:E32"/>
    </sheetView>
  </sheetViews>
  <sheetFormatPr defaultRowHeight="14" x14ac:dyDescent="0.3"/>
  <cols>
    <col min="2" max="2" width="14.08203125" bestFit="1" customWidth="1"/>
  </cols>
  <sheetData>
    <row r="2" spans="2:3" x14ac:dyDescent="0.3">
      <c r="B2" t="s">
        <v>261</v>
      </c>
      <c r="C2" s="1" t="s">
        <v>134</v>
      </c>
    </row>
    <row r="3" spans="2:3" x14ac:dyDescent="0.3">
      <c r="B3" t="s">
        <v>179</v>
      </c>
    </row>
    <row r="4" spans="2:3" x14ac:dyDescent="0.3">
      <c r="B4" t="s">
        <v>251</v>
      </c>
    </row>
    <row r="5" spans="2:3" x14ac:dyDescent="0.3">
      <c r="B5" t="s">
        <v>191</v>
      </c>
    </row>
  </sheetData>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
  <sheetViews>
    <sheetView workbookViewId="0">
      <selection activeCell="F15" sqref="F15"/>
    </sheetView>
  </sheetViews>
  <sheetFormatPr defaultRowHeight="14" x14ac:dyDescent="0.3"/>
  <cols>
    <col min="1" max="1" width="27.08203125" bestFit="1" customWidth="1"/>
    <col min="2" max="2" width="8.4140625" bestFit="1" customWidth="1"/>
    <col min="4" max="4" width="6.83203125" customWidth="1"/>
    <col min="5" max="5" width="19.33203125" bestFit="1" customWidth="1"/>
  </cols>
  <sheetData>
    <row r="1" spans="1:5" x14ac:dyDescent="0.3">
      <c r="B1" s="234" t="s">
        <v>252</v>
      </c>
      <c r="C1" s="234" t="s">
        <v>253</v>
      </c>
      <c r="D1" s="234" t="s">
        <v>134</v>
      </c>
    </row>
    <row r="2" spans="1:5" x14ac:dyDescent="0.3">
      <c r="A2" t="s">
        <v>179</v>
      </c>
      <c r="B2" s="233">
        <v>231685</v>
      </c>
      <c r="C2" s="233">
        <v>277125</v>
      </c>
      <c r="D2" s="235">
        <f>B2/C2-1</f>
        <v>-0.16396932792061347</v>
      </c>
      <c r="E2" t="s">
        <v>255</v>
      </c>
    </row>
    <row r="3" spans="1:5" x14ac:dyDescent="0.3">
      <c r="A3" t="s">
        <v>250</v>
      </c>
      <c r="B3" s="233">
        <v>113475</v>
      </c>
      <c r="C3" s="233">
        <v>151619</v>
      </c>
      <c r="D3" s="235">
        <f t="shared" ref="D3:D8" si="0">B3/C3-1</f>
        <v>-0.25157796846041725</v>
      </c>
    </row>
    <row r="4" spans="1:5" x14ac:dyDescent="0.3">
      <c r="A4" t="s">
        <v>180</v>
      </c>
      <c r="B4" s="233">
        <v>50323</v>
      </c>
      <c r="C4" s="233">
        <v>68342</v>
      </c>
      <c r="D4" s="235">
        <f t="shared" si="0"/>
        <v>-0.26365924321793333</v>
      </c>
    </row>
    <row r="5" spans="1:5" x14ac:dyDescent="0.3">
      <c r="A5" t="s">
        <v>182</v>
      </c>
      <c r="B5" s="233">
        <v>32689</v>
      </c>
      <c r="C5" s="233">
        <v>29519</v>
      </c>
      <c r="D5" s="235">
        <f t="shared" si="0"/>
        <v>0.10738846166875571</v>
      </c>
    </row>
    <row r="6" spans="1:5" x14ac:dyDescent="0.3">
      <c r="A6" s="20" t="s">
        <v>251</v>
      </c>
      <c r="B6" s="287">
        <v>36324</v>
      </c>
      <c r="C6" s="287">
        <v>77336</v>
      </c>
      <c r="D6" s="235">
        <f t="shared" si="0"/>
        <v>-0.53030929967932139</v>
      </c>
      <c r="E6" t="s">
        <v>254</v>
      </c>
    </row>
    <row r="7" spans="1:5" x14ac:dyDescent="0.3">
      <c r="A7" s="282" t="s">
        <v>185</v>
      </c>
      <c r="B7" s="237">
        <v>70819</v>
      </c>
      <c r="C7" s="237">
        <v>78589</v>
      </c>
      <c r="D7" s="238">
        <f t="shared" si="0"/>
        <v>-9.8868798432350635E-2</v>
      </c>
    </row>
    <row r="8" spans="1:5" x14ac:dyDescent="0.3">
      <c r="A8" t="s">
        <v>191</v>
      </c>
      <c r="B8" s="233">
        <f>SUM(B2:B7)</f>
        <v>535315</v>
      </c>
      <c r="C8" s="233">
        <f>SUM(C2:C7)</f>
        <v>682530</v>
      </c>
      <c r="D8" s="235">
        <f t="shared" si="0"/>
        <v>-0.21569015281379578</v>
      </c>
    </row>
  </sheetData>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2:P38"/>
  <sheetViews>
    <sheetView zoomScale="80" zoomScaleNormal="80" workbookViewId="0">
      <selection activeCell="O28" sqref="O28"/>
    </sheetView>
  </sheetViews>
  <sheetFormatPr defaultRowHeight="14" outlineLevelRow="2" x14ac:dyDescent="0.3"/>
  <cols>
    <col min="5" max="5" width="9.4140625" bestFit="1" customWidth="1"/>
    <col min="6" max="6" width="9.75" customWidth="1"/>
    <col min="7" max="7" width="9.4140625" bestFit="1" customWidth="1"/>
    <col min="8" max="8" width="12.75" style="102" bestFit="1" customWidth="1"/>
    <col min="9" max="9" width="10.83203125" customWidth="1"/>
    <col min="10" max="10" width="10.83203125" bestFit="1" customWidth="1"/>
  </cols>
  <sheetData>
    <row r="2" spans="3:10" s="182" customFormat="1" ht="12.5" x14ac:dyDescent="0.3">
      <c r="C2" s="182" t="s">
        <v>138</v>
      </c>
      <c r="E2" s="188" t="s">
        <v>130</v>
      </c>
      <c r="F2" s="188" t="s">
        <v>172</v>
      </c>
      <c r="G2" s="188" t="s">
        <v>174</v>
      </c>
      <c r="H2" s="256" t="s">
        <v>176</v>
      </c>
      <c r="I2" s="188" t="s">
        <v>219</v>
      </c>
      <c r="J2" s="188">
        <v>2019</v>
      </c>
    </row>
    <row r="3" spans="3:10" s="196" customFormat="1" ht="12.5" x14ac:dyDescent="0.3">
      <c r="C3" s="196" t="s">
        <v>153</v>
      </c>
      <c r="H3" s="257"/>
    </row>
    <row r="4" spans="3:10" s="182" customFormat="1" ht="12.5" outlineLevel="2" x14ac:dyDescent="0.3">
      <c r="C4" s="182" t="s">
        <v>131</v>
      </c>
      <c r="H4" s="258"/>
    </row>
    <row r="5" spans="3:10" s="182" customFormat="1" ht="12.5" outlineLevel="2" x14ac:dyDescent="0.3">
      <c r="D5" s="182" t="s">
        <v>62</v>
      </c>
      <c r="E5" s="182">
        <f>Tongchengelong!Z4</f>
        <v>35900000</v>
      </c>
      <c r="F5" s="201">
        <f>Tongchengelong!AA5</f>
        <v>33765813.462848097</v>
      </c>
      <c r="G5" s="201">
        <f>Tongchengelong!AB5</f>
        <v>38121813.169801459</v>
      </c>
      <c r="H5" s="259">
        <f>Tongchengelong!AC5</f>
        <v>34410000</v>
      </c>
      <c r="I5" s="201">
        <f>Tongchengelong!AD5</f>
        <v>14721593.89711049</v>
      </c>
      <c r="J5" s="201">
        <f>Tongchengelong!BM5</f>
        <v>140002000</v>
      </c>
    </row>
    <row r="6" spans="3:10" s="185" customFormat="1" ht="13" outlineLevel="2" x14ac:dyDescent="0.3">
      <c r="D6" s="190" t="s">
        <v>134</v>
      </c>
      <c r="E6" s="190"/>
      <c r="F6" s="190"/>
      <c r="G6" s="190"/>
      <c r="H6" s="260"/>
      <c r="I6" s="184"/>
      <c r="J6" s="184"/>
    </row>
    <row r="7" spans="3:10" s="182" customFormat="1" ht="12.5" outlineLevel="2" x14ac:dyDescent="0.3">
      <c r="D7" s="186" t="s">
        <v>135</v>
      </c>
      <c r="E7" s="186">
        <f t="shared" ref="E7:J7" si="0">E8/E5</f>
        <v>3.5068189415041785E-2</v>
      </c>
      <c r="F7" s="186">
        <f t="shared" si="0"/>
        <v>2.77526854500652E-2</v>
      </c>
      <c r="G7" s="186">
        <f t="shared" si="0"/>
        <v>2.9894197186369958E-2</v>
      </c>
      <c r="H7" s="261">
        <f t="shared" si="0"/>
        <v>3.4350392327811681E-2</v>
      </c>
      <c r="I7" s="186">
        <f t="shared" si="0"/>
        <v>4.6650383429935313E-2</v>
      </c>
      <c r="J7" s="186">
        <f t="shared" si="0"/>
        <v>3.2268524735360925E-2</v>
      </c>
    </row>
    <row r="8" spans="3:10" s="182" customFormat="1" ht="12.5" outlineLevel="2" x14ac:dyDescent="0.3">
      <c r="D8" s="182" t="s">
        <v>12</v>
      </c>
      <c r="E8" s="182">
        <f>Tongchengelong!Z15</f>
        <v>1258948</v>
      </c>
      <c r="F8" s="183">
        <f>Tongchengelong!AA15</f>
        <v>937092</v>
      </c>
      <c r="G8" s="183">
        <f>Tongchengelong!AB15</f>
        <v>1139621</v>
      </c>
      <c r="H8" s="262">
        <f>Tongchengelong!AC15</f>
        <v>1181997</v>
      </c>
      <c r="I8" s="183">
        <f>Tongchengelong!AD15</f>
        <v>686768</v>
      </c>
      <c r="J8" s="183">
        <f>Tongchengelong!BM15</f>
        <v>4517658</v>
      </c>
    </row>
    <row r="9" spans="3:10" s="185" customFormat="1" ht="13" outlineLevel="2" x14ac:dyDescent="0.3">
      <c r="D9" s="190" t="s">
        <v>134</v>
      </c>
      <c r="E9" s="190"/>
      <c r="F9" s="190"/>
      <c r="G9" s="190"/>
      <c r="H9" s="260"/>
      <c r="I9" s="184"/>
      <c r="J9" s="184"/>
    </row>
    <row r="10" spans="3:10" s="197" customFormat="1" ht="12.5" outlineLevel="1" x14ac:dyDescent="0.3">
      <c r="C10" s="197" t="s">
        <v>149</v>
      </c>
      <c r="H10" s="263"/>
    </row>
    <row r="11" spans="3:10" s="182" customFormat="1" ht="12.5" outlineLevel="2" x14ac:dyDescent="0.3">
      <c r="C11" s="182" t="s">
        <v>131</v>
      </c>
      <c r="F11" s="272"/>
      <c r="G11" s="272"/>
      <c r="H11" s="264"/>
      <c r="I11" s="194"/>
    </row>
    <row r="12" spans="3:10" s="182" customFormat="1" ht="12.5" outlineLevel="2" x14ac:dyDescent="0.3">
      <c r="D12" s="182" t="s">
        <v>137</v>
      </c>
      <c r="E12" s="182">
        <f t="shared" ref="E12:J12" si="1">E16/E14</f>
        <v>35900</v>
      </c>
      <c r="F12" s="272">
        <f t="shared" si="1"/>
        <v>30389.232116563286</v>
      </c>
      <c r="G12" s="272">
        <f t="shared" si="1"/>
        <v>35834.504379613369</v>
      </c>
      <c r="H12" s="258">
        <f t="shared" si="1"/>
        <v>33033.599999999999</v>
      </c>
      <c r="I12" s="182">
        <f t="shared" si="1"/>
        <v>15548.649734026809</v>
      </c>
      <c r="J12" s="182">
        <f t="shared" si="1"/>
        <v>127648.88235294117</v>
      </c>
    </row>
    <row r="13" spans="3:10" s="182" customFormat="1" ht="13" outlineLevel="2" x14ac:dyDescent="0.3">
      <c r="D13" s="189" t="s">
        <v>134</v>
      </c>
      <c r="E13" s="189"/>
      <c r="F13" s="273"/>
      <c r="G13" s="273"/>
      <c r="H13" s="265"/>
      <c r="I13" s="202"/>
      <c r="J13" s="202"/>
    </row>
    <row r="14" spans="3:10" s="182" customFormat="1" ht="12.5" outlineLevel="2" x14ac:dyDescent="0.3">
      <c r="D14" s="182" t="s">
        <v>147</v>
      </c>
      <c r="E14" s="182">
        <v>500</v>
      </c>
      <c r="F14" s="272">
        <v>500</v>
      </c>
      <c r="G14" s="272">
        <v>500</v>
      </c>
      <c r="H14" s="266">
        <v>500</v>
      </c>
      <c r="I14" s="192">
        <v>445</v>
      </c>
      <c r="J14" s="192">
        <v>510</v>
      </c>
    </row>
    <row r="15" spans="3:10" s="182" customFormat="1" ht="13" outlineLevel="2" x14ac:dyDescent="0.3">
      <c r="D15" s="189" t="s">
        <v>134</v>
      </c>
      <c r="E15" s="189"/>
      <c r="F15" s="273"/>
      <c r="G15" s="273"/>
      <c r="H15" s="260"/>
      <c r="I15" s="184"/>
      <c r="J15" s="184"/>
    </row>
    <row r="16" spans="3:10" s="182" customFormat="1" ht="12.5" outlineLevel="2" x14ac:dyDescent="0.3">
      <c r="D16" s="277" t="s">
        <v>62</v>
      </c>
      <c r="E16" s="277">
        <f>E5*0.5</f>
        <v>17950000</v>
      </c>
      <c r="F16" s="278">
        <f>F5*0.45</f>
        <v>15194616.058281643</v>
      </c>
      <c r="G16" s="278">
        <f>G5*0.47</f>
        <v>17917252.189806685</v>
      </c>
      <c r="H16" s="279">
        <f>H5*0.48</f>
        <v>16516800</v>
      </c>
      <c r="I16" s="277">
        <f>I5*0.47</f>
        <v>6919149.13164193</v>
      </c>
      <c r="J16" s="277">
        <f>J5*0.465</f>
        <v>65100930</v>
      </c>
    </row>
    <row r="17" spans="3:13" s="182" customFormat="1" ht="13" outlineLevel="2" x14ac:dyDescent="0.3">
      <c r="D17" s="190" t="s">
        <v>134</v>
      </c>
      <c r="E17" s="190"/>
      <c r="F17" s="274"/>
      <c r="G17" s="274"/>
      <c r="H17" s="260"/>
      <c r="I17" s="184"/>
      <c r="J17" s="184"/>
    </row>
    <row r="18" spans="3:13" s="182" customFormat="1" ht="12.5" outlineLevel="2" x14ac:dyDescent="0.3">
      <c r="D18" s="186" t="s">
        <v>135</v>
      </c>
      <c r="E18" s="195">
        <v>3.1004289693593316E-2</v>
      </c>
      <c r="F18" s="275">
        <v>3.1E-2</v>
      </c>
      <c r="G18" s="275">
        <v>3.0994791594740816E-2</v>
      </c>
      <c r="H18" s="267">
        <v>3.4188799999999998E-2</v>
      </c>
      <c r="I18" s="195">
        <v>4.3880000000000002E-2</v>
      </c>
      <c r="J18" s="195">
        <v>3.4667770000000001E-2</v>
      </c>
      <c r="M18" s="250"/>
    </row>
    <row r="19" spans="3:13" s="182" customFormat="1" ht="12.5" outlineLevel="2" x14ac:dyDescent="0.3">
      <c r="D19" s="182" t="s">
        <v>12</v>
      </c>
      <c r="E19" s="182">
        <f t="shared" ref="E19:J19" si="2">E16*E18</f>
        <v>556527</v>
      </c>
      <c r="F19" s="272">
        <f t="shared" si="2"/>
        <v>471033.09780673095</v>
      </c>
      <c r="G19" s="272">
        <f t="shared" si="2"/>
        <v>555341.49757347174</v>
      </c>
      <c r="H19" s="258">
        <f t="shared" si="2"/>
        <v>564689.57183999999</v>
      </c>
      <c r="I19" s="182">
        <f t="shared" si="2"/>
        <v>303612.2638964479</v>
      </c>
      <c r="J19" s="182">
        <f t="shared" si="2"/>
        <v>2256904.0680260998</v>
      </c>
      <c r="M19" s="250"/>
    </row>
    <row r="20" spans="3:13" s="182" customFormat="1" ht="13" outlineLevel="2" x14ac:dyDescent="0.3">
      <c r="D20" s="190" t="s">
        <v>134</v>
      </c>
      <c r="E20" s="190">
        <f>E21/E16</f>
        <v>3.1004289693593316E-2</v>
      </c>
      <c r="F20" s="276"/>
      <c r="G20" s="190">
        <f>G21/G16</f>
        <v>3.2569000749567284E-2</v>
      </c>
      <c r="H20" s="268"/>
      <c r="I20" s="184"/>
      <c r="J20" s="184"/>
    </row>
    <row r="21" spans="3:13" s="182" customFormat="1" ht="12.5" outlineLevel="1" x14ac:dyDescent="0.3">
      <c r="E21" s="182">
        <v>556527</v>
      </c>
      <c r="F21" s="182">
        <v>493674</v>
      </c>
      <c r="G21" s="182">
        <v>583547</v>
      </c>
      <c r="H21" s="258">
        <v>578089</v>
      </c>
      <c r="I21" s="272">
        <v>318704</v>
      </c>
    </row>
    <row r="22" spans="3:13" s="197" customFormat="1" ht="12.5" outlineLevel="1" x14ac:dyDescent="0.3">
      <c r="C22" s="197" t="s">
        <v>136</v>
      </c>
      <c r="H22" s="263"/>
    </row>
    <row r="23" spans="3:13" s="182" customFormat="1" ht="12.5" outlineLevel="2" x14ac:dyDescent="0.3">
      <c r="C23" s="182" t="s">
        <v>131</v>
      </c>
      <c r="H23" s="258"/>
    </row>
    <row r="24" spans="3:13" s="182" customFormat="1" ht="12.5" outlineLevel="2" x14ac:dyDescent="0.3">
      <c r="D24" s="182" t="s">
        <v>137</v>
      </c>
      <c r="E24" s="182">
        <f t="shared" ref="E24:J24" si="3">E28/E26</f>
        <v>138076.92307692306</v>
      </c>
      <c r="F24" s="182">
        <f t="shared" si="3"/>
        <v>140690.88942853373</v>
      </c>
      <c r="G24" s="182">
        <f t="shared" si="3"/>
        <v>155419.69984611365</v>
      </c>
      <c r="H24" s="258">
        <f t="shared" si="3"/>
        <v>137640</v>
      </c>
      <c r="I24" s="182">
        <f t="shared" si="3"/>
        <v>60018.805888219693</v>
      </c>
      <c r="J24" s="182">
        <f t="shared" si="3"/>
        <v>567432.34848484851</v>
      </c>
    </row>
    <row r="25" spans="3:13" s="182" customFormat="1" ht="13" outlineLevel="2" x14ac:dyDescent="0.3">
      <c r="D25" s="189" t="s">
        <v>134</v>
      </c>
      <c r="E25" s="189"/>
      <c r="F25" s="189"/>
      <c r="G25" s="189"/>
      <c r="H25" s="260"/>
      <c r="I25" s="184"/>
      <c r="J25" s="184"/>
    </row>
    <row r="26" spans="3:13" s="182" customFormat="1" ht="12.5" outlineLevel="2" x14ac:dyDescent="0.3">
      <c r="D26" s="182" t="s">
        <v>147</v>
      </c>
      <c r="E26" s="192">
        <v>130</v>
      </c>
      <c r="F26" s="192">
        <v>132</v>
      </c>
      <c r="G26" s="192">
        <v>130</v>
      </c>
      <c r="H26" s="266">
        <v>130</v>
      </c>
      <c r="I26" s="192">
        <v>130</v>
      </c>
      <c r="J26" s="192">
        <v>132</v>
      </c>
    </row>
    <row r="27" spans="3:13" s="182" customFormat="1" ht="13" outlineLevel="2" x14ac:dyDescent="0.3">
      <c r="D27" s="189" t="s">
        <v>134</v>
      </c>
      <c r="E27" s="189"/>
      <c r="F27" s="189"/>
      <c r="G27" s="189"/>
      <c r="H27" s="260"/>
      <c r="I27" s="184"/>
      <c r="J27" s="192"/>
    </row>
    <row r="28" spans="3:13" s="182" customFormat="1" ht="12.5" outlineLevel="2" x14ac:dyDescent="0.3">
      <c r="D28" s="277" t="s">
        <v>62</v>
      </c>
      <c r="E28" s="277">
        <f t="shared" ref="E28:J28" si="4">E5-E16</f>
        <v>17950000</v>
      </c>
      <c r="F28" s="277">
        <f t="shared" si="4"/>
        <v>18571197.404566452</v>
      </c>
      <c r="G28" s="277">
        <f t="shared" si="4"/>
        <v>20204560.979994774</v>
      </c>
      <c r="H28" s="279">
        <f t="shared" si="4"/>
        <v>17893200</v>
      </c>
      <c r="I28" s="277">
        <f t="shared" si="4"/>
        <v>7802444.7654685602</v>
      </c>
      <c r="J28" s="277">
        <f t="shared" si="4"/>
        <v>74901070</v>
      </c>
    </row>
    <row r="29" spans="3:13" s="182" customFormat="1" ht="13" outlineLevel="2" x14ac:dyDescent="0.3">
      <c r="D29" s="190" t="s">
        <v>134</v>
      </c>
      <c r="E29" s="190"/>
      <c r="F29" s="190"/>
      <c r="G29" s="190">
        <f>G32/G28</f>
        <v>0</v>
      </c>
      <c r="H29" s="260"/>
      <c r="I29" s="184"/>
    </row>
    <row r="30" spans="3:13" s="182" customFormat="1" ht="12.5" outlineLevel="2" x14ac:dyDescent="0.3">
      <c r="D30" s="186" t="s">
        <v>135</v>
      </c>
      <c r="E30" s="195">
        <v>3.9132100000000003E-2</v>
      </c>
      <c r="F30" s="195">
        <v>2.278138E-2</v>
      </c>
      <c r="G30" s="275">
        <v>2.619192E-2</v>
      </c>
      <c r="H30" s="267">
        <v>3.4499580000000002E-2</v>
      </c>
      <c r="I30" s="195">
        <v>4.3255500000000002E-2</v>
      </c>
      <c r="J30" s="195">
        <v>3.0085819999999999E-2</v>
      </c>
    </row>
    <row r="31" spans="3:13" s="182" customFormat="1" ht="12.5" outlineLevel="2" x14ac:dyDescent="0.3">
      <c r="D31" s="182" t="s">
        <v>12</v>
      </c>
      <c r="E31" s="182">
        <f t="shared" ref="E31:J31" si="5">E28*E30</f>
        <v>702421.19500000007</v>
      </c>
      <c r="F31" s="182">
        <f t="shared" si="5"/>
        <v>423077.50512844208</v>
      </c>
      <c r="G31" s="182">
        <f t="shared" si="5"/>
        <v>529196.24482314475</v>
      </c>
      <c r="H31" s="258">
        <f t="shared" si="5"/>
        <v>617307.88485600008</v>
      </c>
      <c r="I31" s="182">
        <f t="shared" si="5"/>
        <v>337498.64955272531</v>
      </c>
      <c r="J31" s="182">
        <f t="shared" si="5"/>
        <v>2253460.1098273997</v>
      </c>
    </row>
    <row r="32" spans="3:13" s="182" customFormat="1" ht="13" outlineLevel="2" x14ac:dyDescent="0.3">
      <c r="D32" s="190" t="s">
        <v>134</v>
      </c>
      <c r="E32" s="190"/>
      <c r="F32" s="190"/>
      <c r="G32" s="190"/>
      <c r="H32" s="260"/>
      <c r="I32" s="184"/>
      <c r="J32" s="184"/>
    </row>
    <row r="33" spans="3:16" x14ac:dyDescent="0.3">
      <c r="C33" s="253" t="s">
        <v>220</v>
      </c>
      <c r="D33" s="254"/>
      <c r="E33" s="255">
        <f t="shared" ref="E33:J33" si="6">E31+E19</f>
        <v>1258948.1950000001</v>
      </c>
      <c r="F33" s="255">
        <f t="shared" si="6"/>
        <v>894110.60293517308</v>
      </c>
      <c r="G33" s="255">
        <f t="shared" si="6"/>
        <v>1084537.7423966164</v>
      </c>
      <c r="H33" s="269">
        <f t="shared" si="6"/>
        <v>1181997.456696</v>
      </c>
      <c r="I33" s="255">
        <f t="shared" si="6"/>
        <v>641110.91344917321</v>
      </c>
      <c r="J33" s="255">
        <f t="shared" si="6"/>
        <v>4510364.1778534995</v>
      </c>
    </row>
    <row r="34" spans="3:16" x14ac:dyDescent="0.3">
      <c r="E34" s="252">
        <f t="shared" ref="E34:J34" si="7">E8-E33</f>
        <v>-0.19500000006519258</v>
      </c>
      <c r="F34" s="252">
        <f t="shared" si="7"/>
        <v>42981.397064826917</v>
      </c>
      <c r="G34" s="252">
        <f t="shared" si="7"/>
        <v>55083.257603383623</v>
      </c>
      <c r="H34" s="270">
        <f t="shared" si="7"/>
        <v>-0.45669599995017052</v>
      </c>
      <c r="I34" s="252">
        <f t="shared" si="7"/>
        <v>45657.086550826789</v>
      </c>
      <c r="J34" s="252">
        <f t="shared" si="7"/>
        <v>7293.8221465004608</v>
      </c>
    </row>
    <row r="35" spans="3:16" x14ac:dyDescent="0.3">
      <c r="H35" s="271"/>
    </row>
    <row r="36" spans="3:16" x14ac:dyDescent="0.3">
      <c r="H36"/>
    </row>
    <row r="37" spans="3:16" x14ac:dyDescent="0.3">
      <c r="P37" s="251"/>
    </row>
    <row r="38" spans="3:16" x14ac:dyDescent="0.3">
      <c r="H38" s="271"/>
      <c r="I38" s="271"/>
      <c r="P38" s="233"/>
    </row>
  </sheetData>
  <phoneticPr fontId="2" type="noConversion"/>
  <pageMargins left="0.7" right="0.7" top="0.75" bottom="0.75" header="0.3" footer="0.3"/>
  <pageSetup paperSize="9" orientation="portrait" verticalDpi="599"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3:P50"/>
  <sheetViews>
    <sheetView topLeftCell="B19" zoomScale="80" zoomScaleNormal="80" workbookViewId="0">
      <selection activeCell="K13" sqref="K13"/>
    </sheetView>
  </sheetViews>
  <sheetFormatPr defaultRowHeight="14" x14ac:dyDescent="0.3"/>
  <cols>
    <col min="4" max="4" width="25.75" bestFit="1" customWidth="1"/>
    <col min="5" max="5" width="0" hidden="1" customWidth="1"/>
    <col min="6" max="6" width="15.4140625" bestFit="1" customWidth="1"/>
    <col min="7" max="7" width="16.33203125" bestFit="1" customWidth="1"/>
    <col min="9" max="9" width="10.08203125" bestFit="1" customWidth="1"/>
    <col min="10" max="10" width="12.33203125" bestFit="1" customWidth="1"/>
  </cols>
  <sheetData>
    <row r="3" spans="4:9" ht="14.5" thickBot="1" x14ac:dyDescent="0.35"/>
    <row r="4" spans="4:9" x14ac:dyDescent="0.3">
      <c r="D4" s="29"/>
      <c r="E4" s="30">
        <v>2016</v>
      </c>
      <c r="F4" s="31">
        <v>2017</v>
      </c>
      <c r="G4" s="31">
        <v>2018</v>
      </c>
      <c r="H4" s="32" t="s">
        <v>108</v>
      </c>
    </row>
    <row r="5" spans="4:9" x14ac:dyDescent="0.3">
      <c r="D5" s="33" t="s">
        <v>106</v>
      </c>
      <c r="E5" s="20">
        <v>99.5</v>
      </c>
      <c r="F5" s="21">
        <v>121.2</v>
      </c>
      <c r="G5" s="21">
        <v>175.2</v>
      </c>
      <c r="H5" s="34">
        <f>G5*(1+H6)</f>
        <v>210.23999999999998</v>
      </c>
    </row>
    <row r="6" spans="4:9" ht="14.5" thickBot="1" x14ac:dyDescent="0.35">
      <c r="D6" s="35" t="s">
        <v>103</v>
      </c>
      <c r="E6" s="22"/>
      <c r="F6" s="23">
        <f>F5/E5-1</f>
        <v>0.21809045226130652</v>
      </c>
      <c r="G6" s="23">
        <f>G5/F5-1</f>
        <v>0.4455445544554455</v>
      </c>
      <c r="H6" s="36">
        <v>0.2</v>
      </c>
    </row>
    <row r="7" spans="4:9" ht="14.5" thickTop="1" x14ac:dyDescent="0.3">
      <c r="D7" s="33" t="s">
        <v>107</v>
      </c>
      <c r="E7" s="20">
        <v>9.1</v>
      </c>
      <c r="F7" s="20">
        <v>15.6</v>
      </c>
      <c r="G7" s="20">
        <v>20</v>
      </c>
      <c r="H7" s="37" t="s">
        <v>110</v>
      </c>
      <c r="I7">
        <f>20*1.35</f>
        <v>27</v>
      </c>
    </row>
    <row r="8" spans="4:9" ht="14.5" thickBot="1" x14ac:dyDescent="0.35">
      <c r="D8" s="35" t="s">
        <v>104</v>
      </c>
      <c r="E8" s="22"/>
      <c r="F8" s="23">
        <f>F7/E7-1</f>
        <v>0.71428571428571441</v>
      </c>
      <c r="G8" s="23">
        <f>G7/F7-1</f>
        <v>0.28205128205128216</v>
      </c>
      <c r="H8" s="38" t="s">
        <v>109</v>
      </c>
      <c r="I8">
        <f>20*1.4</f>
        <v>28</v>
      </c>
    </row>
    <row r="9" spans="4:9" ht="14.5" thickTop="1" x14ac:dyDescent="0.3">
      <c r="D9" s="39" t="s">
        <v>115</v>
      </c>
      <c r="E9" s="24"/>
      <c r="F9" s="25"/>
      <c r="G9" s="25"/>
      <c r="H9" s="40"/>
    </row>
    <row r="10" spans="4:9" x14ac:dyDescent="0.3">
      <c r="D10" s="33" t="s">
        <v>105</v>
      </c>
      <c r="E10" s="20"/>
      <c r="F10" s="41">
        <v>0.05</v>
      </c>
      <c r="G10" s="41">
        <v>0.2</v>
      </c>
      <c r="H10" s="42">
        <v>0.25</v>
      </c>
    </row>
    <row r="11" spans="4:9" ht="14.5" thickBot="1" x14ac:dyDescent="0.35">
      <c r="D11" s="43" t="s">
        <v>111</v>
      </c>
      <c r="E11" s="26"/>
      <c r="F11" s="27"/>
      <c r="G11" s="28">
        <v>0.35</v>
      </c>
      <c r="H11" s="44">
        <v>0.4</v>
      </c>
    </row>
    <row r="12" spans="4:9" ht="14.5" thickTop="1" x14ac:dyDescent="0.3">
      <c r="D12" s="39" t="s">
        <v>116</v>
      </c>
      <c r="E12" s="20"/>
      <c r="F12" s="20"/>
      <c r="G12" s="41"/>
      <c r="H12" s="42"/>
    </row>
    <row r="13" spans="4:9" x14ac:dyDescent="0.3">
      <c r="D13" s="33" t="s">
        <v>112</v>
      </c>
      <c r="E13" s="20"/>
      <c r="F13" s="20"/>
      <c r="G13" s="45">
        <v>3.5999999999999997E-2</v>
      </c>
      <c r="H13" s="46">
        <v>3.5999999999999997E-2</v>
      </c>
    </row>
    <row r="14" spans="4:9" ht="14.5" thickBot="1" x14ac:dyDescent="0.35">
      <c r="D14" s="47" t="s">
        <v>113</v>
      </c>
      <c r="E14" s="48"/>
      <c r="F14" s="48"/>
      <c r="G14" s="49" t="s">
        <v>114</v>
      </c>
      <c r="H14" s="50" t="s">
        <v>114</v>
      </c>
    </row>
    <row r="17" spans="4:16" x14ac:dyDescent="0.3">
      <c r="F17" t="s">
        <v>117</v>
      </c>
      <c r="G17" t="s">
        <v>118</v>
      </c>
    </row>
    <row r="18" spans="4:16" x14ac:dyDescent="0.3">
      <c r="J18">
        <f>15.8/17.3</f>
        <v>0.91329479768786126</v>
      </c>
    </row>
    <row r="21" spans="4:16" x14ac:dyDescent="0.3">
      <c r="D21" t="s">
        <v>183</v>
      </c>
    </row>
    <row r="23" spans="4:16" x14ac:dyDescent="0.3">
      <c r="F23" s="234" t="s">
        <v>186</v>
      </c>
      <c r="G23" s="234" t="s">
        <v>187</v>
      </c>
      <c r="H23" s="236" t="s">
        <v>190</v>
      </c>
      <c r="I23" t="s">
        <v>192</v>
      </c>
      <c r="O23" t="s">
        <v>187</v>
      </c>
      <c r="P23" t="s">
        <v>189</v>
      </c>
    </row>
    <row r="24" spans="4:16" x14ac:dyDescent="0.3">
      <c r="D24" t="s">
        <v>179</v>
      </c>
      <c r="F24" s="240">
        <v>115444</v>
      </c>
      <c r="G24" s="240">
        <v>233820</v>
      </c>
      <c r="H24" s="235">
        <f t="shared" ref="H24:H30" si="0">F24/G24-1</f>
        <v>-0.50626978017278246</v>
      </c>
      <c r="K24" t="s">
        <v>188</v>
      </c>
      <c r="L24" s="232">
        <v>-0.36</v>
      </c>
      <c r="O24" s="232">
        <v>0.25</v>
      </c>
      <c r="P24" s="232">
        <v>0.33</v>
      </c>
    </row>
    <row r="25" spans="4:16" x14ac:dyDescent="0.3">
      <c r="D25" t="s">
        <v>180</v>
      </c>
      <c r="F25" s="240">
        <v>56375</v>
      </c>
      <c r="G25" s="240">
        <v>109567</v>
      </c>
      <c r="H25" s="235">
        <f t="shared" si="0"/>
        <v>-0.48547464108718863</v>
      </c>
    </row>
    <row r="26" spans="4:16" x14ac:dyDescent="0.3">
      <c r="D26" t="s">
        <v>181</v>
      </c>
      <c r="F26" s="240">
        <v>40627</v>
      </c>
      <c r="G26" s="240">
        <v>44558</v>
      </c>
      <c r="H26" s="235">
        <f t="shared" si="0"/>
        <v>-8.8222092553525755E-2</v>
      </c>
    </row>
    <row r="27" spans="4:16" x14ac:dyDescent="0.3">
      <c r="D27" t="s">
        <v>182</v>
      </c>
      <c r="F27" s="240">
        <v>29543</v>
      </c>
      <c r="G27" s="240">
        <v>32323</v>
      </c>
      <c r="H27" s="235">
        <f t="shared" si="0"/>
        <v>-8.6006868174364981E-2</v>
      </c>
    </row>
    <row r="28" spans="4:16" x14ac:dyDescent="0.3">
      <c r="D28" t="s">
        <v>184</v>
      </c>
      <c r="F28" s="240">
        <v>29229</v>
      </c>
      <c r="G28" s="240">
        <v>50893</v>
      </c>
      <c r="H28" s="235">
        <f t="shared" si="0"/>
        <v>-0.42567740160729373</v>
      </c>
    </row>
    <row r="29" spans="4:16" x14ac:dyDescent="0.3">
      <c r="D29" t="s">
        <v>185</v>
      </c>
      <c r="F29" s="237">
        <v>80049</v>
      </c>
      <c r="G29" s="237">
        <v>27109</v>
      </c>
      <c r="H29" s="238">
        <f t="shared" si="0"/>
        <v>1.9528569847652073</v>
      </c>
    </row>
    <row r="30" spans="4:16" x14ac:dyDescent="0.3">
      <c r="D30" t="s">
        <v>191</v>
      </c>
      <c r="F30" s="239">
        <v>351267</v>
      </c>
      <c r="G30" s="239">
        <v>498270</v>
      </c>
      <c r="H30" s="235">
        <f t="shared" si="0"/>
        <v>-0.29502679270275156</v>
      </c>
    </row>
    <row r="32" spans="4:16" x14ac:dyDescent="0.3">
      <c r="I32">
        <v>1005116</v>
      </c>
      <c r="J32">
        <v>1783411</v>
      </c>
    </row>
    <row r="33" spans="4:10" x14ac:dyDescent="0.3">
      <c r="F33" s="234" t="s">
        <v>186</v>
      </c>
      <c r="G33" s="234" t="s">
        <v>187</v>
      </c>
      <c r="H33" s="234" t="s">
        <v>190</v>
      </c>
      <c r="I33" s="1" t="s">
        <v>197</v>
      </c>
      <c r="J33" s="234" t="s">
        <v>196</v>
      </c>
    </row>
    <row r="34" spans="4:10" x14ac:dyDescent="0.3">
      <c r="D34" t="s">
        <v>193</v>
      </c>
      <c r="F34" s="240">
        <v>287449</v>
      </c>
      <c r="G34" s="240">
        <v>430052</v>
      </c>
      <c r="H34" s="235">
        <f>F34/G34-1</f>
        <v>-0.3315947838865998</v>
      </c>
      <c r="I34" s="235">
        <f>F34/$I$32</f>
        <v>0.28598589615526965</v>
      </c>
      <c r="J34" s="231">
        <f>G34/$J$32</f>
        <v>0.24114015221393162</v>
      </c>
    </row>
    <row r="35" spans="4:10" x14ac:dyDescent="0.3">
      <c r="D35" t="s">
        <v>194</v>
      </c>
      <c r="F35" s="240">
        <v>291194</v>
      </c>
      <c r="G35" s="240">
        <v>469723</v>
      </c>
      <c r="H35" s="235">
        <f>F35/G35-1</f>
        <v>-0.38007293660306185</v>
      </c>
      <c r="I35" s="235">
        <f>F35/$I$32</f>
        <v>0.2897118342559466</v>
      </c>
      <c r="J35" s="231">
        <f>G35/$J$32</f>
        <v>0.26338460399762031</v>
      </c>
    </row>
    <row r="36" spans="4:10" x14ac:dyDescent="0.3">
      <c r="D36" t="s">
        <v>195</v>
      </c>
      <c r="F36" s="240">
        <v>120034</v>
      </c>
      <c r="G36" s="240">
        <v>228322</v>
      </c>
      <c r="H36" s="235">
        <f>F36/G36-1</f>
        <v>-0.47427755538231098</v>
      </c>
      <c r="I36" s="235">
        <f>F36/$I$32</f>
        <v>0.11942303176946741</v>
      </c>
      <c r="J36" s="231">
        <f>G36/$J$32</f>
        <v>0.12802545234945842</v>
      </c>
    </row>
    <row r="37" spans="4:10" x14ac:dyDescent="0.3">
      <c r="F37" s="241"/>
      <c r="G37" s="241"/>
      <c r="H37" s="241"/>
    </row>
    <row r="38" spans="4:10" x14ac:dyDescent="0.3">
      <c r="F38" s="239"/>
      <c r="G38" s="239"/>
      <c r="H38" s="235"/>
    </row>
    <row r="40" spans="4:10" x14ac:dyDescent="0.3">
      <c r="D40" s="243" t="s">
        <v>198</v>
      </c>
      <c r="F40" s="234" t="s">
        <v>186</v>
      </c>
      <c r="G40" s="234" t="s">
        <v>187</v>
      </c>
      <c r="H40" s="234" t="s">
        <v>190</v>
      </c>
    </row>
    <row r="41" spans="4:10" x14ac:dyDescent="0.3">
      <c r="D41" t="s">
        <v>199</v>
      </c>
      <c r="F41">
        <v>3176</v>
      </c>
      <c r="G41">
        <v>15723</v>
      </c>
      <c r="H41" s="235">
        <f>F41/G41-1</f>
        <v>-0.79800292565032116</v>
      </c>
    </row>
    <row r="42" spans="4:10" x14ac:dyDescent="0.3">
      <c r="D42" t="s">
        <v>193</v>
      </c>
      <c r="F42">
        <v>18074</v>
      </c>
      <c r="G42">
        <v>96572</v>
      </c>
      <c r="H42" s="235">
        <f>F42/G42-1</f>
        <v>-0.81284430269643382</v>
      </c>
    </row>
    <row r="43" spans="4:10" x14ac:dyDescent="0.3">
      <c r="D43" t="s">
        <v>194</v>
      </c>
      <c r="F43">
        <v>8053</v>
      </c>
      <c r="G43">
        <v>24841</v>
      </c>
      <c r="H43" s="235">
        <f>F43/G43-1</f>
        <v>-0.67581820377601542</v>
      </c>
    </row>
    <row r="44" spans="4:10" x14ac:dyDescent="0.3">
      <c r="D44" t="s">
        <v>195</v>
      </c>
      <c r="F44">
        <v>36641</v>
      </c>
      <c r="G44">
        <v>148614</v>
      </c>
      <c r="H44" s="235">
        <f>F44/G44-1</f>
        <v>-0.75344853109397503</v>
      </c>
    </row>
    <row r="45" spans="4:10" x14ac:dyDescent="0.3">
      <c r="F45">
        <f>SUM(F41:F44)</f>
        <v>65944</v>
      </c>
      <c r="G45">
        <f>SUM(G41:G44)</f>
        <v>285750</v>
      </c>
    </row>
    <row r="47" spans="4:10" x14ac:dyDescent="0.3">
      <c r="D47" s="243" t="s">
        <v>200</v>
      </c>
      <c r="F47" s="234" t="s">
        <v>186</v>
      </c>
      <c r="G47" s="234" t="s">
        <v>187</v>
      </c>
      <c r="H47" s="234" t="s">
        <v>190</v>
      </c>
    </row>
    <row r="48" spans="4:10" x14ac:dyDescent="0.3">
      <c r="D48" t="s">
        <v>193</v>
      </c>
      <c r="F48" s="242">
        <f t="shared" ref="F48:G50" si="1">F34-F41</f>
        <v>284273</v>
      </c>
      <c r="G48" s="242">
        <f t="shared" si="1"/>
        <v>414329</v>
      </c>
      <c r="H48" s="231">
        <f>F48/G48-1</f>
        <v>-0.31389547919648397</v>
      </c>
    </row>
    <row r="49" spans="4:8" x14ac:dyDescent="0.3">
      <c r="D49" t="s">
        <v>194</v>
      </c>
      <c r="F49" s="242">
        <f t="shared" si="1"/>
        <v>273120</v>
      </c>
      <c r="G49" s="242">
        <f t="shared" si="1"/>
        <v>373151</v>
      </c>
      <c r="H49" s="231">
        <f>F49/G49-1</f>
        <v>-0.2680711025831366</v>
      </c>
    </row>
    <row r="50" spans="4:8" x14ac:dyDescent="0.3">
      <c r="D50" t="s">
        <v>195</v>
      </c>
      <c r="F50" s="242">
        <f t="shared" si="1"/>
        <v>111981</v>
      </c>
      <c r="G50" s="242">
        <f t="shared" si="1"/>
        <v>203481</v>
      </c>
      <c r="H50" s="231">
        <f>F50/G50-1</f>
        <v>-0.44967343388326186</v>
      </c>
    </row>
  </sheetData>
  <phoneticPr fontId="2"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D3:J28"/>
  <sheetViews>
    <sheetView topLeftCell="D1" workbookViewId="0">
      <selection activeCell="I43" sqref="I43"/>
    </sheetView>
  </sheetViews>
  <sheetFormatPr defaultColWidth="9" defaultRowHeight="12.5" x14ac:dyDescent="0.25"/>
  <cols>
    <col min="1" max="4" width="9" style="207"/>
    <col min="5" max="5" width="14" style="207" bestFit="1" customWidth="1"/>
    <col min="6" max="6" width="15" style="207" bestFit="1" customWidth="1"/>
    <col min="7" max="7" width="15" style="207" customWidth="1"/>
    <col min="8" max="8" width="14" style="207" bestFit="1" customWidth="1"/>
    <col min="9" max="16384" width="9" style="207"/>
  </cols>
  <sheetData>
    <row r="3" spans="4:10" ht="13" x14ac:dyDescent="0.25">
      <c r="D3" s="208"/>
      <c r="E3" s="208" t="s">
        <v>154</v>
      </c>
      <c r="F3" s="208" t="s">
        <v>155</v>
      </c>
      <c r="G3" s="208" t="s">
        <v>168</v>
      </c>
      <c r="H3" s="208" t="s">
        <v>156</v>
      </c>
      <c r="I3" s="208"/>
      <c r="J3" s="208"/>
    </row>
    <row r="4" spans="4:10" ht="13" x14ac:dyDescent="0.25">
      <c r="D4" s="209" t="s">
        <v>157</v>
      </c>
      <c r="E4" s="219">
        <v>500.38848499999995</v>
      </c>
      <c r="F4" s="219">
        <v>683.62620600000002</v>
      </c>
      <c r="G4" s="219">
        <v>160.94488099999998</v>
      </c>
      <c r="H4" s="219">
        <v>199.09686099999999</v>
      </c>
      <c r="I4" s="211"/>
      <c r="J4" s="211"/>
    </row>
    <row r="5" spans="4:10" x14ac:dyDescent="0.25">
      <c r="D5" s="211" t="s">
        <v>158</v>
      </c>
      <c r="E5" s="220">
        <v>198.02428799999998</v>
      </c>
      <c r="F5" s="220">
        <v>284.551985</v>
      </c>
      <c r="G5" s="220">
        <v>62.541469000000006</v>
      </c>
      <c r="H5" s="220">
        <v>84.425387000000001</v>
      </c>
      <c r="I5" s="211"/>
      <c r="J5" s="211"/>
    </row>
    <row r="6" spans="4:10" x14ac:dyDescent="0.25">
      <c r="D6" s="211" t="s">
        <v>159</v>
      </c>
      <c r="E6" s="220">
        <v>213.36419699999999</v>
      </c>
      <c r="F6" s="220">
        <v>281.07422100000002</v>
      </c>
      <c r="G6" s="220">
        <v>71.54598</v>
      </c>
      <c r="H6" s="220">
        <v>82.940157999999997</v>
      </c>
      <c r="I6" s="211"/>
      <c r="J6" s="211"/>
    </row>
    <row r="7" spans="4:10" x14ac:dyDescent="0.25">
      <c r="D7" s="211" t="s">
        <v>160</v>
      </c>
      <c r="E7" s="220">
        <v>89</v>
      </c>
      <c r="F7" s="220">
        <v>118</v>
      </c>
      <c r="G7" s="220">
        <v>26.857431999999999</v>
      </c>
      <c r="H7" s="220">
        <v>31.731316</v>
      </c>
      <c r="I7" s="211"/>
      <c r="J7" s="211"/>
    </row>
    <row r="8" spans="4:10" x14ac:dyDescent="0.25">
      <c r="D8" s="211"/>
      <c r="E8" s="212"/>
      <c r="F8" s="212"/>
      <c r="G8" s="212"/>
      <c r="H8" s="212"/>
      <c r="I8" s="211"/>
      <c r="J8" s="211"/>
    </row>
    <row r="9" spans="4:10" ht="13" x14ac:dyDescent="0.25">
      <c r="D9" s="209" t="s">
        <v>161</v>
      </c>
      <c r="E9" s="210">
        <v>68699202402</v>
      </c>
      <c r="F9" s="210">
        <v>101191749120.8</v>
      </c>
      <c r="G9" s="210">
        <v>24857750959</v>
      </c>
      <c r="H9" s="210">
        <v>29857339634</v>
      </c>
      <c r="I9" s="209"/>
      <c r="J9" s="209"/>
    </row>
    <row r="10" spans="4:10" x14ac:dyDescent="0.25">
      <c r="D10" s="211" t="s">
        <v>162</v>
      </c>
      <c r="E10" s="212">
        <v>31581577658.800003</v>
      </c>
      <c r="F10" s="212">
        <v>45410787125</v>
      </c>
      <c r="G10" s="212">
        <v>10569508261</v>
      </c>
      <c r="H10" s="212">
        <v>13308481355</v>
      </c>
      <c r="I10" s="211"/>
      <c r="J10" s="211"/>
    </row>
    <row r="11" spans="4:10" x14ac:dyDescent="0.25">
      <c r="D11" s="211" t="s">
        <v>163</v>
      </c>
      <c r="E11" s="212">
        <v>24249238517.200001</v>
      </c>
      <c r="F11" s="212">
        <v>37968400824.800003</v>
      </c>
      <c r="G11" s="212">
        <v>10381321698</v>
      </c>
      <c r="H11" s="212">
        <v>11844587807</v>
      </c>
      <c r="I11" s="211"/>
      <c r="J11" s="211"/>
    </row>
    <row r="12" spans="4:10" x14ac:dyDescent="0.25">
      <c r="D12" s="211" t="s">
        <v>160</v>
      </c>
      <c r="E12" s="212">
        <v>12868386226</v>
      </c>
      <c r="F12" s="212">
        <v>17812561171</v>
      </c>
      <c r="G12" s="212">
        <v>3906921000.0000005</v>
      </c>
      <c r="H12" s="212">
        <v>4704270472</v>
      </c>
      <c r="I12" s="211"/>
      <c r="J12" s="211"/>
    </row>
    <row r="13" spans="4:10" x14ac:dyDescent="0.25">
      <c r="D13" s="211"/>
      <c r="E13" s="212"/>
      <c r="F13" s="212"/>
      <c r="G13" s="212"/>
      <c r="H13" s="212"/>
      <c r="I13" s="211"/>
      <c r="J13" s="211"/>
    </row>
    <row r="14" spans="4:10" ht="13" x14ac:dyDescent="0.25">
      <c r="D14" s="209" t="s">
        <v>164</v>
      </c>
      <c r="E14" s="210">
        <v>1875090436.2591739</v>
      </c>
      <c r="F14" s="210">
        <v>2551240672.4808521</v>
      </c>
      <c r="G14" s="210">
        <v>746182010.34500003</v>
      </c>
      <c r="H14" s="210">
        <v>875201832.05217803</v>
      </c>
      <c r="I14" s="209"/>
      <c r="J14" s="209"/>
    </row>
    <row r="15" spans="4:10" x14ac:dyDescent="0.25">
      <c r="D15" s="211" t="s">
        <v>158</v>
      </c>
      <c r="E15" s="212">
        <v>1101147745</v>
      </c>
      <c r="F15" s="212">
        <v>1465061705</v>
      </c>
      <c r="G15" s="212">
        <v>415850280</v>
      </c>
      <c r="H15" s="212">
        <v>492194937</v>
      </c>
      <c r="I15" s="211"/>
      <c r="J15" s="211"/>
    </row>
    <row r="16" spans="4:10" x14ac:dyDescent="0.25">
      <c r="D16" s="211" t="s">
        <v>163</v>
      </c>
      <c r="E16" s="212">
        <v>459904773.25917399</v>
      </c>
      <c r="F16" s="212">
        <v>693173639.48085201</v>
      </c>
      <c r="G16" s="212">
        <v>221990946</v>
      </c>
      <c r="H16" s="212">
        <v>250884909</v>
      </c>
      <c r="I16" s="211"/>
      <c r="J16" s="211" t="s">
        <v>165</v>
      </c>
    </row>
    <row r="17" spans="4:10" x14ac:dyDescent="0.25">
      <c r="D17" s="211" t="s">
        <v>166</v>
      </c>
      <c r="E17" s="213">
        <v>314037918</v>
      </c>
      <c r="F17" s="213">
        <v>393005328</v>
      </c>
      <c r="G17" s="213">
        <v>108340784.345</v>
      </c>
      <c r="H17" s="212">
        <v>132121986.052178</v>
      </c>
      <c r="I17" s="211"/>
      <c r="J17" s="211"/>
    </row>
    <row r="18" spans="4:10" x14ac:dyDescent="0.25">
      <c r="D18" s="211"/>
      <c r="E18" s="211"/>
      <c r="F18" s="211"/>
      <c r="G18" s="211"/>
      <c r="H18" s="211"/>
      <c r="I18" s="211"/>
      <c r="J18" s="211"/>
    </row>
    <row r="19" spans="4:10" ht="13" x14ac:dyDescent="0.25">
      <c r="D19" s="209" t="s">
        <v>167</v>
      </c>
      <c r="E19" s="210">
        <v>137.29173324601985</v>
      </c>
      <c r="F19" s="210">
        <v>148.02204513616906</v>
      </c>
      <c r="G19" s="210">
        <v>154.44884487503523</v>
      </c>
      <c r="H19" s="210">
        <v>149.96388935534247</v>
      </c>
      <c r="I19" s="209"/>
      <c r="J19" s="209"/>
    </row>
    <row r="20" spans="4:10" x14ac:dyDescent="0.25">
      <c r="D20" s="211" t="s">
        <v>158</v>
      </c>
      <c r="E20" s="212">
        <v>159.48335417724115</v>
      </c>
      <c r="F20" s="212">
        <v>159.58696308163164</v>
      </c>
      <c r="G20" s="212">
        <v>168.99999999999997</v>
      </c>
      <c r="H20" s="212">
        <v>157.63601243545381</v>
      </c>
      <c r="I20" s="211"/>
      <c r="J20" s="211"/>
    </row>
    <row r="21" spans="4:10" x14ac:dyDescent="0.25">
      <c r="D21" s="211" t="s">
        <v>159</v>
      </c>
      <c r="E21" s="212">
        <v>113.65186314365573</v>
      </c>
      <c r="F21" s="212">
        <v>135.0831843977609</v>
      </c>
      <c r="G21" s="212">
        <v>145.1</v>
      </c>
      <c r="H21" s="212">
        <v>142.80884064628864</v>
      </c>
      <c r="I21" s="211"/>
      <c r="J21" s="211"/>
    </row>
    <row r="22" spans="4:10" x14ac:dyDescent="0.25">
      <c r="D22" s="211" t="s">
        <v>160</v>
      </c>
      <c r="E22" s="212">
        <v>144.58860928089888</v>
      </c>
      <c r="F22" s="212">
        <v>150.95390822881356</v>
      </c>
      <c r="G22" s="212">
        <v>145.46889665400624</v>
      </c>
      <c r="H22" s="212">
        <v>148.25324206534643</v>
      </c>
      <c r="I22" s="211"/>
      <c r="J22" s="211"/>
    </row>
    <row r="26" spans="4:10" x14ac:dyDescent="0.25">
      <c r="E26" s="214">
        <f>E15/E10</f>
        <v>3.4866774449856287E-2</v>
      </c>
      <c r="F26" s="214">
        <f>F15/F10</f>
        <v>3.2262415997485312E-2</v>
      </c>
      <c r="G26" s="214">
        <f>G15/G10</f>
        <v>3.9344335586020504E-2</v>
      </c>
      <c r="H26" s="214">
        <f>H15/H10</f>
        <v>3.6983553860943139E-2</v>
      </c>
    </row>
    <row r="27" spans="4:10" x14ac:dyDescent="0.25">
      <c r="E27" s="214">
        <f t="shared" ref="E27:H28" si="0">E16/E11</f>
        <v>1.8965740838953075E-2</v>
      </c>
      <c r="F27" s="214">
        <f t="shared" si="0"/>
        <v>1.8256592967383772E-2</v>
      </c>
      <c r="G27" s="214">
        <f t="shared" si="0"/>
        <v>2.1383688171686982E-2</v>
      </c>
      <c r="H27" s="214">
        <f t="shared" si="0"/>
        <v>2.1181396354859241E-2</v>
      </c>
    </row>
    <row r="28" spans="4:10" x14ac:dyDescent="0.25">
      <c r="E28" s="214">
        <f t="shared" si="0"/>
        <v>2.4403830634605946E-2</v>
      </c>
      <c r="F28" s="214">
        <f t="shared" si="0"/>
        <v>2.2063381241314024E-2</v>
      </c>
      <c r="G28" s="214">
        <f t="shared" si="0"/>
        <v>2.7730477361840689E-2</v>
      </c>
      <c r="H28" s="214">
        <f t="shared" si="0"/>
        <v>2.8085542027945283E-2</v>
      </c>
    </row>
  </sheetData>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M36"/>
  <sheetViews>
    <sheetView zoomScaleNormal="100" workbookViewId="0">
      <selection activeCell="J5" sqref="J5"/>
    </sheetView>
  </sheetViews>
  <sheetFormatPr defaultRowHeight="14" x14ac:dyDescent="0.3"/>
  <cols>
    <col min="1" max="1" width="46.08203125" bestFit="1" customWidth="1"/>
    <col min="2" max="2" width="12.4140625" bestFit="1" customWidth="1"/>
    <col min="4" max="4" width="11.08203125" bestFit="1" customWidth="1"/>
    <col min="5" max="5" width="9.08203125" bestFit="1" customWidth="1"/>
    <col min="9" max="9" width="11.08203125" bestFit="1" customWidth="1"/>
    <col min="11" max="11" width="10.83203125" bestFit="1" customWidth="1"/>
  </cols>
  <sheetData>
    <row r="2" spans="1:13" x14ac:dyDescent="0.3">
      <c r="A2" s="280" t="s">
        <v>221</v>
      </c>
      <c r="B2" s="1" t="s">
        <v>201</v>
      </c>
      <c r="C2" s="74" t="s">
        <v>211</v>
      </c>
      <c r="D2" s="1" t="s">
        <v>202</v>
      </c>
      <c r="E2" s="74" t="s">
        <v>211</v>
      </c>
      <c r="F2" t="s">
        <v>134</v>
      </c>
      <c r="I2" s="1" t="s">
        <v>217</v>
      </c>
      <c r="J2" s="74" t="s">
        <v>211</v>
      </c>
      <c r="K2" s="1" t="s">
        <v>218</v>
      </c>
      <c r="L2" s="74" t="s">
        <v>211</v>
      </c>
      <c r="M2" t="s">
        <v>134</v>
      </c>
    </row>
    <row r="3" spans="1:13" x14ac:dyDescent="0.3">
      <c r="A3" s="1" t="s">
        <v>150</v>
      </c>
    </row>
    <row r="4" spans="1:13" x14ac:dyDescent="0.3">
      <c r="A4" s="244" t="s">
        <v>203</v>
      </c>
      <c r="B4" s="233">
        <v>553360</v>
      </c>
      <c r="C4" s="246">
        <f>B4/$B$7</f>
        <v>0.34782871057729658</v>
      </c>
      <c r="D4" s="233">
        <f>B4*(1+F4)</f>
        <v>376284.8</v>
      </c>
      <c r="E4" s="246">
        <f>D4/$D$7</f>
        <v>0.33313172280642495</v>
      </c>
      <c r="F4" s="247">
        <v>-0.32</v>
      </c>
      <c r="I4" s="233">
        <v>553360</v>
      </c>
      <c r="J4" s="246">
        <f>I4/$B$7</f>
        <v>0.34782871057729658</v>
      </c>
      <c r="K4" s="233">
        <f>I4*(1+M4)</f>
        <v>376284.8</v>
      </c>
      <c r="L4" s="246">
        <f>K4/$D$7</f>
        <v>0.33313172280642495</v>
      </c>
      <c r="M4" s="247">
        <v>-0.32</v>
      </c>
    </row>
    <row r="5" spans="1:13" x14ac:dyDescent="0.3">
      <c r="A5" s="244" t="s">
        <v>204</v>
      </c>
      <c r="B5" s="233">
        <v>937092</v>
      </c>
      <c r="C5" s="246">
        <f>B5/$B$7</f>
        <v>0.5890333635468773</v>
      </c>
      <c r="D5" s="233">
        <f>B5*(1+F5)</f>
        <v>702819</v>
      </c>
      <c r="E5" s="246">
        <f>D5/$D$7</f>
        <v>0.62221834177487045</v>
      </c>
      <c r="F5" s="247">
        <v>-0.25</v>
      </c>
      <c r="I5" s="233">
        <v>937092</v>
      </c>
      <c r="J5" s="246">
        <f>I5/$B$7</f>
        <v>0.5890333635468773</v>
      </c>
      <c r="K5" s="233">
        <f>I5*(1+M5)</f>
        <v>702819</v>
      </c>
      <c r="L5" s="246">
        <f>K5/$D$7</f>
        <v>0.62221834177487045</v>
      </c>
      <c r="M5" s="247">
        <v>-0.25</v>
      </c>
    </row>
    <row r="6" spans="1:13" x14ac:dyDescent="0.3">
      <c r="A6" s="244" t="s">
        <v>205</v>
      </c>
      <c r="B6" s="233">
        <v>100446</v>
      </c>
      <c r="C6" s="246">
        <f>B6/$B$7</f>
        <v>6.3137925875826104E-2</v>
      </c>
      <c r="D6" s="233">
        <f>D7-D4-D5</f>
        <v>50433.779999999795</v>
      </c>
      <c r="E6" s="246">
        <f>D6/$D$7</f>
        <v>4.4649935418704531E-2</v>
      </c>
      <c r="F6" s="248">
        <f>D6/B6-1</f>
        <v>-0.49790155904665401</v>
      </c>
      <c r="I6" s="233">
        <v>100446</v>
      </c>
      <c r="J6" s="246">
        <f>I6/$B$7</f>
        <v>6.3137925875826104E-2</v>
      </c>
      <c r="K6" s="233">
        <f>K7-K4-K5</f>
        <v>-73987.800000000047</v>
      </c>
      <c r="L6" s="246">
        <f>K6/$D$7</f>
        <v>-6.5502734313629532E-2</v>
      </c>
      <c r="M6" s="248">
        <f>K6/I6-1</f>
        <v>-1.736592796129264</v>
      </c>
    </row>
    <row r="7" spans="1:13" x14ac:dyDescent="0.3">
      <c r="A7" s="1" t="s">
        <v>206</v>
      </c>
      <c r="B7" s="239">
        <f>SUM(B4:B6)</f>
        <v>1590898</v>
      </c>
      <c r="D7" s="239">
        <f>B7*(1+F7)</f>
        <v>1129537.5799999998</v>
      </c>
      <c r="F7" s="247">
        <v>-0.28999999999999998</v>
      </c>
      <c r="I7" s="239">
        <v>1783411</v>
      </c>
      <c r="K7" s="239">
        <v>1005116</v>
      </c>
      <c r="M7" s="247">
        <v>-0.28999999999999998</v>
      </c>
    </row>
    <row r="8" spans="1:13" x14ac:dyDescent="0.3">
      <c r="A8" s="1"/>
      <c r="F8" s="234"/>
      <c r="M8" s="234"/>
    </row>
    <row r="9" spans="1:13" x14ac:dyDescent="0.3">
      <c r="A9" s="1" t="s">
        <v>215</v>
      </c>
      <c r="B9" s="233">
        <v>561160</v>
      </c>
      <c r="D9" s="233">
        <f>B9*(1+F9)</f>
        <v>336696</v>
      </c>
      <c r="F9" s="247">
        <v>-0.4</v>
      </c>
      <c r="I9" s="233">
        <v>498270</v>
      </c>
      <c r="K9" s="233">
        <v>351267</v>
      </c>
      <c r="M9" s="247">
        <f>K9/I9-1</f>
        <v>-0.29502679270275156</v>
      </c>
    </row>
    <row r="10" spans="1:13" x14ac:dyDescent="0.3">
      <c r="A10" s="1"/>
      <c r="F10" s="234"/>
      <c r="M10" s="234"/>
    </row>
    <row r="11" spans="1:13" x14ac:dyDescent="0.3">
      <c r="A11" s="1" t="s">
        <v>216</v>
      </c>
      <c r="F11" s="234"/>
      <c r="M11" s="234"/>
    </row>
    <row r="12" spans="1:13" x14ac:dyDescent="0.3">
      <c r="A12" s="244" t="s">
        <v>213</v>
      </c>
      <c r="B12" s="233">
        <v>352154</v>
      </c>
      <c r="C12" s="233"/>
      <c r="D12" s="233">
        <f>B12*(1+F12)</f>
        <v>281723.2</v>
      </c>
      <c r="F12" s="247">
        <v>-0.2</v>
      </c>
      <c r="I12" s="240">
        <v>430052</v>
      </c>
      <c r="J12" s="233"/>
      <c r="K12" s="233">
        <v>287449</v>
      </c>
      <c r="M12" s="247">
        <f>K12/I12-1</f>
        <v>-0.3315947838865998</v>
      </c>
    </row>
    <row r="13" spans="1:13" x14ac:dyDescent="0.3">
      <c r="A13" s="244" t="s">
        <v>212</v>
      </c>
      <c r="B13" s="233">
        <v>99805</v>
      </c>
      <c r="C13" s="233"/>
      <c r="D13" s="233">
        <f>B13*(1+F13)</f>
        <v>79844</v>
      </c>
      <c r="F13" s="247">
        <v>-0.2</v>
      </c>
      <c r="I13" s="240">
        <v>228322</v>
      </c>
      <c r="J13" s="233"/>
      <c r="K13" s="233">
        <v>120034</v>
      </c>
      <c r="M13" s="247">
        <f>K13/I13-1</f>
        <v>-0.47427755538231098</v>
      </c>
    </row>
    <row r="14" spans="1:13" x14ac:dyDescent="0.3">
      <c r="A14" s="244" t="s">
        <v>214</v>
      </c>
      <c r="B14" s="237">
        <v>407187</v>
      </c>
      <c r="C14" s="282"/>
      <c r="D14" s="237">
        <f>B14*(1+F14)</f>
        <v>386827.64999999997</v>
      </c>
      <c r="E14" s="282"/>
      <c r="F14" s="283">
        <v>-0.05</v>
      </c>
      <c r="I14" s="240">
        <v>469723</v>
      </c>
      <c r="K14" s="233">
        <v>291194</v>
      </c>
      <c r="M14" s="247">
        <f>K14/I14-1</f>
        <v>-0.38007293660306185</v>
      </c>
    </row>
    <row r="15" spans="1:13" x14ac:dyDescent="0.3">
      <c r="B15" s="242">
        <f>SUM(B12:B14)</f>
        <v>859146</v>
      </c>
      <c r="D15" s="242">
        <f>SUM(D12:D14)</f>
        <v>748394.85</v>
      </c>
      <c r="F15" s="248">
        <f>D15/B15-1</f>
        <v>-0.12890841603173386</v>
      </c>
      <c r="M15" s="234"/>
    </row>
    <row r="16" spans="1:13" x14ac:dyDescent="0.3">
      <c r="F16" s="234"/>
      <c r="M16" s="234"/>
    </row>
    <row r="17" spans="1:13" x14ac:dyDescent="0.3">
      <c r="A17" s="245" t="s">
        <v>207</v>
      </c>
      <c r="B17" s="242">
        <f>B7-B9-SUM(B12:B14)</f>
        <v>170592</v>
      </c>
      <c r="D17" s="242">
        <f>D7-D9-SUM(D12:D14)</f>
        <v>44446.729999999865</v>
      </c>
      <c r="F17" s="248">
        <f>D17/B17-1</f>
        <v>-0.73945595338585712</v>
      </c>
      <c r="I17" s="242">
        <f>I7-I9-SUM(I12:I14)</f>
        <v>157044</v>
      </c>
      <c r="K17" s="242">
        <f>K7-K9-SUM(K12:K14)</f>
        <v>-44828</v>
      </c>
      <c r="M17" s="248">
        <f>K17/I17-1</f>
        <v>-1.2854486640686686</v>
      </c>
    </row>
    <row r="18" spans="1:13" x14ac:dyDescent="0.3">
      <c r="A18" s="244" t="s">
        <v>208</v>
      </c>
      <c r="B18" s="242">
        <v>76106</v>
      </c>
      <c r="D18" s="233">
        <f>K18</f>
        <v>65944</v>
      </c>
      <c r="F18" s="248">
        <f>D18/B18-1</f>
        <v>-0.13352429506215013</v>
      </c>
      <c r="I18" s="233">
        <v>285750</v>
      </c>
      <c r="J18" s="233"/>
      <c r="K18" s="233">
        <v>65944</v>
      </c>
      <c r="M18" s="248">
        <f>K18/I18-1</f>
        <v>-0.76922484689413828</v>
      </c>
    </row>
    <row r="19" spans="1:13" x14ac:dyDescent="0.3">
      <c r="A19" s="244" t="s">
        <v>209</v>
      </c>
      <c r="B19">
        <f>102362+43348</f>
        <v>145710</v>
      </c>
      <c r="D19" s="233">
        <f>K19</f>
        <v>145630</v>
      </c>
      <c r="F19" s="248">
        <f>D19/B19-1</f>
        <v>-5.4903575595355303E-4</v>
      </c>
      <c r="I19" s="242">
        <f>101950+40418</f>
        <v>142368</v>
      </c>
      <c r="K19" s="242">
        <f>103527+42103</f>
        <v>145630</v>
      </c>
      <c r="M19" s="248">
        <f>K19/I19-1</f>
        <v>2.2912452236457659E-2</v>
      </c>
    </row>
    <row r="20" spans="1:13" x14ac:dyDescent="0.3">
      <c r="A20" s="1" t="s">
        <v>210</v>
      </c>
      <c r="B20" s="249">
        <f>SUM(B17:B19)</f>
        <v>392408</v>
      </c>
      <c r="D20" s="249">
        <f>SUM(D17:D19)</f>
        <v>256020.72999999986</v>
      </c>
      <c r="F20" s="248">
        <f>D20/B20-1</f>
        <v>-0.34756495790096054</v>
      </c>
      <c r="I20">
        <v>615570</v>
      </c>
      <c r="K20">
        <v>158902</v>
      </c>
      <c r="M20" s="248">
        <f>K20/I20-1</f>
        <v>-0.74186201406826191</v>
      </c>
    </row>
    <row r="21" spans="1:13" x14ac:dyDescent="0.3">
      <c r="F21" s="234"/>
    </row>
    <row r="22" spans="1:13" x14ac:dyDescent="0.3">
      <c r="D22" s="242"/>
      <c r="F22" s="234"/>
    </row>
    <row r="23" spans="1:13" x14ac:dyDescent="0.3">
      <c r="B23" s="242">
        <f>SUM(B12:B14)</f>
        <v>859146</v>
      </c>
      <c r="D23" s="242">
        <f>SUM(D12:D14)</f>
        <v>748394.85</v>
      </c>
      <c r="F23" s="231">
        <f>D23/B23-1</f>
        <v>-0.12890841603173386</v>
      </c>
      <c r="I23" s="242"/>
      <c r="K23" s="242">
        <f>SUM(K9:K14)</f>
        <v>1049944</v>
      </c>
      <c r="M23" s="281" t="e">
        <f>K23/I23-1</f>
        <v>#DIV/0!</v>
      </c>
    </row>
    <row r="26" spans="1:13" x14ac:dyDescent="0.3">
      <c r="A26" s="280" t="s">
        <v>222</v>
      </c>
    </row>
    <row r="27" spans="1:13" x14ac:dyDescent="0.3">
      <c r="A27" s="284" t="s">
        <v>224</v>
      </c>
      <c r="B27" t="s">
        <v>223</v>
      </c>
      <c r="C27" t="s">
        <v>234</v>
      </c>
      <c r="I27" t="s">
        <v>223</v>
      </c>
      <c r="J27" t="s">
        <v>234</v>
      </c>
    </row>
    <row r="28" spans="1:13" x14ac:dyDescent="0.3">
      <c r="A28" s="244" t="s">
        <v>225</v>
      </c>
      <c r="B28" s="233">
        <v>-70</v>
      </c>
      <c r="C28" s="236"/>
      <c r="D28" s="231">
        <f>C28/B28-1</f>
        <v>-1</v>
      </c>
      <c r="I28">
        <v>2603</v>
      </c>
      <c r="J28">
        <v>1063.2</v>
      </c>
      <c r="K28" s="231">
        <f>J28/I28-1</f>
        <v>-0.59154821359969256</v>
      </c>
    </row>
    <row r="29" spans="1:13" x14ac:dyDescent="0.3">
      <c r="A29" s="244" t="s">
        <v>226</v>
      </c>
      <c r="B29" s="233">
        <v>-1615</v>
      </c>
      <c r="I29">
        <v>2880</v>
      </c>
      <c r="J29">
        <v>903</v>
      </c>
      <c r="K29" s="231">
        <f>J29/I29-1</f>
        <v>-0.68645833333333339</v>
      </c>
    </row>
    <row r="30" spans="1:13" x14ac:dyDescent="0.3">
      <c r="A30" s="244" t="s">
        <v>227</v>
      </c>
      <c r="B30" s="233">
        <v>-799</v>
      </c>
    </row>
    <row r="31" spans="1:13" x14ac:dyDescent="0.3">
      <c r="A31" s="244" t="s">
        <v>228</v>
      </c>
      <c r="B31" s="233">
        <v>-119</v>
      </c>
      <c r="H31" t="s">
        <v>235</v>
      </c>
      <c r="I31">
        <v>3850</v>
      </c>
      <c r="J31">
        <v>545.1</v>
      </c>
      <c r="K31" s="231">
        <f>J31/I31-1</f>
        <v>-0.85841558441558441</v>
      </c>
    </row>
    <row r="32" spans="1:13" x14ac:dyDescent="0.3">
      <c r="A32" s="244" t="s">
        <v>229</v>
      </c>
      <c r="B32" s="233"/>
      <c r="H32" t="s">
        <v>236</v>
      </c>
      <c r="I32">
        <v>3153</v>
      </c>
      <c r="J32">
        <v>600</v>
      </c>
      <c r="K32" s="231">
        <f>J32/I32-1</f>
        <v>-0.80970504281636535</v>
      </c>
    </row>
    <row r="33" spans="1:2" x14ac:dyDescent="0.3">
      <c r="A33" s="244" t="s">
        <v>230</v>
      </c>
      <c r="B33" s="233"/>
    </row>
    <row r="34" spans="1:2" x14ac:dyDescent="0.3">
      <c r="A34" s="244" t="s">
        <v>231</v>
      </c>
      <c r="B34" s="233">
        <v>84</v>
      </c>
    </row>
    <row r="35" spans="1:2" x14ac:dyDescent="0.3">
      <c r="A35" s="244" t="s">
        <v>232</v>
      </c>
      <c r="B35" s="233">
        <v>-2603</v>
      </c>
    </row>
    <row r="36" spans="1:2" x14ac:dyDescent="0.3">
      <c r="A36" s="244" t="s">
        <v>233</v>
      </c>
      <c r="B36" s="233">
        <v>-2519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18</vt:i4>
      </vt:variant>
    </vt:vector>
  </HeadingPairs>
  <TitlesOfParts>
    <vt:vector size="18" baseType="lpstr">
      <vt:lpstr>Tongchengelong</vt:lpstr>
      <vt:lpstr>Sheet6</vt:lpstr>
      <vt:lpstr>Comp</vt:lpstr>
      <vt:lpstr>TCEL charts</vt:lpstr>
      <vt:lpstr>交通业务拆分</vt:lpstr>
      <vt:lpstr>Sheet8</vt:lpstr>
      <vt:lpstr>酒店业务国际拆分</vt:lpstr>
      <vt:lpstr>Summary</vt:lpstr>
      <vt:lpstr>intl business</vt:lpstr>
      <vt:lpstr>Sheet7</vt:lpstr>
      <vt:lpstr>Sheet4</vt:lpstr>
      <vt:lpstr>Sheet5</vt:lpstr>
      <vt:lpstr>Sheet3</vt:lpstr>
      <vt:lpstr>Sheet2</vt:lpstr>
      <vt:lpstr>Breakdown</vt:lpstr>
      <vt:lpstr>Guidance</vt:lpstr>
      <vt:lpstr>Reference from finance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2026-08-24T11:15:43Z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rammarlyDocumentId">
    <vt:lpwstr>c5179a4134ae40b57e780959a66367aa34239372cb327793a2f6f2ab4929a576;656af847-9fcd-4e51-ab25-618185bce2d8;3e7a2d8f-2568-4ac6-a507-e41b908663ba;a111bfab55115bd0ca759a9158a351a8ac035433a42b3d295336a209bb18cb79;a111bfab55115bd0ca759a9158a351a8ac035433a42b3d29533</vt:lpwstr>
  </property>
  <property fmtid="{D5CDD505-2E9C-101B-9397-08002B2CF9AE}" pid="3" name="ContentTypeId">
    <vt:lpwstr>0x010100DF16C1720C6ABA4E86BA5B93E98D29BE;0x010100DF16C1720C6ABA4E86BA5B93E98D29BE;0x010100EF316044E059D84393D33441E240EA3D;0x010100DF16C1720C6ABA4E86BA5B93E98D29BE;0x010100EF316044E059D84393D33441E240EA3D;0x010100EF316044E059D84393D33441E240EA3D;0x010100D</vt:lpwstr>
  </property>
  <property fmtid="{D5CDD505-2E9C-101B-9397-08002B2CF9AE}" pid="4" name="Created By">
    <vt:lpwstr>SoftArtisans OfficeWriter for Excel 8.6.2.281 (http://officewriter.softartisans.com)</vt:lpwstr>
  </property>
  <property fmtid="{D5CDD505-2E9C-101B-9397-08002B2CF9AE}" pid="5" name="EM_Doc_Temp_ID">
    <vt:lpwstr>b6bbcfe9</vt:lpwstr>
  </property>
  <property fmtid="{D5CDD505-2E9C-101B-9397-08002B2CF9AE}" pid="6" name="ERCompanyUploadState">
    <vt:lpwstr>P</vt:lpwstr>
  </property>
  <property fmtid="{D5CDD505-2E9C-101B-9397-08002B2CF9AE}" pid="7" name="ERModPubCompanyName">
    <vt:lpwstr>Booking Holdings Inc</vt:lpwstr>
  </property>
  <property fmtid="{D5CDD505-2E9C-101B-9397-08002B2CF9AE}" pid="8" name="ERModPubTicket">
    <vt:lpwstr>NA</vt:lpwstr>
  </property>
  <property fmtid="{D5CDD505-2E9C-101B-9397-08002B2CF9AE}" pid="9" name="FDSMenuDocLevelBtnStates">
    <vt:lpwstr>&lt;btnStates&gt;&lt;btn tag="1001" state="UP"/&gt;&lt;/btnStates&gt;_x000d_</vt:lpwstr>
  </property>
  <property fmtid="{D5CDD505-2E9C-101B-9397-08002B2CF9AE}" pid="10" name="KSOProductBuildVer">
    <vt:lpwstr>2052-3.8.1.6116;2052-3.7.0.5920;2052-3.8.1.6116;2052-10.1.0.7469;2052-3.8.1.6116;2052-3.7.0.5920;2052-3.7.0.5920;2052-3.8.1.6116;2052-10.1.0.7469;2052-3.8.1.6116;2052-3.7.0.5920;2052-3.8.1.6116;2052-3.7.0.5920;2052-3.8.1.6116;2052-10.1.0.7469;2052-3.8.1.6</vt:lpwstr>
  </property>
  <property fmtid="{D5CDD505-2E9C-101B-9397-08002B2CF9AE}" pid="11" name="LinkingAutoNameNumberLinking_Range_">
    <vt:lpwstr>67</vt:lpwstr>
  </property>
  <property fmtid="{D5CDD505-2E9C-101B-9397-08002B2CF9AE}" pid="12" name="MSDH34TAG">
    <vt:lpwstr>.TEZUF76X5TAHATHESADREYAK-00-INB160+*94600-06=1115924a/-2269/-11ed/-b8bf/-0f7b55e2557b,MD=20220822183748/-0400,ZZ=000Z-d0f9.</vt:lpwstr>
  </property>
  <property fmtid="{D5CDD505-2E9C-101B-9397-08002B2CF9AE}" pid="13" name="MSIP_Label_07f119e6-c6cd-44b0-a5ee-ac1aff68c56e_ActionId">
    <vt:lpwstr>27631c8a-40ca-4c1b-a9cd-35153f78c478</vt:lpwstr>
  </property>
  <property fmtid="{D5CDD505-2E9C-101B-9397-08002B2CF9AE}" pid="14" name="MSIP_Label_07f119e6-c6cd-44b0-a5ee-ac1aff68c56e_ContentBits">
    <vt:lpwstr>0</vt:lpwstr>
  </property>
  <property fmtid="{D5CDD505-2E9C-101B-9397-08002B2CF9AE}" pid="15" name="MSIP_Label_07f119e6-c6cd-44b0-a5ee-ac1aff68c56e_Enabled">
    <vt:lpwstr>true</vt:lpwstr>
  </property>
  <property fmtid="{D5CDD505-2E9C-101B-9397-08002B2CF9AE}" pid="16" name="MSIP_Label_07f119e6-c6cd-44b0-a5ee-ac1aff68c56e_Method">
    <vt:lpwstr>Standard</vt:lpwstr>
  </property>
  <property fmtid="{D5CDD505-2E9C-101B-9397-08002B2CF9AE}" pid="17" name="MSIP_Label_07f119e6-c6cd-44b0-a5ee-ac1aff68c56e_Name">
    <vt:lpwstr>Confidential v1</vt:lpwstr>
  </property>
  <property fmtid="{D5CDD505-2E9C-101B-9397-08002B2CF9AE}" pid="18" name="MSIP_Label_07f119e6-c6cd-44b0-a5ee-ac1aff68c56e_SetDate">
    <vt:lpwstr>2022-04-06T15:02:51Z</vt:lpwstr>
  </property>
  <property fmtid="{D5CDD505-2E9C-101B-9397-08002B2CF9AE}" pid="19" name="MSIP_Label_07f119e6-c6cd-44b0-a5ee-ac1aff68c56e_SiteId">
    <vt:lpwstr>e29b8111-49f8-418d-ac2a-935335a52614</vt:lpwstr>
  </property>
  <property fmtid="{D5CDD505-2E9C-101B-9397-08002B2CF9AE}" pid="20" name="ModelId">
    <vt:lpwstr>9292783</vt:lpwstr>
  </property>
  <property fmtid="{D5CDD505-2E9C-101B-9397-08002B2CF9AE}" pid="21" name="{A44787D4-0540-4523-9961-78E4036D8C6D}">
    <vt:lpwstr>{B8E37D21-F801-414B-83AB-EEE00DA84B03}</vt:lpwstr>
  </property>
</Properties>
</file>